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 activeTab="1"/>
  </bookViews>
  <sheets>
    <sheet name="手术室" sheetId="1" r:id="rId1"/>
    <sheet name="加急" sheetId="2" r:id="rId2"/>
  </sheets>
  <definedNames>
    <definedName name="_xlnm._FilterDatabase" localSheetId="0" hidden="1">手术室!$A$9:$K$18</definedName>
    <definedName name="_xlnm.Print_Titles" localSheetId="0">手术室!$1:$6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<sst xmlns="http://schemas.openxmlformats.org/spreadsheetml/2006/main" count="71" uniqueCount="27">
  <si>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</si>
  <si>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2026/6/1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2026/6/30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</si>
  <si>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</si>
  <si>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哈尔滨仁胜医院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</si>
  <si>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</si>
  <si>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</si>
  <si>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</si>
  <si>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</si>
  <si>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</si>
  <si>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</si>
  <si>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</si>
  <si>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</si>
  <si>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手术室</t>
  </si>
  <si>
    <t>额外包(纸塑袋)</t>
  </si>
  <si>
    <t>持针器-1/z1029</t>
  </si>
  <si>
    <t>刀柄-1/Z7520</t>
  </si>
  <si>
    <t>换药碗-1/z2530</t>
  </si>
  <si>
    <t>肌钩-1/Z7526</t>
  </si>
  <si>
    <t>剪刀-1/Z1026</t>
  </si>
  <si>
    <t>镊子-1/z7526</t>
  </si>
  <si>
    <t>组织钳-1/Z1026</t>
  </si>
  <si>
    <t>器械包(ZSD)</t>
  </si>
  <si>
    <t>包皮切开包</t>
  </si>
  <si>
    <t>哈尔滨仁胜医院2026年6月5日加急灭菌费：683+683*25%=853.75，加急物流费150元，合计1003.75。</t>
  </si>
  <si>
    <t>肛门镜-1/z2032</t>
  </si>
  <si>
    <t>拉钩-1/Z1026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</si>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</sst>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7">
    <font>
      <sz val="11"/>
      <name val="宋体"/>
      <charset val="134"/>
      <scheme val="minor"/>
    </font>
    <font>
      <sz val="10"/>
      <color rgb="FF000000"/>
      <name val="Droid Sans Fallback"/>
      <charset val="134"/>
    </font>
    <font>
      <sz val="11"/>
      <color rgb="FF000000"/>
      <name val="Droid Sans Fallback"/>
      <charset val="134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BCC3CC"/>
        <bgColor rgb="FFBCC3CC"/>
      </patternFill>
    </fill>
    <fill>
      <patternFill patternType="solid">
        <fgColor rgb="FF6799AF"/>
        <bgColor rgb="FF6799A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10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13" applyNumberFormat="0" applyAlignment="0" applyProtection="0">
      <alignment vertical="center"/>
    </xf>
    <xf numFmtId="0" fontId="16" fillId="6" borderId="14" applyNumberFormat="0" applyAlignment="0" applyProtection="0">
      <alignment vertical="center"/>
    </xf>
    <xf numFmtId="0" fontId="17" fillId="6" borderId="13" applyNumberFormat="0" applyAlignment="0" applyProtection="0">
      <alignment vertical="center"/>
    </xf>
    <xf numFmtId="0" fontId="18" fillId="7" borderId="15" applyNumberFormat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20" fillId="0" borderId="17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37">
    <xf numFmtId="0" fontId="0" fillId="0" borderId="0" xfId="0" applyFont="1" applyFill="1" applyBorder="1" applyAlignment="1"/>
    <xf numFmtId="0" fontId="0" fillId="0" borderId="1" xfId="0" applyFont="1" applyFill="1" applyBorder="1" applyAlignment="1">
      <alignment horizontal="center"/>
    </xf>
    <xf numFmtId="0" fontId="1" fillId="0" borderId="2" xfId="0" applyNumberFormat="1" applyFont="1" applyFill="1" applyBorder="1" applyAlignment="1">
      <alignment horizontal="center" vertical="top" wrapText="1" readingOrder="1"/>
    </xf>
    <xf numFmtId="0" fontId="2" fillId="2" borderId="3" xfId="0" applyNumberFormat="1" applyFont="1" applyFill="1" applyBorder="1" applyAlignment="1">
      <alignment vertical="top" wrapText="1" readingOrder="1"/>
    </xf>
    <xf numFmtId="0" fontId="0" fillId="0" borderId="4" xfId="0" applyNumberFormat="1" applyFont="1" applyFill="1" applyBorder="1" applyAlignment="1">
      <alignment vertical="top" wrapText="1"/>
    </xf>
    <xf numFmtId="0" fontId="2" fillId="2" borderId="4" xfId="0" applyNumberFormat="1" applyFont="1" applyFill="1" applyBorder="1" applyAlignment="1">
      <alignment horizontal="center" vertical="top" wrapText="1" readingOrder="1"/>
    </xf>
    <xf numFmtId="176" fontId="2" fillId="2" borderId="4" xfId="0" applyNumberFormat="1" applyFont="1" applyFill="1" applyBorder="1" applyAlignment="1">
      <alignment horizontal="center" vertical="top" wrapText="1" readingOrder="1"/>
    </xf>
    <xf numFmtId="176" fontId="2" fillId="2" borderId="5" xfId="0" applyNumberFormat="1" applyFont="1" applyFill="1" applyBorder="1" applyAlignment="1">
      <alignment horizontal="center" vertical="top" wrapText="1" readingOrder="1"/>
    </xf>
    <xf numFmtId="177" fontId="1" fillId="0" borderId="6" xfId="0" applyNumberFormat="1" applyFont="1" applyFill="1" applyBorder="1" applyAlignment="1">
      <alignment vertical="top" wrapText="1" readingOrder="1"/>
    </xf>
    <xf numFmtId="0" fontId="1" fillId="0" borderId="6" xfId="0" applyNumberFormat="1" applyFont="1" applyFill="1" applyBorder="1" applyAlignment="1">
      <alignment vertical="top" wrapText="1" readingOrder="1"/>
    </xf>
    <xf numFmtId="0" fontId="1" fillId="0" borderId="6" xfId="0" applyNumberFormat="1" applyFont="1" applyFill="1" applyBorder="1" applyAlignment="1">
      <alignment horizontal="center" vertical="top" wrapText="1" readingOrder="1"/>
    </xf>
    <xf numFmtId="176" fontId="1" fillId="0" borderId="6" xfId="0" applyNumberFormat="1" applyFont="1" applyFill="1" applyBorder="1" applyAlignment="1">
      <alignment horizontal="center" vertical="top" wrapText="1" readingOrder="1"/>
    </xf>
    <xf numFmtId="177" fontId="1" fillId="0" borderId="1" xfId="0" applyNumberFormat="1" applyFont="1" applyFill="1" applyBorder="1" applyAlignment="1">
      <alignment vertical="top" wrapText="1" readingOrder="1"/>
    </xf>
    <xf numFmtId="0" fontId="1" fillId="0" borderId="1" xfId="0" applyNumberFormat="1" applyFont="1" applyFill="1" applyBorder="1" applyAlignment="1">
      <alignment vertical="top" wrapText="1" readingOrder="1"/>
    </xf>
    <xf numFmtId="0" fontId="1" fillId="0" borderId="1" xfId="0" applyNumberFormat="1" applyFont="1" applyFill="1" applyBorder="1" applyAlignment="1">
      <alignment horizontal="center" vertical="top" wrapText="1" readingOrder="1"/>
    </xf>
    <xf numFmtId="176" fontId="1" fillId="0" borderId="1" xfId="0" applyNumberFormat="1" applyFont="1" applyFill="1" applyBorder="1" applyAlignment="1">
      <alignment horizontal="center" vertical="top" wrapText="1" readingOrder="1"/>
    </xf>
    <xf numFmtId="177" fontId="1" fillId="0" borderId="2" xfId="0" applyNumberFormat="1" applyFont="1" applyFill="1" applyBorder="1" applyAlignment="1">
      <alignment vertical="top" wrapText="1" readingOrder="1"/>
    </xf>
    <xf numFmtId="0" fontId="1" fillId="0" borderId="2" xfId="0" applyNumberFormat="1" applyFont="1" applyFill="1" applyBorder="1" applyAlignment="1">
      <alignment vertical="top" wrapText="1" readingOrder="1"/>
    </xf>
    <xf numFmtId="176" fontId="1" fillId="0" borderId="2" xfId="0" applyNumberFormat="1" applyFont="1" applyFill="1" applyBorder="1" applyAlignment="1">
      <alignment horizontal="center" vertical="top" wrapText="1" readingOrder="1"/>
    </xf>
    <xf numFmtId="0" fontId="0" fillId="0" borderId="3" xfId="0" applyFont="1" applyFill="1" applyBorder="1" applyAlignment="1"/>
    <xf numFmtId="0" fontId="0" fillId="0" borderId="4" xfId="0" applyFont="1" applyFill="1" applyBorder="1" applyAlignment="1"/>
    <xf numFmtId="0" fontId="0" fillId="0" borderId="5" xfId="0" applyFont="1" applyFill="1" applyBorder="1" applyAlignment="1"/>
    <xf numFmtId="0" fontId="3" fillId="0" borderId="0" xfId="0" applyNumberFormat="1" applyFont="1" applyFill="1" applyBorder="1" applyAlignment="1">
      <alignment horizontal="left" vertical="top" wrapText="1" readingOrder="1"/>
    </xf>
    <xf numFmtId="0" fontId="4" fillId="0" borderId="0" xfId="0" applyNumberFormat="1" applyFont="1" applyFill="1" applyBorder="1" applyAlignment="1">
      <alignment vertical="top" wrapText="1" readingOrder="1"/>
    </xf>
    <xf numFmtId="0" fontId="0" fillId="0" borderId="7" xfId="0" applyNumberFormat="1" applyFont="1" applyFill="1" applyBorder="1" applyAlignment="1">
      <alignment vertical="top" wrapText="1"/>
    </xf>
    <xf numFmtId="0" fontId="1" fillId="0" borderId="0" xfId="0" applyNumberFormat="1" applyFont="1" applyFill="1" applyBorder="1" applyAlignment="1">
      <alignment vertical="top" wrapText="1" readingOrder="1"/>
    </xf>
    <xf numFmtId="0" fontId="5" fillId="3" borderId="8" xfId="0" applyNumberFormat="1" applyFont="1" applyFill="1" applyBorder="1" applyAlignment="1">
      <alignment vertical="top" wrapText="1" readingOrder="1"/>
    </xf>
    <xf numFmtId="0" fontId="0" fillId="0" borderId="9" xfId="0" applyNumberFormat="1" applyFont="1" applyFill="1" applyBorder="1" applyAlignment="1">
      <alignment vertical="top" wrapText="1"/>
    </xf>
    <xf numFmtId="0" fontId="5" fillId="3" borderId="8" xfId="0" applyNumberFormat="1" applyFont="1" applyFill="1" applyBorder="1" applyAlignment="1">
      <alignment horizontal="center" vertical="top" wrapText="1" readingOrder="1"/>
    </xf>
    <xf numFmtId="176" fontId="5" fillId="3" borderId="8" xfId="0" applyNumberFormat="1" applyFont="1" applyFill="1" applyBorder="1" applyAlignment="1">
      <alignment horizontal="center" vertical="top" wrapText="1" readingOrder="1"/>
    </xf>
    <xf numFmtId="0" fontId="1" fillId="0" borderId="8" xfId="0" applyNumberFormat="1" applyFont="1" applyFill="1" applyBorder="1" applyAlignment="1">
      <alignment horizontal="center" vertical="top" wrapText="1" readingOrder="1"/>
    </xf>
    <xf numFmtId="0" fontId="2" fillId="2" borderId="8" xfId="0" applyNumberFormat="1" applyFont="1" applyFill="1" applyBorder="1" applyAlignment="1">
      <alignment vertical="top" wrapText="1" readingOrder="1"/>
    </xf>
    <xf numFmtId="0" fontId="2" fillId="2" borderId="8" xfId="0" applyNumberFormat="1" applyFont="1" applyFill="1" applyBorder="1" applyAlignment="1">
      <alignment horizontal="center" vertical="top" wrapText="1" readingOrder="1"/>
    </xf>
    <xf numFmtId="176" fontId="2" fillId="2" borderId="8" xfId="0" applyNumberFormat="1" applyFont="1" applyFill="1" applyBorder="1" applyAlignment="1">
      <alignment horizontal="center" vertical="top" wrapText="1" readingOrder="1"/>
    </xf>
    <xf numFmtId="177" fontId="1" fillId="0" borderId="8" xfId="0" applyNumberFormat="1" applyFont="1" applyFill="1" applyBorder="1" applyAlignment="1">
      <alignment vertical="top" wrapText="1" readingOrder="1"/>
    </xf>
    <xf numFmtId="0" fontId="1" fillId="0" borderId="8" xfId="0" applyNumberFormat="1" applyFont="1" applyFill="1" applyBorder="1" applyAlignment="1">
      <alignment vertical="top" wrapText="1" readingOrder="1"/>
    </xf>
    <xf numFmtId="176" fontId="1" fillId="0" borderId="8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304165</xdr:colOff>
      <xdr:row>1</xdr:row>
      <xdr:rowOff>66675</xdr:rowOff>
    </xdr:from>
    <xdr:to>
      <xdr:col>10</xdr:col>
      <xdr:colOff>814153</xdr:colOff>
      <xdr:row>4</xdr:row>
      <xdr:rowOff>64135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7205345" y="238125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4"/>
  <sheetViews>
    <sheetView showGridLines="0" view="pageBreakPreview" zoomScaleNormal="100" workbookViewId="0">
      <pane ySplit="6" topLeftCell="A7" activePane="bottomLeft" state="frozen"/>
      <selection/>
      <selection pane="bottomLeft" activeCell="K11" sqref="K11:K1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10.125" customWidth="1"/>
    <col min="10" max="10" width="12.2083333333333" customWidth="1"/>
    <col min="11" max="11" width="13.375" customWidth="1"/>
  </cols>
  <sheetData>
    <row r="1" spans="2:11">
      <c r="C1" s="22" t="s">
        <v>0</v>
      </c>
    </row>
    <row r="2" ht="23.05" customHeight="1"/>
    <row r="3" ht="2" customHeight="1"/>
    <row r="4" ht="15.2" customHeight="1" spans="2:11">
      <c r="B4" s="23" t="s">
        <v>1</v>
      </c>
    </row>
    <row r="6" ht="2.95" customHeight="1"/>
    <row r="7" ht="3.95" customHeight="1" spans="2:11">
      <c r="B7" s="24" t="s">
        <v>2</v>
      </c>
      <c r="C7" s="24" t="s">
        <v>2</v>
      </c>
      <c r="D7" s="24" t="s">
        <v>2</v>
      </c>
      <c r="E7" s="24" t="s">
        <v>2</v>
      </c>
      <c r="F7" s="24" t="s">
        <v>2</v>
      </c>
      <c r="G7" s="24" t="s">
        <v>2</v>
      </c>
      <c r="H7" s="24" t="s">
        <v>2</v>
      </c>
      <c r="I7" s="24" t="s">
        <v>2</v>
      </c>
      <c r="J7" s="24" t="s">
        <v>2</v>
      </c>
      <c r="K7" s="24" t="s">
        <v>2</v>
      </c>
    </row>
    <row r="8" ht="15" spans="2:11">
      <c r="C8" s="25" t="s">
        <v>2</v>
      </c>
      <c r="D8" s="26" t="s">
        <v>3</v>
      </c>
      <c r="E8" s="27" t="s">
        <v>2</v>
      </c>
      <c r="F8" s="27" t="s">
        <v>2</v>
      </c>
      <c r="G8" s="27" t="s">
        <v>2</v>
      </c>
      <c r="H8" s="27" t="s">
        <v>2</v>
      </c>
      <c r="I8" s="28"/>
      <c r="J8" s="29"/>
      <c r="K8" s="29"/>
    </row>
    <row r="9" spans="2:11">
      <c r="C9" s="25" t="s">
        <v>2</v>
      </c>
      <c r="D9" s="30" t="s">
        <v>4</v>
      </c>
      <c r="E9" s="30" t="s">
        <v>5</v>
      </c>
      <c r="F9" s="30" t="s">
        <v>6</v>
      </c>
      <c r="G9" s="30" t="s">
        <v>7</v>
      </c>
      <c r="H9" s="30" t="s">
        <v>8</v>
      </c>
      <c r="I9" s="30" t="s">
        <v>9</v>
      </c>
      <c r="J9" s="30" t="s">
        <v>10</v>
      </c>
      <c r="K9" s="30" t="s">
        <v>11</v>
      </c>
    </row>
    <row r="10" ht="14.25" spans="2:11">
      <c r="D10" s="31" t="s">
        <v>12</v>
      </c>
      <c r="E10" s="27" t="s">
        <v>2</v>
      </c>
      <c r="F10" s="27" t="s">
        <v>2</v>
      </c>
      <c r="G10" s="27" t="s">
        <v>2</v>
      </c>
      <c r="H10" s="27" t="s">
        <v>2</v>
      </c>
      <c r="I10" s="32">
        <v>49</v>
      </c>
      <c r="J10" s="33"/>
      <c r="K10" s="33">
        <v>980</v>
      </c>
    </row>
    <row r="11" spans="2:11">
      <c r="D11" s="34">
        <v>46190</v>
      </c>
      <c r="E11" s="35">
        <v>1612827</v>
      </c>
      <c r="F11" s="35" t="s">
        <v>13</v>
      </c>
      <c r="G11" s="30">
        <v>20353418</v>
      </c>
      <c r="H11" s="35" t="s">
        <v>14</v>
      </c>
      <c r="I11" s="30">
        <v>2</v>
      </c>
      <c r="J11" s="36">
        <v>8</v>
      </c>
      <c r="K11" s="36">
        <v>16</v>
      </c>
    </row>
    <row r="12" spans="2:11">
      <c r="D12" s="34">
        <v>46190</v>
      </c>
      <c r="E12" s="35">
        <v>1612827</v>
      </c>
      <c r="F12" s="35" t="s">
        <v>13</v>
      </c>
      <c r="G12" s="30">
        <v>20380293</v>
      </c>
      <c r="H12" s="35" t="s">
        <v>15</v>
      </c>
      <c r="I12" s="30">
        <v>7</v>
      </c>
      <c r="J12" s="36">
        <v>8</v>
      </c>
      <c r="K12" s="36">
        <v>56</v>
      </c>
    </row>
    <row r="13" spans="2:11">
      <c r="D13" s="34">
        <v>46190</v>
      </c>
      <c r="E13" s="35">
        <v>1612827</v>
      </c>
      <c r="F13" s="35" t="s">
        <v>13</v>
      </c>
      <c r="G13" s="30">
        <v>20300268</v>
      </c>
      <c r="H13" s="35" t="s">
        <v>16</v>
      </c>
      <c r="I13" s="30">
        <v>3</v>
      </c>
      <c r="J13" s="36">
        <v>16</v>
      </c>
      <c r="K13" s="36">
        <v>48</v>
      </c>
    </row>
    <row r="14" spans="2:11">
      <c r="D14" s="34">
        <v>46190</v>
      </c>
      <c r="E14" s="35">
        <v>1612827</v>
      </c>
      <c r="F14" s="35" t="s">
        <v>13</v>
      </c>
      <c r="G14" s="30">
        <v>20403240</v>
      </c>
      <c r="H14" s="35" t="s">
        <v>17</v>
      </c>
      <c r="I14" s="30">
        <v>6</v>
      </c>
      <c r="J14" s="36">
        <v>8</v>
      </c>
      <c r="K14" s="36">
        <v>48</v>
      </c>
    </row>
    <row r="15" spans="2:11">
      <c r="D15" s="34">
        <v>46190</v>
      </c>
      <c r="E15" s="35">
        <v>1612827</v>
      </c>
      <c r="F15" s="35" t="s">
        <v>13</v>
      </c>
      <c r="G15" s="30">
        <v>20382190</v>
      </c>
      <c r="H15" s="35" t="s">
        <v>18</v>
      </c>
      <c r="I15" s="30">
        <v>15</v>
      </c>
      <c r="J15" s="36">
        <v>8</v>
      </c>
      <c r="K15" s="36">
        <v>120</v>
      </c>
    </row>
    <row r="16" spans="2:11">
      <c r="D16" s="34">
        <v>46190</v>
      </c>
      <c r="E16" s="35">
        <v>1612827</v>
      </c>
      <c r="F16" s="35" t="s">
        <v>13</v>
      </c>
      <c r="G16" s="30">
        <v>20387228</v>
      </c>
      <c r="H16" s="35" t="s">
        <v>19</v>
      </c>
      <c r="I16" s="30">
        <v>2</v>
      </c>
      <c r="J16" s="36">
        <v>8</v>
      </c>
      <c r="K16" s="36">
        <v>16</v>
      </c>
    </row>
    <row r="17" spans="4:11">
      <c r="D17" s="34">
        <v>46190</v>
      </c>
      <c r="E17" s="35">
        <v>1612827</v>
      </c>
      <c r="F17" s="35" t="s">
        <v>13</v>
      </c>
      <c r="G17" s="30">
        <v>20380295</v>
      </c>
      <c r="H17" s="35" t="s">
        <v>20</v>
      </c>
      <c r="I17" s="30">
        <v>2</v>
      </c>
      <c r="J17" s="36">
        <v>8</v>
      </c>
      <c r="K17" s="36">
        <v>16</v>
      </c>
    </row>
    <row r="18" spans="4:11">
      <c r="D18" s="34">
        <v>46190</v>
      </c>
      <c r="E18" s="35">
        <v>1612827</v>
      </c>
      <c r="F18" s="35" t="s">
        <v>21</v>
      </c>
      <c r="G18" s="30">
        <v>20015281</v>
      </c>
      <c r="H18" s="35" t="s">
        <v>22</v>
      </c>
      <c r="I18" s="30">
        <v>12</v>
      </c>
      <c r="J18" s="36">
        <v>55</v>
      </c>
      <c r="K18" s="36">
        <v>660</v>
      </c>
    </row>
    <row r="24" ht="21" customHeight="1"/>
  </sheetData>
  <autoFilter xmlns:etc="http://www.wps.cn/officeDocument/2017/etCustomData" ref="A9:K18" etc:filterBottomFollowUsedRange="0">
    <extLst/>
  </autoFilter>
  <mergeCells count="6">
    <mergeCell ref="D8:H8"/>
    <mergeCell ref="D10:H10"/>
    <mergeCell ref="C9:C18"/>
    <mergeCell ref="B4:H5"/>
    <mergeCell ref="C1:H2"/>
    <mergeCell ref="A8:B18"/>
  </mergeCells>
  <pageMargins left="0.25" right="0.25" top="0.75" bottom="0.75" header="0.298611111111111" footer="0.298611111111111"/>
  <pageSetup paperSize="9" scale="97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&amp;"-,Regular"2026年7月3日 9:34 
&amp;"-,Bold"&amp;10 黑龙江省铂康医疗灭菌有限公司 &amp;R&amp;"Droid Sans Fallback"&amp;9第&amp;P页，共&amp;N页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"/>
  <sheetViews>
    <sheetView tabSelected="1" view="pageBreakPreview" zoomScaleNormal="100" workbookViewId="0">
      <selection activeCell="I5" sqref="I5"/>
    </sheetView>
  </sheetViews>
  <sheetFormatPr defaultColWidth="9" defaultRowHeight="13.5"/>
  <cols>
    <col min="1" max="1" width="11.375" customWidth="1"/>
    <col min="2" max="2" width="11.625" customWidth="1"/>
    <col min="3" max="3" width="14.375" customWidth="1"/>
    <col min="5" max="5" width="22.5" customWidth="1"/>
    <col min="6" max="6" width="11.25" customWidth="1"/>
    <col min="7" max="7" width="11.375" customWidth="1"/>
    <col min="8" max="8" width="13.125" customWidth="1"/>
  </cols>
  <sheetData>
    <row r="1" ht="26" customHeight="1" spans="1:9">
      <c r="A1" s="1" t="s">
        <v>23</v>
      </c>
      <c r="B1" s="1"/>
      <c r="C1" s="1"/>
      <c r="D1" s="1"/>
      <c r="E1" s="1"/>
      <c r="F1" s="1"/>
      <c r="G1" s="1"/>
      <c r="H1" s="1"/>
    </row>
    <row r="2" spans="1:9">
      <c r="A2" s="2" t="s">
        <v>4</v>
      </c>
      <c r="B2" s="2" t="s">
        <v>5</v>
      </c>
      <c r="C2" s="2" t="s">
        <v>6</v>
      </c>
      <c r="D2" s="2" t="s">
        <v>7</v>
      </c>
      <c r="E2" s="2" t="s">
        <v>8</v>
      </c>
      <c r="F2" s="2" t="s">
        <v>9</v>
      </c>
      <c r="G2" s="2" t="s">
        <v>10</v>
      </c>
      <c r="H2" s="2" t="s">
        <v>11</v>
      </c>
    </row>
    <row r="3" ht="14.25" spans="1:9">
      <c r="A3" s="3" t="s">
        <v>12</v>
      </c>
      <c r="B3" s="4"/>
      <c r="C3" s="4"/>
      <c r="D3" s="4"/>
      <c r="E3" s="4"/>
      <c r="F3" s="5"/>
      <c r="G3" s="6"/>
      <c r="H3" s="7"/>
    </row>
    <row r="4" spans="1:9">
      <c r="A4" s="8">
        <v>46179</v>
      </c>
      <c r="B4" s="9">
        <v>1609843</v>
      </c>
      <c r="C4" s="9" t="s">
        <v>13</v>
      </c>
      <c r="D4" s="10">
        <v>20380293</v>
      </c>
      <c r="E4" s="9" t="s">
        <v>15</v>
      </c>
      <c r="F4" s="10">
        <v>7</v>
      </c>
      <c r="G4" s="11">
        <v>8</v>
      </c>
      <c r="H4" s="11">
        <v>56</v>
      </c>
    </row>
    <row r="5" spans="1:9">
      <c r="A5" s="12">
        <v>46179</v>
      </c>
      <c r="B5" s="13">
        <v>1609843</v>
      </c>
      <c r="C5" s="13" t="s">
        <v>13</v>
      </c>
      <c r="D5" s="14">
        <v>20015219</v>
      </c>
      <c r="E5" s="13" t="s">
        <v>24</v>
      </c>
      <c r="F5" s="14">
        <v>1</v>
      </c>
      <c r="G5" s="15">
        <v>13</v>
      </c>
      <c r="H5" s="15">
        <v>13</v>
      </c>
    </row>
    <row r="6" spans="1:9">
      <c r="A6" s="12">
        <v>46179</v>
      </c>
      <c r="B6" s="13">
        <v>1609843</v>
      </c>
      <c r="C6" s="13" t="s">
        <v>13</v>
      </c>
      <c r="D6" s="14">
        <v>20300268</v>
      </c>
      <c r="E6" s="13" t="s">
        <v>16</v>
      </c>
      <c r="F6" s="14">
        <v>2</v>
      </c>
      <c r="G6" s="15">
        <v>16</v>
      </c>
      <c r="H6" s="15">
        <v>32</v>
      </c>
    </row>
    <row r="7" spans="1:9">
      <c r="A7" s="12">
        <v>46179</v>
      </c>
      <c r="B7" s="13">
        <v>1609843</v>
      </c>
      <c r="C7" s="13" t="s">
        <v>13</v>
      </c>
      <c r="D7" s="14">
        <v>20382190</v>
      </c>
      <c r="E7" s="13" t="s">
        <v>18</v>
      </c>
      <c r="F7" s="14">
        <v>3</v>
      </c>
      <c r="G7" s="15">
        <v>8</v>
      </c>
      <c r="H7" s="15">
        <v>24</v>
      </c>
      <c r="I7">
        <f>683*1.25</f>
        <v>853.75</v>
      </c>
    </row>
    <row r="8" spans="1:9">
      <c r="A8" s="12">
        <v>46179</v>
      </c>
      <c r="B8" s="13">
        <v>1609843</v>
      </c>
      <c r="C8" s="13" t="s">
        <v>13</v>
      </c>
      <c r="D8" s="14">
        <v>20399746</v>
      </c>
      <c r="E8" s="13" t="s">
        <v>25</v>
      </c>
      <c r="F8" s="14">
        <v>1</v>
      </c>
      <c r="G8" s="15">
        <v>8</v>
      </c>
      <c r="H8" s="15">
        <v>8</v>
      </c>
    </row>
    <row r="9" spans="1:9">
      <c r="A9" s="16">
        <v>46179</v>
      </c>
      <c r="B9" s="17">
        <v>1609843</v>
      </c>
      <c r="C9" s="17" t="s">
        <v>21</v>
      </c>
      <c r="D9" s="2">
        <v>20015281</v>
      </c>
      <c r="E9" s="17" t="s">
        <v>22</v>
      </c>
      <c r="F9" s="2">
        <v>10</v>
      </c>
      <c r="G9" s="18">
        <v>55</v>
      </c>
      <c r="H9" s="15">
        <v>550</v>
      </c>
    </row>
    <row r="10" spans="1:9">
      <c r="A10" s="19"/>
      <c r="B10" s="20"/>
      <c r="C10" s="20"/>
      <c r="D10" s="20" t="s">
        <v>26</v>
      </c>
      <c r="E10" s="20"/>
      <c r="F10" s="20"/>
      <c r="G10" s="21"/>
      <c r="H10" s="15">
        <v>683</v>
      </c>
    </row>
  </sheetData>
  <mergeCells count="2">
    <mergeCell ref="A1:H1"/>
    <mergeCell ref="A3:E3"/>
  </mergeCells>
  <pageMargins left="0.25" right="0.25" top="0.75" bottom="0.75" header="0.298611111111111" footer="0.298611111111111"/>
  <pageSetup paperSize="9" scale="96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手术室</vt:lpstr>
      <vt:lpstr>加急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街道无人</cp:lastModifiedBy>
  <dcterms:created xsi:type="dcterms:W3CDTF">2026-07-03T01:33:00Z</dcterms:created>
  <dcterms:modified xsi:type="dcterms:W3CDTF">2026-07-09T00:59:33Z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E5B10DFEA7BF4B08998921BA85556F99_12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