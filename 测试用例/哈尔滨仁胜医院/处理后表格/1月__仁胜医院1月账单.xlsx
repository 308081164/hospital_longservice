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60" windowHeight="11655"/>
  </bookViews>
  <sheets>
    <sheet name="手术室" sheetId="1" r:id="rId1"/>
    <sheet name="加急" sheetId="3" r:id="rId2"/>
  </sheets>
  <definedNames>
    <definedName name="_xlnm._FilterDatabase" localSheetId="0" hidden="1">手术室!$A$9:$K$23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<sst xmlns="http://schemas.openxmlformats.org/spreadsheetml/2006/main" count="79" uniqueCount="27">
  <si>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</si>
  <si>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</si>
  <si>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</si>
  <si>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哈尔滨仁胜医院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</si>
  <si>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</si>
  <si>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</si>
  <si>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</si>
  <si>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</si>
  <si>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</si>
  <si>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</si>
  <si>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</si>
  <si>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</si>
  <si>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</si>
  <si>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</si>
  <si>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刀柄-1/Z7520</t>
  </si>
  <si>
    <t>换药碗-1/z2530</t>
  </si>
  <si>
    <t>剪刀-1/Z1026</t>
  </si>
  <si>
    <t>镊子-1/z7526</t>
  </si>
  <si>
    <t>器械包(ZSD)</t>
  </si>
  <si>
    <t>包皮切开包</t>
  </si>
  <si>
    <t>持针器-1/z1029</t>
  </si>
  <si>
    <t>肛门镜-1/z2032</t>
  </si>
  <si>
    <t>蚊式-1/z1026</t>
  </si>
  <si>
    <t>止血钳-1/z1029</t>
  </si>
  <si>
    <t>哈尔滨仁胜医院2026年1月加急灭菌费合计951.25元，加急物流费合计150元，总计金额1101.25元。</t>
  </si>
  <si>
    <t>哈尔滨仁胜医院2026年1月31日加急灭菌费761+761*25%=951.25元，加急物流费150元，合计金额1101.25元。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</si>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</sst>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1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4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 readingOrder="1"/>
    </xf>
    <xf numFmtId="0" fontId="7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8" fillId="2" borderId="3" xfId="0" applyNumberFormat="1" applyFont="1" applyFill="1" applyBorder="1" applyAlignment="1">
      <alignment horizontal="center" vertical="top" wrapText="1" readingOrder="1"/>
    </xf>
    <xf numFmtId="177" fontId="8" fillId="2" borderId="3" xfId="0" applyNumberFormat="1" applyFont="1" applyFill="1" applyBorder="1" applyAlignment="1">
      <alignment horizontal="center"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9" fillId="3" borderId="3" xfId="0" applyNumberFormat="1" applyFont="1" applyFill="1" applyBorder="1" applyAlignment="1">
      <alignment vertical="top" wrapText="1" readingOrder="1"/>
    </xf>
    <xf numFmtId="0" fontId="9" fillId="3" borderId="3" xfId="0" applyNumberFormat="1" applyFont="1" applyFill="1" applyBorder="1" applyAlignment="1">
      <alignment horizontal="center" vertical="top" wrapText="1" readingOrder="1"/>
    </xf>
    <xf numFmtId="177" fontId="9" fillId="3" borderId="3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113665</xdr:colOff>
      <xdr:row>1</xdr:row>
      <xdr:rowOff>0</xdr:rowOff>
    </xdr:from>
    <xdr:to>
      <xdr:col>9</xdr:col>
      <xdr:colOff>623653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0644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F37" sqref="F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9" t="s">
        <v>0</v>
      </c>
    </row>
    <row r="2" ht="23.05" customHeight="1"/>
    <row r="3" ht="2" customHeight="1"/>
    <row r="4" ht="15.2" customHeight="1" spans="2:11">
      <c r="B4" s="10" t="s">
        <v>1</v>
      </c>
    </row>
    <row r="6" ht="2.95" customHeight="1"/>
    <row r="7" ht="3.95" customHeight="1" spans="2:11">
      <c r="B7" s="11" t="s">
        <v>2</v>
      </c>
      <c r="C7" s="11" t="s">
        <v>2</v>
      </c>
      <c r="D7" s="11" t="s">
        <v>2</v>
      </c>
      <c r="E7" s="11" t="s">
        <v>2</v>
      </c>
      <c r="F7" s="11" t="s">
        <v>2</v>
      </c>
      <c r="G7" s="11" t="s">
        <v>2</v>
      </c>
      <c r="H7" s="11" t="s">
        <v>2</v>
      </c>
      <c r="I7" s="11" t="s">
        <v>2</v>
      </c>
      <c r="J7" s="11" t="s">
        <v>2</v>
      </c>
      <c r="K7" s="11" t="s">
        <v>2</v>
      </c>
    </row>
    <row r="8" ht="15" spans="2:11">
      <c r="C8" s="12" t="s">
        <v>2</v>
      </c>
      <c r="D8" s="13" t="s">
        <v>3</v>
      </c>
      <c r="E8" s="14" t="s">
        <v>2</v>
      </c>
      <c r="F8" s="14" t="s">
        <v>2</v>
      </c>
      <c r="G8" s="14" t="s">
        <v>2</v>
      </c>
      <c r="H8" s="14" t="s">
        <v>2</v>
      </c>
      <c r="I8" s="15"/>
      <c r="J8" s="16"/>
      <c r="K8" s="16"/>
    </row>
    <row r="9" spans="2:11">
      <c r="C9" s="12" t="s">
        <v>2</v>
      </c>
      <c r="D9" s="17" t="s">
        <v>4</v>
      </c>
      <c r="E9" s="17" t="s">
        <v>5</v>
      </c>
      <c r="F9" s="17" t="s">
        <v>6</v>
      </c>
      <c r="G9" s="17" t="s">
        <v>7</v>
      </c>
      <c r="H9" s="17" t="s">
        <v>8</v>
      </c>
      <c r="I9" s="17" t="s">
        <v>9</v>
      </c>
      <c r="J9" s="17" t="s">
        <v>10</v>
      </c>
      <c r="K9" s="17" t="s">
        <v>11</v>
      </c>
    </row>
    <row r="10" ht="14.25" spans="2:11">
      <c r="D10" s="18" t="s">
        <v>12</v>
      </c>
      <c r="E10" s="14" t="s">
        <v>2</v>
      </c>
      <c r="F10" s="14" t="s">
        <v>2</v>
      </c>
      <c r="G10" s="14" t="s">
        <v>2</v>
      </c>
      <c r="H10" s="14" t="s">
        <v>2</v>
      </c>
      <c r="I10" s="19">
        <v>66</v>
      </c>
      <c r="J10" s="20"/>
      <c r="K10" s="20">
        <v>1468</v>
      </c>
    </row>
    <row r="11" spans="2:11">
      <c r="D11" s="21">
        <v>46034</v>
      </c>
      <c r="E11" s="22">
        <v>1569816</v>
      </c>
      <c r="F11" s="22" t="s">
        <v>13</v>
      </c>
      <c r="G11" s="17">
        <v>20380293</v>
      </c>
      <c r="H11" s="22" t="s">
        <v>14</v>
      </c>
      <c r="I11" s="17">
        <v>5</v>
      </c>
      <c r="J11" s="23">
        <v>8</v>
      </c>
      <c r="K11" s="23">
        <f>J11*I11</f>
        <v>40</v>
      </c>
    </row>
    <row r="12" spans="2:11">
      <c r="D12" s="21">
        <v>46034</v>
      </c>
      <c r="E12" s="22">
        <v>1569816</v>
      </c>
      <c r="F12" s="22" t="s">
        <v>13</v>
      </c>
      <c r="G12" s="17">
        <v>20300268</v>
      </c>
      <c r="H12" s="22" t="s">
        <v>15</v>
      </c>
      <c r="I12" s="17">
        <v>10</v>
      </c>
      <c r="J12" s="23">
        <v>16</v>
      </c>
      <c r="K12" s="23">
        <f t="shared" ref="K12:K23" si="0">J12*I12</f>
        <v>160</v>
      </c>
    </row>
    <row r="13" spans="2:11">
      <c r="D13" s="21">
        <v>46034</v>
      </c>
      <c r="E13" s="22">
        <v>1569816</v>
      </c>
      <c r="F13" s="22" t="s">
        <v>13</v>
      </c>
      <c r="G13" s="17">
        <v>20382190</v>
      </c>
      <c r="H13" s="22" t="s">
        <v>16</v>
      </c>
      <c r="I13" s="17">
        <v>5</v>
      </c>
      <c r="J13" s="23">
        <v>8</v>
      </c>
      <c r="K13" s="23">
        <f t="shared" si="0"/>
        <v>40</v>
      </c>
    </row>
    <row r="14" spans="2:11">
      <c r="D14" s="21">
        <v>46034</v>
      </c>
      <c r="E14" s="22">
        <v>1569816</v>
      </c>
      <c r="F14" s="22" t="s">
        <v>13</v>
      </c>
      <c r="G14" s="17">
        <v>20387228</v>
      </c>
      <c r="H14" s="22" t="s">
        <v>17</v>
      </c>
      <c r="I14" s="17">
        <v>1</v>
      </c>
      <c r="J14" s="23">
        <v>8</v>
      </c>
      <c r="K14" s="23">
        <f t="shared" si="0"/>
        <v>8</v>
      </c>
    </row>
    <row r="15" spans="2:11">
      <c r="D15" s="21">
        <v>46034</v>
      </c>
      <c r="E15" s="22">
        <v>1569816</v>
      </c>
      <c r="F15" s="22" t="s">
        <v>18</v>
      </c>
      <c r="G15" s="17">
        <v>20015281</v>
      </c>
      <c r="H15" s="22" t="s">
        <v>19</v>
      </c>
      <c r="I15" s="17">
        <v>10</v>
      </c>
      <c r="J15" s="23">
        <v>55</v>
      </c>
      <c r="K15" s="23">
        <f t="shared" si="0"/>
        <v>550</v>
      </c>
    </row>
    <row r="16" spans="2:11">
      <c r="D16" s="21">
        <v>46041</v>
      </c>
      <c r="E16" s="22">
        <v>1571730</v>
      </c>
      <c r="F16" s="22" t="s">
        <v>13</v>
      </c>
      <c r="G16" s="17">
        <v>20353418</v>
      </c>
      <c r="H16" s="22" t="s">
        <v>20</v>
      </c>
      <c r="I16" s="17">
        <v>2</v>
      </c>
      <c r="J16" s="23">
        <v>8</v>
      </c>
      <c r="K16" s="23">
        <f t="shared" si="0"/>
        <v>16</v>
      </c>
    </row>
    <row r="17" spans="4:11">
      <c r="D17" s="21">
        <v>46041</v>
      </c>
      <c r="E17" s="22">
        <v>1571730</v>
      </c>
      <c r="F17" s="22" t="s">
        <v>13</v>
      </c>
      <c r="G17" s="17">
        <v>20380293</v>
      </c>
      <c r="H17" s="22" t="s">
        <v>14</v>
      </c>
      <c r="I17" s="17">
        <v>2</v>
      </c>
      <c r="J17" s="23">
        <v>8</v>
      </c>
      <c r="K17" s="23">
        <f t="shared" si="0"/>
        <v>16</v>
      </c>
    </row>
    <row r="18" spans="4:11">
      <c r="D18" s="21">
        <v>46041</v>
      </c>
      <c r="E18" s="22">
        <v>1571730</v>
      </c>
      <c r="F18" s="22" t="s">
        <v>13</v>
      </c>
      <c r="G18" s="17">
        <v>20015219</v>
      </c>
      <c r="H18" s="22" t="s">
        <v>21</v>
      </c>
      <c r="I18" s="17">
        <v>1</v>
      </c>
      <c r="J18" s="23">
        <v>13</v>
      </c>
      <c r="K18" s="23">
        <f t="shared" si="0"/>
        <v>13</v>
      </c>
    </row>
    <row r="19" spans="4:11">
      <c r="D19" s="21">
        <v>46041</v>
      </c>
      <c r="E19" s="22">
        <v>1571730</v>
      </c>
      <c r="F19" s="22" t="s">
        <v>13</v>
      </c>
      <c r="G19" s="17">
        <v>20300268</v>
      </c>
      <c r="H19" s="22" t="s">
        <v>15</v>
      </c>
      <c r="I19" s="17">
        <v>7</v>
      </c>
      <c r="J19" s="23">
        <v>16</v>
      </c>
      <c r="K19" s="23">
        <f t="shared" si="0"/>
        <v>112</v>
      </c>
    </row>
    <row r="20" spans="4:11">
      <c r="D20" s="21">
        <v>46041</v>
      </c>
      <c r="E20" s="22">
        <v>1571730</v>
      </c>
      <c r="F20" s="22" t="s">
        <v>13</v>
      </c>
      <c r="G20" s="17">
        <v>20382190</v>
      </c>
      <c r="H20" s="22" t="s">
        <v>16</v>
      </c>
      <c r="I20" s="17">
        <v>9</v>
      </c>
      <c r="J20" s="23">
        <v>8</v>
      </c>
      <c r="K20" s="23">
        <f t="shared" si="0"/>
        <v>72</v>
      </c>
    </row>
    <row r="21" spans="4:11">
      <c r="D21" s="21">
        <v>46041</v>
      </c>
      <c r="E21" s="22">
        <v>1571730</v>
      </c>
      <c r="F21" s="22" t="s">
        <v>13</v>
      </c>
      <c r="G21" s="17">
        <v>20370118</v>
      </c>
      <c r="H21" s="22" t="s">
        <v>22</v>
      </c>
      <c r="I21" s="17">
        <v>2</v>
      </c>
      <c r="J21" s="23">
        <v>8</v>
      </c>
      <c r="K21" s="23">
        <f t="shared" si="0"/>
        <v>16</v>
      </c>
    </row>
    <row r="22" spans="4:11">
      <c r="D22" s="21">
        <v>46041</v>
      </c>
      <c r="E22" s="22">
        <v>1571730</v>
      </c>
      <c r="F22" s="22" t="s">
        <v>13</v>
      </c>
      <c r="G22" s="17">
        <v>20339072</v>
      </c>
      <c r="H22" s="22" t="s">
        <v>23</v>
      </c>
      <c r="I22" s="17">
        <v>5</v>
      </c>
      <c r="J22" s="23">
        <v>8</v>
      </c>
      <c r="K22" s="23">
        <f t="shared" si="0"/>
        <v>40</v>
      </c>
    </row>
    <row r="23" spans="4:11">
      <c r="D23" s="21">
        <v>46041</v>
      </c>
      <c r="E23" s="22">
        <v>1571730</v>
      </c>
      <c r="F23" s="22" t="s">
        <v>18</v>
      </c>
      <c r="G23" s="17">
        <v>20015281</v>
      </c>
      <c r="H23" s="22" t="s">
        <v>19</v>
      </c>
      <c r="I23" s="17">
        <v>7</v>
      </c>
      <c r="J23" s="23">
        <v>55</v>
      </c>
      <c r="K23" s="23">
        <f t="shared" si="0"/>
        <v>385</v>
      </c>
    </row>
    <row r="24" ht="0.05" customHeight="1"/>
  </sheetData>
  <autoFilter xmlns:etc="http://www.wps.cn/officeDocument/2017/etCustomData" ref="A9:K23" etc:filterBottomFollowUsedRange="0">
    <extLst/>
  </autoFilter>
  <mergeCells count="6">
    <mergeCell ref="D8:H8"/>
    <mergeCell ref="D10:H10"/>
    <mergeCell ref="C9:C23"/>
    <mergeCell ref="B4:H5"/>
    <mergeCell ref="A8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10:02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view="pageBreakPreview" zoomScaleNormal="100" workbookViewId="0">
      <selection activeCell="H18" sqref="G18:H18"/>
    </sheetView>
  </sheetViews>
  <sheetFormatPr defaultColWidth="9" defaultRowHeight="13.5" outlineLevelCol="7"/>
  <cols>
    <col min="1" max="1" width="10.625" customWidth="1"/>
    <col min="3" max="3" width="14.125" customWidth="1"/>
    <col min="4" max="4" width="11.75" customWidth="1"/>
    <col min="5" max="5" width="25" customWidth="1"/>
    <col min="6" max="6" width="7.75" customWidth="1"/>
    <col min="7" max="7" width="8.875" customWidth="1"/>
    <col min="8" max="8" width="13.125" customWidth="1"/>
  </cols>
  <sheetData>
    <row r="1" customFormat="1" ht="40" customHeight="1" spans="1:8">
      <c r="A1" s="1" t="s">
        <v>24</v>
      </c>
      <c r="B1" s="1"/>
      <c r="C1" s="1"/>
      <c r="D1" s="1"/>
      <c r="E1" s="1"/>
      <c r="F1" s="1"/>
      <c r="G1" s="1"/>
      <c r="H1" s="1"/>
    </row>
    <row r="2" customFormat="1" customHeight="1" spans="1:8">
      <c r="A2" s="2" t="s">
        <v>25</v>
      </c>
      <c r="B2" s="2"/>
      <c r="C2" s="2"/>
      <c r="D2" s="2"/>
      <c r="E2" s="2"/>
      <c r="F2" s="2"/>
      <c r="G2" s="2"/>
      <c r="H2" s="2"/>
    </row>
    <row r="3" customFormat="1" customHeight="1" spans="1:8">
      <c r="A3" s="2"/>
      <c r="B3" s="2"/>
      <c r="C3" s="2"/>
      <c r="D3" s="2"/>
      <c r="E3" s="2"/>
      <c r="F3" s="2"/>
      <c r="G3" s="2"/>
      <c r="H3" s="2"/>
    </row>
    <row r="4" customFormat="1" customHeight="1" spans="1:8">
      <c r="A4" s="2"/>
      <c r="B4" s="2"/>
      <c r="C4" s="2"/>
      <c r="D4" s="2"/>
      <c r="E4" s="2"/>
      <c r="F4" s="2"/>
      <c r="G4" s="2"/>
      <c r="H4" s="2"/>
    </row>
    <row r="5" customFormat="1" customHeight="1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customFormat="1" spans="1:8">
      <c r="A6" s="4">
        <v>46053</v>
      </c>
      <c r="B6" s="5">
        <v>1575297</v>
      </c>
      <c r="C6" s="5" t="s">
        <v>13</v>
      </c>
      <c r="D6" s="6">
        <v>20380293</v>
      </c>
      <c r="E6" s="5" t="s">
        <v>14</v>
      </c>
      <c r="F6" s="6">
        <v>6</v>
      </c>
      <c r="G6" s="7">
        <v>8</v>
      </c>
      <c r="H6" s="7">
        <v>48</v>
      </c>
    </row>
    <row r="7" customFormat="1" spans="1:8">
      <c r="A7" s="4">
        <v>46053</v>
      </c>
      <c r="B7" s="5">
        <v>1575297</v>
      </c>
      <c r="C7" s="5" t="s">
        <v>13</v>
      </c>
      <c r="D7" s="6">
        <v>20015219</v>
      </c>
      <c r="E7" s="5" t="s">
        <v>21</v>
      </c>
      <c r="F7" s="6">
        <v>1</v>
      </c>
      <c r="G7" s="7">
        <v>13</v>
      </c>
      <c r="H7" s="7">
        <v>13</v>
      </c>
    </row>
    <row r="8" customFormat="1" spans="1:8">
      <c r="A8" s="4">
        <v>46053</v>
      </c>
      <c r="B8" s="5">
        <v>1575297</v>
      </c>
      <c r="C8" s="5" t="s">
        <v>13</v>
      </c>
      <c r="D8" s="6">
        <v>20382190</v>
      </c>
      <c r="E8" s="5" t="s">
        <v>16</v>
      </c>
      <c r="F8" s="6">
        <v>4</v>
      </c>
      <c r="G8" s="7">
        <v>8</v>
      </c>
      <c r="H8" s="7">
        <v>32</v>
      </c>
    </row>
    <row r="9" customFormat="1" spans="1:8">
      <c r="A9" s="4">
        <v>46053</v>
      </c>
      <c r="B9" s="5">
        <v>1575297</v>
      </c>
      <c r="C9" s="5" t="s">
        <v>13</v>
      </c>
      <c r="D9" s="6">
        <v>20370118</v>
      </c>
      <c r="E9" s="5" t="s">
        <v>22</v>
      </c>
      <c r="F9" s="6">
        <v>1</v>
      </c>
      <c r="G9" s="7">
        <v>8</v>
      </c>
      <c r="H9" s="7">
        <v>8</v>
      </c>
    </row>
    <row r="10" customFormat="1" spans="1:8">
      <c r="A10" s="4">
        <v>46053</v>
      </c>
      <c r="B10" s="5">
        <v>1575297</v>
      </c>
      <c r="C10" s="5" t="s">
        <v>18</v>
      </c>
      <c r="D10" s="6">
        <v>20015281</v>
      </c>
      <c r="E10" s="5" t="s">
        <v>19</v>
      </c>
      <c r="F10" s="6">
        <v>12</v>
      </c>
      <c r="G10" s="7">
        <v>55</v>
      </c>
      <c r="H10" s="7">
        <v>660</v>
      </c>
    </row>
    <row r="11" customFormat="1" spans="1:8">
      <c r="A11" s="8" t="s">
        <v>26</v>
      </c>
      <c r="B11" s="8"/>
      <c r="C11" s="8"/>
      <c r="D11" s="8"/>
      <c r="E11" s="8"/>
      <c r="F11" s="8"/>
      <c r="G11" s="8"/>
      <c r="H11" s="7">
        <f>SUM(H6:H10)</f>
        <v>761</v>
      </c>
    </row>
  </sheetData>
  <mergeCells count="3">
    <mergeCell ref="A1:H1"/>
    <mergeCell ref="A11:G11"/>
    <mergeCell ref="A2:H4"/>
  </mergeCells>
  <pageMargins left="0.25" right="0.25" top="0.75" bottom="0.75" header="0.298611111111111" footer="0.298611111111111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2026-02-03T02:03:00Z</dcterms:created>
  <dcterms:modified xsi:type="dcterms:W3CDTF">2026-02-06T02:15:48Z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AEDB34689ABC4C7B92A281D429B210C2_13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