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加急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<sst xmlns="http://schemas.openxmlformats.org/spreadsheetml/2006/main" count="59" uniqueCount="27">
  <si>
    <t>哈尔滨仁胜医院2026年5月加急灭菌费合计2718.13元，加急物流费合计300元，总计金额3018.13元。</t>
  </si>
  <si>
    <t>哈尔滨仁胜医院2026年5月2日加急灭菌费1008.5+1008.5*25%=1260.63元，加急物流费150元，合计金额1410.63元。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</si>
  <si>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</si>
  <si>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</si>
  <si>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</si>
  <si>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</si>
  <si>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</si>
  <si>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</si>
  <si>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</si>
  <si>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</si>
  <si>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额外包(纸塑袋)</t>
  </si>
  <si>
    <t>持针器-1/z1029</t>
  </si>
  <si>
    <t>刀柄-1/Z7520</t>
  </si>
  <si>
    <t>换药碗-1/z2530</t>
  </si>
  <si>
    <t>剪刀-1/Z1026</t>
  </si>
  <si>
    <t>拉钩-2件/z1026</t>
  </si>
  <si>
    <t>输卵管钳-2/z1526</t>
  </si>
  <si>
    <t>小剪刀-1/z7520</t>
  </si>
  <si>
    <t>组织钳-2/z1526</t>
  </si>
  <si>
    <t>器械包(ZSD)</t>
  </si>
  <si>
    <t>包皮切开包</t>
  </si>
  <si>
    <t>合计</t>
  </si>
  <si>
    <t>哈尔滨仁胜医院2026年5月24日加急灭菌费1166+1166*25%=1457.5元，加急物流费150元，合计金额1607.5元。</t>
  </si>
  <si>
    <t>肛门镜-1/z2032</t>
  </si>
  <si>
    <t>肌钩-1/Z7526</t>
  </si>
  <si>
    <t>蚊式-1/z1026</t>
  </si>
  <si>
    <t>组织钳-1/Z1026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</si>
</sst>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yyyy/m/d"/>
    <numFmt numFmtId="177" formatCode="[$-10804]0.00;\(0.00\)"/>
  </numFmts>
  <fonts count="27">
    <font>
      <sz val="11"/>
      <name val="宋体"/>
      <charset val="134"/>
      <scheme val="minor"/>
    </font>
    <font>
      <b/>
      <sz val="12"/>
      <name val="宋体"/>
      <charset val="134"/>
      <scheme val="major"/>
    </font>
    <font>
      <b/>
      <sz val="11"/>
      <name val="宋体"/>
      <charset val="134"/>
      <scheme val="minor"/>
    </font>
    <font>
      <sz val="10"/>
      <name val="宋体"/>
      <charset val="134"/>
    </font>
    <font>
      <sz val="10"/>
      <color rgb="FF000000"/>
      <name val="Droid Sans Fallback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/>
  </cellStyleXfs>
  <cellXfs count="13">
    <xf numFmtId="0" fontId="0" fillId="0" borderId="0" xfId="0" applyFont="1" applyFill="1" applyBorder="1" applyAlignment="1"/>
    <xf numFmtId="0" fontId="1" fillId="0" borderId="0" xfId="0" applyNumberFormat="1" applyFont="1" applyFill="1" applyAlignment="1">
      <alignment horizontal="center" vertical="center" readingOrder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readingOrder="1"/>
    </xf>
    <xf numFmtId="176" fontId="4" fillId="0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horizontal="center" vertical="top" wrapText="1" readingOrder="1"/>
    </xf>
    <xf numFmtId="177" fontId="4" fillId="0" borderId="1" xfId="0" applyNumberFormat="1" applyFont="1" applyFill="1" applyBorder="1" applyAlignment="1">
      <alignment horizontal="center" vertical="top" wrapText="1" readingOrder="1"/>
    </xf>
    <xf numFmtId="176" fontId="5" fillId="0" borderId="2" xfId="0" applyNumberFormat="1" applyFont="1" applyFill="1" applyBorder="1" applyAlignment="1">
      <alignment horizontal="center" vertical="top" readingOrder="1"/>
    </xf>
    <xf numFmtId="176" fontId="4" fillId="0" borderId="3" xfId="0" applyNumberFormat="1" applyFont="1" applyFill="1" applyBorder="1" applyAlignment="1">
      <alignment horizontal="center" vertical="top" readingOrder="1"/>
    </xf>
    <xf numFmtId="176" fontId="4" fillId="0" borderId="4" xfId="0" applyNumberFormat="1" applyFont="1" applyFill="1" applyBorder="1" applyAlignment="1">
      <alignment horizontal="center" vertical="top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tabSelected="1" view="pageBreakPreview" zoomScaleNormal="100" workbookViewId="0">
      <selection activeCell="I11" sqref="I11"/>
    </sheetView>
  </sheetViews>
  <sheetFormatPr defaultColWidth="9" defaultRowHeight="13.5"/>
  <cols>
    <col min="1" max="1" width="10" customWidth="1"/>
    <col min="3" max="3" width="15.75" customWidth="1"/>
    <col min="4" max="4" width="14.25" customWidth="1"/>
    <col min="5" max="5" width="27.75" customWidth="1"/>
    <col min="6" max="6" width="7.75" customWidth="1"/>
    <col min="7" max="7" width="8.875" customWidth="1"/>
    <col min="8" max="8" width="11.625" customWidth="1"/>
    <col min="9" max="14" width="9.375"/>
  </cols>
  <sheetData>
    <row r="1" customFormat="1" ht="40" customHeight="1" spans="1:9">
      <c r="A1" s="1" t="s">
        <v>0</v>
      </c>
      <c r="B1" s="1"/>
      <c r="C1" s="1"/>
      <c r="D1" s="1"/>
      <c r="E1" s="1"/>
      <c r="F1" s="1"/>
      <c r="G1" s="1"/>
      <c r="H1" s="1"/>
    </row>
    <row r="2" customFormat="1" customHeight="1" spans="1:9">
      <c r="A2" s="2" t="s">
        <v>1</v>
      </c>
      <c r="B2" s="2"/>
      <c r="C2" s="2"/>
      <c r="D2" s="2"/>
      <c r="E2" s="2"/>
      <c r="F2" s="2"/>
      <c r="G2" s="3"/>
      <c r="H2" s="2"/>
    </row>
    <row r="3" customFormat="1" customHeight="1" spans="1:9">
      <c r="A3" s="2"/>
      <c r="B3" s="2"/>
      <c r="C3" s="2"/>
      <c r="D3" s="2"/>
      <c r="E3" s="2"/>
      <c r="F3" s="2"/>
      <c r="G3" s="3"/>
      <c r="H3" s="2"/>
    </row>
    <row r="4" customFormat="1" customHeight="1" spans="1:9">
      <c r="A4" s="2"/>
      <c r="B4" s="2"/>
      <c r="C4" s="2"/>
      <c r="D4" s="2"/>
      <c r="E4" s="2"/>
      <c r="F4" s="2"/>
      <c r="G4" s="3"/>
      <c r="H4" s="2"/>
    </row>
    <row r="5" customFormat="1" customHeight="1" spans="1:9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5" t="s">
        <v>8</v>
      </c>
      <c r="H5" s="4" t="s">
        <v>9</v>
      </c>
    </row>
    <row r="6" customFormat="1" spans="1:9">
      <c r="A6" s="6">
        <v>46144</v>
      </c>
      <c r="B6" s="7">
        <v>1600072</v>
      </c>
      <c r="C6" s="7" t="s">
        <v>10</v>
      </c>
      <c r="D6" s="8">
        <v>20353418</v>
      </c>
      <c r="E6" s="7" t="s">
        <v>11</v>
      </c>
      <c r="F6" s="8">
        <v>1</v>
      </c>
      <c r="G6" s="9">
        <v>8</v>
      </c>
      <c r="H6" s="9">
        <v>8</v>
      </c>
    </row>
    <row r="7" customFormat="1" spans="1:9">
      <c r="A7" s="6">
        <v>46144</v>
      </c>
      <c r="B7" s="7">
        <v>1600072</v>
      </c>
      <c r="C7" s="7" t="s">
        <v>10</v>
      </c>
      <c r="D7" s="8">
        <v>20380293</v>
      </c>
      <c r="E7" s="7" t="s">
        <v>12</v>
      </c>
      <c r="F7" s="8">
        <v>8</v>
      </c>
      <c r="G7" s="9">
        <v>8</v>
      </c>
      <c r="H7" s="9">
        <v>64</v>
      </c>
    </row>
    <row r="8" customFormat="1" spans="1:9">
      <c r="A8" s="6">
        <v>46144</v>
      </c>
      <c r="B8" s="7">
        <v>1600072</v>
      </c>
      <c r="C8" s="7" t="s">
        <v>10</v>
      </c>
      <c r="D8" s="8">
        <v>20300268</v>
      </c>
      <c r="E8" s="7" t="s">
        <v>13</v>
      </c>
      <c r="F8" s="8">
        <v>3</v>
      </c>
      <c r="G8" s="9">
        <v>16</v>
      </c>
      <c r="H8" s="9">
        <v>48</v>
      </c>
    </row>
    <row r="9" customFormat="1" spans="1:9">
      <c r="A9" s="6">
        <v>46144</v>
      </c>
      <c r="B9" s="7">
        <v>1600072</v>
      </c>
      <c r="C9" s="7" t="s">
        <v>10</v>
      </c>
      <c r="D9" s="8">
        <v>20382190</v>
      </c>
      <c r="E9" s="7" t="s">
        <v>14</v>
      </c>
      <c r="F9" s="8">
        <v>1</v>
      </c>
      <c r="G9" s="9">
        <v>8</v>
      </c>
      <c r="H9" s="9">
        <v>8</v>
      </c>
      <c r="I9">
        <f>1008.5+1166</f>
        <v>2174.5</v>
      </c>
    </row>
    <row r="10" customFormat="1" spans="1:9">
      <c r="A10" s="6">
        <v>46144</v>
      </c>
      <c r="B10" s="7">
        <v>1600072</v>
      </c>
      <c r="C10" s="7" t="s">
        <v>10</v>
      </c>
      <c r="D10" s="8">
        <v>20357054</v>
      </c>
      <c r="E10" s="7" t="s">
        <v>15</v>
      </c>
      <c r="F10" s="8">
        <v>1</v>
      </c>
      <c r="G10" s="9">
        <v>13.5</v>
      </c>
      <c r="H10" s="9">
        <v>13.5</v>
      </c>
      <c r="I10">
        <f>I9*1.25</f>
        <v>2718.125</v>
      </c>
    </row>
    <row r="11" customFormat="1" spans="1:9">
      <c r="A11" s="6">
        <v>46144</v>
      </c>
      <c r="B11" s="7">
        <v>1600072</v>
      </c>
      <c r="C11" s="7" t="s">
        <v>10</v>
      </c>
      <c r="D11" s="8">
        <v>20423852</v>
      </c>
      <c r="E11" s="7" t="s">
        <v>16</v>
      </c>
      <c r="F11" s="8">
        <v>1</v>
      </c>
      <c r="G11" s="9">
        <v>16.5</v>
      </c>
      <c r="H11" s="9">
        <v>16.5</v>
      </c>
    </row>
    <row r="12" customFormat="1" spans="1:9">
      <c r="A12" s="6">
        <v>46144</v>
      </c>
      <c r="B12" s="7">
        <v>1600072</v>
      </c>
      <c r="C12" s="7" t="s">
        <v>10</v>
      </c>
      <c r="D12" s="8">
        <v>20323553</v>
      </c>
      <c r="E12" s="7" t="s">
        <v>17</v>
      </c>
      <c r="F12" s="8">
        <v>8</v>
      </c>
      <c r="G12" s="9">
        <v>8</v>
      </c>
      <c r="H12" s="9">
        <v>64</v>
      </c>
    </row>
    <row r="13" customFormat="1" spans="1:9">
      <c r="A13" s="6">
        <v>46144</v>
      </c>
      <c r="B13" s="7">
        <v>1600072</v>
      </c>
      <c r="C13" s="7" t="s">
        <v>10</v>
      </c>
      <c r="D13" s="8">
        <v>20423853</v>
      </c>
      <c r="E13" s="7" t="s">
        <v>18</v>
      </c>
      <c r="F13" s="8">
        <v>1</v>
      </c>
      <c r="G13" s="9">
        <v>16.5</v>
      </c>
      <c r="H13" s="9">
        <v>16.5</v>
      </c>
    </row>
    <row r="14" customFormat="1" spans="1:9">
      <c r="A14" s="6">
        <v>46144</v>
      </c>
      <c r="B14" s="7">
        <v>1600072</v>
      </c>
      <c r="C14" s="7" t="s">
        <v>19</v>
      </c>
      <c r="D14" s="8">
        <v>20015281</v>
      </c>
      <c r="E14" s="7" t="s">
        <v>20</v>
      </c>
      <c r="F14" s="8">
        <v>14</v>
      </c>
      <c r="G14" s="9">
        <v>55</v>
      </c>
      <c r="H14" s="9">
        <v>770</v>
      </c>
    </row>
    <row r="15" customFormat="1" spans="1:9">
      <c r="A15" s="10" t="s">
        <v>21</v>
      </c>
      <c r="B15" s="11"/>
      <c r="C15" s="11"/>
      <c r="D15" s="11"/>
      <c r="E15" s="11"/>
      <c r="F15" s="11"/>
      <c r="G15" s="12"/>
      <c r="H15" s="9">
        <f>SUM(H6:H14)</f>
        <v>1008.5</v>
      </c>
    </row>
    <row r="18" customFormat="1" customHeight="1" spans="1:8">
      <c r="A18" s="2" t="s">
        <v>22</v>
      </c>
      <c r="B18" s="2"/>
      <c r="C18" s="2"/>
      <c r="D18" s="2"/>
      <c r="E18" s="2"/>
      <c r="F18" s="2"/>
      <c r="G18" s="3"/>
      <c r="H18" s="2"/>
    </row>
    <row r="19" customFormat="1" customHeight="1" spans="1:8">
      <c r="A19" s="2"/>
      <c r="B19" s="2"/>
      <c r="C19" s="2"/>
      <c r="D19" s="2"/>
      <c r="E19" s="2"/>
      <c r="F19" s="2"/>
      <c r="G19" s="3"/>
      <c r="H19" s="2"/>
    </row>
    <row r="20" customFormat="1" customHeight="1" spans="1:8">
      <c r="A20" s="2"/>
      <c r="B20" s="2"/>
      <c r="C20" s="2"/>
      <c r="D20" s="2"/>
      <c r="E20" s="2"/>
      <c r="F20" s="2"/>
      <c r="G20" s="3"/>
      <c r="H20" s="2"/>
    </row>
    <row r="21" customFormat="1" customHeight="1" spans="1:8">
      <c r="A21" s="4" t="s">
        <v>2</v>
      </c>
      <c r="B21" s="4" t="s">
        <v>3</v>
      </c>
      <c r="C21" s="4" t="s">
        <v>4</v>
      </c>
      <c r="D21" s="4" t="s">
        <v>5</v>
      </c>
      <c r="E21" s="4" t="s">
        <v>6</v>
      </c>
      <c r="F21" s="4" t="s">
        <v>7</v>
      </c>
      <c r="G21" s="5" t="s">
        <v>8</v>
      </c>
      <c r="H21" s="4" t="s">
        <v>9</v>
      </c>
    </row>
    <row r="22" customFormat="1" spans="1:8">
      <c r="A22" s="6">
        <v>46166</v>
      </c>
      <c r="B22" s="7">
        <v>1605969</v>
      </c>
      <c r="C22" s="7" t="s">
        <v>10</v>
      </c>
      <c r="D22" s="8">
        <v>20353418</v>
      </c>
      <c r="E22" s="7" t="s">
        <v>11</v>
      </c>
      <c r="F22" s="8">
        <v>1</v>
      </c>
      <c r="G22" s="9">
        <v>8</v>
      </c>
      <c r="H22" s="9">
        <v>8</v>
      </c>
    </row>
    <row r="23" customFormat="1" spans="1:8">
      <c r="A23" s="6">
        <v>46166</v>
      </c>
      <c r="B23" s="7">
        <v>1605969</v>
      </c>
      <c r="C23" s="7" t="s">
        <v>10</v>
      </c>
      <c r="D23" s="8">
        <v>20380293</v>
      </c>
      <c r="E23" s="7" t="s">
        <v>12</v>
      </c>
      <c r="F23" s="8">
        <v>8</v>
      </c>
      <c r="G23" s="9">
        <v>8</v>
      </c>
      <c r="H23" s="9">
        <v>64</v>
      </c>
    </row>
    <row r="24" customFormat="1" spans="1:8">
      <c r="A24" s="6">
        <v>46166</v>
      </c>
      <c r="B24" s="7">
        <v>1605969</v>
      </c>
      <c r="C24" s="7" t="s">
        <v>10</v>
      </c>
      <c r="D24" s="8">
        <v>20015219</v>
      </c>
      <c r="E24" s="7" t="s">
        <v>23</v>
      </c>
      <c r="F24" s="8">
        <v>1</v>
      </c>
      <c r="G24" s="9">
        <v>13</v>
      </c>
      <c r="H24" s="9">
        <v>13</v>
      </c>
    </row>
    <row r="25" customFormat="1" spans="1:8">
      <c r="A25" s="6">
        <v>46166</v>
      </c>
      <c r="B25" s="7">
        <v>1605969</v>
      </c>
      <c r="C25" s="7" t="s">
        <v>10</v>
      </c>
      <c r="D25" s="8">
        <v>20300268</v>
      </c>
      <c r="E25" s="7" t="s">
        <v>13</v>
      </c>
      <c r="F25" s="8">
        <v>5</v>
      </c>
      <c r="G25" s="9">
        <v>16</v>
      </c>
      <c r="H25" s="9">
        <v>80</v>
      </c>
    </row>
    <row r="26" customFormat="1" spans="1:8">
      <c r="A26" s="6">
        <v>46166</v>
      </c>
      <c r="B26" s="7">
        <v>1605969</v>
      </c>
      <c r="C26" s="7" t="s">
        <v>10</v>
      </c>
      <c r="D26" s="8">
        <v>20403240</v>
      </c>
      <c r="E26" s="7" t="s">
        <v>24</v>
      </c>
      <c r="F26" s="8">
        <v>2</v>
      </c>
      <c r="G26" s="9">
        <v>8</v>
      </c>
      <c r="H26" s="9">
        <v>16</v>
      </c>
    </row>
    <row r="27" customFormat="1" spans="1:8">
      <c r="A27" s="6">
        <v>46166</v>
      </c>
      <c r="B27" s="7">
        <v>1605969</v>
      </c>
      <c r="C27" s="7" t="s">
        <v>10</v>
      </c>
      <c r="D27" s="8">
        <v>20382190</v>
      </c>
      <c r="E27" s="7" t="s">
        <v>14</v>
      </c>
      <c r="F27" s="8">
        <v>2</v>
      </c>
      <c r="G27" s="9">
        <v>8</v>
      </c>
      <c r="H27" s="9">
        <v>16</v>
      </c>
    </row>
    <row r="28" customFormat="1" spans="1:8">
      <c r="A28" s="6">
        <v>46166</v>
      </c>
      <c r="B28" s="7">
        <v>1605969</v>
      </c>
      <c r="C28" s="7" t="s">
        <v>10</v>
      </c>
      <c r="D28" s="8">
        <v>20370118</v>
      </c>
      <c r="E28" s="7" t="s">
        <v>25</v>
      </c>
      <c r="F28" s="8">
        <v>4</v>
      </c>
      <c r="G28" s="9">
        <v>8</v>
      </c>
      <c r="H28" s="9">
        <v>32</v>
      </c>
    </row>
    <row r="29" customFormat="1" spans="1:8">
      <c r="A29" s="6">
        <v>46166</v>
      </c>
      <c r="B29" s="7">
        <v>1605969</v>
      </c>
      <c r="C29" s="7" t="s">
        <v>10</v>
      </c>
      <c r="D29" s="8">
        <v>20323553</v>
      </c>
      <c r="E29" s="7" t="s">
        <v>17</v>
      </c>
      <c r="F29" s="8">
        <v>12</v>
      </c>
      <c r="G29" s="9">
        <v>8</v>
      </c>
      <c r="H29" s="9">
        <v>96</v>
      </c>
    </row>
    <row r="30" customFormat="1" spans="1:8">
      <c r="A30" s="6">
        <v>46166</v>
      </c>
      <c r="B30" s="7">
        <v>1605969</v>
      </c>
      <c r="C30" s="7" t="s">
        <v>10</v>
      </c>
      <c r="D30" s="8">
        <v>20380295</v>
      </c>
      <c r="E30" s="7" t="s">
        <v>26</v>
      </c>
      <c r="F30" s="8">
        <v>2</v>
      </c>
      <c r="G30" s="9">
        <v>8</v>
      </c>
      <c r="H30" s="9">
        <v>16</v>
      </c>
    </row>
    <row r="31" customFormat="1" spans="1:8">
      <c r="A31" s="6">
        <v>46166</v>
      </c>
      <c r="B31" s="7">
        <v>1605969</v>
      </c>
      <c r="C31" s="7" t="s">
        <v>19</v>
      </c>
      <c r="D31" s="8">
        <v>20015281</v>
      </c>
      <c r="E31" s="7" t="s">
        <v>20</v>
      </c>
      <c r="F31" s="8">
        <v>15</v>
      </c>
      <c r="G31" s="9">
        <v>55</v>
      </c>
      <c r="H31" s="9">
        <v>825</v>
      </c>
    </row>
    <row r="32" customFormat="1" spans="1:8">
      <c r="A32" s="10" t="s">
        <v>21</v>
      </c>
      <c r="B32" s="11"/>
      <c r="C32" s="11"/>
      <c r="D32" s="11"/>
      <c r="E32" s="11"/>
      <c r="F32" s="11"/>
      <c r="G32" s="12"/>
      <c r="H32" s="9">
        <f>SUM(H22:H31)</f>
        <v>1166</v>
      </c>
    </row>
  </sheetData>
  <mergeCells count="5">
    <mergeCell ref="A1:H1"/>
    <mergeCell ref="A15:G15"/>
    <mergeCell ref="A32:G32"/>
    <mergeCell ref="A2:H4"/>
    <mergeCell ref="A18:H20"/>
  </mergeCells>
  <pageMargins left="0.25" right="0.25" top="0.75" bottom="0.75" header="0.298611111111111" footer="0.298611111111111"/>
  <pageSetup paperSize="9" scale="96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加急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2026-06-02T04:22:00Z</dcterms:created>
  <dcterms:modified xsi:type="dcterms:W3CDTF">2026-06-08T06:12:43Z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C2F875E4DEAA4F3DA8B072B23FA54C67_13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