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浏览器下载\"/>
    </mc:Choice>
  </mc:AlternateContent>
  <bookViews>
    <workbookView windowWidth="27945" windowHeight="12375"/>
  </bookViews>
  <sheets>
    <sheet name="DeliveryNoteSummaryWithPackingM" sheetId="1" r:id="rId1"/>
  </sheets>
  <definedNames>
    <definedName name="_xlnm._FilterDatabase" localSheetId="0" hidden="1">DeliveryNoteSummaryWithPackingM!$V$1:$V$55</definedName>
    <definedName name="_xlnm.Print_Titles" localSheetId="0">DeliveryNoteSummaryWithPackingM!$1:$6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<sst xmlns="http://schemas.openxmlformats.org/spreadsheetml/2006/main" count="538" uniqueCount="60">
  <si>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</si>
  <si>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2026/3/1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</si>
  <si>
    <t/>
  </si>
  <si>
    <r>
      <rPr>
        <b/>
        <sz val="10"/>
        <color rgb="FF000000"/>
        <rFont val="Droid Sans Fallback"/>
        <charset val="134"/>
      </rPr>
      <t>包数合计:</t>
    </r>
    <r>
      <rPr>
        <b/>
        <sz val="10"/>
        <color rgb="FF000000"/>
        <rFont val="Droid Sans Fallback"/>
        <charset val="134"/>
      </rPr>
      <t>116</t>
    </r>
  </si>
  <si>
    <r>
      <rPr>
        <b/>
        <sz val="10"/>
        <color rgb="FF000000"/>
        <rFont val="Droid Sans Fallback"/>
        <charset val="134"/>
      </rPr>
      <t>处理费用合计:</t>
    </r>
    <r>
      <rPr>
        <b/>
        <sz val="10"/>
        <color rgb="FF000000"/>
        <rFont val="Droid Sans Fallback"/>
        <charset val="134"/>
      </rPr>
      <t>10898.000</t>
    </r>
  </si>
  <si>
    <t>发货日期</t>
  </si>
  <si>
    <t>发货单号</t>
  </si>
  <si>
    <t>基本类型</t>
  </si>
  <si>
    <t>类型</t>
  </si>
  <si>
    <t>包类别号</t>
  </si>
  <si>
    <t>包名</t>
  </si>
  <si>
    <t>包装材料</t>
  </si>
  <si>
    <t>包数</t>
  </si>
  <si>
    <r>
      <rPr>
        <sz val="10"/>
        <color rgb="FF000000"/>
        <rFont val="Droid Sans Fallback"/>
        <charset val="134"/>
      </rPr>
      <t xml:space="preserve">器械
</t>
    </r>
    <r>
      <rPr>
        <sz val="10"/>
        <color rgb="FF000000"/>
        <rFont val="Droid Sans Fallback"/>
        <charset val="134"/>
      </rPr>
      <t>数量</t>
    </r>
  </si>
  <si>
    <t>单价</t>
  </si>
  <si>
    <t>总价</t>
  </si>
  <si>
    <t>黑龙江九洲妇科医院</t>
  </si>
  <si>
    <t>手术室</t>
  </si>
  <si>
    <t>敷料包</t>
  </si>
  <si>
    <t>敷料包(无纺布包)</t>
  </si>
  <si>
    <t>刷手服/W12050</t>
  </si>
  <si>
    <t xml:space="preserve">无纺布-120×120-50g </t>
  </si>
  <si>
    <t>额外包</t>
  </si>
  <si>
    <t>额外包(无纺布)</t>
  </si>
  <si>
    <t>开腹包54件（筐1）</t>
  </si>
  <si>
    <t>利普包-7/w9050</t>
  </si>
  <si>
    <t xml:space="preserve">无纺布-90×90-50g </t>
  </si>
  <si>
    <t>盆1碗2盘2杯1/W9050</t>
  </si>
  <si>
    <t>人流包-22件/w9050</t>
  </si>
  <si>
    <t>整形-28件/w9050</t>
  </si>
  <si>
    <t>额外包(纸塑袋)</t>
  </si>
  <si>
    <t>换药碗-2/z2530</t>
  </si>
  <si>
    <t xml:space="preserve">高温纸塑袋250*300 </t>
  </si>
  <si>
    <t>整形包-26件/w9050</t>
  </si>
  <si>
    <t>缝合+拉钩-12件/W605050</t>
  </si>
  <si>
    <t xml:space="preserve">无纺布-60×60-50g </t>
  </si>
  <si>
    <t>器械包</t>
  </si>
  <si>
    <t>阴式包-32</t>
  </si>
  <si>
    <t xml:space="preserve">无纺布-150×150-50g </t>
  </si>
  <si>
    <t>单包装包</t>
  </si>
  <si>
    <t>棉球缸/Z2530</t>
  </si>
  <si>
    <t>开口器舌钳压舌板（3件）/z1526</t>
  </si>
  <si>
    <t xml:space="preserve">高温纸塑袋150*260 </t>
  </si>
  <si>
    <t>压舌板-1/z7526</t>
  </si>
  <si>
    <t xml:space="preserve">高温纸塑袋75*260 </t>
  </si>
  <si>
    <t>手术衣/W12050</t>
  </si>
  <si>
    <t>器械包(ZSD)</t>
  </si>
  <si>
    <t>利普包</t>
  </si>
  <si>
    <t xml:space="preserve">无纺布-80×80-50g </t>
  </si>
  <si>
    <t>杯1碗1盘1/w6050</t>
  </si>
  <si>
    <t>持物钳罐-2/w6050</t>
  </si>
  <si>
    <t>方盘-1（带架）/w9050</t>
  </si>
  <si>
    <t>方盘-1/w9050</t>
  </si>
  <si>
    <t>腹腔镜-44件/W12050</t>
  </si>
  <si>
    <t>开腹包33件/W12050</t>
  </si>
  <si>
    <t>碗2盘2杯1/W9050</t>
  </si>
  <si>
    <t>敷料包(纸塑袋)</t>
  </si>
  <si>
    <t>毛巾手刷/Z2530</t>
  </si>
  <si>
    <t xml:space="preserve">高温纸塑袋250*300* </t>
  </si>
  <si>
    <t>棉球/Z1526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</si>
</sst>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8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b/>
      <sz val="10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7" fillId="0" borderId="0"/>
  </cellStyleXfs>
  <cellXfs count="19">
    <xf numFmtId="0" fontId="0" fillId="0" borderId="0" xfId="49" applyFont="1" applyFill="1" applyBorder="1"/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vertical="top" wrapText="1" readingOrder="1"/>
    </xf>
    <xf numFmtId="0" fontId="0" fillId="0" borderId="1" xfId="49" applyNumberFormat="1" applyFont="1" applyFill="1" applyBorder="1" applyAlignment="1">
      <alignment vertical="top" wrapText="1"/>
    </xf>
    <xf numFmtId="0" fontId="3" fillId="0" borderId="0" xfId="49" applyNumberFormat="1" applyFont="1" applyFill="1" applyBorder="1" applyAlignment="1">
      <alignment horizontal="righ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0" fontId="0" fillId="0" borderId="4" xfId="49" applyNumberFormat="1" applyFont="1" applyFill="1" applyBorder="1" applyAlignment="1">
      <alignment vertical="top" wrapText="1"/>
    </xf>
    <xf numFmtId="0" fontId="5" fillId="2" borderId="2" xfId="49" applyNumberFormat="1" applyFont="1" applyFill="1" applyBorder="1" applyAlignment="1">
      <alignment vertical="top" wrapText="1" readingOrder="1"/>
    </xf>
    <xf numFmtId="0" fontId="5" fillId="2" borderId="2" xfId="49" applyNumberFormat="1" applyFont="1" applyFill="1" applyBorder="1" applyAlignment="1">
      <alignment horizontal="center" vertical="top" wrapText="1" readingOrder="1"/>
    </xf>
    <xf numFmtId="176" fontId="5" fillId="2" borderId="2" xfId="49" applyNumberFormat="1" applyFont="1" applyFill="1" applyBorder="1" applyAlignment="1">
      <alignment horizontal="center" vertical="top" wrapText="1" readingOrder="1"/>
    </xf>
    <xf numFmtId="0" fontId="6" fillId="3" borderId="2" xfId="49" applyNumberFormat="1" applyFont="1" applyFill="1" applyBorder="1" applyAlignment="1">
      <alignment vertical="top" wrapText="1" readingOrder="1"/>
    </xf>
    <xf numFmtId="0" fontId="6" fillId="3" borderId="2" xfId="49" applyNumberFormat="1" applyFont="1" applyFill="1" applyBorder="1" applyAlignment="1">
      <alignment horizontal="center" vertical="top" wrapText="1" readingOrder="1"/>
    </xf>
    <xf numFmtId="176" fontId="6" fillId="3" borderId="2" xfId="49" applyNumberFormat="1" applyFont="1" applyFill="1" applyBorder="1" applyAlignment="1">
      <alignment horizontal="center" vertical="top" wrapText="1" readingOrder="1"/>
    </xf>
    <xf numFmtId="177" fontId="4" fillId="0" borderId="2" xfId="49" applyNumberFormat="1" applyFont="1" applyFill="1" applyBorder="1" applyAlignment="1">
      <alignment vertical="top" wrapText="1" readingOrder="1"/>
    </xf>
    <xf numFmtId="0" fontId="4" fillId="0" borderId="2" xfId="49" applyNumberFormat="1" applyFont="1" applyFill="1" applyBorder="1" applyAlignment="1">
      <alignment vertical="top" wrapText="1" readingOrder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6799AF"/>
      <rgbColor rgb="00FFFFFF"/>
      <rgbColor rgb="00BCC3C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00FF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16</xdr:col>
      <xdr:colOff>0</xdr:colOff>
      <xdr:row>1</xdr:row>
      <xdr:rowOff>0</xdr:rowOff>
    </xdr:from>
    <xdr:to>
      <xdr:col>16</xdr:col>
      <xdr:colOff>509960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853295" y="1714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5"/>
  <sheetViews>
    <sheetView showGridLines="0" tabSelected="1" workbookViewId="0">
      <pane ySplit="6" topLeftCell="A7" activePane="bottomLeft" state="frozen"/>
      <selection/>
      <selection pane="bottomLeft" activeCell="Y33" sqref="Y33"/>
    </sheetView>
  </sheetViews>
  <sheetFormatPr defaultColWidth="9" defaultRowHeight="13.5"/>
  <cols>
    <col min="1" max="1" width="0.225" customWidth="1"/>
    <col min="2" max="2" width="9.075" customWidth="1"/>
    <col min="3" max="3" width="8.93333333333333" customWidth="1"/>
    <col min="4" max="4" width="13.7083333333333" customWidth="1"/>
    <col min="5" max="5" width="14.95" customWidth="1"/>
    <col min="6" max="6" width="9.36666666666667" customWidth="1"/>
    <col min="7" max="7" width="11.9583333333333" customWidth="1"/>
    <col min="8" max="8" width="1.49166666666667" customWidth="1"/>
    <col min="9" max="9" width="14.5" customWidth="1"/>
    <col min="10" max="10" width="18.0833333333333" customWidth="1"/>
    <col min="11" max="11" width="0.841666666666667" customWidth="1"/>
    <col min="12" max="12" width="0.775" customWidth="1"/>
    <col min="13" max="13" width="4.86666666666667" customWidth="1"/>
    <col min="14" max="14" width="6.05" customWidth="1"/>
    <col min="15" max="15" width="10.6333333333333" customWidth="1"/>
    <col min="16" max="16" width="3.85" customWidth="1"/>
    <col min="17" max="17" width="8.00833333333333" customWidth="1"/>
    <col min="18" max="18" width="0.2" customWidth="1"/>
    <col min="19" max="19" width="0.275" customWidth="1"/>
    <col min="20" max="20" width="0.025" customWidth="1"/>
    <col min="21" max="21" width="0.133333333333333" customWidth="1"/>
  </cols>
  <sheetData>
    <row r="1" spans="1:22">
      <c r="B1" s="1" t="s">
        <v>0</v>
      </c>
    </row>
    <row r="2" ht="23.05" customHeight="1"/>
    <row r="3" ht="2" customHeight="1"/>
    <row r="4" ht="15.2" customHeight="1" spans="1:22">
      <c r="B4" s="2" t="s">
        <v>1</v>
      </c>
    </row>
    <row r="6" ht="2.05" customHeight="1"/>
    <row r="7" ht="4" customHeight="1" spans="1:22">
      <c r="A7" s="3" t="s">
        <v>2</v>
      </c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  <c r="L7" s="3" t="s">
        <v>2</v>
      </c>
      <c r="M7" s="3" t="s">
        <v>2</v>
      </c>
      <c r="N7" s="3" t="s">
        <v>2</v>
      </c>
      <c r="O7" s="3" t="s">
        <v>2</v>
      </c>
      <c r="P7" s="3" t="s">
        <v>2</v>
      </c>
      <c r="Q7" s="3" t="s">
        <v>2</v>
      </c>
      <c r="R7" s="3" t="s">
        <v>2</v>
      </c>
      <c r="S7" s="3" t="s">
        <v>2</v>
      </c>
    </row>
    <row r="8" spans="1:22">
      <c r="I8" s="4" t="s">
        <v>3</v>
      </c>
    </row>
    <row r="9" spans="1:22">
      <c r="M9" s="4" t="s">
        <v>4</v>
      </c>
    </row>
    <row r="11" ht="3.6" customHeight="1"/>
    <row r="12" ht="24.75" spans="1:22">
      <c r="A12" s="5" t="s">
        <v>5</v>
      </c>
      <c r="B12" s="6" t="s">
        <v>2</v>
      </c>
      <c r="C12" s="5" t="s">
        <v>6</v>
      </c>
      <c r="D12" s="5" t="s">
        <v>7</v>
      </c>
      <c r="E12" s="5" t="s">
        <v>8</v>
      </c>
      <c r="F12" s="5" t="s">
        <v>9</v>
      </c>
      <c r="G12" s="5" t="s">
        <v>10</v>
      </c>
      <c r="H12" s="7" t="s">
        <v>2</v>
      </c>
      <c r="I12" s="6" t="s">
        <v>2</v>
      </c>
      <c r="J12" s="5" t="s">
        <v>11</v>
      </c>
      <c r="K12" s="5" t="s">
        <v>12</v>
      </c>
      <c r="L12" s="7" t="s">
        <v>2</v>
      </c>
      <c r="M12" s="6" t="s">
        <v>2</v>
      </c>
      <c r="N12" s="5" t="s">
        <v>13</v>
      </c>
      <c r="O12" s="5" t="s">
        <v>14</v>
      </c>
      <c r="P12" s="5" t="s">
        <v>15</v>
      </c>
      <c r="Q12" s="7" t="s">
        <v>2</v>
      </c>
      <c r="R12" s="7" t="s">
        <v>2</v>
      </c>
      <c r="S12" s="6" t="s">
        <v>2</v>
      </c>
    </row>
    <row r="13" ht="15" spans="1:22">
      <c r="A13" s="8" t="s">
        <v>16</v>
      </c>
      <c r="B13" s="7" t="s">
        <v>2</v>
      </c>
      <c r="C13" s="7" t="s">
        <v>2</v>
      </c>
      <c r="D13" s="7" t="s">
        <v>2</v>
      </c>
      <c r="E13" s="7" t="s">
        <v>2</v>
      </c>
      <c r="F13" s="7" t="s">
        <v>2</v>
      </c>
      <c r="G13" s="7" t="s">
        <v>2</v>
      </c>
      <c r="H13" s="7" t="s">
        <v>2</v>
      </c>
      <c r="I13" s="7" t="s">
        <v>2</v>
      </c>
      <c r="J13" s="6" t="s">
        <v>2</v>
      </c>
      <c r="K13" s="9">
        <v>116</v>
      </c>
      <c r="L13" s="7" t="s">
        <v>2</v>
      </c>
      <c r="M13" s="6" t="s">
        <v>2</v>
      </c>
      <c r="N13" s="9">
        <v>1952</v>
      </c>
      <c r="O13" s="10">
        <v>2861.5</v>
      </c>
      <c r="P13" s="10">
        <v>10898</v>
      </c>
      <c r="Q13" s="7" t="s">
        <v>2</v>
      </c>
      <c r="R13" s="7" t="s">
        <v>2</v>
      </c>
      <c r="S13" s="6" t="s">
        <v>2</v>
      </c>
    </row>
    <row r="14" ht="14.25" spans="1:22">
      <c r="A14" s="11" t="s">
        <v>17</v>
      </c>
      <c r="B14" s="7" t="s">
        <v>2</v>
      </c>
      <c r="C14" s="7" t="s">
        <v>2</v>
      </c>
      <c r="D14" s="7" t="s">
        <v>2</v>
      </c>
      <c r="E14" s="7" t="s">
        <v>2</v>
      </c>
      <c r="F14" s="7" t="s">
        <v>2</v>
      </c>
      <c r="G14" s="7" t="s">
        <v>2</v>
      </c>
      <c r="H14" s="7" t="s">
        <v>2</v>
      </c>
      <c r="I14" s="7" t="s">
        <v>2</v>
      </c>
      <c r="J14" s="6" t="s">
        <v>2</v>
      </c>
      <c r="K14" s="12">
        <v>116</v>
      </c>
      <c r="L14" s="7" t="s">
        <v>2</v>
      </c>
      <c r="M14" s="6" t="s">
        <v>2</v>
      </c>
      <c r="N14" s="12">
        <v>1952</v>
      </c>
      <c r="O14" s="13">
        <v>2861.5</v>
      </c>
      <c r="P14" s="13">
        <v>10898</v>
      </c>
      <c r="Q14" s="7" t="s">
        <v>2</v>
      </c>
      <c r="R14" s="7" t="s">
        <v>2</v>
      </c>
      <c r="S14" s="6" t="s">
        <v>2</v>
      </c>
    </row>
    <row r="15" spans="1:22">
      <c r="A15" s="14">
        <v>46090</v>
      </c>
      <c r="B15" s="6" t="s">
        <v>2</v>
      </c>
      <c r="C15" s="15">
        <v>1583324</v>
      </c>
      <c r="D15" s="15" t="s">
        <v>18</v>
      </c>
      <c r="E15" s="15" t="s">
        <v>19</v>
      </c>
      <c r="F15" s="5">
        <v>20398133</v>
      </c>
      <c r="G15" s="15" t="s">
        <v>20</v>
      </c>
      <c r="H15" s="7" t="s">
        <v>2</v>
      </c>
      <c r="I15" s="6" t="s">
        <v>2</v>
      </c>
      <c r="J15" s="15" t="s">
        <v>21</v>
      </c>
      <c r="K15" s="5">
        <v>1</v>
      </c>
      <c r="L15" s="7" t="s">
        <v>2</v>
      </c>
      <c r="M15" s="6" t="s">
        <v>2</v>
      </c>
      <c r="N15" s="5">
        <v>0</v>
      </c>
      <c r="O15" s="16">
        <v>35</v>
      </c>
      <c r="P15" s="16">
        <v>35</v>
      </c>
      <c r="Q15" s="7" t="s">
        <v>2</v>
      </c>
      <c r="R15" s="7" t="s">
        <v>2</v>
      </c>
      <c r="S15" s="6" t="s">
        <v>2</v>
      </c>
      <c r="V15" t="e">
        <f>P15/N15</f>
        <v>#DIV/0!</v>
      </c>
    </row>
    <row r="16" spans="1:22">
      <c r="A16" s="14">
        <v>46090</v>
      </c>
      <c r="B16" s="6" t="s">
        <v>2</v>
      </c>
      <c r="C16" s="15">
        <v>1583324</v>
      </c>
      <c r="D16" s="15" t="s">
        <v>22</v>
      </c>
      <c r="E16" s="15" t="s">
        <v>23</v>
      </c>
      <c r="F16" s="5">
        <v>20389853</v>
      </c>
      <c r="G16" s="15" t="s">
        <v>24</v>
      </c>
      <c r="H16" s="7" t="s">
        <v>2</v>
      </c>
      <c r="I16" s="6" t="s">
        <v>2</v>
      </c>
      <c r="J16" s="15" t="s">
        <v>21</v>
      </c>
      <c r="K16" s="5">
        <v>1</v>
      </c>
      <c r="L16" s="7" t="s">
        <v>2</v>
      </c>
      <c r="M16" s="6" t="s">
        <v>2</v>
      </c>
      <c r="N16" s="5">
        <v>55</v>
      </c>
      <c r="O16" s="16">
        <v>302.5</v>
      </c>
      <c r="P16" s="16">
        <v>302.5</v>
      </c>
      <c r="Q16" s="7" t="s">
        <v>2</v>
      </c>
      <c r="R16" s="7" t="s">
        <v>2</v>
      </c>
      <c r="S16" s="6" t="s">
        <v>2</v>
      </c>
      <c r="V16">
        <f t="shared" ref="V16:V51" si="0">P16/N16</f>
        <v>5.5</v>
      </c>
    </row>
    <row r="17" spans="1:22">
      <c r="A17" s="14">
        <v>46090</v>
      </c>
      <c r="B17" s="6" t="s">
        <v>2</v>
      </c>
      <c r="C17" s="15">
        <v>1583324</v>
      </c>
      <c r="D17" s="15" t="s">
        <v>22</v>
      </c>
      <c r="E17" s="15" t="s">
        <v>23</v>
      </c>
      <c r="F17" s="5">
        <v>20009674</v>
      </c>
      <c r="G17" s="15" t="s">
        <v>25</v>
      </c>
      <c r="H17" s="7" t="s">
        <v>2</v>
      </c>
      <c r="I17" s="6" t="s">
        <v>2</v>
      </c>
      <c r="J17" s="15" t="s">
        <v>26</v>
      </c>
      <c r="K17" s="5">
        <v>1</v>
      </c>
      <c r="L17" s="7" t="s">
        <v>2</v>
      </c>
      <c r="M17" s="6" t="s">
        <v>2</v>
      </c>
      <c r="N17" s="5">
        <v>7</v>
      </c>
      <c r="O17" s="16">
        <v>38.5</v>
      </c>
      <c r="P17" s="16">
        <v>38.5</v>
      </c>
      <c r="Q17" s="7" t="s">
        <v>2</v>
      </c>
      <c r="R17" s="7" t="s">
        <v>2</v>
      </c>
      <c r="S17" s="6" t="s">
        <v>2</v>
      </c>
      <c r="V17">
        <f t="shared" si="0"/>
        <v>5.5</v>
      </c>
    </row>
    <row r="18" spans="1:22">
      <c r="A18" s="14">
        <v>46090</v>
      </c>
      <c r="B18" s="6" t="s">
        <v>2</v>
      </c>
      <c r="C18" s="15">
        <v>1583324</v>
      </c>
      <c r="D18" s="15" t="s">
        <v>22</v>
      </c>
      <c r="E18" s="15" t="s">
        <v>23</v>
      </c>
      <c r="F18" s="5">
        <v>20412666</v>
      </c>
      <c r="G18" s="15" t="s">
        <v>27</v>
      </c>
      <c r="H18" s="7" t="s">
        <v>2</v>
      </c>
      <c r="I18" s="6" t="s">
        <v>2</v>
      </c>
      <c r="J18" s="15" t="s">
        <v>26</v>
      </c>
      <c r="K18" s="5">
        <v>1</v>
      </c>
      <c r="L18" s="7" t="s">
        <v>2</v>
      </c>
      <c r="M18" s="6" t="s">
        <v>2</v>
      </c>
      <c r="N18" s="5">
        <v>6</v>
      </c>
      <c r="O18" s="16">
        <v>33</v>
      </c>
      <c r="P18" s="16">
        <v>33</v>
      </c>
      <c r="Q18" s="7" t="s">
        <v>2</v>
      </c>
      <c r="R18" s="7" t="s">
        <v>2</v>
      </c>
      <c r="S18" s="6" t="s">
        <v>2</v>
      </c>
      <c r="V18">
        <f t="shared" si="0"/>
        <v>5.5</v>
      </c>
    </row>
    <row r="19" spans="1:22">
      <c r="A19" s="14">
        <v>46090</v>
      </c>
      <c r="B19" s="6" t="s">
        <v>2</v>
      </c>
      <c r="C19" s="15">
        <v>1583324</v>
      </c>
      <c r="D19" s="15" t="s">
        <v>22</v>
      </c>
      <c r="E19" s="15" t="s">
        <v>23</v>
      </c>
      <c r="F19" s="5">
        <v>20013197</v>
      </c>
      <c r="G19" s="15" t="s">
        <v>28</v>
      </c>
      <c r="H19" s="7" t="s">
        <v>2</v>
      </c>
      <c r="I19" s="6" t="s">
        <v>2</v>
      </c>
      <c r="J19" s="15" t="s">
        <v>26</v>
      </c>
      <c r="K19" s="5">
        <v>8</v>
      </c>
      <c r="L19" s="7" t="s">
        <v>2</v>
      </c>
      <c r="M19" s="6" t="s">
        <v>2</v>
      </c>
      <c r="N19" s="5">
        <v>176</v>
      </c>
      <c r="O19" s="16">
        <v>121</v>
      </c>
      <c r="P19" s="16">
        <v>968</v>
      </c>
      <c r="Q19" s="7" t="s">
        <v>2</v>
      </c>
      <c r="R19" s="7" t="s">
        <v>2</v>
      </c>
      <c r="S19" s="6" t="s">
        <v>2</v>
      </c>
      <c r="V19">
        <f t="shared" si="0"/>
        <v>5.5</v>
      </c>
    </row>
    <row r="20" spans="1:22">
      <c r="A20" s="14">
        <v>46090</v>
      </c>
      <c r="B20" s="6" t="s">
        <v>2</v>
      </c>
      <c r="C20" s="15">
        <v>1583324</v>
      </c>
      <c r="D20" s="15" t="s">
        <v>22</v>
      </c>
      <c r="E20" s="15" t="s">
        <v>23</v>
      </c>
      <c r="F20" s="5">
        <v>20345364</v>
      </c>
      <c r="G20" s="15" t="s">
        <v>29</v>
      </c>
      <c r="H20" s="7" t="s">
        <v>2</v>
      </c>
      <c r="I20" s="6" t="s">
        <v>2</v>
      </c>
      <c r="J20" s="15" t="s">
        <v>26</v>
      </c>
      <c r="K20" s="5">
        <v>1</v>
      </c>
      <c r="L20" s="7" t="s">
        <v>2</v>
      </c>
      <c r="M20" s="6" t="s">
        <v>2</v>
      </c>
      <c r="N20" s="5">
        <v>28</v>
      </c>
      <c r="O20" s="16">
        <v>154</v>
      </c>
      <c r="P20" s="16">
        <v>154</v>
      </c>
      <c r="Q20" s="7" t="s">
        <v>2</v>
      </c>
      <c r="R20" s="7" t="s">
        <v>2</v>
      </c>
      <c r="S20" s="6" t="s">
        <v>2</v>
      </c>
      <c r="V20">
        <f t="shared" si="0"/>
        <v>5.5</v>
      </c>
    </row>
    <row r="21" spans="1:22">
      <c r="A21" s="14">
        <v>46097</v>
      </c>
      <c r="B21" s="6" t="s">
        <v>2</v>
      </c>
      <c r="C21" s="15">
        <v>1586431</v>
      </c>
      <c r="D21" s="15" t="s">
        <v>22</v>
      </c>
      <c r="E21" s="15" t="s">
        <v>30</v>
      </c>
      <c r="F21" s="5">
        <v>20325014</v>
      </c>
      <c r="G21" s="15" t="s">
        <v>31</v>
      </c>
      <c r="H21" s="7" t="s">
        <v>2</v>
      </c>
      <c r="I21" s="6" t="s">
        <v>2</v>
      </c>
      <c r="J21" s="15" t="s">
        <v>32</v>
      </c>
      <c r="K21" s="5">
        <v>2</v>
      </c>
      <c r="L21" s="7" t="s">
        <v>2</v>
      </c>
      <c r="M21" s="6" t="s">
        <v>2</v>
      </c>
      <c r="N21" s="5">
        <v>4</v>
      </c>
      <c r="O21" s="16">
        <v>16.5</v>
      </c>
      <c r="P21" s="16">
        <v>33</v>
      </c>
      <c r="Q21" s="7" t="s">
        <v>2</v>
      </c>
      <c r="R21" s="7" t="s">
        <v>2</v>
      </c>
      <c r="S21" s="6" t="s">
        <v>2</v>
      </c>
      <c r="V21">
        <f t="shared" si="0"/>
        <v>8.25</v>
      </c>
    </row>
    <row r="22" spans="1:22">
      <c r="A22" s="14">
        <v>46097</v>
      </c>
      <c r="B22" s="6" t="s">
        <v>2</v>
      </c>
      <c r="C22" s="15">
        <v>1586431</v>
      </c>
      <c r="D22" s="15" t="s">
        <v>22</v>
      </c>
      <c r="E22" s="15" t="s">
        <v>23</v>
      </c>
      <c r="F22" s="5">
        <v>20013197</v>
      </c>
      <c r="G22" s="15" t="s">
        <v>28</v>
      </c>
      <c r="H22" s="7" t="s">
        <v>2</v>
      </c>
      <c r="I22" s="6" t="s">
        <v>2</v>
      </c>
      <c r="J22" s="15" t="s">
        <v>26</v>
      </c>
      <c r="K22" s="5">
        <v>17</v>
      </c>
      <c r="L22" s="7" t="s">
        <v>2</v>
      </c>
      <c r="M22" s="6" t="s">
        <v>2</v>
      </c>
      <c r="N22" s="5">
        <v>374</v>
      </c>
      <c r="O22" s="16">
        <v>121</v>
      </c>
      <c r="P22" s="16">
        <v>2057</v>
      </c>
      <c r="Q22" s="7" t="s">
        <v>2</v>
      </c>
      <c r="R22" s="7" t="s">
        <v>2</v>
      </c>
      <c r="S22" s="6" t="s">
        <v>2</v>
      </c>
      <c r="V22">
        <f t="shared" si="0"/>
        <v>5.5</v>
      </c>
    </row>
    <row r="23" spans="1:22">
      <c r="A23" s="14">
        <v>46097</v>
      </c>
      <c r="B23" s="6" t="s">
        <v>2</v>
      </c>
      <c r="C23" s="15">
        <v>1586431</v>
      </c>
      <c r="D23" s="15" t="s">
        <v>22</v>
      </c>
      <c r="E23" s="15" t="s">
        <v>23</v>
      </c>
      <c r="F23" s="5">
        <v>20322705</v>
      </c>
      <c r="G23" s="15" t="s">
        <v>33</v>
      </c>
      <c r="H23" s="7" t="s">
        <v>2</v>
      </c>
      <c r="I23" s="6" t="s">
        <v>2</v>
      </c>
      <c r="J23" s="15" t="s">
        <v>26</v>
      </c>
      <c r="K23" s="5">
        <v>2</v>
      </c>
      <c r="L23" s="7" t="s">
        <v>2</v>
      </c>
      <c r="M23" s="6" t="s">
        <v>2</v>
      </c>
      <c r="N23" s="5">
        <v>52</v>
      </c>
      <c r="O23" s="16">
        <v>143</v>
      </c>
      <c r="P23" s="16">
        <v>286</v>
      </c>
      <c r="Q23" s="7" t="s">
        <v>2</v>
      </c>
      <c r="R23" s="7" t="s">
        <v>2</v>
      </c>
      <c r="S23" s="6" t="s">
        <v>2</v>
      </c>
      <c r="V23">
        <f t="shared" si="0"/>
        <v>5.5</v>
      </c>
    </row>
    <row r="24" spans="1:22">
      <c r="A24" s="14">
        <v>46111</v>
      </c>
      <c r="B24" s="6" t="s">
        <v>2</v>
      </c>
      <c r="C24" s="15">
        <v>1590436</v>
      </c>
      <c r="D24" s="15" t="s">
        <v>22</v>
      </c>
      <c r="E24" s="15" t="s">
        <v>30</v>
      </c>
      <c r="F24" s="5">
        <v>20325014</v>
      </c>
      <c r="G24" s="15" t="s">
        <v>31</v>
      </c>
      <c r="H24" s="7" t="s">
        <v>2</v>
      </c>
      <c r="I24" s="6" t="s">
        <v>2</v>
      </c>
      <c r="J24" s="15" t="s">
        <v>32</v>
      </c>
      <c r="K24" s="5">
        <v>3</v>
      </c>
      <c r="L24" s="7" t="s">
        <v>2</v>
      </c>
      <c r="M24" s="6" t="s">
        <v>2</v>
      </c>
      <c r="N24" s="5">
        <v>6</v>
      </c>
      <c r="O24" s="16">
        <v>16.5</v>
      </c>
      <c r="P24" s="16">
        <v>49.5</v>
      </c>
      <c r="Q24" s="7" t="s">
        <v>2</v>
      </c>
      <c r="R24" s="7" t="s">
        <v>2</v>
      </c>
      <c r="S24" s="6" t="s">
        <v>2</v>
      </c>
      <c r="V24">
        <f t="shared" si="0"/>
        <v>8.25</v>
      </c>
    </row>
    <row r="25" spans="1:22">
      <c r="A25" s="14">
        <v>46111</v>
      </c>
      <c r="B25" s="6" t="s">
        <v>2</v>
      </c>
      <c r="C25" s="15">
        <v>1590436</v>
      </c>
      <c r="D25" s="15" t="s">
        <v>22</v>
      </c>
      <c r="E25" s="15" t="s">
        <v>23</v>
      </c>
      <c r="F25" s="5">
        <v>20395163</v>
      </c>
      <c r="G25" s="15" t="s">
        <v>34</v>
      </c>
      <c r="H25" s="7" t="s">
        <v>2</v>
      </c>
      <c r="I25" s="6" t="s">
        <v>2</v>
      </c>
      <c r="J25" s="15" t="s">
        <v>35</v>
      </c>
      <c r="K25" s="5">
        <v>1</v>
      </c>
      <c r="L25" s="7" t="s">
        <v>2</v>
      </c>
      <c r="M25" s="6" t="s">
        <v>2</v>
      </c>
      <c r="N25" s="5">
        <v>12</v>
      </c>
      <c r="O25" s="16">
        <v>66</v>
      </c>
      <c r="P25" s="16">
        <v>66</v>
      </c>
      <c r="Q25" s="7" t="s">
        <v>2</v>
      </c>
      <c r="R25" s="7" t="s">
        <v>2</v>
      </c>
      <c r="S25" s="6" t="s">
        <v>2</v>
      </c>
      <c r="V25">
        <f t="shared" si="0"/>
        <v>5.5</v>
      </c>
    </row>
    <row r="26" spans="1:22">
      <c r="A26" s="14">
        <v>46111</v>
      </c>
      <c r="B26" s="6" t="s">
        <v>2</v>
      </c>
      <c r="C26" s="15">
        <v>1590436</v>
      </c>
      <c r="D26" s="15" t="s">
        <v>22</v>
      </c>
      <c r="E26" s="15" t="s">
        <v>23</v>
      </c>
      <c r="F26" s="5">
        <v>20009674</v>
      </c>
      <c r="G26" s="15" t="s">
        <v>25</v>
      </c>
      <c r="H26" s="7" t="s">
        <v>2</v>
      </c>
      <c r="I26" s="6" t="s">
        <v>2</v>
      </c>
      <c r="J26" s="15" t="s">
        <v>26</v>
      </c>
      <c r="K26" s="5">
        <v>1</v>
      </c>
      <c r="L26" s="7" t="s">
        <v>2</v>
      </c>
      <c r="M26" s="6" t="s">
        <v>2</v>
      </c>
      <c r="N26" s="5">
        <v>7</v>
      </c>
      <c r="O26" s="16">
        <v>38.5</v>
      </c>
      <c r="P26" s="16">
        <v>38.5</v>
      </c>
      <c r="Q26" s="7" t="s">
        <v>2</v>
      </c>
      <c r="R26" s="7" t="s">
        <v>2</v>
      </c>
      <c r="S26" s="6" t="s">
        <v>2</v>
      </c>
      <c r="V26">
        <f t="shared" si="0"/>
        <v>5.5</v>
      </c>
    </row>
    <row r="27" spans="1:22">
      <c r="A27" s="14">
        <v>46111</v>
      </c>
      <c r="B27" s="6" t="s">
        <v>2</v>
      </c>
      <c r="C27" s="15">
        <v>1590436</v>
      </c>
      <c r="D27" s="15" t="s">
        <v>22</v>
      </c>
      <c r="E27" s="15" t="s">
        <v>23</v>
      </c>
      <c r="F27" s="5">
        <v>20013197</v>
      </c>
      <c r="G27" s="15" t="s">
        <v>28</v>
      </c>
      <c r="H27" s="7" t="s">
        <v>2</v>
      </c>
      <c r="I27" s="6" t="s">
        <v>2</v>
      </c>
      <c r="J27" s="15" t="s">
        <v>26</v>
      </c>
      <c r="K27" s="5">
        <v>13</v>
      </c>
      <c r="L27" s="7" t="s">
        <v>2</v>
      </c>
      <c r="M27" s="6" t="s">
        <v>2</v>
      </c>
      <c r="N27" s="5">
        <v>286</v>
      </c>
      <c r="O27" s="16">
        <v>121</v>
      </c>
      <c r="P27" s="16">
        <v>1573</v>
      </c>
      <c r="Q27" s="7" t="s">
        <v>2</v>
      </c>
      <c r="R27" s="7" t="s">
        <v>2</v>
      </c>
      <c r="S27" s="6" t="s">
        <v>2</v>
      </c>
      <c r="V27">
        <f t="shared" si="0"/>
        <v>5.5</v>
      </c>
    </row>
    <row r="28" spans="1:22">
      <c r="A28" s="14">
        <v>46111</v>
      </c>
      <c r="B28" s="6" t="s">
        <v>2</v>
      </c>
      <c r="C28" s="15">
        <v>1590436</v>
      </c>
      <c r="D28" s="15" t="s">
        <v>22</v>
      </c>
      <c r="E28" s="15" t="s">
        <v>23</v>
      </c>
      <c r="F28" s="5">
        <v>20322705</v>
      </c>
      <c r="G28" s="15" t="s">
        <v>33</v>
      </c>
      <c r="H28" s="7" t="s">
        <v>2</v>
      </c>
      <c r="I28" s="6" t="s">
        <v>2</v>
      </c>
      <c r="J28" s="15" t="s">
        <v>26</v>
      </c>
      <c r="K28" s="5">
        <v>3</v>
      </c>
      <c r="L28" s="7" t="s">
        <v>2</v>
      </c>
      <c r="M28" s="6" t="s">
        <v>2</v>
      </c>
      <c r="N28" s="5">
        <v>78</v>
      </c>
      <c r="O28" s="16">
        <v>143</v>
      </c>
      <c r="P28" s="16">
        <v>429</v>
      </c>
      <c r="Q28" s="7" t="s">
        <v>2</v>
      </c>
      <c r="R28" s="7" t="s">
        <v>2</v>
      </c>
      <c r="S28" s="6" t="s">
        <v>2</v>
      </c>
      <c r="V28">
        <f t="shared" si="0"/>
        <v>5.5</v>
      </c>
    </row>
    <row r="29" spans="1:22">
      <c r="A29" s="14">
        <v>46122</v>
      </c>
      <c r="B29" s="6" t="s">
        <v>2</v>
      </c>
      <c r="C29" s="15">
        <v>1593861</v>
      </c>
      <c r="D29" s="15" t="s">
        <v>22</v>
      </c>
      <c r="E29" s="15" t="s">
        <v>30</v>
      </c>
      <c r="F29" s="5">
        <v>20325014</v>
      </c>
      <c r="G29" s="15" t="s">
        <v>31</v>
      </c>
      <c r="H29" s="7" t="s">
        <v>2</v>
      </c>
      <c r="I29" s="6" t="s">
        <v>2</v>
      </c>
      <c r="J29" s="15" t="s">
        <v>32</v>
      </c>
      <c r="K29" s="5">
        <v>1</v>
      </c>
      <c r="L29" s="7" t="s">
        <v>2</v>
      </c>
      <c r="M29" s="6" t="s">
        <v>2</v>
      </c>
      <c r="N29" s="5">
        <v>2</v>
      </c>
      <c r="O29" s="16">
        <v>16.5</v>
      </c>
      <c r="P29" s="16">
        <v>16.5</v>
      </c>
      <c r="Q29" s="7" t="s">
        <v>2</v>
      </c>
      <c r="R29" s="7" t="s">
        <v>2</v>
      </c>
      <c r="S29" s="6" t="s">
        <v>2</v>
      </c>
      <c r="V29">
        <f t="shared" si="0"/>
        <v>8.25</v>
      </c>
    </row>
    <row r="30" spans="1:22">
      <c r="A30" s="14">
        <v>46122</v>
      </c>
      <c r="B30" s="6" t="s">
        <v>2</v>
      </c>
      <c r="C30" s="15">
        <v>1593861</v>
      </c>
      <c r="D30" s="15" t="s">
        <v>22</v>
      </c>
      <c r="E30" s="15" t="s">
        <v>23</v>
      </c>
      <c r="F30" s="5">
        <v>20009674</v>
      </c>
      <c r="G30" s="15" t="s">
        <v>25</v>
      </c>
      <c r="H30" s="7" t="s">
        <v>2</v>
      </c>
      <c r="I30" s="6" t="s">
        <v>2</v>
      </c>
      <c r="J30" s="15" t="s">
        <v>26</v>
      </c>
      <c r="K30" s="5">
        <v>2</v>
      </c>
      <c r="L30" s="7" t="s">
        <v>2</v>
      </c>
      <c r="M30" s="6" t="s">
        <v>2</v>
      </c>
      <c r="N30" s="5">
        <v>14</v>
      </c>
      <c r="O30" s="16">
        <v>38.5</v>
      </c>
      <c r="P30" s="16">
        <v>77</v>
      </c>
      <c r="Q30" s="7" t="s">
        <v>2</v>
      </c>
      <c r="R30" s="7" t="s">
        <v>2</v>
      </c>
      <c r="S30" s="6" t="s">
        <v>2</v>
      </c>
      <c r="V30">
        <f t="shared" si="0"/>
        <v>5.5</v>
      </c>
    </row>
    <row r="31" spans="1:22">
      <c r="A31" s="14">
        <v>46122</v>
      </c>
      <c r="B31" s="6" t="s">
        <v>2</v>
      </c>
      <c r="C31" s="15">
        <v>1593861</v>
      </c>
      <c r="D31" s="15" t="s">
        <v>22</v>
      </c>
      <c r="E31" s="15" t="s">
        <v>23</v>
      </c>
      <c r="F31" s="5">
        <v>20013197</v>
      </c>
      <c r="G31" s="15" t="s">
        <v>28</v>
      </c>
      <c r="H31" s="7" t="s">
        <v>2</v>
      </c>
      <c r="I31" s="6" t="s">
        <v>2</v>
      </c>
      <c r="J31" s="15" t="s">
        <v>26</v>
      </c>
      <c r="K31" s="5">
        <v>9</v>
      </c>
      <c r="L31" s="7" t="s">
        <v>2</v>
      </c>
      <c r="M31" s="6" t="s">
        <v>2</v>
      </c>
      <c r="N31" s="5">
        <v>198</v>
      </c>
      <c r="O31" s="16">
        <v>121</v>
      </c>
      <c r="P31" s="16">
        <v>1089</v>
      </c>
      <c r="Q31" s="7" t="s">
        <v>2</v>
      </c>
      <c r="R31" s="7" t="s">
        <v>2</v>
      </c>
      <c r="S31" s="6" t="s">
        <v>2</v>
      </c>
      <c r="V31">
        <f t="shared" si="0"/>
        <v>5.5</v>
      </c>
    </row>
    <row r="32" spans="1:22">
      <c r="A32" s="14">
        <v>46122</v>
      </c>
      <c r="B32" s="6" t="s">
        <v>2</v>
      </c>
      <c r="C32" s="15">
        <v>1593861</v>
      </c>
      <c r="D32" s="15" t="s">
        <v>22</v>
      </c>
      <c r="E32" s="15" t="s">
        <v>23</v>
      </c>
      <c r="F32" s="5">
        <v>20322705</v>
      </c>
      <c r="G32" s="15" t="s">
        <v>33</v>
      </c>
      <c r="H32" s="7" t="s">
        <v>2</v>
      </c>
      <c r="I32" s="6" t="s">
        <v>2</v>
      </c>
      <c r="J32" s="15" t="s">
        <v>26</v>
      </c>
      <c r="K32" s="5">
        <v>1</v>
      </c>
      <c r="L32" s="7" t="s">
        <v>2</v>
      </c>
      <c r="M32" s="6" t="s">
        <v>2</v>
      </c>
      <c r="N32" s="5">
        <v>26</v>
      </c>
      <c r="O32" s="16">
        <v>143</v>
      </c>
      <c r="P32" s="16">
        <v>143</v>
      </c>
      <c r="Q32" s="7" t="s">
        <v>2</v>
      </c>
      <c r="R32" s="7" t="s">
        <v>2</v>
      </c>
      <c r="S32" s="6" t="s">
        <v>2</v>
      </c>
      <c r="V32">
        <f t="shared" si="0"/>
        <v>5.5</v>
      </c>
    </row>
    <row r="33" spans="1:22">
      <c r="A33" s="14">
        <v>46132</v>
      </c>
      <c r="B33" s="6" t="s">
        <v>2</v>
      </c>
      <c r="C33" s="15">
        <v>1596497</v>
      </c>
      <c r="D33" s="15" t="s">
        <v>22</v>
      </c>
      <c r="E33" s="15" t="s">
        <v>23</v>
      </c>
      <c r="F33" s="5">
        <v>20013197</v>
      </c>
      <c r="G33" s="15" t="s">
        <v>28</v>
      </c>
      <c r="H33" s="7" t="s">
        <v>2</v>
      </c>
      <c r="I33" s="6" t="s">
        <v>2</v>
      </c>
      <c r="J33" s="15" t="s">
        <v>26</v>
      </c>
      <c r="K33" s="5">
        <v>7</v>
      </c>
      <c r="L33" s="7" t="s">
        <v>2</v>
      </c>
      <c r="M33" s="6" t="s">
        <v>2</v>
      </c>
      <c r="N33" s="5">
        <v>154</v>
      </c>
      <c r="O33" s="16">
        <v>121</v>
      </c>
      <c r="P33" s="16">
        <v>847</v>
      </c>
      <c r="Q33" s="7" t="s">
        <v>2</v>
      </c>
      <c r="R33" s="7" t="s">
        <v>2</v>
      </c>
      <c r="S33" s="6" t="s">
        <v>2</v>
      </c>
      <c r="V33">
        <f t="shared" si="0"/>
        <v>5.5</v>
      </c>
    </row>
    <row r="34" spans="1:22">
      <c r="A34" s="14">
        <v>46140</v>
      </c>
      <c r="B34" s="6" t="s">
        <v>2</v>
      </c>
      <c r="C34" s="15">
        <v>1598582</v>
      </c>
      <c r="D34" s="15" t="s">
        <v>22</v>
      </c>
      <c r="E34" s="15" t="s">
        <v>23</v>
      </c>
      <c r="F34" s="5">
        <v>20009674</v>
      </c>
      <c r="G34" s="15" t="s">
        <v>25</v>
      </c>
      <c r="H34" s="7" t="s">
        <v>2</v>
      </c>
      <c r="I34" s="6" t="s">
        <v>2</v>
      </c>
      <c r="J34" s="15" t="s">
        <v>26</v>
      </c>
      <c r="K34" s="5">
        <v>2</v>
      </c>
      <c r="L34" s="7" t="s">
        <v>2</v>
      </c>
      <c r="M34" s="6" t="s">
        <v>2</v>
      </c>
      <c r="N34" s="5">
        <v>14</v>
      </c>
      <c r="O34" s="16">
        <v>38.5</v>
      </c>
      <c r="P34" s="16">
        <v>77</v>
      </c>
      <c r="Q34" s="7" t="s">
        <v>2</v>
      </c>
      <c r="R34" s="7" t="s">
        <v>2</v>
      </c>
      <c r="S34" s="6" t="s">
        <v>2</v>
      </c>
      <c r="V34">
        <f t="shared" si="0"/>
        <v>5.5</v>
      </c>
    </row>
    <row r="35" spans="1:22">
      <c r="A35" s="14">
        <v>46140</v>
      </c>
      <c r="B35" s="6" t="s">
        <v>2</v>
      </c>
      <c r="C35" s="15">
        <v>1598582</v>
      </c>
      <c r="D35" s="15" t="s">
        <v>22</v>
      </c>
      <c r="E35" s="15" t="s">
        <v>23</v>
      </c>
      <c r="F35" s="5">
        <v>20013197</v>
      </c>
      <c r="G35" s="15" t="s">
        <v>28</v>
      </c>
      <c r="H35" s="7" t="s">
        <v>2</v>
      </c>
      <c r="I35" s="6" t="s">
        <v>2</v>
      </c>
      <c r="J35" s="15" t="s">
        <v>26</v>
      </c>
      <c r="K35" s="5">
        <v>10</v>
      </c>
      <c r="L35" s="7" t="s">
        <v>2</v>
      </c>
      <c r="M35" s="6" t="s">
        <v>2</v>
      </c>
      <c r="N35" s="5">
        <v>220</v>
      </c>
      <c r="O35" s="16">
        <v>121</v>
      </c>
      <c r="P35" s="16">
        <v>1210</v>
      </c>
      <c r="Q35" s="7" t="s">
        <v>2</v>
      </c>
      <c r="R35" s="7" t="s">
        <v>2</v>
      </c>
      <c r="S35" s="6" t="s">
        <v>2</v>
      </c>
      <c r="V35">
        <f t="shared" si="0"/>
        <v>5.5</v>
      </c>
    </row>
    <row r="36" spans="1:22">
      <c r="A36" s="14">
        <v>46141</v>
      </c>
      <c r="B36" s="6" t="s">
        <v>2</v>
      </c>
      <c r="C36" s="15">
        <v>1599386</v>
      </c>
      <c r="D36" s="15" t="s">
        <v>36</v>
      </c>
      <c r="E36" s="15" t="s">
        <v>36</v>
      </c>
      <c r="F36" s="5">
        <v>20003025</v>
      </c>
      <c r="G36" s="15" t="s">
        <v>37</v>
      </c>
      <c r="H36" s="7" t="s">
        <v>2</v>
      </c>
      <c r="I36" s="6" t="s">
        <v>2</v>
      </c>
      <c r="J36" s="15" t="s">
        <v>38</v>
      </c>
      <c r="K36" s="5">
        <v>1</v>
      </c>
      <c r="L36" s="7" t="s">
        <v>2</v>
      </c>
      <c r="M36" s="6" t="s">
        <v>2</v>
      </c>
      <c r="N36" s="5">
        <v>32</v>
      </c>
      <c r="O36" s="16">
        <v>176</v>
      </c>
      <c r="P36" s="16">
        <v>176</v>
      </c>
      <c r="Q36" s="7" t="s">
        <v>2</v>
      </c>
      <c r="R36" s="7" t="s">
        <v>2</v>
      </c>
      <c r="S36" s="6" t="s">
        <v>2</v>
      </c>
      <c r="V36">
        <f t="shared" si="0"/>
        <v>5.5</v>
      </c>
    </row>
    <row r="37" spans="1:22">
      <c r="A37" s="14">
        <v>46141</v>
      </c>
      <c r="B37" s="6" t="s">
        <v>2</v>
      </c>
      <c r="C37" s="15">
        <v>1599386</v>
      </c>
      <c r="D37" s="15" t="s">
        <v>39</v>
      </c>
      <c r="E37" s="15" t="s">
        <v>39</v>
      </c>
      <c r="F37" s="5">
        <v>20003024</v>
      </c>
      <c r="G37" s="15" t="s">
        <v>40</v>
      </c>
      <c r="H37" s="7" t="s">
        <v>2</v>
      </c>
      <c r="I37" s="6" t="s">
        <v>2</v>
      </c>
      <c r="J37" s="15" t="s">
        <v>32</v>
      </c>
      <c r="K37" s="5">
        <v>3</v>
      </c>
      <c r="L37" s="7" t="s">
        <v>2</v>
      </c>
      <c r="M37" s="6" t="s">
        <v>2</v>
      </c>
      <c r="N37" s="5">
        <v>3</v>
      </c>
      <c r="O37" s="16">
        <v>16</v>
      </c>
      <c r="P37" s="16">
        <v>48</v>
      </c>
      <c r="Q37" s="7" t="s">
        <v>2</v>
      </c>
      <c r="R37" s="7" t="s">
        <v>2</v>
      </c>
      <c r="S37" s="6" t="s">
        <v>2</v>
      </c>
      <c r="V37">
        <f t="shared" si="0"/>
        <v>16</v>
      </c>
    </row>
    <row r="38" spans="1:22">
      <c r="A38" s="14">
        <v>46141</v>
      </c>
      <c r="B38" s="6" t="s">
        <v>2</v>
      </c>
      <c r="C38" s="15">
        <v>1599386</v>
      </c>
      <c r="D38" s="15" t="s">
        <v>22</v>
      </c>
      <c r="E38" s="15" t="s">
        <v>30</v>
      </c>
      <c r="F38" s="5">
        <v>20007962</v>
      </c>
      <c r="G38" s="15" t="s">
        <v>41</v>
      </c>
      <c r="H38" s="7" t="s">
        <v>2</v>
      </c>
      <c r="I38" s="6" t="s">
        <v>2</v>
      </c>
      <c r="J38" s="15" t="s">
        <v>42</v>
      </c>
      <c r="K38" s="5">
        <v>2</v>
      </c>
      <c r="L38" s="7" t="s">
        <v>2</v>
      </c>
      <c r="M38" s="6" t="s">
        <v>2</v>
      </c>
      <c r="N38" s="5">
        <v>6</v>
      </c>
      <c r="O38" s="16">
        <v>16.5</v>
      </c>
      <c r="P38" s="16">
        <v>33</v>
      </c>
      <c r="Q38" s="7" t="s">
        <v>2</v>
      </c>
      <c r="R38" s="7" t="s">
        <v>2</v>
      </c>
      <c r="S38" s="6" t="s">
        <v>2</v>
      </c>
      <c r="V38">
        <f t="shared" si="0"/>
        <v>5.5</v>
      </c>
    </row>
    <row r="39" spans="1:22">
      <c r="A39" s="14">
        <v>46141</v>
      </c>
      <c r="B39" s="6" t="s">
        <v>2</v>
      </c>
      <c r="C39" s="15">
        <v>1599386</v>
      </c>
      <c r="D39" s="15" t="s">
        <v>22</v>
      </c>
      <c r="E39" s="15" t="s">
        <v>30</v>
      </c>
      <c r="F39" s="5">
        <v>20348847</v>
      </c>
      <c r="G39" s="15" t="s">
        <v>43</v>
      </c>
      <c r="H39" s="7" t="s">
        <v>2</v>
      </c>
      <c r="I39" s="6" t="s">
        <v>2</v>
      </c>
      <c r="J39" s="15" t="s">
        <v>44</v>
      </c>
      <c r="K39" s="5">
        <v>1</v>
      </c>
      <c r="L39" s="7" t="s">
        <v>2</v>
      </c>
      <c r="M39" s="6" t="s">
        <v>2</v>
      </c>
      <c r="N39" s="5">
        <v>1</v>
      </c>
      <c r="O39" s="16">
        <v>8</v>
      </c>
      <c r="P39" s="16">
        <v>8</v>
      </c>
      <c r="Q39" s="7" t="s">
        <v>2</v>
      </c>
      <c r="R39" s="7" t="s">
        <v>2</v>
      </c>
      <c r="S39" s="6" t="s">
        <v>2</v>
      </c>
      <c r="V39">
        <f t="shared" si="0"/>
        <v>8</v>
      </c>
    </row>
    <row r="40" spans="1:22">
      <c r="A40" s="14">
        <v>46141</v>
      </c>
      <c r="B40" s="6" t="s">
        <v>2</v>
      </c>
      <c r="C40" s="15">
        <v>1599386</v>
      </c>
      <c r="D40" s="15" t="s">
        <v>18</v>
      </c>
      <c r="E40" s="15" t="s">
        <v>19</v>
      </c>
      <c r="F40" s="5">
        <v>20003050</v>
      </c>
      <c r="G40" s="15" t="s">
        <v>45</v>
      </c>
      <c r="H40" s="7" t="s">
        <v>2</v>
      </c>
      <c r="I40" s="6" t="s">
        <v>2</v>
      </c>
      <c r="J40" s="15" t="s">
        <v>21</v>
      </c>
      <c r="K40" s="5">
        <v>1</v>
      </c>
      <c r="L40" s="7" t="s">
        <v>2</v>
      </c>
      <c r="M40" s="6" t="s">
        <v>2</v>
      </c>
      <c r="N40" s="5">
        <v>0</v>
      </c>
      <c r="O40" s="16">
        <v>35</v>
      </c>
      <c r="P40" s="16">
        <v>35</v>
      </c>
      <c r="Q40" s="7" t="s">
        <v>2</v>
      </c>
      <c r="R40" s="7" t="s">
        <v>2</v>
      </c>
      <c r="S40" s="6" t="s">
        <v>2</v>
      </c>
      <c r="V40" t="e">
        <f t="shared" si="0"/>
        <v>#DIV/0!</v>
      </c>
    </row>
    <row r="41" spans="1:22">
      <c r="A41" s="14">
        <v>46141</v>
      </c>
      <c r="B41" s="6" t="s">
        <v>2</v>
      </c>
      <c r="C41" s="15">
        <v>1599386</v>
      </c>
      <c r="D41" s="15" t="s">
        <v>36</v>
      </c>
      <c r="E41" s="15" t="s">
        <v>46</v>
      </c>
      <c r="F41" s="5">
        <v>20005903</v>
      </c>
      <c r="G41" s="15" t="s">
        <v>47</v>
      </c>
      <c r="H41" s="7" t="s">
        <v>2</v>
      </c>
      <c r="I41" s="6" t="s">
        <v>2</v>
      </c>
      <c r="J41" s="15" t="s">
        <v>48</v>
      </c>
      <c r="K41" s="5">
        <v>1</v>
      </c>
      <c r="L41" s="7" t="s">
        <v>2</v>
      </c>
      <c r="M41" s="6" t="s">
        <v>2</v>
      </c>
      <c r="N41" s="5">
        <v>7</v>
      </c>
      <c r="O41" s="16">
        <v>38.5</v>
      </c>
      <c r="P41" s="16">
        <v>38.5</v>
      </c>
      <c r="Q41" s="7" t="s">
        <v>2</v>
      </c>
      <c r="R41" s="7" t="s">
        <v>2</v>
      </c>
      <c r="S41" s="6" t="s">
        <v>2</v>
      </c>
      <c r="V41">
        <f t="shared" si="0"/>
        <v>5.5</v>
      </c>
    </row>
    <row r="42" spans="1:22">
      <c r="A42" s="14">
        <v>46141</v>
      </c>
      <c r="B42" s="6" t="s">
        <v>2</v>
      </c>
      <c r="C42" s="15">
        <v>1599386</v>
      </c>
      <c r="D42" s="15" t="s">
        <v>22</v>
      </c>
      <c r="E42" s="15" t="s">
        <v>23</v>
      </c>
      <c r="F42" s="5">
        <v>20347342</v>
      </c>
      <c r="G42" s="15" t="s">
        <v>49</v>
      </c>
      <c r="H42" s="7" t="s">
        <v>2</v>
      </c>
      <c r="I42" s="6" t="s">
        <v>2</v>
      </c>
      <c r="J42" s="15" t="s">
        <v>35</v>
      </c>
      <c r="K42" s="5">
        <v>1</v>
      </c>
      <c r="L42" s="7" t="s">
        <v>2</v>
      </c>
      <c r="M42" s="6" t="s">
        <v>2</v>
      </c>
      <c r="N42" s="5">
        <v>3</v>
      </c>
      <c r="O42" s="16">
        <v>16.5</v>
      </c>
      <c r="P42" s="16">
        <v>16.5</v>
      </c>
      <c r="Q42" s="7" t="s">
        <v>2</v>
      </c>
      <c r="R42" s="7" t="s">
        <v>2</v>
      </c>
      <c r="S42" s="6" t="s">
        <v>2</v>
      </c>
      <c r="V42">
        <f t="shared" si="0"/>
        <v>5.5</v>
      </c>
    </row>
    <row r="43" spans="1:22">
      <c r="A43" s="14">
        <v>46141</v>
      </c>
      <c r="B43" s="6" t="s">
        <v>2</v>
      </c>
      <c r="C43" s="15">
        <v>1599386</v>
      </c>
      <c r="D43" s="15" t="s">
        <v>22</v>
      </c>
      <c r="E43" s="15" t="s">
        <v>23</v>
      </c>
      <c r="F43" s="5">
        <v>20007965</v>
      </c>
      <c r="G43" s="15" t="s">
        <v>50</v>
      </c>
      <c r="H43" s="7" t="s">
        <v>2</v>
      </c>
      <c r="I43" s="6" t="s">
        <v>2</v>
      </c>
      <c r="J43" s="15" t="s">
        <v>35</v>
      </c>
      <c r="K43" s="5">
        <v>1</v>
      </c>
      <c r="L43" s="7" t="s">
        <v>2</v>
      </c>
      <c r="M43" s="6" t="s">
        <v>2</v>
      </c>
      <c r="N43" s="5">
        <v>2</v>
      </c>
      <c r="O43" s="16">
        <v>16.5</v>
      </c>
      <c r="P43" s="16">
        <v>16.5</v>
      </c>
      <c r="Q43" s="7" t="s">
        <v>2</v>
      </c>
      <c r="R43" s="7" t="s">
        <v>2</v>
      </c>
      <c r="S43" s="6" t="s">
        <v>2</v>
      </c>
      <c r="V43">
        <f t="shared" si="0"/>
        <v>8.25</v>
      </c>
    </row>
    <row r="44" spans="1:22">
      <c r="A44" s="14">
        <v>46141</v>
      </c>
      <c r="B44" s="6" t="s">
        <v>2</v>
      </c>
      <c r="C44" s="15">
        <v>1599386</v>
      </c>
      <c r="D44" s="15" t="s">
        <v>22</v>
      </c>
      <c r="E44" s="15" t="s">
        <v>23</v>
      </c>
      <c r="F44" s="5">
        <v>20004840</v>
      </c>
      <c r="G44" s="15" t="s">
        <v>51</v>
      </c>
      <c r="H44" s="7" t="s">
        <v>2</v>
      </c>
      <c r="I44" s="6" t="s">
        <v>2</v>
      </c>
      <c r="J44" s="15" t="s">
        <v>26</v>
      </c>
      <c r="K44" s="5">
        <v>1</v>
      </c>
      <c r="L44" s="7" t="s">
        <v>2</v>
      </c>
      <c r="M44" s="6" t="s">
        <v>2</v>
      </c>
      <c r="N44" s="5">
        <v>1</v>
      </c>
      <c r="O44" s="16">
        <v>5.5</v>
      </c>
      <c r="P44" s="16">
        <v>5.5</v>
      </c>
      <c r="Q44" s="7" t="s">
        <v>2</v>
      </c>
      <c r="R44" s="7" t="s">
        <v>2</v>
      </c>
      <c r="S44" s="6" t="s">
        <v>2</v>
      </c>
      <c r="V44">
        <f t="shared" si="0"/>
        <v>5.5</v>
      </c>
    </row>
    <row r="45" spans="1:22">
      <c r="A45" s="14">
        <v>46141</v>
      </c>
      <c r="B45" s="6" t="s">
        <v>2</v>
      </c>
      <c r="C45" s="15">
        <v>1599386</v>
      </c>
      <c r="D45" s="15" t="s">
        <v>22</v>
      </c>
      <c r="E45" s="15" t="s">
        <v>23</v>
      </c>
      <c r="F45" s="5">
        <v>20003907</v>
      </c>
      <c r="G45" s="15" t="s">
        <v>52</v>
      </c>
      <c r="H45" s="7" t="s">
        <v>2</v>
      </c>
      <c r="I45" s="6" t="s">
        <v>2</v>
      </c>
      <c r="J45" s="15" t="s">
        <v>26</v>
      </c>
      <c r="K45" s="5">
        <v>3</v>
      </c>
      <c r="L45" s="7" t="s">
        <v>2</v>
      </c>
      <c r="M45" s="6" t="s">
        <v>2</v>
      </c>
      <c r="N45" s="5">
        <v>3</v>
      </c>
      <c r="O45" s="16">
        <v>5.5</v>
      </c>
      <c r="P45" s="16">
        <v>16.5</v>
      </c>
      <c r="Q45" s="7" t="s">
        <v>2</v>
      </c>
      <c r="R45" s="7" t="s">
        <v>2</v>
      </c>
      <c r="S45" s="6" t="s">
        <v>2</v>
      </c>
      <c r="V45">
        <f t="shared" si="0"/>
        <v>5.5</v>
      </c>
    </row>
    <row r="46" spans="1:22">
      <c r="A46" s="14">
        <v>46141</v>
      </c>
      <c r="B46" s="6" t="s">
        <v>2</v>
      </c>
      <c r="C46" s="15">
        <v>1599386</v>
      </c>
      <c r="D46" s="15" t="s">
        <v>22</v>
      </c>
      <c r="E46" s="15" t="s">
        <v>23</v>
      </c>
      <c r="F46" s="5">
        <v>20382008</v>
      </c>
      <c r="G46" s="15" t="s">
        <v>53</v>
      </c>
      <c r="H46" s="7" t="s">
        <v>2</v>
      </c>
      <c r="I46" s="6" t="s">
        <v>2</v>
      </c>
      <c r="J46" s="15" t="s">
        <v>21</v>
      </c>
      <c r="K46" s="5">
        <v>1</v>
      </c>
      <c r="L46" s="7" t="s">
        <v>2</v>
      </c>
      <c r="M46" s="6" t="s">
        <v>2</v>
      </c>
      <c r="N46" s="5">
        <v>44</v>
      </c>
      <c r="O46" s="16">
        <v>242</v>
      </c>
      <c r="P46" s="16">
        <v>242</v>
      </c>
      <c r="Q46" s="7" t="s">
        <v>2</v>
      </c>
      <c r="R46" s="7" t="s">
        <v>2</v>
      </c>
      <c r="S46" s="6" t="s">
        <v>2</v>
      </c>
      <c r="V46">
        <f t="shared" si="0"/>
        <v>5.5</v>
      </c>
    </row>
    <row r="47" spans="1:22">
      <c r="A47" s="14">
        <v>46141</v>
      </c>
      <c r="B47" s="6" t="s">
        <v>2</v>
      </c>
      <c r="C47" s="15">
        <v>1599386</v>
      </c>
      <c r="D47" s="15" t="s">
        <v>22</v>
      </c>
      <c r="E47" s="15" t="s">
        <v>23</v>
      </c>
      <c r="F47" s="5">
        <v>20389854</v>
      </c>
      <c r="G47" s="15" t="s">
        <v>54</v>
      </c>
      <c r="H47" s="7" t="s">
        <v>2</v>
      </c>
      <c r="I47" s="6" t="s">
        <v>2</v>
      </c>
      <c r="J47" s="15" t="s">
        <v>21</v>
      </c>
      <c r="K47" s="5">
        <v>1</v>
      </c>
      <c r="L47" s="7" t="s">
        <v>2</v>
      </c>
      <c r="M47" s="6" t="s">
        <v>2</v>
      </c>
      <c r="N47" s="5">
        <v>33</v>
      </c>
      <c r="O47" s="16">
        <v>181.5</v>
      </c>
      <c r="P47" s="16">
        <v>181.5</v>
      </c>
      <c r="Q47" s="7" t="s">
        <v>2</v>
      </c>
      <c r="R47" s="7" t="s">
        <v>2</v>
      </c>
      <c r="S47" s="6" t="s">
        <v>2</v>
      </c>
      <c r="V47">
        <f t="shared" si="0"/>
        <v>5.5</v>
      </c>
    </row>
    <row r="48" spans="1:22">
      <c r="A48" s="14">
        <v>46141</v>
      </c>
      <c r="B48" s="6" t="s">
        <v>2</v>
      </c>
      <c r="C48" s="15">
        <v>1599386</v>
      </c>
      <c r="D48" s="15" t="s">
        <v>22</v>
      </c>
      <c r="E48" s="15" t="s">
        <v>23</v>
      </c>
      <c r="F48" s="5">
        <v>20013197</v>
      </c>
      <c r="G48" s="15" t="s">
        <v>28</v>
      </c>
      <c r="H48" s="7" t="s">
        <v>2</v>
      </c>
      <c r="I48" s="6" t="s">
        <v>2</v>
      </c>
      <c r="J48" s="15" t="s">
        <v>26</v>
      </c>
      <c r="K48" s="5">
        <v>4</v>
      </c>
      <c r="L48" s="7" t="s">
        <v>2</v>
      </c>
      <c r="M48" s="6" t="s">
        <v>2</v>
      </c>
      <c r="N48" s="5">
        <v>88</v>
      </c>
      <c r="O48" s="16">
        <v>121</v>
      </c>
      <c r="P48" s="16">
        <v>484</v>
      </c>
      <c r="Q48" s="7" t="s">
        <v>2</v>
      </c>
      <c r="R48" s="7" t="s">
        <v>2</v>
      </c>
      <c r="S48" s="6" t="s">
        <v>2</v>
      </c>
      <c r="V48">
        <f t="shared" si="0"/>
        <v>5.5</v>
      </c>
    </row>
    <row r="49" spans="1:22">
      <c r="A49" s="14">
        <v>46141</v>
      </c>
      <c r="B49" s="6" t="s">
        <v>2</v>
      </c>
      <c r="C49" s="15">
        <v>1599386</v>
      </c>
      <c r="D49" s="15" t="s">
        <v>22</v>
      </c>
      <c r="E49" s="15" t="s">
        <v>23</v>
      </c>
      <c r="F49" s="5">
        <v>20313441</v>
      </c>
      <c r="G49" s="15" t="s">
        <v>55</v>
      </c>
      <c r="H49" s="7" t="s">
        <v>2</v>
      </c>
      <c r="I49" s="6" t="s">
        <v>2</v>
      </c>
      <c r="J49" s="15" t="s">
        <v>26</v>
      </c>
      <c r="K49" s="5">
        <v>2</v>
      </c>
      <c r="L49" s="7" t="s">
        <v>2</v>
      </c>
      <c r="M49" s="6" t="s">
        <v>2</v>
      </c>
      <c r="N49" s="5">
        <v>10</v>
      </c>
      <c r="O49" s="16">
        <v>27.5</v>
      </c>
      <c r="P49" s="16">
        <v>55</v>
      </c>
      <c r="Q49" s="7" t="s">
        <v>2</v>
      </c>
      <c r="R49" s="7" t="s">
        <v>2</v>
      </c>
      <c r="S49" s="6" t="s">
        <v>2</v>
      </c>
      <c r="V49">
        <f t="shared" si="0"/>
        <v>5.5</v>
      </c>
    </row>
    <row r="50" spans="1:22">
      <c r="A50" s="14">
        <v>46141</v>
      </c>
      <c r="B50" s="6" t="s">
        <v>2</v>
      </c>
      <c r="C50" s="15">
        <v>1599386</v>
      </c>
      <c r="D50" s="15" t="s">
        <v>18</v>
      </c>
      <c r="E50" s="15" t="s">
        <v>56</v>
      </c>
      <c r="F50" s="5">
        <v>20005928</v>
      </c>
      <c r="G50" s="15" t="s">
        <v>57</v>
      </c>
      <c r="H50" s="7" t="s">
        <v>2</v>
      </c>
      <c r="I50" s="6" t="s">
        <v>2</v>
      </c>
      <c r="J50" s="15" t="s">
        <v>58</v>
      </c>
      <c r="K50" s="5">
        <v>3</v>
      </c>
      <c r="L50" s="7" t="s">
        <v>2</v>
      </c>
      <c r="M50" s="6" t="s">
        <v>2</v>
      </c>
      <c r="N50" s="5">
        <v>0</v>
      </c>
      <c r="O50" s="16">
        <v>4</v>
      </c>
      <c r="P50" s="16">
        <v>12</v>
      </c>
      <c r="Q50" s="7" t="s">
        <v>2</v>
      </c>
      <c r="R50" s="7" t="s">
        <v>2</v>
      </c>
      <c r="S50" s="6" t="s">
        <v>2</v>
      </c>
      <c r="V50" t="e">
        <f t="shared" si="0"/>
        <v>#DIV/0!</v>
      </c>
    </row>
    <row r="51" spans="1:22">
      <c r="A51" s="14">
        <v>46141</v>
      </c>
      <c r="B51" s="6" t="s">
        <v>2</v>
      </c>
      <c r="C51" s="15">
        <v>1599386</v>
      </c>
      <c r="D51" s="15" t="s">
        <v>18</v>
      </c>
      <c r="E51" s="15" t="s">
        <v>56</v>
      </c>
      <c r="F51" s="5">
        <v>20003027</v>
      </c>
      <c r="G51" s="15" t="s">
        <v>59</v>
      </c>
      <c r="H51" s="7" t="s">
        <v>2</v>
      </c>
      <c r="I51" s="6" t="s">
        <v>2</v>
      </c>
      <c r="J51" s="15" t="s">
        <v>42</v>
      </c>
      <c r="K51" s="5">
        <v>3</v>
      </c>
      <c r="L51" s="7" t="s">
        <v>2</v>
      </c>
      <c r="M51" s="6" t="s">
        <v>2</v>
      </c>
      <c r="N51" s="5">
        <v>0</v>
      </c>
      <c r="O51" s="16">
        <v>2.5</v>
      </c>
      <c r="P51" s="16">
        <v>7.5</v>
      </c>
      <c r="Q51" s="7" t="s">
        <v>2</v>
      </c>
      <c r="R51" s="7" t="s">
        <v>2</v>
      </c>
      <c r="S51" s="6" t="s">
        <v>2</v>
      </c>
      <c r="V51" t="e">
        <f t="shared" si="0"/>
        <v>#DIV/0!</v>
      </c>
    </row>
    <row r="52" spans="1:22">
      <c r="A52" s="17" t="s">
        <v>2</v>
      </c>
      <c r="C52" s="17" t="s">
        <v>2</v>
      </c>
      <c r="D52" s="17" t="s">
        <v>2</v>
      </c>
      <c r="E52" s="17" t="s">
        <v>2</v>
      </c>
      <c r="F52" s="18" t="s">
        <v>2</v>
      </c>
      <c r="G52" s="17" t="s">
        <v>2</v>
      </c>
      <c r="J52" s="17" t="s">
        <v>2</v>
      </c>
      <c r="K52" s="17" t="s">
        <v>2</v>
      </c>
      <c r="N52" s="17" t="s">
        <v>2</v>
      </c>
      <c r="O52" s="17" t="s">
        <v>2</v>
      </c>
      <c r="P52" s="17" t="s">
        <v>2</v>
      </c>
    </row>
    <row r="53" spans="1:22">
      <c r="A53" s="17" t="s">
        <v>2</v>
      </c>
      <c r="C53" s="17" t="s">
        <v>2</v>
      </c>
      <c r="D53" s="17" t="s">
        <v>2</v>
      </c>
      <c r="E53" s="17" t="s">
        <v>2</v>
      </c>
      <c r="F53" s="18" t="s">
        <v>2</v>
      </c>
      <c r="G53" s="17" t="s">
        <v>2</v>
      </c>
      <c r="J53" s="17" t="s">
        <v>2</v>
      </c>
      <c r="K53" s="17" t="s">
        <v>2</v>
      </c>
      <c r="N53" s="17" t="s">
        <v>2</v>
      </c>
      <c r="O53" s="17" t="s">
        <v>2</v>
      </c>
      <c r="P53" s="17" t="s">
        <v>2</v>
      </c>
    </row>
    <row r="54" ht="0.05" customHeight="1"/>
    <row r="55" ht="0.9" customHeight="1"/>
  </sheetData>
  <autoFilter xmlns:etc="http://www.wps.cn/officeDocument/2017/etCustomData" ref="V1:V55" etc:filterBottomFollowUsedRange="0">
    <extLst/>
  </autoFilter>
  <mergeCells count="171">
    <mergeCell ref="A12:B12"/>
    <mergeCell ref="G12:I12"/>
    <mergeCell ref="K12:M12"/>
    <mergeCell ref="P12:S12"/>
    <mergeCell ref="A13:J13"/>
    <mergeCell ref="K13:M13"/>
    <mergeCell ref="P13:S13"/>
    <mergeCell ref="A14:J14"/>
    <mergeCell ref="K14:M14"/>
    <mergeCell ref="P14:S14"/>
    <mergeCell ref="A15:B15"/>
    <mergeCell ref="G15:I15"/>
    <mergeCell ref="K15:M15"/>
    <mergeCell ref="P15:S15"/>
    <mergeCell ref="A16:B16"/>
    <mergeCell ref="G16:I16"/>
    <mergeCell ref="K16:M16"/>
    <mergeCell ref="P16:S16"/>
    <mergeCell ref="A17:B17"/>
    <mergeCell ref="G17:I17"/>
    <mergeCell ref="K17:M17"/>
    <mergeCell ref="P17:S17"/>
    <mergeCell ref="A18:B18"/>
    <mergeCell ref="G18:I18"/>
    <mergeCell ref="K18:M18"/>
    <mergeCell ref="P18:S18"/>
    <mergeCell ref="A19:B19"/>
    <mergeCell ref="G19:I19"/>
    <mergeCell ref="K19:M19"/>
    <mergeCell ref="P19:S19"/>
    <mergeCell ref="A20:B20"/>
    <mergeCell ref="G20:I20"/>
    <mergeCell ref="K20:M20"/>
    <mergeCell ref="P20:S20"/>
    <mergeCell ref="A21:B21"/>
    <mergeCell ref="G21:I21"/>
    <mergeCell ref="K21:M21"/>
    <mergeCell ref="P21:S21"/>
    <mergeCell ref="A22:B22"/>
    <mergeCell ref="G22:I22"/>
    <mergeCell ref="K22:M22"/>
    <mergeCell ref="P22:S22"/>
    <mergeCell ref="A23:B23"/>
    <mergeCell ref="G23:I23"/>
    <mergeCell ref="K23:M23"/>
    <mergeCell ref="P23:S23"/>
    <mergeCell ref="A24:B24"/>
    <mergeCell ref="G24:I24"/>
    <mergeCell ref="K24:M24"/>
    <mergeCell ref="P24:S24"/>
    <mergeCell ref="A25:B25"/>
    <mergeCell ref="G25:I25"/>
    <mergeCell ref="K25:M25"/>
    <mergeCell ref="P25:S25"/>
    <mergeCell ref="A26:B26"/>
    <mergeCell ref="G26:I26"/>
    <mergeCell ref="K26:M26"/>
    <mergeCell ref="P26:S26"/>
    <mergeCell ref="A27:B27"/>
    <mergeCell ref="G27:I27"/>
    <mergeCell ref="K27:M27"/>
    <mergeCell ref="P27:S27"/>
    <mergeCell ref="A28:B28"/>
    <mergeCell ref="G28:I28"/>
    <mergeCell ref="K28:M28"/>
    <mergeCell ref="P28:S28"/>
    <mergeCell ref="A29:B29"/>
    <mergeCell ref="G29:I29"/>
    <mergeCell ref="K29:M29"/>
    <mergeCell ref="P29:S29"/>
    <mergeCell ref="A30:B30"/>
    <mergeCell ref="G30:I30"/>
    <mergeCell ref="K30:M30"/>
    <mergeCell ref="P30:S30"/>
    <mergeCell ref="A31:B31"/>
    <mergeCell ref="G31:I31"/>
    <mergeCell ref="K31:M31"/>
    <mergeCell ref="P31:S31"/>
    <mergeCell ref="A32:B32"/>
    <mergeCell ref="G32:I32"/>
    <mergeCell ref="K32:M32"/>
    <mergeCell ref="P32:S32"/>
    <mergeCell ref="A33:B33"/>
    <mergeCell ref="G33:I33"/>
    <mergeCell ref="K33:M33"/>
    <mergeCell ref="P33:S33"/>
    <mergeCell ref="A34:B34"/>
    <mergeCell ref="G34:I34"/>
    <mergeCell ref="K34:M34"/>
    <mergeCell ref="P34:S34"/>
    <mergeCell ref="A35:B35"/>
    <mergeCell ref="G35:I35"/>
    <mergeCell ref="K35:M35"/>
    <mergeCell ref="P35:S35"/>
    <mergeCell ref="A36:B36"/>
    <mergeCell ref="G36:I36"/>
    <mergeCell ref="K36:M36"/>
    <mergeCell ref="P36:S36"/>
    <mergeCell ref="A37:B37"/>
    <mergeCell ref="G37:I37"/>
    <mergeCell ref="K37:M37"/>
    <mergeCell ref="P37:S37"/>
    <mergeCell ref="A38:B38"/>
    <mergeCell ref="G38:I38"/>
    <mergeCell ref="K38:M38"/>
    <mergeCell ref="P38:S38"/>
    <mergeCell ref="A39:B39"/>
    <mergeCell ref="G39:I39"/>
    <mergeCell ref="K39:M39"/>
    <mergeCell ref="P39:S39"/>
    <mergeCell ref="A40:B40"/>
    <mergeCell ref="G40:I40"/>
    <mergeCell ref="K40:M40"/>
    <mergeCell ref="P40:S40"/>
    <mergeCell ref="A41:B41"/>
    <mergeCell ref="G41:I41"/>
    <mergeCell ref="K41:M41"/>
    <mergeCell ref="P41:S41"/>
    <mergeCell ref="A42:B42"/>
    <mergeCell ref="G42:I42"/>
    <mergeCell ref="K42:M42"/>
    <mergeCell ref="P42:S42"/>
    <mergeCell ref="A43:B43"/>
    <mergeCell ref="G43:I43"/>
    <mergeCell ref="K43:M43"/>
    <mergeCell ref="P43:S43"/>
    <mergeCell ref="A44:B44"/>
    <mergeCell ref="G44:I44"/>
    <mergeCell ref="K44:M44"/>
    <mergeCell ref="P44:S44"/>
    <mergeCell ref="A45:B45"/>
    <mergeCell ref="G45:I45"/>
    <mergeCell ref="K45:M45"/>
    <mergeCell ref="P45:S45"/>
    <mergeCell ref="A46:B46"/>
    <mergeCell ref="G46:I46"/>
    <mergeCell ref="K46:M46"/>
    <mergeCell ref="P46:S46"/>
    <mergeCell ref="A47:B47"/>
    <mergeCell ref="G47:I47"/>
    <mergeCell ref="K47:M47"/>
    <mergeCell ref="P47:S47"/>
    <mergeCell ref="A48:B48"/>
    <mergeCell ref="G48:I48"/>
    <mergeCell ref="K48:M48"/>
    <mergeCell ref="P48:S48"/>
    <mergeCell ref="A49:B49"/>
    <mergeCell ref="G49:I49"/>
    <mergeCell ref="K49:M49"/>
    <mergeCell ref="P49:S49"/>
    <mergeCell ref="A50:B50"/>
    <mergeCell ref="G50:I50"/>
    <mergeCell ref="K50:M50"/>
    <mergeCell ref="P50:S50"/>
    <mergeCell ref="A51:B51"/>
    <mergeCell ref="G51:I51"/>
    <mergeCell ref="K51:M51"/>
    <mergeCell ref="P51:S51"/>
    <mergeCell ref="A52:B52"/>
    <mergeCell ref="G52:I52"/>
    <mergeCell ref="K52:M52"/>
    <mergeCell ref="P52:S52"/>
    <mergeCell ref="A53:B53"/>
    <mergeCell ref="G53:I53"/>
    <mergeCell ref="K53:M53"/>
    <mergeCell ref="P53:S53"/>
    <mergeCell ref="B1:G2"/>
    <mergeCell ref="Q2:R4"/>
    <mergeCell ref="B4:G5"/>
    <mergeCell ref="I8:K9"/>
    <mergeCell ref="M9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RPTGL-0072 
&amp;"-,Regular"执行用户: 
&amp;"-,Regular"高健 &amp;C&amp;"Droid Sans Fallback,Regular"&amp;9 执行时间: 
&amp;"-,Regular"2026年8月14日 12:06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DeliveryNoteSummaryWithPackingM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小兔子蹦der</cp:lastModifiedBy>
  <dcterms:created xsi:type="dcterms:W3CDTF">2026-08-14T04:07:20Z</dcterms:created>
  <dcterms:modified xsi:type="dcterms:W3CDTF">2026-08-14T04:08:40Z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DB82117B7DD44D8C9E3BC333DF43B41B_13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