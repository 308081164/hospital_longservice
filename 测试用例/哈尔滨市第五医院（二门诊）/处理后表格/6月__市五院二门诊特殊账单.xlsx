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浏览器下载\"/>
    </mc:Choice>
  </mc:AlternateContent>
  <bookViews>
    <workbookView windowWidth="27945" windowHeight="12375"/>
  </bookViews>
  <sheets>
    <sheet name="手术室" sheetId="1" r:id="rId1"/>
  </sheets>
  <definedNames>
    <definedName name="_xlnm._FilterDatabase" localSheetId="0" hidden="1">手术室!$T$1:$T$62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<sst xmlns="http://schemas.openxmlformats.org/spreadsheetml/2006/main" count="420" uniqueCount="53">
  <si>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</si>
  <si>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</si>
  <si>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</si>
  <si>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</si>
  <si>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</si>
  <si>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</si>
  <si>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</si>
  <si>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</si>
  <si>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</si>
  <si>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</si>
  <si>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</si>
  <si>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</si>
  <si>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</si>
  <si>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哈尔滨市第五医院（二门诊）</t>
  </si>
  <si>
    <t>手术室</t>
  </si>
  <si>
    <t>额外包(纸塑袋)</t>
  </si>
  <si>
    <t>持针器-1/Z1026</t>
  </si>
  <si>
    <t xml:space="preserve">高温纸塑袋100*260 </t>
  </si>
  <si>
    <t>刀柄-1/Z7526</t>
  </si>
  <si>
    <t xml:space="preserve">高温纸塑袋75*260 </t>
  </si>
  <si>
    <t>钩镊-1/Z7526</t>
  </si>
  <si>
    <t>金柄持针器-1/Z1029</t>
  </si>
  <si>
    <t xml:space="preserve">高温纸塑袋100*290 </t>
  </si>
  <si>
    <t>蚊式-1/Z1026</t>
  </si>
  <si>
    <t>蚊式-4/Z1526</t>
  </si>
  <si>
    <t xml:space="preserve">高温纸塑袋150*260 </t>
  </si>
  <si>
    <t>小剪刀-1/Z7520</t>
  </si>
  <si>
    <t xml:space="preserve">高温纸塑袋75*200 </t>
  </si>
  <si>
    <t>整形镊子-1/Z7520</t>
  </si>
  <si>
    <t>器械包(ZSD)</t>
  </si>
  <si>
    <t>整形包（二）</t>
  </si>
  <si>
    <t xml:space="preserve">无纺布-90×90-50g </t>
  </si>
  <si>
    <t>整形包（三）</t>
  </si>
  <si>
    <t>整形包（一）</t>
  </si>
  <si>
    <t>卵圆钳-1/z1535</t>
  </si>
  <si>
    <t xml:space="preserve">高温纸塑袋150*350 </t>
  </si>
  <si>
    <t>镊子-1/Z7530</t>
  </si>
  <si>
    <t xml:space="preserve">高温纸塑袋75*300 </t>
  </si>
  <si>
    <t>整形包（四）</t>
  </si>
  <si>
    <t>剪刀-1/Z1026</t>
  </si>
  <si>
    <t>额外包(无纺布)</t>
  </si>
  <si>
    <t>消毒罐-1/W6050</t>
  </si>
  <si>
    <t xml:space="preserve">无纺布-60×60-50g </t>
  </si>
  <si>
    <t>肌钩-2/Z1026</t>
  </si>
  <si>
    <t>拉钩-1/Z1026</t>
  </si>
  <si>
    <t>拉钩-2/Z1026</t>
  </si>
  <si>
    <t>爪钩 -1/Z7520</t>
  </si>
  <si>
    <t>外科包</t>
  </si>
  <si>
    <t>敷料包(无纺布包)</t>
  </si>
  <si>
    <t>驱血带/W5050</t>
  </si>
  <si>
    <t xml:space="preserve">无纺布-50×50-50g </t>
  </si>
  <si>
    <t>滚轴-1/W605060</t>
  </si>
  <si>
    <t xml:space="preserve">无纺布-60×60-60g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</si>
</sst>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2"/>
  <sheetViews>
    <sheetView showGridLines="0" tabSelected="1" workbookViewId="0">
      <pane ySplit="6" topLeftCell="A7" activePane="bottomLeft" state="frozen"/>
      <selection/>
      <selection pane="bottomLeft" activeCell="X37" sqref="X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20">
      <c r="C1" s="1" t="s">
        <v>0</v>
      </c>
    </row>
    <row r="2" ht="23.05" customHeight="1"/>
    <row r="3" ht="2" customHeight="1"/>
    <row r="4" ht="15.2" customHeight="1" spans="1:20">
      <c r="B4" s="2" t="s">
        <v>1</v>
      </c>
    </row>
    <row r="6" ht="2.95" customHeight="1"/>
    <row r="7" ht="3.95" customHeight="1" spans="1:20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20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6" t="s">
        <v>2</v>
      </c>
      <c r="J8" s="7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6" t="s">
        <v>2</v>
      </c>
      <c r="Q8" s="7" t="s">
        <v>2</v>
      </c>
    </row>
    <row r="9" ht="15" spans="1:20">
      <c r="C9" s="4" t="s">
        <v>2</v>
      </c>
      <c r="D9" s="8" t="s">
        <v>13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7" t="s">
        <v>2</v>
      </c>
      <c r="L9" s="9">
        <v>69</v>
      </c>
      <c r="M9" s="9">
        <v>199</v>
      </c>
      <c r="N9" s="10">
        <v>1044</v>
      </c>
      <c r="O9" s="10">
        <v>1249</v>
      </c>
      <c r="P9" s="6" t="s">
        <v>2</v>
      </c>
      <c r="Q9" s="7" t="s">
        <v>2</v>
      </c>
    </row>
    <row r="10" spans="1:20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6" t="s">
        <v>2</v>
      </c>
      <c r="J10" s="7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6" t="s">
        <v>2</v>
      </c>
      <c r="Q10" s="7" t="s">
        <v>2</v>
      </c>
    </row>
    <row r="11" ht="14.25" spans="1:20">
      <c r="D11" s="11" t="s">
        <v>14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7" t="s">
        <v>2</v>
      </c>
      <c r="L11" s="12">
        <v>69</v>
      </c>
      <c r="M11" s="12">
        <v>199</v>
      </c>
      <c r="N11" s="13">
        <v>1044</v>
      </c>
      <c r="O11" s="13">
        <v>1249</v>
      </c>
      <c r="P11" s="6" t="s">
        <v>2</v>
      </c>
      <c r="Q11" s="7" t="s">
        <v>2</v>
      </c>
    </row>
    <row r="12" spans="1:20">
      <c r="D12" s="14">
        <v>46176</v>
      </c>
      <c r="E12" s="15">
        <v>1608912</v>
      </c>
      <c r="F12" s="15" t="s">
        <v>15</v>
      </c>
      <c r="G12" s="5">
        <v>20323025</v>
      </c>
      <c r="H12" s="15" t="s">
        <v>16</v>
      </c>
      <c r="I12" s="6" t="s">
        <v>2</v>
      </c>
      <c r="J12" s="7" t="s">
        <v>2</v>
      </c>
      <c r="K12" s="15" t="s">
        <v>17</v>
      </c>
      <c r="L12" s="5">
        <v>1</v>
      </c>
      <c r="M12" s="5">
        <v>1</v>
      </c>
      <c r="N12" s="16">
        <v>8</v>
      </c>
      <c r="O12" s="16">
        <v>8</v>
      </c>
      <c r="P12" s="6" t="s">
        <v>2</v>
      </c>
      <c r="Q12" s="7" t="s">
        <v>2</v>
      </c>
      <c r="T12">
        <f>O12/M12</f>
        <v>8</v>
      </c>
    </row>
    <row r="13" spans="1:20">
      <c r="D13" s="14">
        <v>46176</v>
      </c>
      <c r="E13" s="15">
        <v>1608912</v>
      </c>
      <c r="F13" s="15" t="s">
        <v>15</v>
      </c>
      <c r="G13" s="5">
        <v>20361862</v>
      </c>
      <c r="H13" s="15" t="s">
        <v>18</v>
      </c>
      <c r="I13" s="6" t="s">
        <v>2</v>
      </c>
      <c r="J13" s="7" t="s">
        <v>2</v>
      </c>
      <c r="K13" s="15" t="s">
        <v>19</v>
      </c>
      <c r="L13" s="5">
        <v>1</v>
      </c>
      <c r="M13" s="5">
        <v>1</v>
      </c>
      <c r="N13" s="16">
        <v>8</v>
      </c>
      <c r="O13" s="16">
        <v>8</v>
      </c>
      <c r="P13" s="6" t="s">
        <v>2</v>
      </c>
      <c r="Q13" s="7" t="s">
        <v>2</v>
      </c>
      <c r="T13">
        <f t="shared" ref="T13:T44" si="0">O13/M13</f>
        <v>8</v>
      </c>
    </row>
    <row r="14" spans="1:20">
      <c r="D14" s="14">
        <v>46176</v>
      </c>
      <c r="E14" s="15">
        <v>1608912</v>
      </c>
      <c r="F14" s="15" t="s">
        <v>15</v>
      </c>
      <c r="G14" s="5">
        <v>20384100</v>
      </c>
      <c r="H14" s="15" t="s">
        <v>20</v>
      </c>
      <c r="I14" s="6" t="s">
        <v>2</v>
      </c>
      <c r="J14" s="7" t="s">
        <v>2</v>
      </c>
      <c r="K14" s="15" t="s">
        <v>19</v>
      </c>
      <c r="L14" s="5">
        <v>1</v>
      </c>
      <c r="M14" s="5">
        <v>1</v>
      </c>
      <c r="N14" s="16">
        <v>8</v>
      </c>
      <c r="O14" s="16">
        <v>8</v>
      </c>
      <c r="P14" s="6" t="s">
        <v>2</v>
      </c>
      <c r="Q14" s="7" t="s">
        <v>2</v>
      </c>
      <c r="T14">
        <f t="shared" si="0"/>
        <v>8</v>
      </c>
    </row>
    <row r="15" spans="1:20">
      <c r="D15" s="14">
        <v>46176</v>
      </c>
      <c r="E15" s="15">
        <v>1608912</v>
      </c>
      <c r="F15" s="15" t="s">
        <v>15</v>
      </c>
      <c r="G15" s="5">
        <v>20425421</v>
      </c>
      <c r="H15" s="15" t="s">
        <v>21</v>
      </c>
      <c r="I15" s="6" t="s">
        <v>2</v>
      </c>
      <c r="J15" s="7" t="s">
        <v>2</v>
      </c>
      <c r="K15" s="15" t="s">
        <v>22</v>
      </c>
      <c r="L15" s="5">
        <v>1</v>
      </c>
      <c r="M15" s="5">
        <v>1</v>
      </c>
      <c r="N15" s="16">
        <v>8</v>
      </c>
      <c r="O15" s="16">
        <v>8</v>
      </c>
      <c r="P15" s="6" t="s">
        <v>2</v>
      </c>
      <c r="Q15" s="7" t="s">
        <v>2</v>
      </c>
      <c r="T15">
        <f t="shared" si="0"/>
        <v>8</v>
      </c>
    </row>
    <row r="16" spans="1:20">
      <c r="D16" s="14">
        <v>46176</v>
      </c>
      <c r="E16" s="15">
        <v>1608912</v>
      </c>
      <c r="F16" s="15" t="s">
        <v>15</v>
      </c>
      <c r="G16" s="5">
        <v>20361865</v>
      </c>
      <c r="H16" s="15" t="s">
        <v>23</v>
      </c>
      <c r="I16" s="6" t="s">
        <v>2</v>
      </c>
      <c r="J16" s="7" t="s">
        <v>2</v>
      </c>
      <c r="K16" s="15" t="s">
        <v>17</v>
      </c>
      <c r="L16" s="5">
        <v>3</v>
      </c>
      <c r="M16" s="5">
        <v>3</v>
      </c>
      <c r="N16" s="16">
        <v>8</v>
      </c>
      <c r="O16" s="16">
        <v>24</v>
      </c>
      <c r="P16" s="6" t="s">
        <v>2</v>
      </c>
      <c r="Q16" s="7" t="s">
        <v>2</v>
      </c>
      <c r="T16">
        <f t="shared" si="0"/>
        <v>8</v>
      </c>
    </row>
    <row r="17" spans="4:20">
      <c r="D17" s="14">
        <v>46176</v>
      </c>
      <c r="E17" s="15">
        <v>1608912</v>
      </c>
      <c r="F17" s="15" t="s">
        <v>15</v>
      </c>
      <c r="G17" s="5">
        <v>20422293</v>
      </c>
      <c r="H17" s="15" t="s">
        <v>24</v>
      </c>
      <c r="I17" s="6" t="s">
        <v>2</v>
      </c>
      <c r="J17" s="7" t="s">
        <v>2</v>
      </c>
      <c r="K17" s="15" t="s">
        <v>25</v>
      </c>
      <c r="L17" s="5">
        <v>1</v>
      </c>
      <c r="M17" s="5">
        <v>4</v>
      </c>
      <c r="N17" s="16">
        <v>22</v>
      </c>
      <c r="O17" s="16">
        <v>22</v>
      </c>
      <c r="P17" s="6" t="s">
        <v>2</v>
      </c>
      <c r="Q17" s="7" t="s">
        <v>2</v>
      </c>
      <c r="T17">
        <f t="shared" si="0"/>
        <v>5.5</v>
      </c>
    </row>
    <row r="18" spans="4:20">
      <c r="D18" s="14">
        <v>46176</v>
      </c>
      <c r="E18" s="15">
        <v>1608912</v>
      </c>
      <c r="F18" s="15" t="s">
        <v>15</v>
      </c>
      <c r="G18" s="5">
        <v>20323182</v>
      </c>
      <c r="H18" s="15" t="s">
        <v>26</v>
      </c>
      <c r="I18" s="6" t="s">
        <v>2</v>
      </c>
      <c r="J18" s="7" t="s">
        <v>2</v>
      </c>
      <c r="K18" s="15" t="s">
        <v>27</v>
      </c>
      <c r="L18" s="5">
        <v>2</v>
      </c>
      <c r="M18" s="5">
        <v>2</v>
      </c>
      <c r="N18" s="16">
        <v>8</v>
      </c>
      <c r="O18" s="16">
        <v>16</v>
      </c>
      <c r="P18" s="6" t="s">
        <v>2</v>
      </c>
      <c r="Q18" s="7" t="s">
        <v>2</v>
      </c>
      <c r="T18">
        <f t="shared" si="0"/>
        <v>8</v>
      </c>
    </row>
    <row r="19" spans="4:20">
      <c r="D19" s="14">
        <v>46176</v>
      </c>
      <c r="E19" s="15">
        <v>1608912</v>
      </c>
      <c r="F19" s="15" t="s">
        <v>15</v>
      </c>
      <c r="G19" s="5">
        <v>20375054</v>
      </c>
      <c r="H19" s="15" t="s">
        <v>28</v>
      </c>
      <c r="I19" s="6" t="s">
        <v>2</v>
      </c>
      <c r="J19" s="7" t="s">
        <v>2</v>
      </c>
      <c r="K19" s="15" t="s">
        <v>27</v>
      </c>
      <c r="L19" s="5">
        <v>2</v>
      </c>
      <c r="M19" s="5">
        <v>2</v>
      </c>
      <c r="N19" s="16">
        <v>8</v>
      </c>
      <c r="O19" s="16">
        <v>16</v>
      </c>
      <c r="P19" s="6" t="s">
        <v>2</v>
      </c>
      <c r="Q19" s="7" t="s">
        <v>2</v>
      </c>
      <c r="T19">
        <f t="shared" si="0"/>
        <v>8</v>
      </c>
    </row>
    <row r="20" spans="4:20">
      <c r="D20" s="14">
        <v>46176</v>
      </c>
      <c r="E20" s="15">
        <v>1608912</v>
      </c>
      <c r="F20" s="15" t="s">
        <v>29</v>
      </c>
      <c r="G20" s="5">
        <v>20425351</v>
      </c>
      <c r="H20" s="15" t="s">
        <v>30</v>
      </c>
      <c r="I20" s="6" t="s">
        <v>2</v>
      </c>
      <c r="J20" s="7" t="s">
        <v>2</v>
      </c>
      <c r="K20" s="15" t="s">
        <v>31</v>
      </c>
      <c r="L20" s="5">
        <v>1</v>
      </c>
      <c r="M20" s="5">
        <v>9</v>
      </c>
      <c r="N20" s="16">
        <v>49.5</v>
      </c>
      <c r="O20" s="16">
        <v>49.5</v>
      </c>
      <c r="P20" s="6" t="s">
        <v>2</v>
      </c>
      <c r="Q20" s="7" t="s">
        <v>2</v>
      </c>
      <c r="T20">
        <f t="shared" si="0"/>
        <v>5.5</v>
      </c>
    </row>
    <row r="21" spans="4:20">
      <c r="D21" s="14">
        <v>46176</v>
      </c>
      <c r="E21" s="15">
        <v>1608912</v>
      </c>
      <c r="F21" s="15" t="s">
        <v>29</v>
      </c>
      <c r="G21" s="5">
        <v>20425352</v>
      </c>
      <c r="H21" s="15" t="s">
        <v>32</v>
      </c>
      <c r="I21" s="6" t="s">
        <v>2</v>
      </c>
      <c r="J21" s="7" t="s">
        <v>2</v>
      </c>
      <c r="K21" s="15" t="s">
        <v>31</v>
      </c>
      <c r="L21" s="5">
        <v>1</v>
      </c>
      <c r="M21" s="5">
        <v>9</v>
      </c>
      <c r="N21" s="16">
        <v>49.5</v>
      </c>
      <c r="O21" s="16">
        <v>49.5</v>
      </c>
      <c r="P21" s="6" t="s">
        <v>2</v>
      </c>
      <c r="Q21" s="7" t="s">
        <v>2</v>
      </c>
      <c r="T21">
        <f t="shared" si="0"/>
        <v>5.5</v>
      </c>
    </row>
    <row r="22" spans="4:20">
      <c r="D22" s="14">
        <v>46176</v>
      </c>
      <c r="E22" s="15">
        <v>1608912</v>
      </c>
      <c r="F22" s="15" t="s">
        <v>29</v>
      </c>
      <c r="G22" s="5">
        <v>20323000</v>
      </c>
      <c r="H22" s="15" t="s">
        <v>33</v>
      </c>
      <c r="I22" s="6" t="s">
        <v>2</v>
      </c>
      <c r="J22" s="7" t="s">
        <v>2</v>
      </c>
      <c r="K22" s="15" t="s">
        <v>31</v>
      </c>
      <c r="L22" s="5">
        <v>1</v>
      </c>
      <c r="M22" s="5">
        <v>9</v>
      </c>
      <c r="N22" s="16">
        <v>49.5</v>
      </c>
      <c r="O22" s="16">
        <v>49.5</v>
      </c>
      <c r="P22" s="6" t="s">
        <v>2</v>
      </c>
      <c r="Q22" s="7" t="s">
        <v>2</v>
      </c>
      <c r="T22">
        <f t="shared" si="0"/>
        <v>5.5</v>
      </c>
    </row>
    <row r="23" spans="4:20">
      <c r="D23" s="14">
        <v>46181</v>
      </c>
      <c r="E23" s="15">
        <v>1610249</v>
      </c>
      <c r="F23" s="15" t="s">
        <v>15</v>
      </c>
      <c r="G23" s="5">
        <v>20323025</v>
      </c>
      <c r="H23" s="15" t="s">
        <v>16</v>
      </c>
      <c r="I23" s="6" t="s">
        <v>2</v>
      </c>
      <c r="J23" s="7" t="s">
        <v>2</v>
      </c>
      <c r="K23" s="15" t="s">
        <v>17</v>
      </c>
      <c r="L23" s="5">
        <v>1</v>
      </c>
      <c r="M23" s="5">
        <v>1</v>
      </c>
      <c r="N23" s="16">
        <v>8</v>
      </c>
      <c r="O23" s="16">
        <v>8</v>
      </c>
      <c r="P23" s="6" t="s">
        <v>2</v>
      </c>
      <c r="Q23" s="7" t="s">
        <v>2</v>
      </c>
      <c r="T23">
        <f t="shared" si="0"/>
        <v>8</v>
      </c>
    </row>
    <row r="24" spans="4:20">
      <c r="D24" s="14">
        <v>46181</v>
      </c>
      <c r="E24" s="15">
        <v>1610249</v>
      </c>
      <c r="F24" s="15" t="s">
        <v>15</v>
      </c>
      <c r="G24" s="5">
        <v>20428968</v>
      </c>
      <c r="H24" s="15" t="s">
        <v>34</v>
      </c>
      <c r="I24" s="6" t="s">
        <v>2</v>
      </c>
      <c r="J24" s="7" t="s">
        <v>2</v>
      </c>
      <c r="K24" s="15" t="s">
        <v>35</v>
      </c>
      <c r="L24" s="5">
        <v>1</v>
      </c>
      <c r="M24" s="5">
        <v>1</v>
      </c>
      <c r="N24" s="16">
        <v>11</v>
      </c>
      <c r="O24" s="16">
        <v>11</v>
      </c>
      <c r="P24" s="6" t="s">
        <v>2</v>
      </c>
      <c r="Q24" s="7" t="s">
        <v>2</v>
      </c>
      <c r="T24">
        <f t="shared" si="0"/>
        <v>11</v>
      </c>
    </row>
    <row r="25" spans="4:20">
      <c r="D25" s="14">
        <v>46181</v>
      </c>
      <c r="E25" s="15">
        <v>1610249</v>
      </c>
      <c r="F25" s="15" t="s">
        <v>15</v>
      </c>
      <c r="G25" s="5">
        <v>20323026</v>
      </c>
      <c r="H25" s="15" t="s">
        <v>36</v>
      </c>
      <c r="I25" s="6" t="s">
        <v>2</v>
      </c>
      <c r="J25" s="7" t="s">
        <v>2</v>
      </c>
      <c r="K25" s="15" t="s">
        <v>37</v>
      </c>
      <c r="L25" s="5">
        <v>1</v>
      </c>
      <c r="M25" s="5">
        <v>1</v>
      </c>
      <c r="N25" s="16">
        <v>8</v>
      </c>
      <c r="O25" s="16">
        <v>8</v>
      </c>
      <c r="P25" s="6" t="s">
        <v>2</v>
      </c>
      <c r="Q25" s="7" t="s">
        <v>2</v>
      </c>
      <c r="T25">
        <f t="shared" si="0"/>
        <v>8</v>
      </c>
    </row>
    <row r="26" spans="4:20">
      <c r="D26" s="14">
        <v>46181</v>
      </c>
      <c r="E26" s="15">
        <v>1610249</v>
      </c>
      <c r="F26" s="15" t="s">
        <v>15</v>
      </c>
      <c r="G26" s="5">
        <v>20361865</v>
      </c>
      <c r="H26" s="15" t="s">
        <v>23</v>
      </c>
      <c r="I26" s="6" t="s">
        <v>2</v>
      </c>
      <c r="J26" s="7" t="s">
        <v>2</v>
      </c>
      <c r="K26" s="15" t="s">
        <v>17</v>
      </c>
      <c r="L26" s="5">
        <v>1</v>
      </c>
      <c r="M26" s="5">
        <v>1</v>
      </c>
      <c r="N26" s="16">
        <v>8</v>
      </c>
      <c r="O26" s="16">
        <v>8</v>
      </c>
      <c r="P26" s="6" t="s">
        <v>2</v>
      </c>
      <c r="Q26" s="7" t="s">
        <v>2</v>
      </c>
      <c r="T26">
        <f t="shared" si="0"/>
        <v>8</v>
      </c>
    </row>
    <row r="27" spans="4:20">
      <c r="D27" s="14">
        <v>46181</v>
      </c>
      <c r="E27" s="15">
        <v>1610249</v>
      </c>
      <c r="F27" s="15" t="s">
        <v>15</v>
      </c>
      <c r="G27" s="5">
        <v>20323182</v>
      </c>
      <c r="H27" s="15" t="s">
        <v>26</v>
      </c>
      <c r="I27" s="6" t="s">
        <v>2</v>
      </c>
      <c r="J27" s="7" t="s">
        <v>2</v>
      </c>
      <c r="K27" s="15" t="s">
        <v>27</v>
      </c>
      <c r="L27" s="5">
        <v>1</v>
      </c>
      <c r="M27" s="5">
        <v>1</v>
      </c>
      <c r="N27" s="16">
        <v>8</v>
      </c>
      <c r="O27" s="16">
        <v>8</v>
      </c>
      <c r="P27" s="6" t="s">
        <v>2</v>
      </c>
      <c r="Q27" s="7" t="s">
        <v>2</v>
      </c>
      <c r="T27">
        <f t="shared" si="0"/>
        <v>8</v>
      </c>
    </row>
    <row r="28" spans="4:20">
      <c r="D28" s="14">
        <v>46181</v>
      </c>
      <c r="E28" s="15">
        <v>1610249</v>
      </c>
      <c r="F28" s="15" t="s">
        <v>29</v>
      </c>
      <c r="G28" s="5">
        <v>20428967</v>
      </c>
      <c r="H28" s="15" t="s">
        <v>38</v>
      </c>
      <c r="I28" s="6" t="s">
        <v>2</v>
      </c>
      <c r="J28" s="7" t="s">
        <v>2</v>
      </c>
      <c r="K28" s="15" t="s">
        <v>31</v>
      </c>
      <c r="L28" s="5">
        <v>1</v>
      </c>
      <c r="M28" s="5">
        <v>9</v>
      </c>
      <c r="N28" s="16">
        <v>49.5</v>
      </c>
      <c r="O28" s="16">
        <v>49.5</v>
      </c>
      <c r="P28" s="6" t="s">
        <v>2</v>
      </c>
      <c r="Q28" s="7" t="s">
        <v>2</v>
      </c>
      <c r="T28">
        <f t="shared" si="0"/>
        <v>5.5</v>
      </c>
    </row>
    <row r="29" spans="4:20">
      <c r="D29" s="14">
        <v>46184</v>
      </c>
      <c r="E29" s="15">
        <v>1611446</v>
      </c>
      <c r="F29" s="15" t="s">
        <v>15</v>
      </c>
      <c r="G29" s="5">
        <v>20323034</v>
      </c>
      <c r="H29" s="15" t="s">
        <v>39</v>
      </c>
      <c r="I29" s="6" t="s">
        <v>2</v>
      </c>
      <c r="J29" s="7" t="s">
        <v>2</v>
      </c>
      <c r="K29" s="15" t="s">
        <v>17</v>
      </c>
      <c r="L29" s="5">
        <v>2</v>
      </c>
      <c r="M29" s="5">
        <v>2</v>
      </c>
      <c r="N29" s="16">
        <v>8</v>
      </c>
      <c r="O29" s="16">
        <v>16</v>
      </c>
      <c r="P29" s="6" t="s">
        <v>2</v>
      </c>
      <c r="Q29" s="7" t="s">
        <v>2</v>
      </c>
      <c r="T29">
        <f t="shared" si="0"/>
        <v>8</v>
      </c>
    </row>
    <row r="30" spans="4:20">
      <c r="D30" s="14">
        <v>46184</v>
      </c>
      <c r="E30" s="15">
        <v>1611446</v>
      </c>
      <c r="F30" s="15" t="s">
        <v>15</v>
      </c>
      <c r="G30" s="5">
        <v>20425421</v>
      </c>
      <c r="H30" s="15" t="s">
        <v>21</v>
      </c>
      <c r="I30" s="6" t="s">
        <v>2</v>
      </c>
      <c r="J30" s="7" t="s">
        <v>2</v>
      </c>
      <c r="K30" s="15" t="s">
        <v>22</v>
      </c>
      <c r="L30" s="5">
        <v>1</v>
      </c>
      <c r="M30" s="5">
        <v>1</v>
      </c>
      <c r="N30" s="16">
        <v>8</v>
      </c>
      <c r="O30" s="16">
        <v>8</v>
      </c>
      <c r="P30" s="6" t="s">
        <v>2</v>
      </c>
      <c r="Q30" s="7" t="s">
        <v>2</v>
      </c>
      <c r="T30">
        <f t="shared" si="0"/>
        <v>8</v>
      </c>
    </row>
    <row r="31" spans="4:20">
      <c r="D31" s="14">
        <v>46184</v>
      </c>
      <c r="E31" s="15">
        <v>1611446</v>
      </c>
      <c r="F31" s="15" t="s">
        <v>15</v>
      </c>
      <c r="G31" s="5">
        <v>20428968</v>
      </c>
      <c r="H31" s="15" t="s">
        <v>34</v>
      </c>
      <c r="I31" s="6" t="s">
        <v>2</v>
      </c>
      <c r="J31" s="7" t="s">
        <v>2</v>
      </c>
      <c r="K31" s="15" t="s">
        <v>35</v>
      </c>
      <c r="L31" s="5">
        <v>1</v>
      </c>
      <c r="M31" s="5">
        <v>1</v>
      </c>
      <c r="N31" s="16">
        <v>11</v>
      </c>
      <c r="O31" s="16">
        <v>11</v>
      </c>
      <c r="P31" s="6" t="s">
        <v>2</v>
      </c>
      <c r="Q31" s="7" t="s">
        <v>2</v>
      </c>
      <c r="T31">
        <f t="shared" si="0"/>
        <v>11</v>
      </c>
    </row>
    <row r="32" spans="4:20">
      <c r="D32" s="14">
        <v>46184</v>
      </c>
      <c r="E32" s="15">
        <v>1611446</v>
      </c>
      <c r="F32" s="15" t="s">
        <v>15</v>
      </c>
      <c r="G32" s="5">
        <v>20361865</v>
      </c>
      <c r="H32" s="15" t="s">
        <v>23</v>
      </c>
      <c r="I32" s="6" t="s">
        <v>2</v>
      </c>
      <c r="J32" s="7" t="s">
        <v>2</v>
      </c>
      <c r="K32" s="15" t="s">
        <v>17</v>
      </c>
      <c r="L32" s="5">
        <v>4</v>
      </c>
      <c r="M32" s="5">
        <v>4</v>
      </c>
      <c r="N32" s="16">
        <v>8</v>
      </c>
      <c r="O32" s="16">
        <v>32</v>
      </c>
      <c r="P32" s="6" t="s">
        <v>2</v>
      </c>
      <c r="Q32" s="7" t="s">
        <v>2</v>
      </c>
      <c r="T32">
        <f t="shared" si="0"/>
        <v>8</v>
      </c>
    </row>
    <row r="33" spans="4:20">
      <c r="D33" s="14">
        <v>46184</v>
      </c>
      <c r="E33" s="15">
        <v>1611446</v>
      </c>
      <c r="F33" s="15" t="s">
        <v>29</v>
      </c>
      <c r="G33" s="5">
        <v>20425351</v>
      </c>
      <c r="H33" s="15" t="s">
        <v>30</v>
      </c>
      <c r="I33" s="6" t="s">
        <v>2</v>
      </c>
      <c r="J33" s="7" t="s">
        <v>2</v>
      </c>
      <c r="K33" s="15" t="s">
        <v>31</v>
      </c>
      <c r="L33" s="5">
        <v>1</v>
      </c>
      <c r="M33" s="5">
        <v>9</v>
      </c>
      <c r="N33" s="16">
        <v>49.5</v>
      </c>
      <c r="O33" s="16">
        <v>49.5</v>
      </c>
      <c r="P33" s="6" t="s">
        <v>2</v>
      </c>
      <c r="Q33" s="7" t="s">
        <v>2</v>
      </c>
      <c r="T33">
        <f t="shared" si="0"/>
        <v>5.5</v>
      </c>
    </row>
    <row r="34" spans="4:20">
      <c r="D34" s="14">
        <v>46184</v>
      </c>
      <c r="E34" s="15">
        <v>1611446</v>
      </c>
      <c r="F34" s="15" t="s">
        <v>29</v>
      </c>
      <c r="G34" s="5">
        <v>20425352</v>
      </c>
      <c r="H34" s="15" t="s">
        <v>32</v>
      </c>
      <c r="I34" s="6" t="s">
        <v>2</v>
      </c>
      <c r="J34" s="7" t="s">
        <v>2</v>
      </c>
      <c r="K34" s="15" t="s">
        <v>31</v>
      </c>
      <c r="L34" s="5">
        <v>1</v>
      </c>
      <c r="M34" s="5">
        <v>9</v>
      </c>
      <c r="N34" s="16">
        <v>49.5</v>
      </c>
      <c r="O34" s="16">
        <v>49.5</v>
      </c>
      <c r="P34" s="6" t="s">
        <v>2</v>
      </c>
      <c r="Q34" s="7" t="s">
        <v>2</v>
      </c>
      <c r="T34">
        <f t="shared" si="0"/>
        <v>5.5</v>
      </c>
    </row>
    <row r="35" spans="4:20">
      <c r="D35" s="14">
        <v>46184</v>
      </c>
      <c r="E35" s="15">
        <v>1611446</v>
      </c>
      <c r="F35" s="15" t="s">
        <v>29</v>
      </c>
      <c r="G35" s="5">
        <v>20428967</v>
      </c>
      <c r="H35" s="15" t="s">
        <v>38</v>
      </c>
      <c r="I35" s="6" t="s">
        <v>2</v>
      </c>
      <c r="J35" s="7" t="s">
        <v>2</v>
      </c>
      <c r="K35" s="15" t="s">
        <v>31</v>
      </c>
      <c r="L35" s="5">
        <v>1</v>
      </c>
      <c r="M35" s="5">
        <v>9</v>
      </c>
      <c r="N35" s="16">
        <v>49.5</v>
      </c>
      <c r="O35" s="16">
        <v>49.5</v>
      </c>
      <c r="P35" s="6" t="s">
        <v>2</v>
      </c>
      <c r="Q35" s="7" t="s">
        <v>2</v>
      </c>
      <c r="T35">
        <f t="shared" si="0"/>
        <v>5.5</v>
      </c>
    </row>
    <row r="36" spans="4:20">
      <c r="D36" s="14">
        <v>46184</v>
      </c>
      <c r="E36" s="15">
        <v>1611446</v>
      </c>
      <c r="F36" s="15" t="s">
        <v>29</v>
      </c>
      <c r="G36" s="5">
        <v>20323000</v>
      </c>
      <c r="H36" s="15" t="s">
        <v>33</v>
      </c>
      <c r="I36" s="6" t="s">
        <v>2</v>
      </c>
      <c r="J36" s="7" t="s">
        <v>2</v>
      </c>
      <c r="K36" s="15" t="s">
        <v>31</v>
      </c>
      <c r="L36" s="5">
        <v>1</v>
      </c>
      <c r="M36" s="5">
        <v>9</v>
      </c>
      <c r="N36" s="16">
        <v>49.5</v>
      </c>
      <c r="O36" s="16">
        <v>49.5</v>
      </c>
      <c r="P36" s="6" t="s">
        <v>2</v>
      </c>
      <c r="Q36" s="7" t="s">
        <v>2</v>
      </c>
      <c r="T36">
        <f t="shared" si="0"/>
        <v>5.5</v>
      </c>
    </row>
    <row r="37" spans="4:20">
      <c r="D37" s="14">
        <v>46184</v>
      </c>
      <c r="E37" s="15">
        <v>1611446</v>
      </c>
      <c r="F37" s="15" t="s">
        <v>40</v>
      </c>
      <c r="G37" s="5">
        <v>20405969</v>
      </c>
      <c r="H37" s="15" t="s">
        <v>41</v>
      </c>
      <c r="I37" s="6" t="s">
        <v>2</v>
      </c>
      <c r="J37" s="7" t="s">
        <v>2</v>
      </c>
      <c r="K37" s="15" t="s">
        <v>42</v>
      </c>
      <c r="L37" s="5">
        <v>1</v>
      </c>
      <c r="M37" s="5">
        <v>1</v>
      </c>
      <c r="N37" s="16">
        <v>16.5</v>
      </c>
      <c r="O37" s="16">
        <v>16.5</v>
      </c>
      <c r="P37" s="6" t="s">
        <v>2</v>
      </c>
      <c r="Q37" s="7" t="s">
        <v>2</v>
      </c>
      <c r="T37">
        <f t="shared" si="0"/>
        <v>16.5</v>
      </c>
    </row>
    <row r="38" spans="4:20">
      <c r="D38" s="14">
        <v>46189</v>
      </c>
      <c r="E38" s="15">
        <v>1612703</v>
      </c>
      <c r="F38" s="15" t="s">
        <v>15</v>
      </c>
      <c r="G38" s="5">
        <v>20430008</v>
      </c>
      <c r="H38" s="15" t="s">
        <v>43</v>
      </c>
      <c r="I38" s="6" t="s">
        <v>2</v>
      </c>
      <c r="J38" s="7" t="s">
        <v>2</v>
      </c>
      <c r="K38" s="15" t="s">
        <v>17</v>
      </c>
      <c r="L38" s="5">
        <v>1</v>
      </c>
      <c r="M38" s="5">
        <v>2</v>
      </c>
      <c r="N38" s="16">
        <v>13.5</v>
      </c>
      <c r="O38" s="16">
        <v>13.5</v>
      </c>
      <c r="P38" s="6" t="s">
        <v>2</v>
      </c>
      <c r="Q38" s="7" t="s">
        <v>2</v>
      </c>
      <c r="T38">
        <f t="shared" si="0"/>
        <v>6.75</v>
      </c>
    </row>
    <row r="39" spans="4:20">
      <c r="D39" s="14">
        <v>46189</v>
      </c>
      <c r="E39" s="15">
        <v>1612703</v>
      </c>
      <c r="F39" s="15" t="s">
        <v>15</v>
      </c>
      <c r="G39" s="5">
        <v>20323034</v>
      </c>
      <c r="H39" s="15" t="s">
        <v>39</v>
      </c>
      <c r="I39" s="6" t="s">
        <v>2</v>
      </c>
      <c r="J39" s="7" t="s">
        <v>2</v>
      </c>
      <c r="K39" s="15" t="s">
        <v>17</v>
      </c>
      <c r="L39" s="5">
        <v>2</v>
      </c>
      <c r="M39" s="5">
        <v>2</v>
      </c>
      <c r="N39" s="16">
        <v>8</v>
      </c>
      <c r="O39" s="16">
        <v>16</v>
      </c>
      <c r="P39" s="6" t="s">
        <v>2</v>
      </c>
      <c r="Q39" s="7" t="s">
        <v>2</v>
      </c>
      <c r="T39">
        <f t="shared" si="0"/>
        <v>8</v>
      </c>
    </row>
    <row r="40" spans="4:20">
      <c r="D40" s="14">
        <v>46189</v>
      </c>
      <c r="E40" s="15">
        <v>1612703</v>
      </c>
      <c r="F40" s="15" t="s">
        <v>15</v>
      </c>
      <c r="G40" s="5">
        <v>20430009</v>
      </c>
      <c r="H40" s="15" t="s">
        <v>44</v>
      </c>
      <c r="I40" s="6" t="s">
        <v>2</v>
      </c>
      <c r="J40" s="7" t="s">
        <v>2</v>
      </c>
      <c r="K40" s="15" t="s">
        <v>17</v>
      </c>
      <c r="L40" s="5">
        <v>1</v>
      </c>
      <c r="M40" s="5">
        <v>1</v>
      </c>
      <c r="N40" s="16">
        <v>8</v>
      </c>
      <c r="O40" s="16">
        <v>8</v>
      </c>
      <c r="P40" s="6" t="s">
        <v>2</v>
      </c>
      <c r="Q40" s="7" t="s">
        <v>2</v>
      </c>
      <c r="T40">
        <f t="shared" si="0"/>
        <v>8</v>
      </c>
    </row>
    <row r="41" spans="4:20">
      <c r="D41" s="14">
        <v>46189</v>
      </c>
      <c r="E41" s="15">
        <v>1612703</v>
      </c>
      <c r="F41" s="15" t="s">
        <v>15</v>
      </c>
      <c r="G41" s="5">
        <v>20361864</v>
      </c>
      <c r="H41" s="15" t="s">
        <v>45</v>
      </c>
      <c r="I41" s="6" t="s">
        <v>2</v>
      </c>
      <c r="J41" s="7" t="s">
        <v>2</v>
      </c>
      <c r="K41" s="15" t="s">
        <v>17</v>
      </c>
      <c r="L41" s="5">
        <v>1</v>
      </c>
      <c r="M41" s="5">
        <v>2</v>
      </c>
      <c r="N41" s="16">
        <v>13.5</v>
      </c>
      <c r="O41" s="16">
        <v>13.5</v>
      </c>
      <c r="P41" s="6" t="s">
        <v>2</v>
      </c>
      <c r="Q41" s="7" t="s">
        <v>2</v>
      </c>
      <c r="T41">
        <f t="shared" si="0"/>
        <v>6.75</v>
      </c>
    </row>
    <row r="42" spans="4:20">
      <c r="D42" s="14">
        <v>46189</v>
      </c>
      <c r="E42" s="15">
        <v>1612703</v>
      </c>
      <c r="F42" s="15" t="s">
        <v>15</v>
      </c>
      <c r="G42" s="5">
        <v>20323182</v>
      </c>
      <c r="H42" s="15" t="s">
        <v>26</v>
      </c>
      <c r="I42" s="6" t="s">
        <v>2</v>
      </c>
      <c r="J42" s="7" t="s">
        <v>2</v>
      </c>
      <c r="K42" s="15" t="s">
        <v>27</v>
      </c>
      <c r="L42" s="5">
        <v>2</v>
      </c>
      <c r="M42" s="5">
        <v>2</v>
      </c>
      <c r="N42" s="16">
        <v>8</v>
      </c>
      <c r="O42" s="16">
        <v>16</v>
      </c>
      <c r="P42" s="6" t="s">
        <v>2</v>
      </c>
      <c r="Q42" s="7" t="s">
        <v>2</v>
      </c>
      <c r="T42">
        <f t="shared" si="0"/>
        <v>8</v>
      </c>
    </row>
    <row r="43" spans="4:20">
      <c r="D43" s="14">
        <v>46189</v>
      </c>
      <c r="E43" s="15">
        <v>1612703</v>
      </c>
      <c r="F43" s="15" t="s">
        <v>15</v>
      </c>
      <c r="G43" s="5">
        <v>20410525</v>
      </c>
      <c r="H43" s="15" t="s">
        <v>46</v>
      </c>
      <c r="I43" s="6" t="s">
        <v>2</v>
      </c>
      <c r="J43" s="7" t="s">
        <v>2</v>
      </c>
      <c r="K43" s="15" t="s">
        <v>27</v>
      </c>
      <c r="L43" s="5">
        <v>2</v>
      </c>
      <c r="M43" s="5">
        <v>2</v>
      </c>
      <c r="N43" s="16">
        <v>8</v>
      </c>
      <c r="O43" s="16">
        <v>16</v>
      </c>
      <c r="P43" s="6" t="s">
        <v>2</v>
      </c>
      <c r="Q43" s="7" t="s">
        <v>2</v>
      </c>
      <c r="T43">
        <f t="shared" si="0"/>
        <v>8</v>
      </c>
    </row>
    <row r="44" spans="4:20">
      <c r="D44" s="14">
        <v>46189</v>
      </c>
      <c r="E44" s="15">
        <v>1612703</v>
      </c>
      <c r="F44" s="15" t="s">
        <v>29</v>
      </c>
      <c r="G44" s="5">
        <v>20430027</v>
      </c>
      <c r="H44" s="15" t="s">
        <v>47</v>
      </c>
      <c r="I44" s="6" t="s">
        <v>2</v>
      </c>
      <c r="J44" s="7" t="s">
        <v>2</v>
      </c>
      <c r="K44" s="15" t="s">
        <v>31</v>
      </c>
      <c r="L44" s="5">
        <v>2</v>
      </c>
      <c r="M44" s="5">
        <v>20</v>
      </c>
      <c r="N44" s="16">
        <v>55</v>
      </c>
      <c r="O44" s="16">
        <v>110</v>
      </c>
      <c r="P44" s="6" t="s">
        <v>2</v>
      </c>
      <c r="Q44" s="7" t="s">
        <v>2</v>
      </c>
      <c r="T44">
        <f t="shared" si="0"/>
        <v>5.5</v>
      </c>
    </row>
    <row r="45" spans="4:20">
      <c r="D45" s="14">
        <v>46191</v>
      </c>
      <c r="E45" s="15">
        <v>1613431</v>
      </c>
      <c r="F45" s="15" t="s">
        <v>48</v>
      </c>
      <c r="G45" s="5">
        <v>20430357</v>
      </c>
      <c r="H45" s="15" t="s">
        <v>49</v>
      </c>
      <c r="I45" s="6" t="s">
        <v>2</v>
      </c>
      <c r="J45" s="7" t="s">
        <v>2</v>
      </c>
      <c r="K45" s="15" t="s">
        <v>50</v>
      </c>
      <c r="L45" s="5">
        <v>2</v>
      </c>
      <c r="M45" s="5">
        <v>0</v>
      </c>
      <c r="N45" s="16">
        <v>25</v>
      </c>
      <c r="O45" s="16">
        <v>50</v>
      </c>
      <c r="P45" s="6" t="s">
        <v>2</v>
      </c>
      <c r="Q45" s="7" t="s">
        <v>2</v>
      </c>
      <c r="T45" t="e">
        <f t="shared" ref="T45:T61" si="1">O45/M45</f>
        <v>#DIV/0!</v>
      </c>
    </row>
    <row r="46" spans="4:20">
      <c r="D46" s="14">
        <v>46197</v>
      </c>
      <c r="E46" s="15">
        <v>1614829</v>
      </c>
      <c r="F46" s="15" t="s">
        <v>15</v>
      </c>
      <c r="G46" s="5">
        <v>20361862</v>
      </c>
      <c r="H46" s="15" t="s">
        <v>18</v>
      </c>
      <c r="I46" s="6" t="s">
        <v>2</v>
      </c>
      <c r="J46" s="7" t="s">
        <v>2</v>
      </c>
      <c r="K46" s="15" t="s">
        <v>19</v>
      </c>
      <c r="L46" s="5">
        <v>1</v>
      </c>
      <c r="M46" s="5">
        <v>1</v>
      </c>
      <c r="N46" s="16">
        <v>8</v>
      </c>
      <c r="O46" s="16">
        <v>8</v>
      </c>
      <c r="P46" s="6" t="s">
        <v>2</v>
      </c>
      <c r="Q46" s="7" t="s">
        <v>2</v>
      </c>
      <c r="T46">
        <f t="shared" si="1"/>
        <v>8</v>
      </c>
    </row>
    <row r="47" spans="4:20">
      <c r="D47" s="14">
        <v>46197</v>
      </c>
      <c r="E47" s="15">
        <v>1614829</v>
      </c>
      <c r="F47" s="15" t="s">
        <v>15</v>
      </c>
      <c r="G47" s="5">
        <v>20425421</v>
      </c>
      <c r="H47" s="15" t="s">
        <v>21</v>
      </c>
      <c r="I47" s="6" t="s">
        <v>2</v>
      </c>
      <c r="J47" s="7" t="s">
        <v>2</v>
      </c>
      <c r="K47" s="15" t="s">
        <v>22</v>
      </c>
      <c r="L47" s="5">
        <v>1</v>
      </c>
      <c r="M47" s="5">
        <v>1</v>
      </c>
      <c r="N47" s="16">
        <v>8</v>
      </c>
      <c r="O47" s="16">
        <v>8</v>
      </c>
      <c r="P47" s="6" t="s">
        <v>2</v>
      </c>
      <c r="Q47" s="7" t="s">
        <v>2</v>
      </c>
      <c r="T47">
        <f t="shared" si="1"/>
        <v>8</v>
      </c>
    </row>
    <row r="48" spans="4:20">
      <c r="D48" s="14">
        <v>46197</v>
      </c>
      <c r="E48" s="15">
        <v>1614829</v>
      </c>
      <c r="F48" s="15" t="s">
        <v>15</v>
      </c>
      <c r="G48" s="5">
        <v>20361864</v>
      </c>
      <c r="H48" s="15" t="s">
        <v>45</v>
      </c>
      <c r="I48" s="6" t="s">
        <v>2</v>
      </c>
      <c r="J48" s="7" t="s">
        <v>2</v>
      </c>
      <c r="K48" s="15" t="s">
        <v>17</v>
      </c>
      <c r="L48" s="5">
        <v>1</v>
      </c>
      <c r="M48" s="5">
        <v>2</v>
      </c>
      <c r="N48" s="16">
        <v>13.5</v>
      </c>
      <c r="O48" s="16">
        <v>13.5</v>
      </c>
      <c r="P48" s="6" t="s">
        <v>2</v>
      </c>
      <c r="Q48" s="7" t="s">
        <v>2</v>
      </c>
      <c r="T48">
        <f t="shared" si="1"/>
        <v>6.75</v>
      </c>
    </row>
    <row r="49" spans="4:20">
      <c r="D49" s="14">
        <v>46197</v>
      </c>
      <c r="E49" s="15">
        <v>1614829</v>
      </c>
      <c r="F49" s="15" t="s">
        <v>15</v>
      </c>
      <c r="G49" s="5">
        <v>20428968</v>
      </c>
      <c r="H49" s="15" t="s">
        <v>34</v>
      </c>
      <c r="I49" s="6" t="s">
        <v>2</v>
      </c>
      <c r="J49" s="7" t="s">
        <v>2</v>
      </c>
      <c r="K49" s="15" t="s">
        <v>35</v>
      </c>
      <c r="L49" s="5">
        <v>1</v>
      </c>
      <c r="M49" s="5">
        <v>1</v>
      </c>
      <c r="N49" s="16">
        <v>11</v>
      </c>
      <c r="O49" s="16">
        <v>11</v>
      </c>
      <c r="P49" s="6" t="s">
        <v>2</v>
      </c>
      <c r="Q49" s="7" t="s">
        <v>2</v>
      </c>
      <c r="T49">
        <f t="shared" si="1"/>
        <v>11</v>
      </c>
    </row>
    <row r="50" spans="4:20">
      <c r="D50" s="14">
        <v>46197</v>
      </c>
      <c r="E50" s="15">
        <v>1614829</v>
      </c>
      <c r="F50" s="15" t="s">
        <v>15</v>
      </c>
      <c r="G50" s="5">
        <v>20361865</v>
      </c>
      <c r="H50" s="15" t="s">
        <v>23</v>
      </c>
      <c r="I50" s="6" t="s">
        <v>2</v>
      </c>
      <c r="J50" s="7" t="s">
        <v>2</v>
      </c>
      <c r="K50" s="15" t="s">
        <v>17</v>
      </c>
      <c r="L50" s="5">
        <v>4</v>
      </c>
      <c r="M50" s="5">
        <v>4</v>
      </c>
      <c r="N50" s="16">
        <v>8</v>
      </c>
      <c r="O50" s="16">
        <v>32</v>
      </c>
      <c r="P50" s="6" t="s">
        <v>2</v>
      </c>
      <c r="Q50" s="7" t="s">
        <v>2</v>
      </c>
      <c r="T50">
        <f t="shared" si="1"/>
        <v>8</v>
      </c>
    </row>
    <row r="51" spans="4:20">
      <c r="D51" s="14">
        <v>46197</v>
      </c>
      <c r="E51" s="15">
        <v>1614829</v>
      </c>
      <c r="F51" s="15" t="s">
        <v>15</v>
      </c>
      <c r="G51" s="5">
        <v>20422293</v>
      </c>
      <c r="H51" s="15" t="s">
        <v>24</v>
      </c>
      <c r="I51" s="6" t="s">
        <v>2</v>
      </c>
      <c r="J51" s="7" t="s">
        <v>2</v>
      </c>
      <c r="K51" s="15" t="s">
        <v>25</v>
      </c>
      <c r="L51" s="5">
        <v>2</v>
      </c>
      <c r="M51" s="5">
        <v>8</v>
      </c>
      <c r="N51" s="16">
        <v>22</v>
      </c>
      <c r="O51" s="16">
        <v>44</v>
      </c>
      <c r="P51" s="6" t="s">
        <v>2</v>
      </c>
      <c r="Q51" s="7" t="s">
        <v>2</v>
      </c>
      <c r="T51">
        <f t="shared" si="1"/>
        <v>5.5</v>
      </c>
    </row>
    <row r="52" spans="4:20">
      <c r="D52" s="14">
        <v>46197</v>
      </c>
      <c r="E52" s="15">
        <v>1614829</v>
      </c>
      <c r="F52" s="15" t="s">
        <v>15</v>
      </c>
      <c r="G52" s="5">
        <v>20410525</v>
      </c>
      <c r="H52" s="15" t="s">
        <v>46</v>
      </c>
      <c r="I52" s="6" t="s">
        <v>2</v>
      </c>
      <c r="J52" s="7" t="s">
        <v>2</v>
      </c>
      <c r="K52" s="15" t="s">
        <v>27</v>
      </c>
      <c r="L52" s="5">
        <v>2</v>
      </c>
      <c r="M52" s="5">
        <v>2</v>
      </c>
      <c r="N52" s="16">
        <v>8</v>
      </c>
      <c r="O52" s="16">
        <v>16</v>
      </c>
      <c r="P52" s="6" t="s">
        <v>2</v>
      </c>
      <c r="Q52" s="7" t="s">
        <v>2</v>
      </c>
      <c r="T52">
        <f t="shared" si="1"/>
        <v>8</v>
      </c>
    </row>
    <row r="53" spans="4:20">
      <c r="D53" s="14">
        <v>46197</v>
      </c>
      <c r="E53" s="15">
        <v>1614829</v>
      </c>
      <c r="F53" s="15" t="s">
        <v>48</v>
      </c>
      <c r="G53" s="5">
        <v>20430357</v>
      </c>
      <c r="H53" s="15" t="s">
        <v>49</v>
      </c>
      <c r="I53" s="6" t="s">
        <v>2</v>
      </c>
      <c r="J53" s="7" t="s">
        <v>2</v>
      </c>
      <c r="K53" s="15" t="s">
        <v>50</v>
      </c>
      <c r="L53" s="5">
        <v>1</v>
      </c>
      <c r="M53" s="5">
        <v>0</v>
      </c>
      <c r="N53" s="16">
        <v>25</v>
      </c>
      <c r="O53" s="16">
        <v>25</v>
      </c>
      <c r="P53" s="6" t="s">
        <v>2</v>
      </c>
      <c r="Q53" s="7" t="s">
        <v>2</v>
      </c>
      <c r="T53" t="e">
        <f t="shared" si="1"/>
        <v>#DIV/0!</v>
      </c>
    </row>
    <row r="54" spans="4:20">
      <c r="D54" s="14">
        <v>46197</v>
      </c>
      <c r="E54" s="15">
        <v>1614829</v>
      </c>
      <c r="F54" s="15" t="s">
        <v>29</v>
      </c>
      <c r="G54" s="5">
        <v>20430027</v>
      </c>
      <c r="H54" s="15" t="s">
        <v>47</v>
      </c>
      <c r="I54" s="6" t="s">
        <v>2</v>
      </c>
      <c r="J54" s="7" t="s">
        <v>2</v>
      </c>
      <c r="K54" s="15" t="s">
        <v>31</v>
      </c>
      <c r="L54" s="5">
        <v>1</v>
      </c>
      <c r="M54" s="5">
        <v>8</v>
      </c>
      <c r="N54" s="16">
        <v>44</v>
      </c>
      <c r="O54" s="16">
        <v>44</v>
      </c>
      <c r="P54" s="6" t="s">
        <v>2</v>
      </c>
      <c r="Q54" s="7" t="s">
        <v>2</v>
      </c>
      <c r="T54">
        <f t="shared" si="1"/>
        <v>5.5</v>
      </c>
    </row>
    <row r="55" spans="4:20">
      <c r="D55" s="14">
        <v>46197</v>
      </c>
      <c r="E55" s="15">
        <v>1614829</v>
      </c>
      <c r="F55" s="15" t="s">
        <v>29</v>
      </c>
      <c r="G55" s="5">
        <v>20425351</v>
      </c>
      <c r="H55" s="15" t="s">
        <v>30</v>
      </c>
      <c r="I55" s="6" t="s">
        <v>2</v>
      </c>
      <c r="J55" s="7" t="s">
        <v>2</v>
      </c>
      <c r="K55" s="15" t="s">
        <v>31</v>
      </c>
      <c r="L55" s="5">
        <v>1</v>
      </c>
      <c r="M55" s="5">
        <v>9</v>
      </c>
      <c r="N55" s="16">
        <v>49.5</v>
      </c>
      <c r="O55" s="16">
        <v>49.5</v>
      </c>
      <c r="P55" s="6" t="s">
        <v>2</v>
      </c>
      <c r="Q55" s="7" t="s">
        <v>2</v>
      </c>
      <c r="T55">
        <f t="shared" si="1"/>
        <v>5.5</v>
      </c>
    </row>
    <row r="56" spans="4:20">
      <c r="D56" s="14">
        <v>46197</v>
      </c>
      <c r="E56" s="15">
        <v>1614829</v>
      </c>
      <c r="F56" s="15" t="s">
        <v>29</v>
      </c>
      <c r="G56" s="5">
        <v>20428967</v>
      </c>
      <c r="H56" s="15" t="s">
        <v>38</v>
      </c>
      <c r="I56" s="6" t="s">
        <v>2</v>
      </c>
      <c r="J56" s="7" t="s">
        <v>2</v>
      </c>
      <c r="K56" s="15" t="s">
        <v>31</v>
      </c>
      <c r="L56" s="5">
        <v>1</v>
      </c>
      <c r="M56" s="5">
        <v>9</v>
      </c>
      <c r="N56" s="16">
        <v>49.5</v>
      </c>
      <c r="O56" s="16">
        <v>49.5</v>
      </c>
      <c r="P56" s="6" t="s">
        <v>2</v>
      </c>
      <c r="Q56" s="7" t="s">
        <v>2</v>
      </c>
      <c r="T56">
        <f t="shared" si="1"/>
        <v>5.5</v>
      </c>
    </row>
    <row r="57" spans="4:20">
      <c r="D57" s="14">
        <v>46197</v>
      </c>
      <c r="E57" s="15">
        <v>1614829</v>
      </c>
      <c r="F57" s="15" t="s">
        <v>29</v>
      </c>
      <c r="G57" s="5">
        <v>20323000</v>
      </c>
      <c r="H57" s="15" t="s">
        <v>33</v>
      </c>
      <c r="I57" s="6" t="s">
        <v>2</v>
      </c>
      <c r="J57" s="7" t="s">
        <v>2</v>
      </c>
      <c r="K57" s="15" t="s">
        <v>31</v>
      </c>
      <c r="L57" s="5">
        <v>1</v>
      </c>
      <c r="M57" s="5">
        <v>9</v>
      </c>
      <c r="N57" s="16">
        <v>49.5</v>
      </c>
      <c r="O57" s="16">
        <v>49.5</v>
      </c>
      <c r="P57" s="6" t="s">
        <v>2</v>
      </c>
      <c r="Q57" s="7" t="s">
        <v>2</v>
      </c>
      <c r="T57">
        <f t="shared" si="1"/>
        <v>5.5</v>
      </c>
    </row>
    <row r="58" spans="4:20">
      <c r="D58" s="14">
        <v>46197</v>
      </c>
      <c r="E58" s="15">
        <v>1614829</v>
      </c>
      <c r="F58" s="15" t="s">
        <v>40</v>
      </c>
      <c r="G58" s="5">
        <v>20431028</v>
      </c>
      <c r="H58" s="15" t="s">
        <v>51</v>
      </c>
      <c r="I58" s="6" t="s">
        <v>2</v>
      </c>
      <c r="J58" s="7" t="s">
        <v>2</v>
      </c>
      <c r="K58" s="15" t="s">
        <v>52</v>
      </c>
      <c r="L58" s="5">
        <v>1</v>
      </c>
      <c r="M58" s="5">
        <v>1</v>
      </c>
      <c r="N58" s="16">
        <v>16.5</v>
      </c>
      <c r="O58" s="16">
        <v>16.5</v>
      </c>
      <c r="P58" s="6" t="s">
        <v>2</v>
      </c>
      <c r="Q58" s="7" t="s">
        <v>2</v>
      </c>
      <c r="T58">
        <f t="shared" si="1"/>
        <v>16.5</v>
      </c>
    </row>
    <row r="59" spans="4:20">
      <c r="D59" s="14">
        <v>46197</v>
      </c>
      <c r="E59" s="15">
        <v>1614829</v>
      </c>
      <c r="F59" s="15" t="s">
        <v>40</v>
      </c>
      <c r="G59" s="5">
        <v>20405969</v>
      </c>
      <c r="H59" s="15" t="s">
        <v>41</v>
      </c>
      <c r="I59" s="6" t="s">
        <v>2</v>
      </c>
      <c r="J59" s="7" t="s">
        <v>2</v>
      </c>
      <c r="K59" s="15" t="s">
        <v>42</v>
      </c>
      <c r="L59" s="5">
        <v>1</v>
      </c>
      <c r="M59" s="5">
        <v>1</v>
      </c>
      <c r="N59" s="16">
        <v>16.5</v>
      </c>
      <c r="O59" s="16">
        <v>16.5</v>
      </c>
      <c r="P59" s="6" t="s">
        <v>2</v>
      </c>
      <c r="Q59" s="7" t="s">
        <v>2</v>
      </c>
      <c r="T59">
        <f t="shared" si="1"/>
        <v>16.5</v>
      </c>
    </row>
    <row r="60" spans="4:20">
      <c r="D60" s="14">
        <v>46202</v>
      </c>
      <c r="E60" s="15">
        <v>1615984</v>
      </c>
      <c r="F60" s="15" t="s">
        <v>15</v>
      </c>
      <c r="G60" s="5">
        <v>20323026</v>
      </c>
      <c r="H60" s="15" t="s">
        <v>36</v>
      </c>
      <c r="I60" s="6" t="s">
        <v>2</v>
      </c>
      <c r="J60" s="7" t="s">
        <v>2</v>
      </c>
      <c r="K60" s="15" t="s">
        <v>37</v>
      </c>
      <c r="L60" s="5">
        <v>2</v>
      </c>
      <c r="M60" s="5">
        <v>2</v>
      </c>
      <c r="N60" s="16">
        <v>8</v>
      </c>
      <c r="O60" s="16">
        <v>16</v>
      </c>
      <c r="P60" s="6" t="s">
        <v>2</v>
      </c>
      <c r="Q60" s="7" t="s">
        <v>2</v>
      </c>
      <c r="T60">
        <f t="shared" si="1"/>
        <v>8</v>
      </c>
    </row>
    <row r="61" spans="4:20">
      <c r="D61" s="14">
        <v>46202</v>
      </c>
      <c r="E61" s="15">
        <v>1615984</v>
      </c>
      <c r="F61" s="15" t="s">
        <v>29</v>
      </c>
      <c r="G61" s="5">
        <v>20323000</v>
      </c>
      <c r="H61" s="15" t="s">
        <v>33</v>
      </c>
      <c r="I61" s="6" t="s">
        <v>2</v>
      </c>
      <c r="J61" s="7" t="s">
        <v>2</v>
      </c>
      <c r="K61" s="15" t="s">
        <v>31</v>
      </c>
      <c r="L61" s="5">
        <v>1</v>
      </c>
      <c r="M61" s="5">
        <v>9</v>
      </c>
      <c r="N61" s="16">
        <v>49.5</v>
      </c>
      <c r="O61" s="16">
        <v>49.5</v>
      </c>
      <c r="P61" s="6" t="s">
        <v>2</v>
      </c>
      <c r="Q61" s="7" t="s">
        <v>2</v>
      </c>
      <c r="T61">
        <f t="shared" si="1"/>
        <v>5.5</v>
      </c>
    </row>
    <row r="62" ht="0.05" customHeight="1"/>
  </sheetData>
  <autoFilter xmlns:etc="http://www.wps.cn/officeDocument/2017/etCustomData" ref="T1:T62" etc:filterBottomFollowUsedRange="0">
    <extLst/>
  </autoFilter>
  <mergeCells count="113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C10:C61"/>
    <mergeCell ref="P2:P4"/>
    <mergeCell ref="C1:I2"/>
    <mergeCell ref="B4:H5"/>
    <mergeCell ref="A8:B6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&amp;"-,Regular"2026年8月14日 12:26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小兔子蹦der</cp:lastModifiedBy>
  <dcterms:created xsi:type="dcterms:W3CDTF">2026-08-14T04:27:16Z</dcterms:created>
  <dcterms:modified xsi:type="dcterms:W3CDTF">2026-08-14T04:29:00Z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F730761C337842BCA4C07C7375375D05_13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