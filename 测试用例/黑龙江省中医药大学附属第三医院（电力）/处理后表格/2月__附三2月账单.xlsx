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67" activeTab="11"/>
  </bookViews>
  <sheets>
    <sheet name="耳科" sheetId="1" r:id="rId1"/>
    <sheet name="妇科病房（一病区）" sheetId="2" r:id="rId2"/>
    <sheet name="妇科门诊（一病区）" sheetId="3" r:id="rId3"/>
    <sheet name="急诊" sheetId="4" r:id="rId4"/>
    <sheet name="口腔科" sheetId="5" r:id="rId5"/>
    <sheet name="泌外科" sheetId="6" r:id="rId6"/>
    <sheet name="皮肤科" sheetId="7" r:id="rId7"/>
    <sheet name="普外科" sheetId="8" r:id="rId8"/>
    <sheet name="手术室" sheetId="9" r:id="rId9"/>
    <sheet name="透析科" sheetId="10" r:id="rId10"/>
    <sheet name="外来器械" sheetId="11" r:id="rId11"/>
    <sheet name="费用调整" sheetId="12" r:id="rId12"/>
  </sheets>
  <definedNames>
    <definedName name="_xlnm.Print_Titles" localSheetId="0">耳科!$1:$6</definedName>
    <definedName name="_xlnm.Print_Titles" localSheetId="1">'妇科病房（一病区）'!$1:$6</definedName>
    <definedName name="_xlnm.Print_Titles" localSheetId="2">'妇科门诊（一病区）'!$1:$6</definedName>
    <definedName name="_xlnm.Print_Titles" localSheetId="3">急诊!$1:$6</definedName>
    <definedName name="_xlnm.Print_Titles" localSheetId="4">口腔科!$1:$6</definedName>
    <definedName name="_xlnm.Print_Titles" localSheetId="5">泌外科!$1:$6</definedName>
    <definedName name="_xlnm.Print_Titles" localSheetId="6">皮肤科!$1:$6</definedName>
    <definedName name="_xlnm.Print_Titles" localSheetId="7">普外科!$1:$6</definedName>
    <definedName name="_xlnm.Print_Titles" localSheetId="8">手术室!$1:$6</definedName>
    <definedName name="_xlnm.Print_Titles" localSheetId="9">透析科!$1:$6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<sst xmlns="http://schemas.openxmlformats.org/spreadsheetml/2006/main" count="1113" uniqueCount="190">
  <si>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</si>
  <si>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</si>
  <si>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</si>
  <si>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</si>
  <si>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</si>
  <si>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</si>
  <si>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</si>
  <si>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</si>
  <si>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</si>
  <si>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</si>
  <si>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</si>
  <si>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</si>
  <si>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</si>
  <si>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</si>
  <si>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敷料包(纸塑袋)</t>
  </si>
  <si>
    <t>小棉条/Z7520</t>
  </si>
  <si>
    <t>妇科病房（一病区）</t>
  </si>
  <si>
    <t>额外包(纸塑袋)</t>
  </si>
  <si>
    <t>吸头-1/z7534</t>
  </si>
  <si>
    <t>妇科门诊（一病区）</t>
  </si>
  <si>
    <t>凹凸钳-1/z1035</t>
  </si>
  <si>
    <t>吸头（5号）-1/z7534</t>
  </si>
  <si>
    <t>器械包(ZSD)</t>
  </si>
  <si>
    <t>小刮宫包</t>
  </si>
  <si>
    <t>额外包(无纺布)</t>
  </si>
  <si>
    <t>取环-4件/W6050</t>
  </si>
  <si>
    <t>宫颈钳-1/z1535</t>
  </si>
  <si>
    <t>取环钩-1/z7537</t>
  </si>
  <si>
    <t>额外包(ETO)</t>
  </si>
  <si>
    <t>水管-1/z3040</t>
  </si>
  <si>
    <t>单包装包(EO)</t>
  </si>
  <si>
    <t>宫腔镜-3件/z2060</t>
  </si>
  <si>
    <t>额外包(低温等离子)</t>
  </si>
  <si>
    <t>铂康检查镜12度-3件(盒1)/Z2060</t>
  </si>
  <si>
    <t>铂康检查镜30度-3件(盒1)/Z2060</t>
  </si>
  <si>
    <t>铂康水管-1/Z2530</t>
  </si>
  <si>
    <t>妇科刮匙-1/z7537</t>
  </si>
  <si>
    <t>妇科探针-1/z7537</t>
  </si>
  <si>
    <t>窥器-1/z1526</t>
  </si>
  <si>
    <t>扩棒-1/z7530</t>
  </si>
  <si>
    <t>取环器-1/z1535</t>
  </si>
  <si>
    <t>卵圆钳-1/z1535</t>
  </si>
  <si>
    <t>大刮宫包</t>
  </si>
  <si>
    <t>急诊</t>
  </si>
  <si>
    <t>器械包</t>
  </si>
  <si>
    <t>缝合包-急诊</t>
  </si>
  <si>
    <t>单包装包</t>
  </si>
  <si>
    <t>持物钳罐-2/z2044</t>
  </si>
  <si>
    <t>无菌缸-1/z2530</t>
  </si>
  <si>
    <t>剪刀-1/z1029</t>
  </si>
  <si>
    <t>止血钳-1/z1029</t>
  </si>
  <si>
    <t>换药包</t>
  </si>
  <si>
    <t>喉镜-1/Z1026</t>
  </si>
  <si>
    <t>腹穿包</t>
  </si>
  <si>
    <t>骨穿包</t>
  </si>
  <si>
    <t>气管切开包.</t>
  </si>
  <si>
    <t>胸穿包</t>
  </si>
  <si>
    <t>蚊式钳-1/1020</t>
  </si>
  <si>
    <t>口腔科</t>
  </si>
  <si>
    <t>拔牙钳-1/z1029</t>
  </si>
  <si>
    <t>成型片-15/Z7520</t>
  </si>
  <si>
    <t>充填器-1/Z7526</t>
  </si>
  <si>
    <t>唇钩-5/z7520</t>
  </si>
  <si>
    <t>光敏刀-1/Z7530</t>
  </si>
  <si>
    <t>启冠器头-3/z7526</t>
  </si>
  <si>
    <t>手机-1/z7526</t>
  </si>
  <si>
    <t>挖匙-1/z7526</t>
  </si>
  <si>
    <t>小剪刀-1/z7526</t>
  </si>
  <si>
    <t>针类一包（数量不定）/z7520</t>
  </si>
  <si>
    <t>拔牙挺-1/z7526</t>
  </si>
  <si>
    <t>成型片-10/z7520</t>
  </si>
  <si>
    <t>成型夹-3/z1526</t>
  </si>
  <si>
    <t>持针器-1/z1029</t>
  </si>
  <si>
    <t>刮匙-1/Z7530</t>
  </si>
  <si>
    <t>刮治器-1/z7526</t>
  </si>
  <si>
    <t>洁牙尖-5/z7520</t>
  </si>
  <si>
    <t>洁牙机柄-1/z7526</t>
  </si>
  <si>
    <t>成型片-5/Z7520</t>
  </si>
  <si>
    <t>泌外科</t>
  </si>
  <si>
    <t>膀胱镜-1/z2060</t>
  </si>
  <si>
    <t>尿道探子-4/z1037</t>
  </si>
  <si>
    <t>加件-3/z2044</t>
  </si>
  <si>
    <t>异物钳-1/z3040</t>
  </si>
  <si>
    <t>膀胱镜-2/z2060</t>
  </si>
  <si>
    <t>抓钳-1/z2060</t>
  </si>
  <si>
    <t>镜头-1/双/保/z2050</t>
  </si>
  <si>
    <t>输尿管镜-1件/双/保/z2080</t>
  </si>
  <si>
    <t>探针-1/Z7580</t>
  </si>
  <si>
    <t>长镜头-1/双/保/z2080</t>
  </si>
  <si>
    <t>冲洗瓶-1/z2035</t>
  </si>
  <si>
    <t>电切环-1/保/1045</t>
  </si>
  <si>
    <t>加件-4/z2044</t>
  </si>
  <si>
    <t>皮肤科</t>
  </si>
  <si>
    <t>无钩直镊-1/z7526</t>
  </si>
  <si>
    <t>止血钳（弯）-1/z1029</t>
  </si>
  <si>
    <t>止血钳（直）-1/z1029</t>
  </si>
  <si>
    <t>排针-1/z7526</t>
  </si>
  <si>
    <t>弯盘-1/z2032</t>
  </si>
  <si>
    <t>普外科</t>
  </si>
  <si>
    <t>钩镊-1/z7526</t>
  </si>
  <si>
    <t>平镊-1/z7526</t>
  </si>
  <si>
    <t>手术室</t>
  </si>
  <si>
    <t>TUR包</t>
  </si>
  <si>
    <t>体表包△</t>
  </si>
  <si>
    <t>置管包</t>
  </si>
  <si>
    <t>盆1盘1杯1/z3032</t>
  </si>
  <si>
    <t>碗1盘1杯1/z2530</t>
  </si>
  <si>
    <t>肌钩2解剖钳1/W6050</t>
  </si>
  <si>
    <t>膀胱镜-1（盒1）/W12050</t>
  </si>
  <si>
    <t>包皮包</t>
  </si>
  <si>
    <t>胆囊腔镜包</t>
  </si>
  <si>
    <t>小手术包</t>
  </si>
  <si>
    <t>痔切除</t>
  </si>
  <si>
    <t>盆1盘2杯1/W9050</t>
  </si>
  <si>
    <t>蚊式-10件/w6050</t>
  </si>
  <si>
    <t>痔加件-6件/w6050</t>
  </si>
  <si>
    <t>奥林帕斯一体镜-1/双/z4080</t>
  </si>
  <si>
    <t>肠钳子-1/z2060</t>
  </si>
  <si>
    <t>持针器（EO）-1/z2060</t>
  </si>
  <si>
    <t>冲洗管-1/z3040</t>
  </si>
  <si>
    <t>胆囊穿刺针钳-1/z2060</t>
  </si>
  <si>
    <t>电凝钩-1/z7550</t>
  </si>
  <si>
    <t>电切套管-4件/z2044</t>
  </si>
  <si>
    <t>剪刀（EO）-1/z2060</t>
  </si>
  <si>
    <t>镜头-1/双/z2060</t>
  </si>
  <si>
    <t>阑尾钳-1/z2060</t>
  </si>
  <si>
    <t>连接管1 冲洗瓶1/z2035</t>
  </si>
  <si>
    <t>气腹管-1/z3040</t>
  </si>
  <si>
    <t>球状电极-1/Z1045</t>
  </si>
  <si>
    <t>三翼钳-1/z2060</t>
  </si>
  <si>
    <t>输尿管镜-1（盒1）/W12050</t>
  </si>
  <si>
    <t>弯头分离钳-1/z2060</t>
  </si>
  <si>
    <t>吸引器（EO）-1/z1560</t>
  </si>
  <si>
    <t>血管扣钳-1/z2060</t>
  </si>
  <si>
    <t>针板-2/Z7520</t>
  </si>
  <si>
    <t>毛巾/z3044</t>
  </si>
  <si>
    <t>钳子 长（EO）/Z2060</t>
  </si>
  <si>
    <t>骨科显微加件</t>
  </si>
  <si>
    <t>病理钳（EO）-1/z3040</t>
  </si>
  <si>
    <t>等离子套件-4/z2044</t>
  </si>
  <si>
    <t>取石钳-1/z2060</t>
  </si>
  <si>
    <t>肛门加件-6件/W6050</t>
  </si>
  <si>
    <t>戳卡-11/z3032</t>
  </si>
  <si>
    <t>神经剥离子-1/z7530</t>
  </si>
  <si>
    <t>骨科锤子-1/W6050</t>
  </si>
  <si>
    <t>胆囊取加件-2/Z1535</t>
  </si>
  <si>
    <t>骨刀-1/z7530</t>
  </si>
  <si>
    <t>脓肿切开包-6件</t>
  </si>
  <si>
    <t>S拉钩-3件/w9050</t>
  </si>
  <si>
    <t>后颅凹拉钩-1/w6050</t>
  </si>
  <si>
    <t>髓核钳万向头-4/W6050</t>
  </si>
  <si>
    <t>小工兵钳-1/W9050</t>
  </si>
  <si>
    <t>膀胱镜套件-4/Z2044</t>
  </si>
  <si>
    <t>小缝合-32</t>
  </si>
  <si>
    <t>肌钩-2/Z1035</t>
  </si>
  <si>
    <t>大弯-10件/w6050</t>
  </si>
  <si>
    <t>咬骨钳-2/W6050</t>
  </si>
  <si>
    <t>灯罩（大）-1/z2032</t>
  </si>
  <si>
    <t>鸭嘴钳-1/z2060</t>
  </si>
  <si>
    <t>绷带/Z1029</t>
  </si>
  <si>
    <t>透析科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</si>
  <si>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</si>
  <si>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</si>
  <si>
    <t>基本类型</t>
  </si>
  <si>
    <t>包编号</t>
  </si>
  <si>
    <t>包数量</t>
  </si>
  <si>
    <t>器械数量</t>
  </si>
  <si>
    <t>合计</t>
  </si>
  <si>
    <t>沈阳鑫美辰商贸有限公司</t>
  </si>
  <si>
    <t>中医药大学附属第三医院（骨二科）</t>
  </si>
  <si>
    <t>骨科租赁器械包</t>
  </si>
  <si>
    <t>骨科租赁器械包-不带植入物</t>
  </si>
  <si>
    <t>刘凤兰-股骨粗隆间骨折 （关节钻）</t>
  </si>
  <si>
    <t>刘凤兰-股骨粗隆间骨折 （小钻）</t>
  </si>
  <si>
    <t>骨科租赁器械包-带植入物</t>
  </si>
  <si>
    <t>王哲-肱骨干骨折 1/5</t>
  </si>
  <si>
    <t>王哲-肱骨干骨折 2/5</t>
  </si>
  <si>
    <t>王哲-肱骨干骨折 3/5</t>
  </si>
  <si>
    <t>王哲-肱骨干骨折 4/5</t>
  </si>
  <si>
    <t>王哲-肱骨干骨折 5/5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</si>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</sst>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;\(0\)"/>
    <numFmt numFmtId="179" formatCode="[$-10804]0.00;\(0.00\)"/>
    <numFmt numFmtId="180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</cellStyleXfs>
  <cellXfs count="4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3" fillId="2" borderId="2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3" borderId="2" xfId="0" applyNumberFormat="1" applyFont="1" applyFill="1" applyBorder="1" applyAlignment="1">
      <alignment vertical="top" wrapText="1" readingOrder="1"/>
    </xf>
    <xf numFmtId="0" fontId="3" fillId="4" borderId="2" xfId="0" applyNumberFormat="1" applyFont="1" applyFill="1" applyBorder="1" applyAlignment="1">
      <alignment horizontal="left" vertical="top" wrapText="1" readingOrder="1"/>
    </xf>
    <xf numFmtId="0" fontId="3" fillId="4" borderId="2" xfId="0" applyNumberFormat="1" applyFont="1" applyFill="1" applyBorder="1" applyAlignment="1">
      <alignment vertical="top" wrapText="1" readingOrder="1"/>
    </xf>
    <xf numFmtId="176" fontId="3" fillId="4" borderId="2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6" fontId="3" fillId="0" borderId="3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7" fillId="2" borderId="2" xfId="0" applyNumberFormat="1" applyFont="1" applyFill="1" applyBorder="1" applyAlignment="1">
      <alignment vertical="top" wrapText="1" readingOrder="1"/>
    </xf>
    <xf numFmtId="0" fontId="8" fillId="2" borderId="2" xfId="0" applyNumberFormat="1" applyFont="1" applyFill="1" applyBorder="1" applyAlignment="1">
      <alignment horizontal="center" vertical="top" wrapText="1" readingOrder="1"/>
    </xf>
    <xf numFmtId="178" fontId="8" fillId="2" borderId="2" xfId="0" applyNumberFormat="1" applyFont="1" applyFill="1" applyBorder="1" applyAlignment="1">
      <alignment horizontal="center" vertical="top" wrapText="1" readingOrder="1"/>
    </xf>
    <xf numFmtId="179" fontId="8" fillId="2" borderId="2" xfId="0" applyNumberFormat="1" applyFont="1" applyFill="1" applyBorder="1" applyAlignment="1">
      <alignment vertical="top" wrapText="1" readingOrder="1"/>
    </xf>
    <xf numFmtId="0" fontId="9" fillId="3" borderId="2" xfId="0" applyNumberFormat="1" applyFont="1" applyFill="1" applyBorder="1" applyAlignment="1">
      <alignment horizontal="center" vertical="top" wrapText="1" readingOrder="1"/>
    </xf>
    <xf numFmtId="178" fontId="9" fillId="3" borderId="2" xfId="0" applyNumberFormat="1" applyFont="1" applyFill="1" applyBorder="1" applyAlignment="1">
      <alignment horizontal="center" vertical="top" wrapText="1" readingOrder="1"/>
    </xf>
    <xf numFmtId="179" fontId="9" fillId="3" borderId="2" xfId="0" applyNumberFormat="1" applyFont="1" applyFill="1" applyBorder="1" applyAlignment="1">
      <alignment vertical="top" wrapText="1" readingOrder="1"/>
    </xf>
    <xf numFmtId="180" fontId="3" fillId="0" borderId="3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178" fontId="9" fillId="0" borderId="3" xfId="0" applyNumberFormat="1" applyFont="1" applyFill="1" applyBorder="1" applyAlignment="1">
      <alignment horizontal="center" vertical="top" wrapText="1" readingOrder="1"/>
    </xf>
    <xf numFmtId="179" fontId="9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9" fontId="5" fillId="3" borderId="3" xfId="0" applyNumberFormat="1" applyFont="1" applyFill="1" applyBorder="1" applyAlignment="1">
      <alignment horizontal="center" vertical="top" wrapText="1" readingOrder="1"/>
    </xf>
    <xf numFmtId="18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9" fontId="3" fillId="0" borderId="3" xfId="0" applyNumberFormat="1" applyFont="1" applyFill="1" applyBorder="1" applyAlignment="1">
      <alignment horizontal="center"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horizontal="center" vertical="top" wrapText="1" readingOrder="1"/>
    </xf>
    <xf numFmtId="179" fontId="7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257175</xdr:colOff>
      <xdr:row>0</xdr:row>
      <xdr:rowOff>152400</xdr:rowOff>
    </xdr:from>
    <xdr:to>
      <xdr:col>11</xdr:col>
      <xdr:colOff>767163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4601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1</xdr:row>
      <xdr:rowOff>28575</xdr:rowOff>
    </xdr:from>
    <xdr:to>
      <xdr:col>11</xdr:col>
      <xdr:colOff>700488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3331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171450</xdr:colOff>
      <xdr:row>1</xdr:row>
      <xdr:rowOff>38100</xdr:rowOff>
    </xdr:from>
    <xdr:to>
      <xdr:col>11</xdr:col>
      <xdr:colOff>681438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145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238125</xdr:colOff>
      <xdr:row>0</xdr:row>
      <xdr:rowOff>123825</xdr:rowOff>
    </xdr:from>
    <xdr:to>
      <xdr:col>11</xdr:col>
      <xdr:colOff>748113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824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142875</xdr:colOff>
      <xdr:row>0</xdr:row>
      <xdr:rowOff>123825</xdr:rowOff>
    </xdr:from>
    <xdr:to>
      <xdr:col>11</xdr:col>
      <xdr:colOff>652863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4631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266700</xdr:colOff>
      <xdr:row>0</xdr:row>
      <xdr:rowOff>133350</xdr:rowOff>
    </xdr:from>
    <xdr:to>
      <xdr:col>11</xdr:col>
      <xdr:colOff>776688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9300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0</xdr:row>
      <xdr:rowOff>123825</xdr:rowOff>
    </xdr:from>
    <xdr:to>
      <xdr:col>11</xdr:col>
      <xdr:colOff>757638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2729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1</xdr:row>
      <xdr:rowOff>0</xdr:rowOff>
    </xdr:from>
    <xdr:to>
      <xdr:col>11</xdr:col>
      <xdr:colOff>757638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796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285750</xdr:colOff>
      <xdr:row>0</xdr:row>
      <xdr:rowOff>152400</xdr:rowOff>
    </xdr:from>
    <xdr:to>
      <xdr:col>11</xdr:col>
      <xdr:colOff>795738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2889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142875</xdr:colOff>
      <xdr:row>0</xdr:row>
      <xdr:rowOff>66675</xdr:rowOff>
    </xdr:from>
    <xdr:to>
      <xdr:col>11</xdr:col>
      <xdr:colOff>652863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50125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76200</xdr:colOff>
      <xdr:row>0</xdr:row>
      <xdr:rowOff>161925</xdr:rowOff>
    </xdr:from>
    <xdr:to>
      <xdr:col>12</xdr:col>
      <xdr:colOff>586188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74141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219075</xdr:colOff>
      <xdr:row>0</xdr:row>
      <xdr:rowOff>635</xdr:rowOff>
    </xdr:from>
    <xdr:to>
      <xdr:col>9</xdr:col>
      <xdr:colOff>729063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5690" y="63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showGridLines="0" view="pageBreakPreview" zoomScaleNormal="100" workbookViewId="0">
      <pane ySplit="6" topLeftCell="A7" activePane="bottomLeft" state="frozen"/>
      <selection/>
      <selection pane="bottomLeft" activeCell="Q11" sqref="Q10:Q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" customWidth="1"/>
    <col min="9" max="9" width="6.475" customWidth="1"/>
    <col min="10" max="10" width="9.45" customWidth="1"/>
    <col min="11" max="11" width="11" customWidth="1"/>
    <col min="12" max="12" width="11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15" spans="2:12">
      <c r="C8" s="8" t="s">
        <v>2</v>
      </c>
      <c r="D8" s="42" t="s">
        <v>3</v>
      </c>
      <c r="E8" s="36" t="s">
        <v>2</v>
      </c>
      <c r="F8" s="36" t="s">
        <v>2</v>
      </c>
      <c r="G8" s="36" t="s">
        <v>2</v>
      </c>
      <c r="H8" s="36" t="s">
        <v>2</v>
      </c>
      <c r="I8" s="43"/>
      <c r="J8" s="43"/>
      <c r="K8" s="44"/>
      <c r="L8" s="44"/>
    </row>
    <row r="9" spans="2:12">
      <c r="C9" s="8" t="s">
        <v>2</v>
      </c>
      <c r="D9" s="40" t="s">
        <v>4</v>
      </c>
      <c r="E9" s="40" t="s">
        <v>5</v>
      </c>
      <c r="F9" s="40" t="s">
        <v>6</v>
      </c>
      <c r="G9" s="40" t="s">
        <v>7</v>
      </c>
      <c r="H9" s="40" t="s">
        <v>8</v>
      </c>
      <c r="I9" s="40" t="s">
        <v>9</v>
      </c>
      <c r="J9" s="40" t="s">
        <v>10</v>
      </c>
      <c r="K9" s="40" t="s">
        <v>11</v>
      </c>
      <c r="L9" s="40" t="s">
        <v>12</v>
      </c>
    </row>
    <row r="10" ht="14.25" spans="2:12">
      <c r="D10" s="35" t="s">
        <v>13</v>
      </c>
      <c r="E10" s="36" t="s">
        <v>2</v>
      </c>
      <c r="F10" s="36" t="s">
        <v>2</v>
      </c>
      <c r="G10" s="36" t="s">
        <v>2</v>
      </c>
      <c r="H10" s="36" t="s">
        <v>2</v>
      </c>
      <c r="I10" s="37">
        <v>31</v>
      </c>
      <c r="J10" s="37">
        <v>0</v>
      </c>
      <c r="K10" s="38"/>
      <c r="L10" s="38">
        <v>77.5</v>
      </c>
    </row>
    <row r="11" spans="2:12">
      <c r="D11" s="39">
        <v>46059</v>
      </c>
      <c r="E11" s="19">
        <v>1576982</v>
      </c>
      <c r="F11" s="19" t="s">
        <v>14</v>
      </c>
      <c r="G11" s="40">
        <v>20412030</v>
      </c>
      <c r="H11" s="19" t="s">
        <v>15</v>
      </c>
      <c r="I11" s="40">
        <v>31</v>
      </c>
      <c r="J11" s="40">
        <v>0</v>
      </c>
      <c r="K11" s="41">
        <v>2.5</v>
      </c>
      <c r="L11" s="41">
        <v>77.5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J9" sqref="J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3.5" customWidth="1"/>
    <col min="9" max="9" width="6.475" customWidth="1"/>
    <col min="10" max="10" width="9.45" customWidth="1"/>
    <col min="11" max="11" width="12.2083333333333" customWidth="1"/>
    <col min="12" max="12" width="11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16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1</v>
      </c>
      <c r="J8" s="37"/>
      <c r="K8" s="38"/>
      <c r="L8" s="38">
        <v>8</v>
      </c>
    </row>
    <row r="9" spans="1:12">
      <c r="D9" s="39">
        <v>46058</v>
      </c>
      <c r="E9" s="19">
        <v>1576340</v>
      </c>
      <c r="F9" s="19" t="s">
        <v>17</v>
      </c>
      <c r="G9" s="40">
        <v>20013968</v>
      </c>
      <c r="H9" s="19" t="s">
        <v>18</v>
      </c>
      <c r="I9" s="40">
        <v>1</v>
      </c>
      <c r="J9" s="40">
        <v>1</v>
      </c>
      <c r="K9" s="41">
        <v>8</v>
      </c>
      <c r="L9" s="41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showGridLines="0" view="pageBreakPreview" zoomScaleNormal="100" workbookViewId="0">
      <pane ySplit="6" topLeftCell="A7" activePane="bottomLeft" state="frozen"/>
      <selection/>
      <selection pane="bottomLeft" activeCell="I8" sqref="I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1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19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f>70-3</f>
        <v>67</v>
      </c>
      <c r="J8" s="37"/>
      <c r="K8" s="38"/>
      <c r="L8" s="38">
        <f>SUM(L9:L64)+费用调整!J10</f>
        <v>2339.5</v>
      </c>
    </row>
    <row r="9" spans="1:12">
      <c r="D9" s="39">
        <v>46056</v>
      </c>
      <c r="E9" s="19">
        <v>1575682</v>
      </c>
      <c r="F9" s="19" t="s">
        <v>17</v>
      </c>
      <c r="G9" s="40">
        <v>20008018</v>
      </c>
      <c r="H9" s="19" t="s">
        <v>20</v>
      </c>
      <c r="I9" s="40">
        <v>1</v>
      </c>
      <c r="J9" s="40">
        <v>1</v>
      </c>
      <c r="K9" s="41">
        <v>8</v>
      </c>
      <c r="L9" s="41">
        <v>8</v>
      </c>
    </row>
    <row r="10" spans="1:12">
      <c r="D10" s="39">
        <v>46056</v>
      </c>
      <c r="E10" s="19">
        <v>1575682</v>
      </c>
      <c r="F10" s="19" t="s">
        <v>17</v>
      </c>
      <c r="G10" s="40">
        <v>20382015</v>
      </c>
      <c r="H10" s="19" t="s">
        <v>21</v>
      </c>
      <c r="I10" s="40">
        <v>1</v>
      </c>
      <c r="J10" s="40">
        <v>1</v>
      </c>
      <c r="K10" s="41">
        <v>8</v>
      </c>
      <c r="L10" s="41">
        <v>8</v>
      </c>
    </row>
    <row r="11" spans="1:12">
      <c r="D11" s="39">
        <v>46056</v>
      </c>
      <c r="E11" s="19">
        <v>1575682</v>
      </c>
      <c r="F11" s="19" t="s">
        <v>22</v>
      </c>
      <c r="G11" s="40">
        <v>20008398</v>
      </c>
      <c r="H11" s="19" t="s">
        <v>23</v>
      </c>
      <c r="I11" s="40">
        <v>2</v>
      </c>
      <c r="J11" s="40">
        <v>30</v>
      </c>
      <c r="K11" s="41">
        <v>82.5</v>
      </c>
      <c r="L11" s="41">
        <v>165</v>
      </c>
    </row>
    <row r="12" spans="1:12">
      <c r="D12" s="39">
        <v>46056</v>
      </c>
      <c r="E12" s="19">
        <v>1575682</v>
      </c>
      <c r="F12" s="19" t="s">
        <v>24</v>
      </c>
      <c r="G12" s="40">
        <v>20390991</v>
      </c>
      <c r="H12" s="19" t="s">
        <v>25</v>
      </c>
      <c r="I12" s="40">
        <v>2</v>
      </c>
      <c r="J12" s="40">
        <v>8</v>
      </c>
      <c r="K12" s="41">
        <v>22</v>
      </c>
      <c r="L12" s="41">
        <v>44</v>
      </c>
    </row>
    <row r="13" spans="1:12">
      <c r="D13" s="39">
        <v>46057</v>
      </c>
      <c r="E13" s="19">
        <v>1576014</v>
      </c>
      <c r="F13" s="19" t="s">
        <v>17</v>
      </c>
      <c r="G13" s="40">
        <v>20008019</v>
      </c>
      <c r="H13" s="19" t="s">
        <v>26</v>
      </c>
      <c r="I13" s="40">
        <v>1</v>
      </c>
      <c r="J13" s="40">
        <v>1</v>
      </c>
      <c r="K13" s="41">
        <v>11</v>
      </c>
      <c r="L13" s="41">
        <v>11</v>
      </c>
    </row>
    <row r="14" spans="1:12">
      <c r="D14" s="39">
        <v>46057</v>
      </c>
      <c r="E14" s="19">
        <v>1576014</v>
      </c>
      <c r="F14" s="19" t="s">
        <v>17</v>
      </c>
      <c r="G14" s="40">
        <v>20008020</v>
      </c>
      <c r="H14" s="19" t="s">
        <v>27</v>
      </c>
      <c r="I14" s="40">
        <v>1</v>
      </c>
      <c r="J14" s="40">
        <v>1</v>
      </c>
      <c r="K14" s="41">
        <v>8</v>
      </c>
      <c r="L14" s="41">
        <v>8</v>
      </c>
    </row>
    <row r="15" spans="1:12">
      <c r="D15" s="39">
        <v>46058</v>
      </c>
      <c r="E15" s="19">
        <v>1576341</v>
      </c>
      <c r="F15" s="19" t="s">
        <v>22</v>
      </c>
      <c r="G15" s="40">
        <v>20008398</v>
      </c>
      <c r="H15" s="19" t="s">
        <v>23</v>
      </c>
      <c r="I15" s="40">
        <v>1</v>
      </c>
      <c r="J15" s="40">
        <v>15</v>
      </c>
      <c r="K15" s="41">
        <v>82.5</v>
      </c>
      <c r="L15" s="41">
        <v>82.5</v>
      </c>
    </row>
    <row r="16" spans="1:12">
      <c r="D16" s="39">
        <v>46058</v>
      </c>
      <c r="E16" s="19">
        <v>1576644</v>
      </c>
      <c r="F16" s="19" t="s">
        <v>22</v>
      </c>
      <c r="G16" s="40">
        <v>20008398</v>
      </c>
      <c r="H16" s="19" t="s">
        <v>23</v>
      </c>
      <c r="I16" s="40">
        <v>1</v>
      </c>
      <c r="J16" s="40">
        <v>15</v>
      </c>
      <c r="K16" s="41">
        <v>82.5</v>
      </c>
      <c r="L16" s="41">
        <v>82.5</v>
      </c>
    </row>
    <row r="17" spans="4:12">
      <c r="D17" s="39">
        <v>46059</v>
      </c>
      <c r="E17" s="19">
        <v>1576755</v>
      </c>
      <c r="F17" s="19" t="s">
        <v>28</v>
      </c>
      <c r="G17" s="40">
        <v>20007465</v>
      </c>
      <c r="H17" s="19" t="s">
        <v>29</v>
      </c>
      <c r="I17" s="40">
        <v>1</v>
      </c>
      <c r="J17" s="40">
        <v>1</v>
      </c>
      <c r="K17" s="41">
        <v>35</v>
      </c>
      <c r="L17" s="41">
        <v>35</v>
      </c>
    </row>
    <row r="18" spans="4:12">
      <c r="D18" s="39">
        <v>46059</v>
      </c>
      <c r="E18" s="19">
        <v>1576755</v>
      </c>
      <c r="F18" s="19" t="s">
        <v>30</v>
      </c>
      <c r="G18" s="40">
        <v>20324939</v>
      </c>
      <c r="H18" s="19" t="s">
        <v>31</v>
      </c>
      <c r="I18" s="40">
        <v>1</v>
      </c>
      <c r="J18" s="40">
        <v>3</v>
      </c>
      <c r="K18" s="41">
        <v>66</v>
      </c>
      <c r="L18" s="41">
        <v>66</v>
      </c>
    </row>
    <row r="19" spans="4:12">
      <c r="D19" s="39">
        <v>46059</v>
      </c>
      <c r="E19" s="19">
        <v>1576983</v>
      </c>
      <c r="F19" s="19" t="s">
        <v>24</v>
      </c>
      <c r="G19" s="40">
        <v>20390991</v>
      </c>
      <c r="H19" s="19" t="s">
        <v>25</v>
      </c>
      <c r="I19" s="40">
        <v>1</v>
      </c>
      <c r="J19" s="40">
        <v>4</v>
      </c>
      <c r="K19" s="41">
        <v>22</v>
      </c>
      <c r="L19" s="41">
        <v>22</v>
      </c>
    </row>
    <row r="20" spans="4:12">
      <c r="D20" s="39">
        <v>46062</v>
      </c>
      <c r="E20" s="19">
        <v>1577463</v>
      </c>
      <c r="F20" s="19" t="s">
        <v>22</v>
      </c>
      <c r="G20" s="40">
        <v>20008398</v>
      </c>
      <c r="H20" s="19" t="s">
        <v>23</v>
      </c>
      <c r="I20" s="40">
        <v>1</v>
      </c>
      <c r="J20" s="40">
        <v>15</v>
      </c>
      <c r="K20" s="41">
        <v>82.5</v>
      </c>
      <c r="L20" s="41">
        <v>82.5</v>
      </c>
    </row>
    <row r="21" spans="4:12">
      <c r="D21" s="39">
        <v>46062</v>
      </c>
      <c r="E21" s="19">
        <v>1577463</v>
      </c>
      <c r="F21" s="19" t="s">
        <v>24</v>
      </c>
      <c r="G21" s="40">
        <v>20390991</v>
      </c>
      <c r="H21" s="19" t="s">
        <v>25</v>
      </c>
      <c r="I21" s="40">
        <v>1</v>
      </c>
      <c r="J21" s="40">
        <v>4</v>
      </c>
      <c r="K21" s="41">
        <v>22</v>
      </c>
      <c r="L21" s="41">
        <v>22</v>
      </c>
    </row>
    <row r="22" spans="4:12">
      <c r="D22" s="39">
        <v>46063</v>
      </c>
      <c r="E22" s="19">
        <v>1577559</v>
      </c>
      <c r="F22" s="19" t="s">
        <v>28</v>
      </c>
      <c r="G22" s="40">
        <v>20007465</v>
      </c>
      <c r="H22" s="19" t="s">
        <v>29</v>
      </c>
      <c r="I22" s="40">
        <v>1</v>
      </c>
      <c r="J22" s="40">
        <v>1</v>
      </c>
      <c r="K22" s="41">
        <v>35</v>
      </c>
      <c r="L22" s="41">
        <v>35</v>
      </c>
    </row>
    <row r="23" spans="4:12">
      <c r="D23" s="39">
        <v>46063</v>
      </c>
      <c r="E23" s="19">
        <v>1577559</v>
      </c>
      <c r="F23" s="19" t="s">
        <v>30</v>
      </c>
      <c r="G23" s="40">
        <v>20324939</v>
      </c>
      <c r="H23" s="19" t="s">
        <v>31</v>
      </c>
      <c r="I23" s="40">
        <v>1</v>
      </c>
      <c r="J23" s="40">
        <v>3</v>
      </c>
      <c r="K23" s="41">
        <v>66</v>
      </c>
      <c r="L23" s="41">
        <v>66</v>
      </c>
    </row>
    <row r="24" spans="4:12">
      <c r="D24" s="39">
        <v>46063</v>
      </c>
      <c r="E24" s="19">
        <v>1577841</v>
      </c>
      <c r="F24" s="19" t="s">
        <v>22</v>
      </c>
      <c r="G24" s="40">
        <v>20008398</v>
      </c>
      <c r="H24" s="19" t="s">
        <v>23</v>
      </c>
      <c r="I24" s="40">
        <v>1</v>
      </c>
      <c r="J24" s="40">
        <v>15</v>
      </c>
      <c r="K24" s="41">
        <v>82.5</v>
      </c>
      <c r="L24" s="41">
        <v>82.5</v>
      </c>
    </row>
    <row r="25" spans="4:12">
      <c r="D25" s="39">
        <v>46063</v>
      </c>
      <c r="E25" s="19">
        <v>1577841</v>
      </c>
      <c r="F25" s="19" t="s">
        <v>24</v>
      </c>
      <c r="G25" s="40">
        <v>20390991</v>
      </c>
      <c r="H25" s="19" t="s">
        <v>25</v>
      </c>
      <c r="I25" s="40">
        <v>1</v>
      </c>
      <c r="J25" s="40">
        <v>4</v>
      </c>
      <c r="K25" s="41">
        <v>22</v>
      </c>
      <c r="L25" s="41">
        <v>22</v>
      </c>
    </row>
    <row r="26" spans="4:12">
      <c r="D26" s="39">
        <v>46064</v>
      </c>
      <c r="E26" s="19">
        <v>1577926</v>
      </c>
      <c r="F26" s="19" t="s">
        <v>32</v>
      </c>
      <c r="G26" s="40">
        <v>20412434</v>
      </c>
      <c r="H26" s="19" t="s">
        <v>33</v>
      </c>
      <c r="I26" s="40">
        <v>1</v>
      </c>
      <c r="J26" s="40">
        <v>4</v>
      </c>
      <c r="K26" s="41">
        <v>66</v>
      </c>
      <c r="L26" s="41">
        <v>66</v>
      </c>
    </row>
    <row r="27" spans="4:12">
      <c r="D27" s="39">
        <v>46064</v>
      </c>
      <c r="E27" s="19">
        <v>1577926</v>
      </c>
      <c r="F27" s="19" t="s">
        <v>32</v>
      </c>
      <c r="G27" s="40">
        <v>20412429</v>
      </c>
      <c r="H27" s="19" t="s">
        <v>34</v>
      </c>
      <c r="I27" s="40">
        <v>1</v>
      </c>
      <c r="J27" s="40">
        <v>4</v>
      </c>
      <c r="K27" s="41">
        <v>66</v>
      </c>
      <c r="L27" s="41">
        <v>66</v>
      </c>
    </row>
    <row r="28" spans="4:12">
      <c r="D28" s="39">
        <v>46064</v>
      </c>
      <c r="E28" s="19">
        <v>1577926</v>
      </c>
      <c r="F28" s="19" t="s">
        <v>32</v>
      </c>
      <c r="G28" s="40">
        <v>20412424</v>
      </c>
      <c r="H28" s="19" t="s">
        <v>35</v>
      </c>
      <c r="I28" s="40">
        <v>1</v>
      </c>
      <c r="J28" s="40">
        <v>1</v>
      </c>
      <c r="K28" s="41">
        <v>30</v>
      </c>
      <c r="L28" s="41">
        <v>30</v>
      </c>
    </row>
    <row r="29" spans="4:12">
      <c r="D29" s="39">
        <v>46064</v>
      </c>
      <c r="E29" s="19">
        <v>1578114</v>
      </c>
      <c r="F29" s="19" t="s">
        <v>17</v>
      </c>
      <c r="G29" s="40">
        <v>20008018</v>
      </c>
      <c r="H29" s="19" t="s">
        <v>20</v>
      </c>
      <c r="I29" s="40">
        <v>1</v>
      </c>
      <c r="J29" s="40">
        <v>1</v>
      </c>
      <c r="K29" s="41">
        <v>8</v>
      </c>
      <c r="L29" s="41">
        <v>8</v>
      </c>
    </row>
    <row r="30" spans="4:12">
      <c r="D30" s="39">
        <v>46064</v>
      </c>
      <c r="E30" s="19">
        <v>1578114</v>
      </c>
      <c r="F30" s="19" t="s">
        <v>17</v>
      </c>
      <c r="G30" s="40">
        <v>20014298</v>
      </c>
      <c r="H30" s="19" t="s">
        <v>36</v>
      </c>
      <c r="I30" s="40">
        <v>1</v>
      </c>
      <c r="J30" s="40">
        <v>1</v>
      </c>
      <c r="K30" s="41">
        <v>8</v>
      </c>
      <c r="L30" s="41">
        <v>8</v>
      </c>
    </row>
    <row r="31" spans="4:12">
      <c r="D31" s="39">
        <v>46064</v>
      </c>
      <c r="E31" s="19">
        <v>1578114</v>
      </c>
      <c r="F31" s="19" t="s">
        <v>17</v>
      </c>
      <c r="G31" s="40">
        <v>20013201</v>
      </c>
      <c r="H31" s="19" t="s">
        <v>37</v>
      </c>
      <c r="I31" s="40">
        <v>2</v>
      </c>
      <c r="J31" s="40">
        <v>2</v>
      </c>
      <c r="K31" s="41">
        <v>8</v>
      </c>
      <c r="L31" s="41">
        <v>16</v>
      </c>
    </row>
    <row r="32" spans="4:12">
      <c r="D32" s="39">
        <v>46064</v>
      </c>
      <c r="E32" s="19">
        <v>1578114</v>
      </c>
      <c r="F32" s="19" t="s">
        <v>17</v>
      </c>
      <c r="G32" s="40">
        <v>20008019</v>
      </c>
      <c r="H32" s="19" t="s">
        <v>26</v>
      </c>
      <c r="I32" s="40">
        <v>2</v>
      </c>
      <c r="J32" s="40">
        <v>2</v>
      </c>
      <c r="K32" s="41">
        <v>11</v>
      </c>
      <c r="L32" s="41">
        <v>22</v>
      </c>
    </row>
    <row r="33" spans="4:12">
      <c r="D33" s="39">
        <v>46064</v>
      </c>
      <c r="E33" s="19">
        <v>1578114</v>
      </c>
      <c r="F33" s="19" t="s">
        <v>17</v>
      </c>
      <c r="G33" s="40">
        <v>20008016</v>
      </c>
      <c r="H33" s="19" t="s">
        <v>38</v>
      </c>
      <c r="I33" s="40">
        <v>2</v>
      </c>
      <c r="J33" s="40">
        <v>2</v>
      </c>
      <c r="K33" s="41">
        <v>11</v>
      </c>
      <c r="L33" s="41">
        <v>22</v>
      </c>
    </row>
    <row r="34" spans="4:12">
      <c r="D34" s="39">
        <v>46064</v>
      </c>
      <c r="E34" s="19">
        <v>1578114</v>
      </c>
      <c r="F34" s="19" t="s">
        <v>17</v>
      </c>
      <c r="G34" s="40">
        <v>20012989</v>
      </c>
      <c r="H34" s="19" t="s">
        <v>39</v>
      </c>
      <c r="I34" s="40">
        <v>2</v>
      </c>
      <c r="J34" s="40">
        <v>2</v>
      </c>
      <c r="K34" s="41">
        <v>8</v>
      </c>
      <c r="L34" s="41">
        <v>16</v>
      </c>
    </row>
    <row r="35" spans="4:12">
      <c r="D35" s="39">
        <v>46064</v>
      </c>
      <c r="E35" s="19">
        <v>1578114</v>
      </c>
      <c r="F35" s="19" t="s">
        <v>17</v>
      </c>
      <c r="G35" s="40">
        <v>20008020</v>
      </c>
      <c r="H35" s="19" t="s">
        <v>27</v>
      </c>
      <c r="I35" s="40">
        <v>2</v>
      </c>
      <c r="J35" s="40">
        <v>2</v>
      </c>
      <c r="K35" s="41">
        <v>8</v>
      </c>
      <c r="L35" s="41">
        <v>16</v>
      </c>
    </row>
    <row r="36" spans="4:12">
      <c r="D36" s="39">
        <v>46064</v>
      </c>
      <c r="E36" s="19">
        <v>1578114</v>
      </c>
      <c r="F36" s="19" t="s">
        <v>17</v>
      </c>
      <c r="G36" s="40">
        <v>20008624</v>
      </c>
      <c r="H36" s="19" t="s">
        <v>40</v>
      </c>
      <c r="I36" s="40">
        <v>1</v>
      </c>
      <c r="J36" s="40">
        <v>1</v>
      </c>
      <c r="K36" s="41">
        <v>11</v>
      </c>
      <c r="L36" s="41">
        <v>11</v>
      </c>
    </row>
    <row r="37" spans="4:12">
      <c r="D37" s="39">
        <v>46064</v>
      </c>
      <c r="E37" s="19">
        <v>1578114</v>
      </c>
      <c r="F37" s="19" t="s">
        <v>22</v>
      </c>
      <c r="G37" s="40">
        <v>20008398</v>
      </c>
      <c r="H37" s="19" t="s">
        <v>23</v>
      </c>
      <c r="I37" s="40">
        <v>1</v>
      </c>
      <c r="J37" s="40">
        <v>15</v>
      </c>
      <c r="K37" s="41">
        <v>82.5</v>
      </c>
      <c r="L37" s="41">
        <v>82.5</v>
      </c>
    </row>
    <row r="38" spans="4:12">
      <c r="D38" s="39">
        <v>46064</v>
      </c>
      <c r="E38" s="19">
        <v>1578114</v>
      </c>
      <c r="F38" s="19" t="s">
        <v>24</v>
      </c>
      <c r="G38" s="40">
        <v>20390991</v>
      </c>
      <c r="H38" s="19" t="s">
        <v>25</v>
      </c>
      <c r="I38" s="40">
        <v>1</v>
      </c>
      <c r="J38" s="40">
        <v>4</v>
      </c>
      <c r="K38" s="41">
        <v>22</v>
      </c>
      <c r="L38" s="41">
        <v>22</v>
      </c>
    </row>
    <row r="39" spans="4:12">
      <c r="D39" s="39">
        <v>46064</v>
      </c>
      <c r="E39" s="19">
        <v>1578198</v>
      </c>
      <c r="F39" s="19" t="s">
        <v>28</v>
      </c>
      <c r="G39" s="40">
        <v>20007465</v>
      </c>
      <c r="H39" s="19" t="s">
        <v>29</v>
      </c>
      <c r="I39" s="40">
        <v>1</v>
      </c>
      <c r="J39" s="40">
        <v>1</v>
      </c>
      <c r="K39" s="41">
        <v>35</v>
      </c>
      <c r="L39" s="41">
        <v>35</v>
      </c>
    </row>
    <row r="40" spans="4:12">
      <c r="D40" s="39">
        <v>46064</v>
      </c>
      <c r="E40" s="19">
        <v>1578198</v>
      </c>
      <c r="F40" s="19" t="s">
        <v>30</v>
      </c>
      <c r="G40" s="40">
        <v>20324939</v>
      </c>
      <c r="H40" s="19" t="s">
        <v>31</v>
      </c>
      <c r="I40" s="40">
        <v>2</v>
      </c>
      <c r="J40" s="40">
        <v>6</v>
      </c>
      <c r="K40" s="41">
        <v>66</v>
      </c>
      <c r="L40" s="41">
        <v>132</v>
      </c>
    </row>
    <row r="41" spans="4:12">
      <c r="D41" s="39">
        <v>46065</v>
      </c>
      <c r="E41" s="19">
        <v>1578478</v>
      </c>
      <c r="F41" s="19" t="s">
        <v>22</v>
      </c>
      <c r="G41" s="40">
        <v>20008398</v>
      </c>
      <c r="H41" s="19" t="s">
        <v>23</v>
      </c>
      <c r="I41" s="40">
        <v>2</v>
      </c>
      <c r="J41" s="40">
        <v>30</v>
      </c>
      <c r="K41" s="41">
        <v>82.5</v>
      </c>
      <c r="L41" s="41">
        <v>165</v>
      </c>
    </row>
    <row r="42" spans="4:12">
      <c r="D42" s="39">
        <v>46065</v>
      </c>
      <c r="E42" s="19">
        <v>1578478</v>
      </c>
      <c r="F42" s="19" t="s">
        <v>24</v>
      </c>
      <c r="G42" s="40">
        <v>20390991</v>
      </c>
      <c r="H42" s="19" t="s">
        <v>25</v>
      </c>
      <c r="I42" s="40">
        <v>1</v>
      </c>
      <c r="J42" s="40">
        <v>4</v>
      </c>
      <c r="K42" s="41">
        <v>22</v>
      </c>
      <c r="L42" s="41">
        <v>22</v>
      </c>
    </row>
    <row r="43" spans="4:12">
      <c r="D43" s="39">
        <v>46065</v>
      </c>
      <c r="E43" s="19">
        <v>1578505</v>
      </c>
      <c r="F43" s="19" t="s">
        <v>28</v>
      </c>
      <c r="G43" s="40">
        <v>20007465</v>
      </c>
      <c r="H43" s="19" t="s">
        <v>29</v>
      </c>
      <c r="I43" s="40">
        <v>1</v>
      </c>
      <c r="J43" s="40">
        <v>1</v>
      </c>
      <c r="K43" s="41">
        <v>35</v>
      </c>
      <c r="L43" s="41">
        <v>35</v>
      </c>
    </row>
    <row r="44" spans="4:12">
      <c r="D44" s="39">
        <v>46065</v>
      </c>
      <c r="E44" s="19">
        <v>1578505</v>
      </c>
      <c r="F44" s="19" t="s">
        <v>30</v>
      </c>
      <c r="G44" s="40">
        <v>20324939</v>
      </c>
      <c r="H44" s="19" t="s">
        <v>31</v>
      </c>
      <c r="I44" s="40">
        <v>1</v>
      </c>
      <c r="J44" s="40">
        <v>3</v>
      </c>
      <c r="K44" s="41">
        <v>66</v>
      </c>
      <c r="L44" s="41">
        <v>66</v>
      </c>
    </row>
    <row r="45" spans="4:12">
      <c r="D45" s="39">
        <v>46077</v>
      </c>
      <c r="E45" s="19">
        <v>1579814</v>
      </c>
      <c r="F45" s="19" t="s">
        <v>17</v>
      </c>
      <c r="G45" s="40">
        <v>20008018</v>
      </c>
      <c r="H45" s="19" t="s">
        <v>20</v>
      </c>
      <c r="I45" s="40">
        <v>1</v>
      </c>
      <c r="J45" s="40">
        <v>1</v>
      </c>
      <c r="K45" s="41">
        <v>8</v>
      </c>
      <c r="L45" s="41">
        <v>8</v>
      </c>
    </row>
    <row r="46" spans="4:12">
      <c r="D46" s="39">
        <v>46077</v>
      </c>
      <c r="E46" s="19">
        <v>1579814</v>
      </c>
      <c r="F46" s="19" t="s">
        <v>17</v>
      </c>
      <c r="G46" s="40">
        <v>20008016</v>
      </c>
      <c r="H46" s="19" t="s">
        <v>38</v>
      </c>
      <c r="I46" s="40">
        <v>1</v>
      </c>
      <c r="J46" s="40">
        <v>1</v>
      </c>
      <c r="K46" s="41">
        <v>11</v>
      </c>
      <c r="L46" s="41">
        <v>11</v>
      </c>
    </row>
    <row r="47" spans="4:12">
      <c r="D47" s="39">
        <v>46077</v>
      </c>
      <c r="E47" s="19">
        <v>1579814</v>
      </c>
      <c r="F47" s="19" t="s">
        <v>17</v>
      </c>
      <c r="G47" s="40">
        <v>20008017</v>
      </c>
      <c r="H47" s="19" t="s">
        <v>41</v>
      </c>
      <c r="I47" s="40">
        <v>1</v>
      </c>
      <c r="J47" s="40">
        <v>1</v>
      </c>
      <c r="K47" s="41">
        <v>11</v>
      </c>
      <c r="L47" s="41">
        <v>11</v>
      </c>
    </row>
    <row r="48" spans="4:12">
      <c r="D48" s="39">
        <v>46077</v>
      </c>
      <c r="E48" s="19">
        <v>1579814</v>
      </c>
      <c r="F48" s="19" t="s">
        <v>22</v>
      </c>
      <c r="G48" s="40">
        <v>20008618</v>
      </c>
      <c r="H48" s="19" t="s">
        <v>42</v>
      </c>
      <c r="I48" s="40">
        <v>2</v>
      </c>
      <c r="J48" s="40">
        <v>34</v>
      </c>
      <c r="K48" s="41">
        <v>93.5</v>
      </c>
      <c r="L48" s="41">
        <v>187</v>
      </c>
    </row>
    <row r="49" spans="4:12">
      <c r="D49" s="39">
        <v>46077</v>
      </c>
      <c r="E49" s="19">
        <v>1579814</v>
      </c>
      <c r="F49" s="19" t="s">
        <v>22</v>
      </c>
      <c r="G49" s="40">
        <v>20008398</v>
      </c>
      <c r="H49" s="19" t="s">
        <v>23</v>
      </c>
      <c r="I49" s="40">
        <v>1</v>
      </c>
      <c r="J49" s="40">
        <v>15</v>
      </c>
      <c r="K49" s="41">
        <v>82.5</v>
      </c>
      <c r="L49" s="41">
        <v>82.5</v>
      </c>
    </row>
    <row r="50" spans="4:12">
      <c r="D50" s="39">
        <v>46077</v>
      </c>
      <c r="E50" s="19">
        <v>1579814</v>
      </c>
      <c r="F50" s="19" t="s">
        <v>24</v>
      </c>
      <c r="G50" s="40">
        <v>20390991</v>
      </c>
      <c r="H50" s="19" t="s">
        <v>25</v>
      </c>
      <c r="I50" s="40">
        <v>2</v>
      </c>
      <c r="J50" s="40">
        <v>8</v>
      </c>
      <c r="K50" s="41">
        <v>22</v>
      </c>
      <c r="L50" s="41">
        <v>44</v>
      </c>
    </row>
    <row r="51" spans="4:12">
      <c r="D51" s="39">
        <v>46078</v>
      </c>
      <c r="E51" s="19">
        <v>1579875</v>
      </c>
      <c r="F51" s="19" t="s">
        <v>28</v>
      </c>
      <c r="G51" s="40">
        <v>20007465</v>
      </c>
      <c r="H51" s="19" t="s">
        <v>29</v>
      </c>
      <c r="I51" s="40">
        <v>1</v>
      </c>
      <c r="J51" s="40">
        <v>1</v>
      </c>
      <c r="K51" s="41">
        <v>35</v>
      </c>
      <c r="L51" s="41">
        <v>35</v>
      </c>
    </row>
    <row r="52" spans="4:12">
      <c r="D52" s="39">
        <v>46078</v>
      </c>
      <c r="E52" s="19">
        <v>1579875</v>
      </c>
      <c r="F52" s="19" t="s">
        <v>30</v>
      </c>
      <c r="G52" s="40">
        <v>20324939</v>
      </c>
      <c r="H52" s="19" t="s">
        <v>31</v>
      </c>
      <c r="I52" s="40">
        <v>2</v>
      </c>
      <c r="J52" s="40">
        <v>6</v>
      </c>
      <c r="K52" s="41">
        <v>66</v>
      </c>
      <c r="L52" s="41">
        <v>132</v>
      </c>
    </row>
    <row r="53" spans="4:12">
      <c r="D53" s="39">
        <v>46080</v>
      </c>
      <c r="E53" s="19">
        <v>1580557</v>
      </c>
      <c r="F53" s="19" t="s">
        <v>24</v>
      </c>
      <c r="G53" s="40">
        <v>20390991</v>
      </c>
      <c r="H53" s="19" t="s">
        <v>25</v>
      </c>
      <c r="I53" s="40">
        <v>1</v>
      </c>
      <c r="J53" s="40">
        <v>4</v>
      </c>
      <c r="K53" s="41">
        <v>22</v>
      </c>
      <c r="L53" s="41">
        <v>22</v>
      </c>
    </row>
    <row r="54" spans="4:12">
      <c r="D54" s="39">
        <v>46081</v>
      </c>
      <c r="E54" s="19">
        <v>1580881</v>
      </c>
      <c r="F54" s="19" t="s">
        <v>17</v>
      </c>
      <c r="G54" s="40">
        <v>20008018</v>
      </c>
      <c r="H54" s="19" t="s">
        <v>20</v>
      </c>
      <c r="I54" s="40">
        <v>1</v>
      </c>
      <c r="J54" s="40">
        <v>1</v>
      </c>
      <c r="K54" s="41">
        <v>8</v>
      </c>
      <c r="L54" s="41">
        <v>8</v>
      </c>
    </row>
    <row r="55" spans="4:12">
      <c r="D55" s="39">
        <v>46081</v>
      </c>
      <c r="E55" s="19">
        <v>1580881</v>
      </c>
      <c r="F55" s="19" t="s">
        <v>17</v>
      </c>
      <c r="G55" s="40">
        <v>20013201</v>
      </c>
      <c r="H55" s="19" t="s">
        <v>37</v>
      </c>
      <c r="I55" s="40">
        <v>1</v>
      </c>
      <c r="J55" s="40">
        <v>1</v>
      </c>
      <c r="K55" s="41">
        <v>8</v>
      </c>
      <c r="L55" s="41">
        <v>8</v>
      </c>
    </row>
    <row r="56" spans="4:12">
      <c r="D56" s="39">
        <v>46081</v>
      </c>
      <c r="E56" s="19">
        <v>1580881</v>
      </c>
      <c r="F56" s="19" t="s">
        <v>17</v>
      </c>
      <c r="G56" s="40">
        <v>20008019</v>
      </c>
      <c r="H56" s="19" t="s">
        <v>26</v>
      </c>
      <c r="I56" s="40">
        <v>2</v>
      </c>
      <c r="J56" s="40">
        <v>2</v>
      </c>
      <c r="K56" s="41">
        <v>11</v>
      </c>
      <c r="L56" s="41">
        <v>22</v>
      </c>
    </row>
    <row r="57" spans="4:12">
      <c r="D57" s="39">
        <v>46081</v>
      </c>
      <c r="E57" s="19">
        <v>1580881</v>
      </c>
      <c r="F57" s="19" t="s">
        <v>17</v>
      </c>
      <c r="G57" s="40">
        <v>20008016</v>
      </c>
      <c r="H57" s="19" t="s">
        <v>38</v>
      </c>
      <c r="I57" s="40">
        <v>1</v>
      </c>
      <c r="J57" s="40">
        <v>1</v>
      </c>
      <c r="K57" s="41">
        <v>11</v>
      </c>
      <c r="L57" s="41">
        <v>11</v>
      </c>
    </row>
    <row r="58" spans="4:12">
      <c r="D58" s="39">
        <v>46081</v>
      </c>
      <c r="E58" s="19">
        <v>1580881</v>
      </c>
      <c r="F58" s="19" t="s">
        <v>17</v>
      </c>
      <c r="G58" s="40">
        <v>20012989</v>
      </c>
      <c r="H58" s="19" t="s">
        <v>39</v>
      </c>
      <c r="I58" s="40">
        <v>2</v>
      </c>
      <c r="J58" s="40">
        <v>2</v>
      </c>
      <c r="K58" s="41">
        <v>8</v>
      </c>
      <c r="L58" s="41">
        <v>16</v>
      </c>
    </row>
    <row r="59" spans="4:12">
      <c r="D59" s="39">
        <v>46081</v>
      </c>
      <c r="E59" s="19">
        <v>1580881</v>
      </c>
      <c r="F59" s="19" t="s">
        <v>17</v>
      </c>
      <c r="G59" s="40">
        <v>20008020</v>
      </c>
      <c r="H59" s="19" t="s">
        <v>27</v>
      </c>
      <c r="I59" s="40">
        <v>1</v>
      </c>
      <c r="J59" s="40">
        <v>1</v>
      </c>
      <c r="K59" s="41">
        <v>8</v>
      </c>
      <c r="L59" s="41">
        <v>8</v>
      </c>
    </row>
    <row r="60" spans="4:12">
      <c r="D60" s="39">
        <v>46081</v>
      </c>
      <c r="E60" s="19">
        <v>1580930</v>
      </c>
      <c r="F60" s="19" t="s">
        <v>28</v>
      </c>
      <c r="G60" s="40">
        <v>20007465</v>
      </c>
      <c r="H60" s="19" t="s">
        <v>29</v>
      </c>
      <c r="I60" s="40">
        <v>1</v>
      </c>
      <c r="J60" s="40">
        <v>1</v>
      </c>
      <c r="K60" s="41">
        <v>35</v>
      </c>
      <c r="L60" s="41">
        <v>35</v>
      </c>
    </row>
    <row r="61" spans="4:12">
      <c r="D61" s="39">
        <v>46081</v>
      </c>
      <c r="E61" s="19">
        <v>1580930</v>
      </c>
      <c r="F61" s="19" t="s">
        <v>30</v>
      </c>
      <c r="G61" s="40">
        <v>20324939</v>
      </c>
      <c r="H61" s="19" t="s">
        <v>31</v>
      </c>
      <c r="I61" s="40">
        <v>1</v>
      </c>
      <c r="J61" s="40">
        <v>3</v>
      </c>
      <c r="K61" s="41">
        <v>66</v>
      </c>
      <c r="L61" s="41">
        <v>66</v>
      </c>
    </row>
    <row r="62" spans="4:12">
      <c r="D62" s="39">
        <v>46081</v>
      </c>
      <c r="E62" s="19">
        <v>1581198</v>
      </c>
      <c r="F62" s="19" t="s">
        <v>17</v>
      </c>
      <c r="G62" s="40">
        <v>20008019</v>
      </c>
      <c r="H62" s="19" t="s">
        <v>26</v>
      </c>
      <c r="I62" s="40">
        <v>1</v>
      </c>
      <c r="J62" s="40">
        <v>1</v>
      </c>
      <c r="K62" s="41">
        <v>11</v>
      </c>
      <c r="L62" s="41">
        <v>11</v>
      </c>
    </row>
    <row r="63" spans="4:12">
      <c r="D63" s="39">
        <v>46081</v>
      </c>
      <c r="E63" s="19">
        <v>1581198</v>
      </c>
      <c r="F63" s="19" t="s">
        <v>17</v>
      </c>
      <c r="G63" s="40">
        <v>20008020</v>
      </c>
      <c r="H63" s="19" t="s">
        <v>27</v>
      </c>
      <c r="I63" s="40">
        <v>1</v>
      </c>
      <c r="J63" s="40">
        <v>1</v>
      </c>
      <c r="K63" s="41">
        <v>8</v>
      </c>
      <c r="L63" s="41">
        <v>8</v>
      </c>
    </row>
    <row r="64" spans="4:12">
      <c r="D64" s="39">
        <v>46081</v>
      </c>
      <c r="E64" s="19">
        <v>1581198</v>
      </c>
      <c r="F64" s="19" t="s">
        <v>22</v>
      </c>
      <c r="G64" s="40">
        <v>20008618</v>
      </c>
      <c r="H64" s="19" t="s">
        <v>42</v>
      </c>
      <c r="I64" s="40">
        <v>1</v>
      </c>
      <c r="J64" s="40">
        <v>17</v>
      </c>
      <c r="K64" s="41">
        <v>93.5</v>
      </c>
      <c r="L64" s="41">
        <v>93.5</v>
      </c>
    </row>
    <row r="65" ht="0.05" customHeight="1"/>
  </sheetData>
  <mergeCells count="5">
    <mergeCell ref="D8:H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25" customWidth="1"/>
    <col min="12" max="12" width="11.37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43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50</v>
      </c>
      <c r="J8" s="37"/>
      <c r="K8" s="38"/>
      <c r="L8" s="38">
        <v>1239</v>
      </c>
    </row>
    <row r="9" spans="1:12">
      <c r="D9" s="39">
        <v>46056</v>
      </c>
      <c r="E9" s="19">
        <v>1575683</v>
      </c>
      <c r="F9" s="19" t="s">
        <v>44</v>
      </c>
      <c r="G9" s="40">
        <v>20007398</v>
      </c>
      <c r="H9" s="19" t="s">
        <v>45</v>
      </c>
      <c r="I9" s="40">
        <v>3</v>
      </c>
      <c r="J9" s="40">
        <v>21</v>
      </c>
      <c r="K9" s="41">
        <v>38.5</v>
      </c>
      <c r="L9" s="41">
        <v>115.5</v>
      </c>
    </row>
    <row r="10" spans="1:12">
      <c r="D10" s="39">
        <v>46056</v>
      </c>
      <c r="E10" s="19">
        <v>1575683</v>
      </c>
      <c r="F10" s="19" t="s">
        <v>46</v>
      </c>
      <c r="G10" s="40">
        <v>20008605</v>
      </c>
      <c r="H10" s="19" t="s">
        <v>47</v>
      </c>
      <c r="I10" s="40">
        <v>4</v>
      </c>
      <c r="J10" s="40">
        <v>8</v>
      </c>
      <c r="K10" s="41">
        <v>16.5</v>
      </c>
      <c r="L10" s="41">
        <v>66</v>
      </c>
    </row>
    <row r="11" spans="1:12">
      <c r="D11" s="39">
        <v>46056</v>
      </c>
      <c r="E11" s="19">
        <v>1575683</v>
      </c>
      <c r="F11" s="19" t="s">
        <v>46</v>
      </c>
      <c r="G11" s="40">
        <v>20009149</v>
      </c>
      <c r="H11" s="19" t="s">
        <v>48</v>
      </c>
      <c r="I11" s="40">
        <v>1</v>
      </c>
      <c r="J11" s="40">
        <v>1</v>
      </c>
      <c r="K11" s="41">
        <v>16</v>
      </c>
      <c r="L11" s="41">
        <v>16</v>
      </c>
    </row>
    <row r="12" spans="1:12">
      <c r="D12" s="39">
        <v>46056</v>
      </c>
      <c r="E12" s="19">
        <v>1575683</v>
      </c>
      <c r="F12" s="19" t="s">
        <v>17</v>
      </c>
      <c r="G12" s="40">
        <v>20008591</v>
      </c>
      <c r="H12" s="19" t="s">
        <v>49</v>
      </c>
      <c r="I12" s="40">
        <v>1</v>
      </c>
      <c r="J12" s="40">
        <v>1</v>
      </c>
      <c r="K12" s="41">
        <v>8</v>
      </c>
      <c r="L12" s="41">
        <v>8</v>
      </c>
    </row>
    <row r="13" spans="1:12">
      <c r="D13" s="39">
        <v>46058</v>
      </c>
      <c r="E13" s="19">
        <v>1576645</v>
      </c>
      <c r="F13" s="19" t="s">
        <v>44</v>
      </c>
      <c r="G13" s="40">
        <v>20007398</v>
      </c>
      <c r="H13" s="19" t="s">
        <v>45</v>
      </c>
      <c r="I13" s="40">
        <v>3</v>
      </c>
      <c r="J13" s="40">
        <v>21</v>
      </c>
      <c r="K13" s="41">
        <v>38.5</v>
      </c>
      <c r="L13" s="41">
        <v>115.5</v>
      </c>
    </row>
    <row r="14" spans="1:12">
      <c r="D14" s="39">
        <v>46058</v>
      </c>
      <c r="E14" s="19">
        <v>1576645</v>
      </c>
      <c r="F14" s="19" t="s">
        <v>46</v>
      </c>
      <c r="G14" s="40">
        <v>20008605</v>
      </c>
      <c r="H14" s="19" t="s">
        <v>47</v>
      </c>
      <c r="I14" s="40">
        <v>3</v>
      </c>
      <c r="J14" s="40">
        <v>6</v>
      </c>
      <c r="K14" s="41">
        <v>16.5</v>
      </c>
      <c r="L14" s="41">
        <v>49.5</v>
      </c>
    </row>
    <row r="15" spans="1:12">
      <c r="D15" s="39">
        <v>46058</v>
      </c>
      <c r="E15" s="19">
        <v>1576645</v>
      </c>
      <c r="F15" s="19" t="s">
        <v>46</v>
      </c>
      <c r="G15" s="40">
        <v>20009149</v>
      </c>
      <c r="H15" s="19" t="s">
        <v>48</v>
      </c>
      <c r="I15" s="40">
        <v>1</v>
      </c>
      <c r="J15" s="40">
        <v>1</v>
      </c>
      <c r="K15" s="41">
        <v>16</v>
      </c>
      <c r="L15" s="41">
        <v>16</v>
      </c>
    </row>
    <row r="16" spans="1:12">
      <c r="D16" s="39">
        <v>46058</v>
      </c>
      <c r="E16" s="19">
        <v>1576645</v>
      </c>
      <c r="F16" s="19" t="s">
        <v>17</v>
      </c>
      <c r="G16" s="40">
        <v>20008591</v>
      </c>
      <c r="H16" s="19" t="s">
        <v>49</v>
      </c>
      <c r="I16" s="40">
        <v>1</v>
      </c>
      <c r="J16" s="40">
        <v>1</v>
      </c>
      <c r="K16" s="41">
        <v>8</v>
      </c>
      <c r="L16" s="41">
        <v>8</v>
      </c>
    </row>
    <row r="17" spans="4:12">
      <c r="D17" s="39">
        <v>46058</v>
      </c>
      <c r="E17" s="19">
        <v>1576645</v>
      </c>
      <c r="F17" s="19" t="s">
        <v>17</v>
      </c>
      <c r="G17" s="40">
        <v>20007417</v>
      </c>
      <c r="H17" s="19" t="s">
        <v>50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46058</v>
      </c>
      <c r="E18" s="19">
        <v>1576645</v>
      </c>
      <c r="F18" s="19" t="s">
        <v>22</v>
      </c>
      <c r="G18" s="40">
        <v>20008943</v>
      </c>
      <c r="H18" s="19" t="s">
        <v>51</v>
      </c>
      <c r="I18" s="40">
        <v>3</v>
      </c>
      <c r="J18" s="40">
        <v>12</v>
      </c>
      <c r="K18" s="41">
        <v>22</v>
      </c>
      <c r="L18" s="41">
        <v>66</v>
      </c>
    </row>
    <row r="19" spans="4:12">
      <c r="D19" s="39">
        <v>46059</v>
      </c>
      <c r="E19" s="19">
        <v>1576722</v>
      </c>
      <c r="F19" s="19" t="s">
        <v>32</v>
      </c>
      <c r="G19" s="40">
        <v>20008112</v>
      </c>
      <c r="H19" s="19" t="s">
        <v>52</v>
      </c>
      <c r="I19" s="40">
        <v>2</v>
      </c>
      <c r="J19" s="40">
        <v>2</v>
      </c>
      <c r="K19" s="41">
        <v>22</v>
      </c>
      <c r="L19" s="41">
        <v>44</v>
      </c>
    </row>
    <row r="20" spans="4:12">
      <c r="D20" s="39">
        <v>46062</v>
      </c>
      <c r="E20" s="19">
        <v>1577464</v>
      </c>
      <c r="F20" s="19" t="s">
        <v>44</v>
      </c>
      <c r="G20" s="40">
        <v>20007398</v>
      </c>
      <c r="H20" s="19" t="s">
        <v>45</v>
      </c>
      <c r="I20" s="40">
        <v>1</v>
      </c>
      <c r="J20" s="40">
        <v>7</v>
      </c>
      <c r="K20" s="41">
        <v>38.5</v>
      </c>
      <c r="L20" s="41">
        <v>38.5</v>
      </c>
    </row>
    <row r="21" spans="4:12">
      <c r="D21" s="39">
        <v>46062</v>
      </c>
      <c r="E21" s="19">
        <v>1577464</v>
      </c>
      <c r="F21" s="19" t="s">
        <v>46</v>
      </c>
      <c r="G21" s="40">
        <v>20008605</v>
      </c>
      <c r="H21" s="19" t="s">
        <v>47</v>
      </c>
      <c r="I21" s="40">
        <v>3</v>
      </c>
      <c r="J21" s="40">
        <v>6</v>
      </c>
      <c r="K21" s="41">
        <v>16.5</v>
      </c>
      <c r="L21" s="41">
        <v>49.5</v>
      </c>
    </row>
    <row r="22" spans="4:12">
      <c r="D22" s="39">
        <v>46062</v>
      </c>
      <c r="E22" s="19">
        <v>1577464</v>
      </c>
      <c r="F22" s="19" t="s">
        <v>46</v>
      </c>
      <c r="G22" s="40">
        <v>20009149</v>
      </c>
      <c r="H22" s="19" t="s">
        <v>48</v>
      </c>
      <c r="I22" s="40">
        <v>1</v>
      </c>
      <c r="J22" s="40">
        <v>1</v>
      </c>
      <c r="K22" s="41">
        <v>16</v>
      </c>
      <c r="L22" s="41">
        <v>16</v>
      </c>
    </row>
    <row r="23" spans="4:12">
      <c r="D23" s="39">
        <v>46062</v>
      </c>
      <c r="E23" s="19">
        <v>1577464</v>
      </c>
      <c r="F23" s="19" t="s">
        <v>22</v>
      </c>
      <c r="G23" s="40">
        <v>20015223</v>
      </c>
      <c r="H23" s="19" t="s">
        <v>53</v>
      </c>
      <c r="I23" s="40">
        <v>1</v>
      </c>
      <c r="J23" s="40">
        <v>10</v>
      </c>
      <c r="K23" s="41">
        <v>55</v>
      </c>
      <c r="L23" s="41">
        <v>55</v>
      </c>
    </row>
    <row r="24" spans="4:12">
      <c r="D24" s="39">
        <v>46062</v>
      </c>
      <c r="E24" s="19">
        <v>1577464</v>
      </c>
      <c r="F24" s="19" t="s">
        <v>22</v>
      </c>
      <c r="G24" s="40">
        <v>20008944</v>
      </c>
      <c r="H24" s="19" t="s">
        <v>54</v>
      </c>
      <c r="I24" s="40">
        <v>1</v>
      </c>
      <c r="J24" s="40">
        <v>7</v>
      </c>
      <c r="K24" s="41">
        <v>38.5</v>
      </c>
      <c r="L24" s="41">
        <v>38.5</v>
      </c>
    </row>
    <row r="25" spans="4:12">
      <c r="D25" s="39">
        <v>46062</v>
      </c>
      <c r="E25" s="19">
        <v>1577464</v>
      </c>
      <c r="F25" s="19" t="s">
        <v>22</v>
      </c>
      <c r="G25" s="40">
        <v>20008942</v>
      </c>
      <c r="H25" s="19" t="s">
        <v>55</v>
      </c>
      <c r="I25" s="40">
        <v>1</v>
      </c>
      <c r="J25" s="40">
        <v>23</v>
      </c>
      <c r="K25" s="41">
        <v>126.5</v>
      </c>
      <c r="L25" s="41">
        <v>126.5</v>
      </c>
    </row>
    <row r="26" spans="4:12">
      <c r="D26" s="39">
        <v>46062</v>
      </c>
      <c r="E26" s="19">
        <v>1577464</v>
      </c>
      <c r="F26" s="19" t="s">
        <v>22</v>
      </c>
      <c r="G26" s="40">
        <v>20009189</v>
      </c>
      <c r="H26" s="19" t="s">
        <v>56</v>
      </c>
      <c r="I26" s="40">
        <v>1</v>
      </c>
      <c r="J26" s="40">
        <v>9</v>
      </c>
      <c r="K26" s="41">
        <v>49.5</v>
      </c>
      <c r="L26" s="41">
        <v>49.5</v>
      </c>
    </row>
    <row r="27" spans="4:12">
      <c r="D27" s="39">
        <v>46065</v>
      </c>
      <c r="E27" s="19">
        <v>1578479</v>
      </c>
      <c r="F27" s="19" t="s">
        <v>44</v>
      </c>
      <c r="G27" s="40">
        <v>20007398</v>
      </c>
      <c r="H27" s="19" t="s">
        <v>45</v>
      </c>
      <c r="I27" s="40">
        <v>3</v>
      </c>
      <c r="J27" s="40">
        <v>21</v>
      </c>
      <c r="K27" s="41">
        <v>38.5</v>
      </c>
      <c r="L27" s="41">
        <v>115.5</v>
      </c>
    </row>
    <row r="28" spans="4:12">
      <c r="D28" s="39">
        <v>46065</v>
      </c>
      <c r="E28" s="19">
        <v>1578479</v>
      </c>
      <c r="F28" s="19" t="s">
        <v>46</v>
      </c>
      <c r="G28" s="40">
        <v>20008605</v>
      </c>
      <c r="H28" s="19" t="s">
        <v>47</v>
      </c>
      <c r="I28" s="40">
        <v>3</v>
      </c>
      <c r="J28" s="40">
        <v>6</v>
      </c>
      <c r="K28" s="41">
        <v>16.5</v>
      </c>
      <c r="L28" s="41">
        <v>49.5</v>
      </c>
    </row>
    <row r="29" spans="4:12">
      <c r="D29" s="39">
        <v>46065</v>
      </c>
      <c r="E29" s="19">
        <v>1578479</v>
      </c>
      <c r="F29" s="19" t="s">
        <v>17</v>
      </c>
      <c r="G29" s="40">
        <v>20368341</v>
      </c>
      <c r="H29" s="19" t="s">
        <v>57</v>
      </c>
      <c r="I29" s="40">
        <v>1</v>
      </c>
      <c r="J29" s="40">
        <v>1</v>
      </c>
      <c r="K29" s="41">
        <v>8</v>
      </c>
      <c r="L29" s="41">
        <v>8</v>
      </c>
    </row>
    <row r="30" spans="4:12">
      <c r="D30" s="39">
        <v>46072</v>
      </c>
      <c r="E30" s="19">
        <v>1579257</v>
      </c>
      <c r="F30" s="19" t="s">
        <v>46</v>
      </c>
      <c r="G30" s="40">
        <v>20008605</v>
      </c>
      <c r="H30" s="19" t="s">
        <v>47</v>
      </c>
      <c r="I30" s="40">
        <v>5</v>
      </c>
      <c r="J30" s="40">
        <v>10</v>
      </c>
      <c r="K30" s="41">
        <v>16.5</v>
      </c>
      <c r="L30" s="41">
        <v>82.5</v>
      </c>
    </row>
    <row r="31" spans="4:12">
      <c r="D31" s="39">
        <v>46072</v>
      </c>
      <c r="E31" s="19">
        <v>1579257</v>
      </c>
      <c r="F31" s="19" t="s">
        <v>46</v>
      </c>
      <c r="G31" s="40">
        <v>20009149</v>
      </c>
      <c r="H31" s="19" t="s">
        <v>48</v>
      </c>
      <c r="I31" s="40">
        <v>1</v>
      </c>
      <c r="J31" s="40">
        <v>1</v>
      </c>
      <c r="K31" s="41">
        <v>16</v>
      </c>
      <c r="L31" s="41">
        <v>16</v>
      </c>
    </row>
    <row r="32" spans="4:12">
      <c r="D32" s="39">
        <v>46079</v>
      </c>
      <c r="E32" s="19">
        <v>1580402</v>
      </c>
      <c r="F32" s="19" t="s">
        <v>46</v>
      </c>
      <c r="G32" s="40">
        <v>20008605</v>
      </c>
      <c r="H32" s="19" t="s">
        <v>47</v>
      </c>
      <c r="I32" s="40">
        <v>3</v>
      </c>
      <c r="J32" s="40">
        <v>6</v>
      </c>
      <c r="K32" s="41">
        <v>16.5</v>
      </c>
      <c r="L32" s="41">
        <v>49.5</v>
      </c>
    </row>
    <row r="33" spans="4:12">
      <c r="D33" s="39">
        <v>46079</v>
      </c>
      <c r="E33" s="19">
        <v>1580402</v>
      </c>
      <c r="F33" s="19" t="s">
        <v>46</v>
      </c>
      <c r="G33" s="40">
        <v>20009149</v>
      </c>
      <c r="H33" s="19" t="s">
        <v>48</v>
      </c>
      <c r="I33" s="40">
        <v>2</v>
      </c>
      <c r="J33" s="40">
        <v>2</v>
      </c>
      <c r="K33" s="41">
        <v>16</v>
      </c>
      <c r="L33" s="41">
        <v>32</v>
      </c>
    </row>
  </sheetData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0.375" customWidth="1"/>
    <col min="12" max="12" width="11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58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430</v>
      </c>
      <c r="J8" s="37"/>
      <c r="K8" s="38"/>
      <c r="L8" s="38">
        <v>3580</v>
      </c>
    </row>
    <row r="9" spans="1:12">
      <c r="D9" s="39">
        <v>46056</v>
      </c>
      <c r="E9" s="19">
        <v>1575684</v>
      </c>
      <c r="F9" s="19" t="s">
        <v>17</v>
      </c>
      <c r="G9" s="40">
        <v>20007400</v>
      </c>
      <c r="H9" s="19" t="s">
        <v>59</v>
      </c>
      <c r="I9" s="40">
        <v>3</v>
      </c>
      <c r="J9" s="40">
        <v>3</v>
      </c>
      <c r="K9" s="41">
        <v>8</v>
      </c>
      <c r="L9" s="41">
        <v>24</v>
      </c>
    </row>
    <row r="10" spans="1:12">
      <c r="D10" s="39">
        <v>46056</v>
      </c>
      <c r="E10" s="19">
        <v>1575684</v>
      </c>
      <c r="F10" s="19" t="s">
        <v>17</v>
      </c>
      <c r="G10" s="40">
        <v>20349353</v>
      </c>
      <c r="H10" s="19" t="s">
        <v>60</v>
      </c>
      <c r="I10" s="40">
        <v>2</v>
      </c>
      <c r="J10" s="40">
        <v>30</v>
      </c>
      <c r="K10" s="41">
        <v>16.5</v>
      </c>
      <c r="L10" s="41">
        <v>33</v>
      </c>
    </row>
    <row r="11" spans="1:12">
      <c r="D11" s="39">
        <v>46056</v>
      </c>
      <c r="E11" s="19">
        <v>1575684</v>
      </c>
      <c r="F11" s="19" t="s">
        <v>17</v>
      </c>
      <c r="G11" s="40">
        <v>20399748</v>
      </c>
      <c r="H11" s="19" t="s">
        <v>61</v>
      </c>
      <c r="I11" s="40">
        <v>7</v>
      </c>
      <c r="J11" s="40">
        <v>7</v>
      </c>
      <c r="K11" s="41">
        <v>8</v>
      </c>
      <c r="L11" s="41">
        <v>56</v>
      </c>
    </row>
    <row r="12" spans="1:12">
      <c r="D12" s="39">
        <v>46056</v>
      </c>
      <c r="E12" s="19">
        <v>1575684</v>
      </c>
      <c r="F12" s="19" t="s">
        <v>17</v>
      </c>
      <c r="G12" s="40">
        <v>20012739</v>
      </c>
      <c r="H12" s="19" t="s">
        <v>62</v>
      </c>
      <c r="I12" s="40">
        <v>1</v>
      </c>
      <c r="J12" s="40">
        <v>5</v>
      </c>
      <c r="K12" s="41">
        <v>27.5</v>
      </c>
      <c r="L12" s="41">
        <v>27.5</v>
      </c>
    </row>
    <row r="13" spans="1:12">
      <c r="D13" s="39">
        <v>46056</v>
      </c>
      <c r="E13" s="19">
        <v>1575684</v>
      </c>
      <c r="F13" s="19" t="s">
        <v>17</v>
      </c>
      <c r="G13" s="40">
        <v>20399747</v>
      </c>
      <c r="H13" s="19" t="s">
        <v>63</v>
      </c>
      <c r="I13" s="40">
        <v>11</v>
      </c>
      <c r="J13" s="40">
        <v>11</v>
      </c>
      <c r="K13" s="41">
        <v>8</v>
      </c>
      <c r="L13" s="41">
        <v>88</v>
      </c>
    </row>
    <row r="14" spans="1:12">
      <c r="D14" s="39">
        <v>46056</v>
      </c>
      <c r="E14" s="19">
        <v>1575684</v>
      </c>
      <c r="F14" s="19" t="s">
        <v>17</v>
      </c>
      <c r="G14" s="40">
        <v>20314246</v>
      </c>
      <c r="H14" s="19" t="s">
        <v>64</v>
      </c>
      <c r="I14" s="40">
        <v>1</v>
      </c>
      <c r="J14" s="40">
        <v>3</v>
      </c>
      <c r="K14" s="41">
        <v>16.5</v>
      </c>
      <c r="L14" s="41">
        <v>16.5</v>
      </c>
    </row>
    <row r="15" spans="1:12">
      <c r="D15" s="39">
        <v>46056</v>
      </c>
      <c r="E15" s="19">
        <v>1575684</v>
      </c>
      <c r="F15" s="19" t="s">
        <v>17</v>
      </c>
      <c r="G15" s="40">
        <v>20007399</v>
      </c>
      <c r="H15" s="19" t="s">
        <v>65</v>
      </c>
      <c r="I15" s="40">
        <v>20</v>
      </c>
      <c r="J15" s="40">
        <v>20</v>
      </c>
      <c r="K15" s="41">
        <v>8</v>
      </c>
      <c r="L15" s="41">
        <v>160</v>
      </c>
    </row>
    <row r="16" spans="1:12">
      <c r="D16" s="39">
        <v>46056</v>
      </c>
      <c r="E16" s="19">
        <v>1575684</v>
      </c>
      <c r="F16" s="19" t="s">
        <v>17</v>
      </c>
      <c r="G16" s="40">
        <v>20007299</v>
      </c>
      <c r="H16" s="19" t="s">
        <v>66</v>
      </c>
      <c r="I16" s="40">
        <v>3</v>
      </c>
      <c r="J16" s="40">
        <v>3</v>
      </c>
      <c r="K16" s="41">
        <v>8</v>
      </c>
      <c r="L16" s="41">
        <v>24</v>
      </c>
    </row>
    <row r="17" spans="4:12">
      <c r="D17" s="39">
        <v>46056</v>
      </c>
      <c r="E17" s="19">
        <v>1575684</v>
      </c>
      <c r="F17" s="19" t="s">
        <v>17</v>
      </c>
      <c r="G17" s="40">
        <v>20007303</v>
      </c>
      <c r="H17" s="19" t="s">
        <v>67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46056</v>
      </c>
      <c r="E18" s="19">
        <v>1575684</v>
      </c>
      <c r="F18" s="19" t="s">
        <v>17</v>
      </c>
      <c r="G18" s="40">
        <v>20008009</v>
      </c>
      <c r="H18" s="19" t="s">
        <v>68</v>
      </c>
      <c r="I18" s="40">
        <v>8</v>
      </c>
      <c r="J18" s="40">
        <v>8</v>
      </c>
      <c r="K18" s="41">
        <v>8</v>
      </c>
      <c r="L18" s="41">
        <v>64</v>
      </c>
    </row>
    <row r="19" spans="4:12">
      <c r="D19" s="39">
        <v>46058</v>
      </c>
      <c r="E19" s="19">
        <v>1576342</v>
      </c>
      <c r="F19" s="19" t="s">
        <v>17</v>
      </c>
      <c r="G19" s="40">
        <v>20007400</v>
      </c>
      <c r="H19" s="19" t="s">
        <v>59</v>
      </c>
      <c r="I19" s="40">
        <v>5</v>
      </c>
      <c r="J19" s="40">
        <v>5</v>
      </c>
      <c r="K19" s="41">
        <v>8</v>
      </c>
      <c r="L19" s="41">
        <v>40</v>
      </c>
    </row>
    <row r="20" spans="4:12">
      <c r="D20" s="39">
        <v>46058</v>
      </c>
      <c r="E20" s="19">
        <v>1576342</v>
      </c>
      <c r="F20" s="19" t="s">
        <v>17</v>
      </c>
      <c r="G20" s="40">
        <v>20007300</v>
      </c>
      <c r="H20" s="19" t="s">
        <v>69</v>
      </c>
      <c r="I20" s="40">
        <v>3</v>
      </c>
      <c r="J20" s="40">
        <v>3</v>
      </c>
      <c r="K20" s="41">
        <v>8</v>
      </c>
      <c r="L20" s="41">
        <v>24</v>
      </c>
    </row>
    <row r="21" spans="4:12">
      <c r="D21" s="39">
        <v>46058</v>
      </c>
      <c r="E21" s="19">
        <v>1576342</v>
      </c>
      <c r="F21" s="19" t="s">
        <v>17</v>
      </c>
      <c r="G21" s="40">
        <v>20387874</v>
      </c>
      <c r="H21" s="19" t="s">
        <v>70</v>
      </c>
      <c r="I21" s="40">
        <v>1</v>
      </c>
      <c r="J21" s="40">
        <v>10</v>
      </c>
      <c r="K21" s="41">
        <v>13.5</v>
      </c>
      <c r="L21" s="41">
        <v>13.5</v>
      </c>
    </row>
    <row r="22" spans="4:12">
      <c r="D22" s="39">
        <v>46058</v>
      </c>
      <c r="E22" s="19">
        <v>1576342</v>
      </c>
      <c r="F22" s="19" t="s">
        <v>17</v>
      </c>
      <c r="G22" s="40">
        <v>20399748</v>
      </c>
      <c r="H22" s="19" t="s">
        <v>61</v>
      </c>
      <c r="I22" s="40">
        <v>4</v>
      </c>
      <c r="J22" s="40">
        <v>4</v>
      </c>
      <c r="K22" s="41">
        <v>8</v>
      </c>
      <c r="L22" s="41">
        <v>32</v>
      </c>
    </row>
    <row r="23" spans="4:12">
      <c r="D23" s="39">
        <v>46058</v>
      </c>
      <c r="E23" s="19">
        <v>1576342</v>
      </c>
      <c r="F23" s="19" t="s">
        <v>17</v>
      </c>
      <c r="G23" s="40">
        <v>20399747</v>
      </c>
      <c r="H23" s="19" t="s">
        <v>63</v>
      </c>
      <c r="I23" s="40">
        <v>4</v>
      </c>
      <c r="J23" s="40">
        <v>4</v>
      </c>
      <c r="K23" s="41">
        <v>8</v>
      </c>
      <c r="L23" s="41">
        <v>32</v>
      </c>
    </row>
    <row r="24" spans="4:12">
      <c r="D24" s="39">
        <v>46058</v>
      </c>
      <c r="E24" s="19">
        <v>1576342</v>
      </c>
      <c r="F24" s="19" t="s">
        <v>17</v>
      </c>
      <c r="G24" s="40">
        <v>20007399</v>
      </c>
      <c r="H24" s="19" t="s">
        <v>65</v>
      </c>
      <c r="I24" s="40">
        <v>18</v>
      </c>
      <c r="J24" s="40">
        <v>18</v>
      </c>
      <c r="K24" s="41">
        <v>8</v>
      </c>
      <c r="L24" s="41">
        <v>144</v>
      </c>
    </row>
    <row r="25" spans="4:12">
      <c r="D25" s="39">
        <v>46058</v>
      </c>
      <c r="E25" s="19">
        <v>1576342</v>
      </c>
      <c r="F25" s="19" t="s">
        <v>17</v>
      </c>
      <c r="G25" s="40">
        <v>20007299</v>
      </c>
      <c r="H25" s="19" t="s">
        <v>66</v>
      </c>
      <c r="I25" s="40">
        <v>4</v>
      </c>
      <c r="J25" s="40">
        <v>4</v>
      </c>
      <c r="K25" s="41">
        <v>8</v>
      </c>
      <c r="L25" s="41">
        <v>32</v>
      </c>
    </row>
    <row r="26" spans="4:12">
      <c r="D26" s="39">
        <v>46058</v>
      </c>
      <c r="E26" s="19">
        <v>1576342</v>
      </c>
      <c r="F26" s="19" t="s">
        <v>17</v>
      </c>
      <c r="G26" s="40">
        <v>20008009</v>
      </c>
      <c r="H26" s="19" t="s">
        <v>68</v>
      </c>
      <c r="I26" s="40">
        <v>9</v>
      </c>
      <c r="J26" s="40">
        <v>9</v>
      </c>
      <c r="K26" s="41">
        <v>8</v>
      </c>
      <c r="L26" s="41">
        <v>72</v>
      </c>
    </row>
    <row r="27" spans="4:12">
      <c r="D27" s="39">
        <v>46060</v>
      </c>
      <c r="E27" s="19">
        <v>1577046</v>
      </c>
      <c r="F27" s="19" t="s">
        <v>17</v>
      </c>
      <c r="G27" s="40">
        <v>20007400</v>
      </c>
      <c r="H27" s="19" t="s">
        <v>59</v>
      </c>
      <c r="I27" s="40">
        <v>2</v>
      </c>
      <c r="J27" s="40">
        <v>2</v>
      </c>
      <c r="K27" s="41">
        <v>8</v>
      </c>
      <c r="L27" s="41">
        <v>16</v>
      </c>
    </row>
    <row r="28" spans="4:12">
      <c r="D28" s="39">
        <v>46060</v>
      </c>
      <c r="E28" s="19">
        <v>1577046</v>
      </c>
      <c r="F28" s="19" t="s">
        <v>17</v>
      </c>
      <c r="G28" s="40">
        <v>20300283</v>
      </c>
      <c r="H28" s="19" t="s">
        <v>71</v>
      </c>
      <c r="I28" s="40">
        <v>1</v>
      </c>
      <c r="J28" s="40">
        <v>3</v>
      </c>
      <c r="K28" s="41">
        <v>16.5</v>
      </c>
      <c r="L28" s="41">
        <v>16.5</v>
      </c>
    </row>
    <row r="29" spans="4:12">
      <c r="D29" s="39">
        <v>46060</v>
      </c>
      <c r="E29" s="19">
        <v>1577046</v>
      </c>
      <c r="F29" s="19" t="s">
        <v>17</v>
      </c>
      <c r="G29" s="40">
        <v>20010965</v>
      </c>
      <c r="H29" s="19" t="s">
        <v>72</v>
      </c>
      <c r="I29" s="40">
        <v>1</v>
      </c>
      <c r="J29" s="40">
        <v>1</v>
      </c>
      <c r="K29" s="41">
        <v>8</v>
      </c>
      <c r="L29" s="41">
        <v>8</v>
      </c>
    </row>
    <row r="30" spans="4:12">
      <c r="D30" s="39">
        <v>46060</v>
      </c>
      <c r="E30" s="19">
        <v>1577046</v>
      </c>
      <c r="F30" s="19" t="s">
        <v>17</v>
      </c>
      <c r="G30" s="40">
        <v>20012739</v>
      </c>
      <c r="H30" s="19" t="s">
        <v>62</v>
      </c>
      <c r="I30" s="40">
        <v>1</v>
      </c>
      <c r="J30" s="40">
        <v>5</v>
      </c>
      <c r="K30" s="41">
        <v>27.5</v>
      </c>
      <c r="L30" s="41">
        <v>27.5</v>
      </c>
    </row>
    <row r="31" spans="4:12">
      <c r="D31" s="39">
        <v>46060</v>
      </c>
      <c r="E31" s="19">
        <v>1577046</v>
      </c>
      <c r="F31" s="19" t="s">
        <v>17</v>
      </c>
      <c r="G31" s="40">
        <v>20352832</v>
      </c>
      <c r="H31" s="19" t="s">
        <v>73</v>
      </c>
      <c r="I31" s="40">
        <v>11</v>
      </c>
      <c r="J31" s="40">
        <v>11</v>
      </c>
      <c r="K31" s="41">
        <v>8</v>
      </c>
      <c r="L31" s="41">
        <v>88</v>
      </c>
    </row>
    <row r="32" spans="4:12">
      <c r="D32" s="39">
        <v>46060</v>
      </c>
      <c r="E32" s="19">
        <v>1577046</v>
      </c>
      <c r="F32" s="19" t="s">
        <v>17</v>
      </c>
      <c r="G32" s="40">
        <v>20399747</v>
      </c>
      <c r="H32" s="19" t="s">
        <v>63</v>
      </c>
      <c r="I32" s="40">
        <v>8</v>
      </c>
      <c r="J32" s="40">
        <v>8</v>
      </c>
      <c r="K32" s="41">
        <v>8</v>
      </c>
      <c r="L32" s="41">
        <v>64</v>
      </c>
    </row>
    <row r="33" spans="4:12">
      <c r="D33" s="39">
        <v>46060</v>
      </c>
      <c r="E33" s="19">
        <v>1577046</v>
      </c>
      <c r="F33" s="19" t="s">
        <v>17</v>
      </c>
      <c r="G33" s="40">
        <v>20007399</v>
      </c>
      <c r="H33" s="19" t="s">
        <v>65</v>
      </c>
      <c r="I33" s="40">
        <v>23</v>
      </c>
      <c r="J33" s="40">
        <v>23</v>
      </c>
      <c r="K33" s="41">
        <v>8</v>
      </c>
      <c r="L33" s="41">
        <v>184</v>
      </c>
    </row>
    <row r="34" spans="4:12">
      <c r="D34" s="39">
        <v>46060</v>
      </c>
      <c r="E34" s="19">
        <v>1577046</v>
      </c>
      <c r="F34" s="19" t="s">
        <v>17</v>
      </c>
      <c r="G34" s="40">
        <v>20007417</v>
      </c>
      <c r="H34" s="19" t="s">
        <v>50</v>
      </c>
      <c r="I34" s="40">
        <v>1</v>
      </c>
      <c r="J34" s="40">
        <v>1</v>
      </c>
      <c r="K34" s="41">
        <v>8</v>
      </c>
      <c r="L34" s="41">
        <v>8</v>
      </c>
    </row>
    <row r="35" spans="4:12">
      <c r="D35" s="39">
        <v>46062</v>
      </c>
      <c r="E35" s="19">
        <v>1577465</v>
      </c>
      <c r="F35" s="19" t="s">
        <v>17</v>
      </c>
      <c r="G35" s="40">
        <v>20007400</v>
      </c>
      <c r="H35" s="19" t="s">
        <v>59</v>
      </c>
      <c r="I35" s="40">
        <v>4</v>
      </c>
      <c r="J35" s="40">
        <v>4</v>
      </c>
      <c r="K35" s="41">
        <v>8</v>
      </c>
      <c r="L35" s="41">
        <v>32</v>
      </c>
    </row>
    <row r="36" spans="4:12">
      <c r="D36" s="39">
        <v>46062</v>
      </c>
      <c r="E36" s="19">
        <v>1577465</v>
      </c>
      <c r="F36" s="19" t="s">
        <v>17</v>
      </c>
      <c r="G36" s="40">
        <v>20007300</v>
      </c>
      <c r="H36" s="19" t="s">
        <v>69</v>
      </c>
      <c r="I36" s="40">
        <v>2</v>
      </c>
      <c r="J36" s="40">
        <v>2</v>
      </c>
      <c r="K36" s="41">
        <v>8</v>
      </c>
      <c r="L36" s="41">
        <v>16</v>
      </c>
    </row>
    <row r="37" spans="4:12">
      <c r="D37" s="39">
        <v>46062</v>
      </c>
      <c r="E37" s="19">
        <v>1577465</v>
      </c>
      <c r="F37" s="19" t="s">
        <v>17</v>
      </c>
      <c r="G37" s="40">
        <v>20399748</v>
      </c>
      <c r="H37" s="19" t="s">
        <v>61</v>
      </c>
      <c r="I37" s="40">
        <v>7</v>
      </c>
      <c r="J37" s="40">
        <v>7</v>
      </c>
      <c r="K37" s="41">
        <v>8</v>
      </c>
      <c r="L37" s="41">
        <v>56</v>
      </c>
    </row>
    <row r="38" spans="4:12">
      <c r="D38" s="39">
        <v>46062</v>
      </c>
      <c r="E38" s="19">
        <v>1577465</v>
      </c>
      <c r="F38" s="19" t="s">
        <v>17</v>
      </c>
      <c r="G38" s="40">
        <v>20336295</v>
      </c>
      <c r="H38" s="19" t="s">
        <v>74</v>
      </c>
      <c r="I38" s="40">
        <v>2</v>
      </c>
      <c r="J38" s="40">
        <v>2</v>
      </c>
      <c r="K38" s="41">
        <v>8</v>
      </c>
      <c r="L38" s="41">
        <v>16</v>
      </c>
    </row>
    <row r="39" spans="4:12">
      <c r="D39" s="39">
        <v>46062</v>
      </c>
      <c r="E39" s="19">
        <v>1577465</v>
      </c>
      <c r="F39" s="19" t="s">
        <v>17</v>
      </c>
      <c r="G39" s="40">
        <v>20399747</v>
      </c>
      <c r="H39" s="19" t="s">
        <v>63</v>
      </c>
      <c r="I39" s="40">
        <v>10</v>
      </c>
      <c r="J39" s="40">
        <v>10</v>
      </c>
      <c r="K39" s="41">
        <v>8</v>
      </c>
      <c r="L39" s="41">
        <v>80</v>
      </c>
    </row>
    <row r="40" spans="4:12">
      <c r="D40" s="39">
        <v>46062</v>
      </c>
      <c r="E40" s="19">
        <v>1577465</v>
      </c>
      <c r="F40" s="19" t="s">
        <v>17</v>
      </c>
      <c r="G40" s="40">
        <v>20013631</v>
      </c>
      <c r="H40" s="19" t="s">
        <v>75</v>
      </c>
      <c r="I40" s="40">
        <v>1</v>
      </c>
      <c r="J40" s="40">
        <v>5</v>
      </c>
      <c r="K40" s="41">
        <v>8</v>
      </c>
      <c r="L40" s="41">
        <v>8</v>
      </c>
    </row>
    <row r="41" spans="4:12">
      <c r="D41" s="39">
        <v>46062</v>
      </c>
      <c r="E41" s="19">
        <v>1577465</v>
      </c>
      <c r="F41" s="19" t="s">
        <v>17</v>
      </c>
      <c r="G41" s="40">
        <v>20007399</v>
      </c>
      <c r="H41" s="19" t="s">
        <v>65</v>
      </c>
      <c r="I41" s="40">
        <v>25</v>
      </c>
      <c r="J41" s="40">
        <v>25</v>
      </c>
      <c r="K41" s="41">
        <v>8</v>
      </c>
      <c r="L41" s="41">
        <v>200</v>
      </c>
    </row>
    <row r="42" spans="4:12">
      <c r="D42" s="39">
        <v>46062</v>
      </c>
      <c r="E42" s="19">
        <v>1577465</v>
      </c>
      <c r="F42" s="19" t="s">
        <v>17</v>
      </c>
      <c r="G42" s="40">
        <v>20007299</v>
      </c>
      <c r="H42" s="19" t="s">
        <v>66</v>
      </c>
      <c r="I42" s="40">
        <v>1</v>
      </c>
      <c r="J42" s="40">
        <v>1</v>
      </c>
      <c r="K42" s="41">
        <v>8</v>
      </c>
      <c r="L42" s="41">
        <v>8</v>
      </c>
    </row>
    <row r="43" spans="4:12">
      <c r="D43" s="39">
        <v>46062</v>
      </c>
      <c r="E43" s="19">
        <v>1577465</v>
      </c>
      <c r="F43" s="19" t="s">
        <v>17</v>
      </c>
      <c r="G43" s="40">
        <v>20007417</v>
      </c>
      <c r="H43" s="19" t="s">
        <v>50</v>
      </c>
      <c r="I43" s="40">
        <v>2</v>
      </c>
      <c r="J43" s="40">
        <v>2</v>
      </c>
      <c r="K43" s="41">
        <v>8</v>
      </c>
      <c r="L43" s="41">
        <v>16</v>
      </c>
    </row>
    <row r="44" spans="4:12">
      <c r="D44" s="39">
        <v>46064</v>
      </c>
      <c r="E44" s="19">
        <v>1578115</v>
      </c>
      <c r="F44" s="19" t="s">
        <v>17</v>
      </c>
      <c r="G44" s="40">
        <v>20007400</v>
      </c>
      <c r="H44" s="19" t="s">
        <v>59</v>
      </c>
      <c r="I44" s="40">
        <v>1</v>
      </c>
      <c r="J44" s="40">
        <v>1</v>
      </c>
      <c r="K44" s="41">
        <v>8</v>
      </c>
      <c r="L44" s="41">
        <v>8</v>
      </c>
    </row>
    <row r="45" spans="4:12">
      <c r="D45" s="39">
        <v>46064</v>
      </c>
      <c r="E45" s="19">
        <v>1578115</v>
      </c>
      <c r="F45" s="19" t="s">
        <v>17</v>
      </c>
      <c r="G45" s="40">
        <v>20007300</v>
      </c>
      <c r="H45" s="19" t="s">
        <v>69</v>
      </c>
      <c r="I45" s="40">
        <v>1</v>
      </c>
      <c r="J45" s="40">
        <v>1</v>
      </c>
      <c r="K45" s="41">
        <v>8</v>
      </c>
      <c r="L45" s="41">
        <v>8</v>
      </c>
    </row>
    <row r="46" spans="4:12">
      <c r="D46" s="39">
        <v>46064</v>
      </c>
      <c r="E46" s="19">
        <v>1578115</v>
      </c>
      <c r="F46" s="19" t="s">
        <v>17</v>
      </c>
      <c r="G46" s="40">
        <v>20387874</v>
      </c>
      <c r="H46" s="19" t="s">
        <v>70</v>
      </c>
      <c r="I46" s="40">
        <v>1</v>
      </c>
      <c r="J46" s="40">
        <v>10</v>
      </c>
      <c r="K46" s="41">
        <v>13.5</v>
      </c>
      <c r="L46" s="41">
        <v>13.5</v>
      </c>
    </row>
    <row r="47" spans="4:12">
      <c r="D47" s="39">
        <v>46064</v>
      </c>
      <c r="E47" s="19">
        <v>1578115</v>
      </c>
      <c r="F47" s="19" t="s">
        <v>17</v>
      </c>
      <c r="G47" s="40">
        <v>20349353</v>
      </c>
      <c r="H47" s="19" t="s">
        <v>60</v>
      </c>
      <c r="I47" s="40">
        <v>1</v>
      </c>
      <c r="J47" s="40">
        <v>15</v>
      </c>
      <c r="K47" s="41">
        <v>16.5</v>
      </c>
      <c r="L47" s="41">
        <v>16.5</v>
      </c>
    </row>
    <row r="48" spans="4:12">
      <c r="D48" s="39">
        <v>46064</v>
      </c>
      <c r="E48" s="19">
        <v>1578115</v>
      </c>
      <c r="F48" s="19" t="s">
        <v>17</v>
      </c>
      <c r="G48" s="40">
        <v>20399747</v>
      </c>
      <c r="H48" s="19" t="s">
        <v>63</v>
      </c>
      <c r="I48" s="40">
        <v>6</v>
      </c>
      <c r="J48" s="40">
        <v>6</v>
      </c>
      <c r="K48" s="41">
        <v>8</v>
      </c>
      <c r="L48" s="41">
        <v>48</v>
      </c>
    </row>
    <row r="49" spans="4:12">
      <c r="D49" s="39">
        <v>46064</v>
      </c>
      <c r="E49" s="19">
        <v>1578115</v>
      </c>
      <c r="F49" s="19" t="s">
        <v>17</v>
      </c>
      <c r="G49" s="40">
        <v>20013631</v>
      </c>
      <c r="H49" s="19" t="s">
        <v>75</v>
      </c>
      <c r="I49" s="40">
        <v>1</v>
      </c>
      <c r="J49" s="40">
        <v>5</v>
      </c>
      <c r="K49" s="41">
        <v>8</v>
      </c>
      <c r="L49" s="41">
        <v>8</v>
      </c>
    </row>
    <row r="50" spans="4:12">
      <c r="D50" s="39">
        <v>46064</v>
      </c>
      <c r="E50" s="19">
        <v>1578115</v>
      </c>
      <c r="F50" s="19" t="s">
        <v>17</v>
      </c>
      <c r="G50" s="40">
        <v>20007399</v>
      </c>
      <c r="H50" s="19" t="s">
        <v>65</v>
      </c>
      <c r="I50" s="40">
        <v>24</v>
      </c>
      <c r="J50" s="40">
        <v>24</v>
      </c>
      <c r="K50" s="41">
        <v>8</v>
      </c>
      <c r="L50" s="41">
        <v>192</v>
      </c>
    </row>
    <row r="51" spans="4:12">
      <c r="D51" s="39">
        <v>46064</v>
      </c>
      <c r="E51" s="19">
        <v>1578115</v>
      </c>
      <c r="F51" s="19" t="s">
        <v>17</v>
      </c>
      <c r="G51" s="40">
        <v>20007299</v>
      </c>
      <c r="H51" s="19" t="s">
        <v>66</v>
      </c>
      <c r="I51" s="40">
        <v>7</v>
      </c>
      <c r="J51" s="40">
        <v>7</v>
      </c>
      <c r="K51" s="41">
        <v>8</v>
      </c>
      <c r="L51" s="41">
        <v>56</v>
      </c>
    </row>
    <row r="52" spans="4:12">
      <c r="D52" s="39">
        <v>46064</v>
      </c>
      <c r="E52" s="19">
        <v>1578115</v>
      </c>
      <c r="F52" s="19" t="s">
        <v>17</v>
      </c>
      <c r="G52" s="40">
        <v>20008009</v>
      </c>
      <c r="H52" s="19" t="s">
        <v>68</v>
      </c>
      <c r="I52" s="40">
        <v>8</v>
      </c>
      <c r="J52" s="40">
        <v>8</v>
      </c>
      <c r="K52" s="41">
        <v>8</v>
      </c>
      <c r="L52" s="41">
        <v>64</v>
      </c>
    </row>
    <row r="53" spans="4:12">
      <c r="D53" s="39">
        <v>46066</v>
      </c>
      <c r="E53" s="19">
        <v>1578746</v>
      </c>
      <c r="F53" s="19" t="s">
        <v>17</v>
      </c>
      <c r="G53" s="40">
        <v>20007400</v>
      </c>
      <c r="H53" s="19" t="s">
        <v>59</v>
      </c>
      <c r="I53" s="40">
        <v>1</v>
      </c>
      <c r="J53" s="40">
        <v>1</v>
      </c>
      <c r="K53" s="41">
        <v>8</v>
      </c>
      <c r="L53" s="41">
        <v>8</v>
      </c>
    </row>
    <row r="54" spans="4:12">
      <c r="D54" s="39">
        <v>46066</v>
      </c>
      <c r="E54" s="19">
        <v>1578746</v>
      </c>
      <c r="F54" s="19" t="s">
        <v>17</v>
      </c>
      <c r="G54" s="40">
        <v>20399748</v>
      </c>
      <c r="H54" s="19" t="s">
        <v>61</v>
      </c>
      <c r="I54" s="40">
        <v>8</v>
      </c>
      <c r="J54" s="40">
        <v>8</v>
      </c>
      <c r="K54" s="41">
        <v>8</v>
      </c>
      <c r="L54" s="41">
        <v>64</v>
      </c>
    </row>
    <row r="55" spans="4:12">
      <c r="D55" s="39">
        <v>46066</v>
      </c>
      <c r="E55" s="19">
        <v>1578746</v>
      </c>
      <c r="F55" s="19" t="s">
        <v>17</v>
      </c>
      <c r="G55" s="40">
        <v>20012739</v>
      </c>
      <c r="H55" s="19" t="s">
        <v>62</v>
      </c>
      <c r="I55" s="40">
        <v>1</v>
      </c>
      <c r="J55" s="40">
        <v>5</v>
      </c>
      <c r="K55" s="41">
        <v>27.5</v>
      </c>
      <c r="L55" s="41">
        <v>27.5</v>
      </c>
    </row>
    <row r="56" spans="4:12">
      <c r="D56" s="39">
        <v>46066</v>
      </c>
      <c r="E56" s="19">
        <v>1578746</v>
      </c>
      <c r="F56" s="19" t="s">
        <v>17</v>
      </c>
      <c r="G56" s="40">
        <v>20399747</v>
      </c>
      <c r="H56" s="19" t="s">
        <v>63</v>
      </c>
      <c r="I56" s="40">
        <v>5</v>
      </c>
      <c r="J56" s="40">
        <v>5</v>
      </c>
      <c r="K56" s="41">
        <v>8</v>
      </c>
      <c r="L56" s="41">
        <v>40</v>
      </c>
    </row>
    <row r="57" spans="4:12">
      <c r="D57" s="39">
        <v>46066</v>
      </c>
      <c r="E57" s="19">
        <v>1578746</v>
      </c>
      <c r="F57" s="19" t="s">
        <v>17</v>
      </c>
      <c r="G57" s="40">
        <v>20007399</v>
      </c>
      <c r="H57" s="19" t="s">
        <v>65</v>
      </c>
      <c r="I57" s="40">
        <v>18</v>
      </c>
      <c r="J57" s="40">
        <v>18</v>
      </c>
      <c r="K57" s="41">
        <v>8</v>
      </c>
      <c r="L57" s="41">
        <v>144</v>
      </c>
    </row>
    <row r="58" spans="4:12">
      <c r="D58" s="39">
        <v>46066</v>
      </c>
      <c r="E58" s="19">
        <v>1578746</v>
      </c>
      <c r="F58" s="19" t="s">
        <v>17</v>
      </c>
      <c r="G58" s="40">
        <v>20007299</v>
      </c>
      <c r="H58" s="19" t="s">
        <v>66</v>
      </c>
      <c r="I58" s="40">
        <v>3</v>
      </c>
      <c r="J58" s="40">
        <v>3</v>
      </c>
      <c r="K58" s="41">
        <v>8</v>
      </c>
      <c r="L58" s="41">
        <v>24</v>
      </c>
    </row>
    <row r="59" spans="4:12">
      <c r="D59" s="39">
        <v>46077</v>
      </c>
      <c r="E59" s="19">
        <v>1579815</v>
      </c>
      <c r="F59" s="19" t="s">
        <v>17</v>
      </c>
      <c r="G59" s="40">
        <v>20007400</v>
      </c>
      <c r="H59" s="19" t="s">
        <v>59</v>
      </c>
      <c r="I59" s="40">
        <v>3</v>
      </c>
      <c r="J59" s="40">
        <v>3</v>
      </c>
      <c r="K59" s="41">
        <v>8</v>
      </c>
      <c r="L59" s="41">
        <v>24</v>
      </c>
    </row>
    <row r="60" spans="4:12">
      <c r="D60" s="39">
        <v>46077</v>
      </c>
      <c r="E60" s="19">
        <v>1579815</v>
      </c>
      <c r="F60" s="19" t="s">
        <v>17</v>
      </c>
      <c r="G60" s="40">
        <v>20007300</v>
      </c>
      <c r="H60" s="19" t="s">
        <v>69</v>
      </c>
      <c r="I60" s="40">
        <v>1</v>
      </c>
      <c r="J60" s="40">
        <v>1</v>
      </c>
      <c r="K60" s="41">
        <v>8</v>
      </c>
      <c r="L60" s="41">
        <v>8</v>
      </c>
    </row>
    <row r="61" spans="4:12">
      <c r="D61" s="39">
        <v>46077</v>
      </c>
      <c r="E61" s="19">
        <v>1579815</v>
      </c>
      <c r="F61" s="19" t="s">
        <v>17</v>
      </c>
      <c r="G61" s="40">
        <v>20012739</v>
      </c>
      <c r="H61" s="19" t="s">
        <v>62</v>
      </c>
      <c r="I61" s="40">
        <v>1</v>
      </c>
      <c r="J61" s="40">
        <v>5</v>
      </c>
      <c r="K61" s="41">
        <v>27.5</v>
      </c>
      <c r="L61" s="41">
        <v>27.5</v>
      </c>
    </row>
    <row r="62" spans="4:12">
      <c r="D62" s="39">
        <v>46077</v>
      </c>
      <c r="E62" s="19">
        <v>1579815</v>
      </c>
      <c r="F62" s="19" t="s">
        <v>17</v>
      </c>
      <c r="G62" s="40">
        <v>20352832</v>
      </c>
      <c r="H62" s="19" t="s">
        <v>73</v>
      </c>
      <c r="I62" s="40">
        <v>15</v>
      </c>
      <c r="J62" s="40">
        <v>15</v>
      </c>
      <c r="K62" s="41">
        <v>8</v>
      </c>
      <c r="L62" s="41">
        <v>120</v>
      </c>
    </row>
    <row r="63" spans="4:12">
      <c r="D63" s="39">
        <v>46077</v>
      </c>
      <c r="E63" s="19">
        <v>1579815</v>
      </c>
      <c r="F63" s="19" t="s">
        <v>17</v>
      </c>
      <c r="G63" s="40">
        <v>20399747</v>
      </c>
      <c r="H63" s="19" t="s">
        <v>63</v>
      </c>
      <c r="I63" s="40">
        <v>9</v>
      </c>
      <c r="J63" s="40">
        <v>9</v>
      </c>
      <c r="K63" s="41">
        <v>8</v>
      </c>
      <c r="L63" s="41">
        <v>72</v>
      </c>
    </row>
    <row r="64" spans="4:12">
      <c r="D64" s="39">
        <v>46077</v>
      </c>
      <c r="E64" s="19">
        <v>1579815</v>
      </c>
      <c r="F64" s="19" t="s">
        <v>17</v>
      </c>
      <c r="G64" s="40">
        <v>20008591</v>
      </c>
      <c r="H64" s="19" t="s">
        <v>49</v>
      </c>
      <c r="I64" s="40">
        <v>1</v>
      </c>
      <c r="J64" s="40">
        <v>1</v>
      </c>
      <c r="K64" s="41">
        <v>8</v>
      </c>
      <c r="L64" s="41">
        <v>8</v>
      </c>
    </row>
    <row r="65" spans="4:12">
      <c r="D65" s="39">
        <v>46077</v>
      </c>
      <c r="E65" s="19">
        <v>1579815</v>
      </c>
      <c r="F65" s="19" t="s">
        <v>17</v>
      </c>
      <c r="G65" s="40">
        <v>20007401</v>
      </c>
      <c r="H65" s="19" t="s">
        <v>76</v>
      </c>
      <c r="I65" s="40">
        <v>1</v>
      </c>
      <c r="J65" s="40">
        <v>1</v>
      </c>
      <c r="K65" s="41">
        <v>8</v>
      </c>
      <c r="L65" s="41">
        <v>8</v>
      </c>
    </row>
    <row r="66" spans="4:12">
      <c r="D66" s="39">
        <v>46077</v>
      </c>
      <c r="E66" s="19">
        <v>1579815</v>
      </c>
      <c r="F66" s="19" t="s">
        <v>17</v>
      </c>
      <c r="G66" s="40">
        <v>20013631</v>
      </c>
      <c r="H66" s="19" t="s">
        <v>75</v>
      </c>
      <c r="I66" s="40">
        <v>1</v>
      </c>
      <c r="J66" s="40">
        <v>5</v>
      </c>
      <c r="K66" s="41">
        <v>8</v>
      </c>
      <c r="L66" s="41">
        <v>8</v>
      </c>
    </row>
    <row r="67" spans="4:12">
      <c r="D67" s="39">
        <v>46077</v>
      </c>
      <c r="E67" s="19">
        <v>1579815</v>
      </c>
      <c r="F67" s="19" t="s">
        <v>17</v>
      </c>
      <c r="G67" s="40">
        <v>20007399</v>
      </c>
      <c r="H67" s="19" t="s">
        <v>65</v>
      </c>
      <c r="I67" s="40">
        <v>40</v>
      </c>
      <c r="J67" s="40">
        <v>40</v>
      </c>
      <c r="K67" s="41">
        <v>8</v>
      </c>
      <c r="L67" s="41">
        <v>320</v>
      </c>
    </row>
    <row r="68" spans="4:12">
      <c r="D68" s="39">
        <v>46080</v>
      </c>
      <c r="E68" s="19">
        <v>1580558</v>
      </c>
      <c r="F68" s="19" t="s">
        <v>17</v>
      </c>
      <c r="G68" s="40">
        <v>20007400</v>
      </c>
      <c r="H68" s="19" t="s">
        <v>59</v>
      </c>
      <c r="I68" s="40">
        <v>6</v>
      </c>
      <c r="J68" s="40">
        <v>6</v>
      </c>
      <c r="K68" s="41">
        <v>8</v>
      </c>
      <c r="L68" s="41">
        <v>48</v>
      </c>
    </row>
    <row r="69" spans="4:12">
      <c r="D69" s="39">
        <v>46080</v>
      </c>
      <c r="E69" s="19">
        <v>1580558</v>
      </c>
      <c r="F69" s="19" t="s">
        <v>17</v>
      </c>
      <c r="G69" s="40">
        <v>20007300</v>
      </c>
      <c r="H69" s="19" t="s">
        <v>69</v>
      </c>
      <c r="I69" s="40">
        <v>3</v>
      </c>
      <c r="J69" s="40">
        <v>3</v>
      </c>
      <c r="K69" s="41">
        <v>8</v>
      </c>
      <c r="L69" s="41">
        <v>24</v>
      </c>
    </row>
    <row r="70" spans="4:12">
      <c r="D70" s="39">
        <v>46080</v>
      </c>
      <c r="E70" s="19">
        <v>1580558</v>
      </c>
      <c r="F70" s="19" t="s">
        <v>17</v>
      </c>
      <c r="G70" s="40">
        <v>20344528</v>
      </c>
      <c r="H70" s="19" t="s">
        <v>77</v>
      </c>
      <c r="I70" s="40">
        <v>1</v>
      </c>
      <c r="J70" s="40">
        <v>5</v>
      </c>
      <c r="K70" s="41">
        <v>8</v>
      </c>
      <c r="L70" s="41">
        <v>8</v>
      </c>
    </row>
    <row r="71" spans="4:12">
      <c r="D71" s="39">
        <v>46080</v>
      </c>
      <c r="E71" s="19">
        <v>1580558</v>
      </c>
      <c r="F71" s="19" t="s">
        <v>17</v>
      </c>
      <c r="G71" s="40">
        <v>20399748</v>
      </c>
      <c r="H71" s="19" t="s">
        <v>61</v>
      </c>
      <c r="I71" s="40">
        <v>4</v>
      </c>
      <c r="J71" s="40">
        <v>4</v>
      </c>
      <c r="K71" s="41">
        <v>8</v>
      </c>
      <c r="L71" s="41">
        <v>32</v>
      </c>
    </row>
    <row r="72" spans="4:12">
      <c r="D72" s="39">
        <v>46080</v>
      </c>
      <c r="E72" s="19">
        <v>1580558</v>
      </c>
      <c r="F72" s="19" t="s">
        <v>17</v>
      </c>
      <c r="G72" s="40">
        <v>20399747</v>
      </c>
      <c r="H72" s="19" t="s">
        <v>63</v>
      </c>
      <c r="I72" s="40">
        <v>10</v>
      </c>
      <c r="J72" s="40">
        <v>10</v>
      </c>
      <c r="K72" s="41">
        <v>8</v>
      </c>
      <c r="L72" s="41">
        <v>80</v>
      </c>
    </row>
    <row r="73" spans="4:12">
      <c r="D73" s="39">
        <v>46080</v>
      </c>
      <c r="E73" s="19">
        <v>1580558</v>
      </c>
      <c r="F73" s="19" t="s">
        <v>17</v>
      </c>
      <c r="G73" s="40">
        <v>20008591</v>
      </c>
      <c r="H73" s="19" t="s">
        <v>49</v>
      </c>
      <c r="I73" s="40">
        <v>1</v>
      </c>
      <c r="J73" s="40">
        <v>1</v>
      </c>
      <c r="K73" s="41">
        <v>8</v>
      </c>
      <c r="L73" s="41">
        <v>8</v>
      </c>
    </row>
    <row r="74" spans="4:12">
      <c r="D74" s="39">
        <v>46080</v>
      </c>
      <c r="E74" s="19">
        <v>1580558</v>
      </c>
      <c r="F74" s="19" t="s">
        <v>17</v>
      </c>
      <c r="G74" s="40">
        <v>20007401</v>
      </c>
      <c r="H74" s="19" t="s">
        <v>76</v>
      </c>
      <c r="I74" s="40">
        <v>1</v>
      </c>
      <c r="J74" s="40">
        <v>1</v>
      </c>
      <c r="K74" s="41">
        <v>8</v>
      </c>
      <c r="L74" s="41">
        <v>8</v>
      </c>
    </row>
    <row r="75" spans="4:12">
      <c r="D75" s="39">
        <v>46080</v>
      </c>
      <c r="E75" s="19">
        <v>1580558</v>
      </c>
      <c r="F75" s="19" t="s">
        <v>17</v>
      </c>
      <c r="G75" s="40">
        <v>20013631</v>
      </c>
      <c r="H75" s="19" t="s">
        <v>75</v>
      </c>
      <c r="I75" s="40">
        <v>1</v>
      </c>
      <c r="J75" s="40">
        <v>5</v>
      </c>
      <c r="K75" s="41">
        <v>8</v>
      </c>
      <c r="L75" s="41">
        <v>8</v>
      </c>
    </row>
    <row r="76" spans="4:12">
      <c r="D76" s="39">
        <v>46080</v>
      </c>
      <c r="E76" s="19">
        <v>1580558</v>
      </c>
      <c r="F76" s="19" t="s">
        <v>17</v>
      </c>
      <c r="G76" s="40">
        <v>20314246</v>
      </c>
      <c r="H76" s="19" t="s">
        <v>64</v>
      </c>
      <c r="I76" s="40">
        <v>1</v>
      </c>
      <c r="J76" s="40">
        <v>3</v>
      </c>
      <c r="K76" s="41">
        <v>16.5</v>
      </c>
      <c r="L76" s="41">
        <v>16.5</v>
      </c>
    </row>
    <row r="77" spans="4:12">
      <c r="D77" s="39">
        <v>46080</v>
      </c>
      <c r="E77" s="19">
        <v>1580558</v>
      </c>
      <c r="F77" s="19" t="s">
        <v>17</v>
      </c>
      <c r="G77" s="40">
        <v>20007399</v>
      </c>
      <c r="H77" s="19" t="s">
        <v>65</v>
      </c>
      <c r="I77" s="40">
        <v>27</v>
      </c>
      <c r="J77" s="40">
        <v>27</v>
      </c>
      <c r="K77" s="41">
        <v>8</v>
      </c>
      <c r="L77" s="41">
        <v>216</v>
      </c>
    </row>
    <row r="78" spans="4:12">
      <c r="D78" s="39">
        <v>46080</v>
      </c>
      <c r="E78" s="19">
        <v>1580558</v>
      </c>
      <c r="F78" s="19" t="s">
        <v>17</v>
      </c>
      <c r="G78" s="40">
        <v>20007299</v>
      </c>
      <c r="H78" s="19" t="s">
        <v>66</v>
      </c>
      <c r="I78" s="40">
        <v>3</v>
      </c>
      <c r="J78" s="40">
        <v>3</v>
      </c>
      <c r="K78" s="41">
        <v>8</v>
      </c>
      <c r="L78" s="41">
        <v>24</v>
      </c>
    </row>
    <row r="79" spans="4:12">
      <c r="D79" s="39">
        <v>46080</v>
      </c>
      <c r="E79" s="19">
        <v>1580558</v>
      </c>
      <c r="F79" s="19" t="s">
        <v>17</v>
      </c>
      <c r="G79" s="40">
        <v>20008009</v>
      </c>
      <c r="H79" s="19" t="s">
        <v>68</v>
      </c>
      <c r="I79" s="40">
        <v>7</v>
      </c>
      <c r="J79" s="40">
        <v>7</v>
      </c>
      <c r="K79" s="41">
        <v>8</v>
      </c>
      <c r="L79" s="41">
        <v>56</v>
      </c>
    </row>
  </sheetData>
  <mergeCells count="5">
    <mergeCell ref="D8:H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8.625" customWidth="1"/>
    <col min="11" max="11" width="11.5" customWidth="1"/>
    <col min="12" max="12" width="11.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78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45</v>
      </c>
      <c r="J8" s="37"/>
      <c r="K8" s="38"/>
      <c r="L8" s="38">
        <v>1577</v>
      </c>
    </row>
    <row r="9" spans="1:12">
      <c r="D9" s="39">
        <v>46057</v>
      </c>
      <c r="E9" s="19">
        <v>1576074</v>
      </c>
      <c r="F9" s="19" t="s">
        <v>30</v>
      </c>
      <c r="G9" s="40">
        <v>20324941</v>
      </c>
      <c r="H9" s="19" t="s">
        <v>79</v>
      </c>
      <c r="I9" s="40">
        <v>1</v>
      </c>
      <c r="J9" s="40">
        <v>1</v>
      </c>
      <c r="K9" s="41">
        <v>28</v>
      </c>
      <c r="L9" s="41">
        <v>28</v>
      </c>
    </row>
    <row r="10" spans="1:12">
      <c r="D10" s="39">
        <v>46058</v>
      </c>
      <c r="E10" s="19">
        <v>1576646</v>
      </c>
      <c r="F10" s="19" t="s">
        <v>17</v>
      </c>
      <c r="G10" s="40">
        <v>20008855</v>
      </c>
      <c r="H10" s="19" t="s">
        <v>80</v>
      </c>
      <c r="I10" s="40">
        <v>1</v>
      </c>
      <c r="J10" s="40">
        <v>4</v>
      </c>
      <c r="K10" s="41">
        <v>22</v>
      </c>
      <c r="L10" s="41">
        <v>22</v>
      </c>
    </row>
    <row r="11" spans="1:12">
      <c r="D11" s="39">
        <v>46059</v>
      </c>
      <c r="E11" s="19">
        <v>1576756</v>
      </c>
      <c r="F11" s="19" t="s">
        <v>28</v>
      </c>
      <c r="G11" s="40">
        <v>20009682</v>
      </c>
      <c r="H11" s="19" t="s">
        <v>81</v>
      </c>
      <c r="I11" s="40">
        <v>1</v>
      </c>
      <c r="J11" s="40">
        <v>3</v>
      </c>
      <c r="K11" s="41">
        <v>66</v>
      </c>
      <c r="L11" s="41">
        <v>66</v>
      </c>
    </row>
    <row r="12" spans="1:12">
      <c r="D12" s="39">
        <v>46059</v>
      </c>
      <c r="E12" s="19">
        <v>1576756</v>
      </c>
      <c r="F12" s="19" t="s">
        <v>28</v>
      </c>
      <c r="G12" s="40">
        <v>20370282</v>
      </c>
      <c r="H12" s="19" t="s">
        <v>82</v>
      </c>
      <c r="I12" s="40">
        <v>1</v>
      </c>
      <c r="J12" s="40">
        <v>1</v>
      </c>
      <c r="K12" s="41">
        <v>35</v>
      </c>
      <c r="L12" s="41">
        <v>35</v>
      </c>
    </row>
    <row r="13" spans="1:12">
      <c r="D13" s="39">
        <v>46059</v>
      </c>
      <c r="E13" s="19">
        <v>1576756</v>
      </c>
      <c r="F13" s="19" t="s">
        <v>30</v>
      </c>
      <c r="G13" s="40">
        <v>20007576</v>
      </c>
      <c r="H13" s="19" t="s">
        <v>83</v>
      </c>
      <c r="I13" s="40">
        <v>1</v>
      </c>
      <c r="J13" s="40">
        <v>2</v>
      </c>
      <c r="K13" s="41">
        <v>44</v>
      </c>
      <c r="L13" s="41">
        <v>44</v>
      </c>
    </row>
    <row r="14" spans="1:12">
      <c r="D14" s="39">
        <v>46060</v>
      </c>
      <c r="E14" s="19">
        <v>1577060</v>
      </c>
      <c r="F14" s="19" t="s">
        <v>28</v>
      </c>
      <c r="G14" s="40">
        <v>20009682</v>
      </c>
      <c r="H14" s="19" t="s">
        <v>81</v>
      </c>
      <c r="I14" s="40">
        <v>2</v>
      </c>
      <c r="J14" s="40">
        <v>6</v>
      </c>
      <c r="K14" s="41">
        <v>66</v>
      </c>
      <c r="L14" s="41">
        <v>132</v>
      </c>
    </row>
    <row r="15" spans="1:12">
      <c r="D15" s="39">
        <v>46060</v>
      </c>
      <c r="E15" s="19">
        <v>1577060</v>
      </c>
      <c r="F15" s="19" t="s">
        <v>28</v>
      </c>
      <c r="G15" s="40">
        <v>20011833</v>
      </c>
      <c r="H15" s="19" t="s">
        <v>84</v>
      </c>
      <c r="I15" s="40">
        <v>1</v>
      </c>
      <c r="J15" s="40">
        <v>1</v>
      </c>
      <c r="K15" s="41">
        <v>28</v>
      </c>
      <c r="L15" s="41">
        <v>28</v>
      </c>
    </row>
    <row r="16" spans="1:12">
      <c r="D16" s="39">
        <v>46060</v>
      </c>
      <c r="E16" s="19">
        <v>1577060</v>
      </c>
      <c r="F16" s="19" t="s">
        <v>30</v>
      </c>
      <c r="G16" s="40">
        <v>20324941</v>
      </c>
      <c r="H16" s="19" t="s">
        <v>79</v>
      </c>
      <c r="I16" s="40">
        <v>1</v>
      </c>
      <c r="J16" s="40">
        <v>1</v>
      </c>
      <c r="K16" s="41">
        <v>28</v>
      </c>
      <c r="L16" s="41">
        <v>28</v>
      </c>
    </row>
    <row r="17" spans="4:12">
      <c r="D17" s="39">
        <v>46060</v>
      </c>
      <c r="E17" s="19">
        <v>1577060</v>
      </c>
      <c r="F17" s="19" t="s">
        <v>30</v>
      </c>
      <c r="G17" s="40">
        <v>20007576</v>
      </c>
      <c r="H17" s="19" t="s">
        <v>83</v>
      </c>
      <c r="I17" s="40">
        <v>1</v>
      </c>
      <c r="J17" s="40">
        <v>2</v>
      </c>
      <c r="K17" s="41">
        <v>44</v>
      </c>
      <c r="L17" s="41">
        <v>44</v>
      </c>
    </row>
    <row r="18" spans="4:12">
      <c r="D18" s="39">
        <v>46063</v>
      </c>
      <c r="E18" s="19">
        <v>1577560</v>
      </c>
      <c r="F18" s="19" t="s">
        <v>28</v>
      </c>
      <c r="G18" s="40">
        <v>20009682</v>
      </c>
      <c r="H18" s="19" t="s">
        <v>81</v>
      </c>
      <c r="I18" s="40">
        <v>1</v>
      </c>
      <c r="J18" s="40">
        <v>3</v>
      </c>
      <c r="K18" s="41">
        <v>66</v>
      </c>
      <c r="L18" s="41">
        <v>66</v>
      </c>
    </row>
    <row r="19" spans="4:12">
      <c r="D19" s="39">
        <v>46063</v>
      </c>
      <c r="E19" s="19">
        <v>1577560</v>
      </c>
      <c r="F19" s="19" t="s">
        <v>30</v>
      </c>
      <c r="G19" s="40">
        <v>20007576</v>
      </c>
      <c r="H19" s="19" t="s">
        <v>83</v>
      </c>
      <c r="I19" s="40">
        <v>1</v>
      </c>
      <c r="J19" s="40">
        <v>2</v>
      </c>
      <c r="K19" s="41">
        <v>44</v>
      </c>
      <c r="L19" s="41">
        <v>44</v>
      </c>
    </row>
    <row r="20" spans="4:12">
      <c r="D20" s="39">
        <v>46063</v>
      </c>
      <c r="E20" s="19">
        <v>1577842</v>
      </c>
      <c r="F20" s="19" t="s">
        <v>17</v>
      </c>
      <c r="G20" s="40">
        <v>20008591</v>
      </c>
      <c r="H20" s="19" t="s">
        <v>49</v>
      </c>
      <c r="I20" s="40">
        <v>1</v>
      </c>
      <c r="J20" s="40">
        <v>1</v>
      </c>
      <c r="K20" s="41">
        <v>8</v>
      </c>
      <c r="L20" s="41">
        <v>8</v>
      </c>
    </row>
    <row r="21" spans="4:12">
      <c r="D21" s="39">
        <v>46063</v>
      </c>
      <c r="E21" s="19">
        <v>1577842</v>
      </c>
      <c r="F21" s="19" t="s">
        <v>17</v>
      </c>
      <c r="G21" s="40">
        <v>20007417</v>
      </c>
      <c r="H21" s="19" t="s">
        <v>50</v>
      </c>
      <c r="I21" s="40">
        <v>1</v>
      </c>
      <c r="J21" s="40">
        <v>1</v>
      </c>
      <c r="K21" s="41">
        <v>8</v>
      </c>
      <c r="L21" s="41">
        <v>8</v>
      </c>
    </row>
    <row r="22" spans="4:12">
      <c r="D22" s="39">
        <v>46067</v>
      </c>
      <c r="E22" s="19">
        <v>1578825</v>
      </c>
      <c r="F22" s="19" t="s">
        <v>28</v>
      </c>
      <c r="G22" s="40">
        <v>20009682</v>
      </c>
      <c r="H22" s="19" t="s">
        <v>81</v>
      </c>
      <c r="I22" s="40">
        <v>1</v>
      </c>
      <c r="J22" s="40">
        <v>3</v>
      </c>
      <c r="K22" s="41">
        <v>66</v>
      </c>
      <c r="L22" s="41">
        <v>66</v>
      </c>
    </row>
    <row r="23" spans="4:12">
      <c r="D23" s="39">
        <v>46067</v>
      </c>
      <c r="E23" s="19">
        <v>1578825</v>
      </c>
      <c r="F23" s="19" t="s">
        <v>28</v>
      </c>
      <c r="G23" s="40">
        <v>20008861</v>
      </c>
      <c r="H23" s="19" t="s">
        <v>85</v>
      </c>
      <c r="I23" s="40">
        <v>1</v>
      </c>
      <c r="J23" s="40">
        <v>1</v>
      </c>
      <c r="K23" s="41">
        <v>35</v>
      </c>
      <c r="L23" s="41">
        <v>35</v>
      </c>
    </row>
    <row r="24" spans="4:12">
      <c r="D24" s="39">
        <v>46067</v>
      </c>
      <c r="E24" s="19">
        <v>1578825</v>
      </c>
      <c r="F24" s="19" t="s">
        <v>28</v>
      </c>
      <c r="G24" s="40">
        <v>20007525</v>
      </c>
      <c r="H24" s="19" t="s">
        <v>86</v>
      </c>
      <c r="I24" s="40">
        <v>1</v>
      </c>
      <c r="J24" s="40">
        <v>1</v>
      </c>
      <c r="K24" s="41">
        <v>35</v>
      </c>
      <c r="L24" s="41">
        <v>35</v>
      </c>
    </row>
    <row r="25" spans="4:12">
      <c r="D25" s="39">
        <v>46067</v>
      </c>
      <c r="E25" s="19">
        <v>1578825</v>
      </c>
      <c r="F25" s="19" t="s">
        <v>28</v>
      </c>
      <c r="G25" s="40">
        <v>20363523</v>
      </c>
      <c r="H25" s="19" t="s">
        <v>87</v>
      </c>
      <c r="I25" s="40">
        <v>1</v>
      </c>
      <c r="J25" s="40">
        <v>1</v>
      </c>
      <c r="K25" s="41">
        <v>22</v>
      </c>
      <c r="L25" s="41">
        <v>22</v>
      </c>
    </row>
    <row r="26" spans="4:12">
      <c r="D26" s="39">
        <v>46067</v>
      </c>
      <c r="E26" s="19">
        <v>1578825</v>
      </c>
      <c r="F26" s="19" t="s">
        <v>28</v>
      </c>
      <c r="G26" s="40">
        <v>20011833</v>
      </c>
      <c r="H26" s="19" t="s">
        <v>84</v>
      </c>
      <c r="I26" s="40">
        <v>1</v>
      </c>
      <c r="J26" s="40">
        <v>1</v>
      </c>
      <c r="K26" s="41">
        <v>28</v>
      </c>
      <c r="L26" s="41">
        <v>28</v>
      </c>
    </row>
    <row r="27" spans="4:12">
      <c r="D27" s="39">
        <v>46067</v>
      </c>
      <c r="E27" s="19">
        <v>1578825</v>
      </c>
      <c r="F27" s="19" t="s">
        <v>30</v>
      </c>
      <c r="G27" s="40">
        <v>20324941</v>
      </c>
      <c r="H27" s="19" t="s">
        <v>79</v>
      </c>
      <c r="I27" s="40">
        <v>1</v>
      </c>
      <c r="J27" s="40">
        <v>1</v>
      </c>
      <c r="K27" s="41">
        <v>28</v>
      </c>
      <c r="L27" s="41">
        <v>28</v>
      </c>
    </row>
    <row r="28" spans="4:12">
      <c r="D28" s="39">
        <v>46067</v>
      </c>
      <c r="E28" s="19">
        <v>1578827</v>
      </c>
      <c r="F28" s="19" t="s">
        <v>28</v>
      </c>
      <c r="G28" s="40">
        <v>20011833</v>
      </c>
      <c r="H28" s="19" t="s">
        <v>84</v>
      </c>
      <c r="I28" s="40">
        <v>1</v>
      </c>
      <c r="J28" s="40">
        <v>1</v>
      </c>
      <c r="K28" s="41">
        <v>28</v>
      </c>
      <c r="L28" s="41">
        <v>28</v>
      </c>
    </row>
    <row r="29" spans="4:12">
      <c r="D29" s="39">
        <v>46067</v>
      </c>
      <c r="E29" s="19">
        <v>1579045</v>
      </c>
      <c r="F29" s="19" t="s">
        <v>28</v>
      </c>
      <c r="G29" s="40">
        <v>20009682</v>
      </c>
      <c r="H29" s="19" t="s">
        <v>81</v>
      </c>
      <c r="I29" s="40">
        <v>1</v>
      </c>
      <c r="J29" s="40">
        <v>3</v>
      </c>
      <c r="K29" s="41">
        <v>66</v>
      </c>
      <c r="L29" s="41">
        <v>66</v>
      </c>
    </row>
    <row r="30" spans="4:12">
      <c r="D30" s="39">
        <v>46067</v>
      </c>
      <c r="E30" s="19">
        <v>1579045</v>
      </c>
      <c r="F30" s="19" t="s">
        <v>28</v>
      </c>
      <c r="G30" s="40">
        <v>20011833</v>
      </c>
      <c r="H30" s="19" t="s">
        <v>84</v>
      </c>
      <c r="I30" s="40">
        <v>1</v>
      </c>
      <c r="J30" s="40">
        <v>1</v>
      </c>
      <c r="K30" s="41">
        <v>28</v>
      </c>
      <c r="L30" s="41">
        <v>28</v>
      </c>
    </row>
    <row r="31" spans="4:12">
      <c r="D31" s="39">
        <v>46067</v>
      </c>
      <c r="E31" s="19">
        <v>1579045</v>
      </c>
      <c r="F31" s="19" t="s">
        <v>30</v>
      </c>
      <c r="G31" s="40">
        <v>20324941</v>
      </c>
      <c r="H31" s="19" t="s">
        <v>79</v>
      </c>
      <c r="I31" s="40">
        <v>1</v>
      </c>
      <c r="J31" s="40">
        <v>1</v>
      </c>
      <c r="K31" s="41">
        <v>28</v>
      </c>
      <c r="L31" s="41">
        <v>28</v>
      </c>
    </row>
    <row r="32" spans="4:12">
      <c r="D32" s="39">
        <v>46078</v>
      </c>
      <c r="E32" s="19">
        <v>1579876</v>
      </c>
      <c r="F32" s="19" t="s">
        <v>28</v>
      </c>
      <c r="G32" s="40">
        <v>20015186</v>
      </c>
      <c r="H32" s="19" t="s">
        <v>88</v>
      </c>
      <c r="I32" s="40">
        <v>2</v>
      </c>
      <c r="J32" s="40">
        <v>2</v>
      </c>
      <c r="K32" s="41">
        <v>35</v>
      </c>
      <c r="L32" s="41">
        <v>70</v>
      </c>
    </row>
    <row r="33" spans="4:12">
      <c r="D33" s="39">
        <v>46078</v>
      </c>
      <c r="E33" s="19">
        <v>1579876</v>
      </c>
      <c r="F33" s="19" t="s">
        <v>28</v>
      </c>
      <c r="G33" s="40">
        <v>20009682</v>
      </c>
      <c r="H33" s="19" t="s">
        <v>81</v>
      </c>
      <c r="I33" s="40">
        <v>1</v>
      </c>
      <c r="J33" s="40">
        <v>3</v>
      </c>
      <c r="K33" s="41">
        <v>66</v>
      </c>
      <c r="L33" s="41">
        <v>66</v>
      </c>
    </row>
    <row r="34" spans="4:12">
      <c r="D34" s="39">
        <v>46078</v>
      </c>
      <c r="E34" s="19">
        <v>1579876</v>
      </c>
      <c r="F34" s="19" t="s">
        <v>28</v>
      </c>
      <c r="G34" s="40">
        <v>20008861</v>
      </c>
      <c r="H34" s="19" t="s">
        <v>85</v>
      </c>
      <c r="I34" s="40">
        <v>1</v>
      </c>
      <c r="J34" s="40">
        <v>1</v>
      </c>
      <c r="K34" s="41">
        <v>35</v>
      </c>
      <c r="L34" s="41">
        <v>35</v>
      </c>
    </row>
    <row r="35" spans="4:12">
      <c r="D35" s="39">
        <v>46078</v>
      </c>
      <c r="E35" s="19">
        <v>1579876</v>
      </c>
      <c r="F35" s="19" t="s">
        <v>28</v>
      </c>
      <c r="G35" s="40">
        <v>20007465</v>
      </c>
      <c r="H35" s="19" t="s">
        <v>29</v>
      </c>
      <c r="I35" s="40">
        <v>1</v>
      </c>
      <c r="J35" s="40">
        <v>1</v>
      </c>
      <c r="K35" s="41">
        <v>35</v>
      </c>
      <c r="L35" s="41">
        <v>35</v>
      </c>
    </row>
    <row r="36" spans="4:12">
      <c r="D36" s="39">
        <v>46078</v>
      </c>
      <c r="E36" s="19">
        <v>1579876</v>
      </c>
      <c r="F36" s="19" t="s">
        <v>28</v>
      </c>
      <c r="G36" s="40">
        <v>20363523</v>
      </c>
      <c r="H36" s="19" t="s">
        <v>87</v>
      </c>
      <c r="I36" s="40">
        <v>1</v>
      </c>
      <c r="J36" s="40">
        <v>1</v>
      </c>
      <c r="K36" s="41">
        <v>22</v>
      </c>
      <c r="L36" s="41">
        <v>22</v>
      </c>
    </row>
    <row r="37" spans="4:12">
      <c r="D37" s="39">
        <v>46078</v>
      </c>
      <c r="E37" s="19">
        <v>1579876</v>
      </c>
      <c r="F37" s="19" t="s">
        <v>28</v>
      </c>
      <c r="G37" s="40">
        <v>20011833</v>
      </c>
      <c r="H37" s="19" t="s">
        <v>84</v>
      </c>
      <c r="I37" s="40">
        <v>1</v>
      </c>
      <c r="J37" s="40">
        <v>1</v>
      </c>
      <c r="K37" s="41">
        <v>28</v>
      </c>
      <c r="L37" s="41">
        <v>28</v>
      </c>
    </row>
    <row r="38" spans="4:12">
      <c r="D38" s="39">
        <v>46078</v>
      </c>
      <c r="E38" s="19">
        <v>1579876</v>
      </c>
      <c r="F38" s="19" t="s">
        <v>30</v>
      </c>
      <c r="G38" s="40">
        <v>20324941</v>
      </c>
      <c r="H38" s="19" t="s">
        <v>79</v>
      </c>
      <c r="I38" s="40">
        <v>3</v>
      </c>
      <c r="J38" s="40">
        <v>3</v>
      </c>
      <c r="K38" s="41">
        <v>28</v>
      </c>
      <c r="L38" s="41">
        <v>84</v>
      </c>
    </row>
    <row r="39" spans="4:12">
      <c r="D39" s="39">
        <v>46078</v>
      </c>
      <c r="E39" s="19">
        <v>1580101</v>
      </c>
      <c r="F39" s="19" t="s">
        <v>17</v>
      </c>
      <c r="G39" s="40">
        <v>20008591</v>
      </c>
      <c r="H39" s="19" t="s">
        <v>49</v>
      </c>
      <c r="I39" s="40">
        <v>1</v>
      </c>
      <c r="J39" s="40">
        <v>1</v>
      </c>
      <c r="K39" s="41">
        <v>8</v>
      </c>
      <c r="L39" s="41">
        <v>8</v>
      </c>
    </row>
    <row r="40" spans="4:12">
      <c r="D40" s="39">
        <v>46078</v>
      </c>
      <c r="E40" s="19">
        <v>1580101</v>
      </c>
      <c r="F40" s="19" t="s">
        <v>17</v>
      </c>
      <c r="G40" s="40">
        <v>20007417</v>
      </c>
      <c r="H40" s="19" t="s">
        <v>50</v>
      </c>
      <c r="I40" s="40">
        <v>2</v>
      </c>
      <c r="J40" s="40">
        <v>2</v>
      </c>
      <c r="K40" s="41">
        <v>8</v>
      </c>
      <c r="L40" s="41">
        <v>16</v>
      </c>
    </row>
    <row r="41" spans="4:12">
      <c r="D41" s="39">
        <v>46079</v>
      </c>
      <c r="E41" s="19">
        <v>1580219</v>
      </c>
      <c r="F41" s="19" t="s">
        <v>28</v>
      </c>
      <c r="G41" s="40">
        <v>20009682</v>
      </c>
      <c r="H41" s="19" t="s">
        <v>81</v>
      </c>
      <c r="I41" s="40">
        <v>1</v>
      </c>
      <c r="J41" s="40">
        <v>3</v>
      </c>
      <c r="K41" s="41">
        <v>66</v>
      </c>
      <c r="L41" s="41">
        <v>66</v>
      </c>
    </row>
    <row r="42" spans="4:12">
      <c r="D42" s="39">
        <v>46079</v>
      </c>
      <c r="E42" s="19">
        <v>1580219</v>
      </c>
      <c r="F42" s="19" t="s">
        <v>28</v>
      </c>
      <c r="G42" s="40">
        <v>20011833</v>
      </c>
      <c r="H42" s="19" t="s">
        <v>84</v>
      </c>
      <c r="I42" s="40">
        <v>1</v>
      </c>
      <c r="J42" s="40">
        <v>1</v>
      </c>
      <c r="K42" s="41">
        <v>28</v>
      </c>
      <c r="L42" s="41">
        <v>28</v>
      </c>
    </row>
    <row r="43" spans="4:12">
      <c r="D43" s="39">
        <v>46079</v>
      </c>
      <c r="E43" s="19">
        <v>1580219</v>
      </c>
      <c r="F43" s="19" t="s">
        <v>30</v>
      </c>
      <c r="G43" s="40">
        <v>20324941</v>
      </c>
      <c r="H43" s="19" t="s">
        <v>79</v>
      </c>
      <c r="I43" s="40">
        <v>1</v>
      </c>
      <c r="J43" s="40">
        <v>1</v>
      </c>
      <c r="K43" s="41">
        <v>28</v>
      </c>
      <c r="L43" s="41">
        <v>28</v>
      </c>
    </row>
    <row r="44" spans="4:12">
      <c r="D44" s="39">
        <v>46081</v>
      </c>
      <c r="E44" s="19">
        <v>1580882</v>
      </c>
      <c r="F44" s="19" t="s">
        <v>17</v>
      </c>
      <c r="G44" s="40">
        <v>20007417</v>
      </c>
      <c r="H44" s="19" t="s">
        <v>50</v>
      </c>
      <c r="I44" s="40">
        <v>1</v>
      </c>
      <c r="J44" s="40">
        <v>1</v>
      </c>
      <c r="K44" s="41">
        <v>8</v>
      </c>
      <c r="L44" s="41">
        <v>8</v>
      </c>
    </row>
    <row r="45" spans="4:12">
      <c r="D45" s="39">
        <v>46081</v>
      </c>
      <c r="E45" s="19">
        <v>1580931</v>
      </c>
      <c r="F45" s="19" t="s">
        <v>28</v>
      </c>
      <c r="G45" s="40">
        <v>20008456</v>
      </c>
      <c r="H45" s="19" t="s">
        <v>89</v>
      </c>
      <c r="I45" s="40">
        <v>1</v>
      </c>
      <c r="J45" s="40">
        <v>1</v>
      </c>
      <c r="K45" s="41">
        <v>28</v>
      </c>
      <c r="L45" s="41">
        <v>28</v>
      </c>
    </row>
    <row r="46" spans="4:12">
      <c r="D46" s="39">
        <v>46081</v>
      </c>
      <c r="E46" s="19">
        <v>1580931</v>
      </c>
      <c r="F46" s="19" t="s">
        <v>28</v>
      </c>
      <c r="G46" s="40">
        <v>20011049</v>
      </c>
      <c r="H46" s="19" t="s">
        <v>90</v>
      </c>
      <c r="I46" s="40">
        <v>1</v>
      </c>
      <c r="J46" s="40">
        <v>1</v>
      </c>
      <c r="K46" s="41">
        <v>22</v>
      </c>
      <c r="L46" s="41">
        <v>22</v>
      </c>
    </row>
    <row r="47" spans="4:12">
      <c r="D47" s="39">
        <v>46081</v>
      </c>
      <c r="E47" s="19">
        <v>1580931</v>
      </c>
      <c r="F47" s="19" t="s">
        <v>28</v>
      </c>
      <c r="G47" s="40">
        <v>20008719</v>
      </c>
      <c r="H47" s="19" t="s">
        <v>91</v>
      </c>
      <c r="I47" s="40">
        <v>1</v>
      </c>
      <c r="J47" s="40">
        <v>4</v>
      </c>
      <c r="K47" s="41">
        <v>88</v>
      </c>
      <c r="L47" s="41">
        <v>88</v>
      </c>
    </row>
    <row r="48" spans="4:12">
      <c r="D48" s="39">
        <v>46081</v>
      </c>
      <c r="E48" s="19">
        <v>1580931</v>
      </c>
      <c r="F48" s="19" t="s">
        <v>30</v>
      </c>
      <c r="G48" s="40">
        <v>20324941</v>
      </c>
      <c r="H48" s="19" t="s">
        <v>79</v>
      </c>
      <c r="I48" s="40">
        <v>1</v>
      </c>
      <c r="J48" s="40">
        <v>1</v>
      </c>
      <c r="K48" s="41">
        <v>28</v>
      </c>
      <c r="L48" s="41">
        <v>28</v>
      </c>
    </row>
  </sheetData>
  <mergeCells count="5">
    <mergeCell ref="D8:H8"/>
    <mergeCell ref="C7:C48"/>
    <mergeCell ref="B4:H5"/>
    <mergeCell ref="A7:B48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1.375" customWidth="1"/>
    <col min="12" max="12" width="11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92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64</v>
      </c>
      <c r="J8" s="37"/>
      <c r="K8" s="38"/>
      <c r="L8" s="38">
        <v>517</v>
      </c>
    </row>
    <row r="9" spans="1:12">
      <c r="D9" s="39">
        <v>46057</v>
      </c>
      <c r="E9" s="19">
        <v>1576015</v>
      </c>
      <c r="F9" s="19" t="s">
        <v>17</v>
      </c>
      <c r="G9" s="40">
        <v>20007359</v>
      </c>
      <c r="H9" s="19" t="s">
        <v>93</v>
      </c>
      <c r="I9" s="40">
        <v>1</v>
      </c>
      <c r="J9" s="40">
        <v>1</v>
      </c>
      <c r="K9" s="41">
        <v>8</v>
      </c>
      <c r="L9" s="41">
        <v>8</v>
      </c>
    </row>
    <row r="10" spans="1:12">
      <c r="D10" s="39">
        <v>46057</v>
      </c>
      <c r="E10" s="19">
        <v>1576015</v>
      </c>
      <c r="F10" s="19" t="s">
        <v>17</v>
      </c>
      <c r="G10" s="40">
        <v>20009730</v>
      </c>
      <c r="H10" s="19" t="s">
        <v>94</v>
      </c>
      <c r="I10" s="40">
        <v>1</v>
      </c>
      <c r="J10" s="40">
        <v>1</v>
      </c>
      <c r="K10" s="41">
        <v>8</v>
      </c>
      <c r="L10" s="41">
        <v>8</v>
      </c>
    </row>
    <row r="11" spans="1:12">
      <c r="D11" s="39">
        <v>46057</v>
      </c>
      <c r="E11" s="19">
        <v>1576015</v>
      </c>
      <c r="F11" s="19" t="s">
        <v>17</v>
      </c>
      <c r="G11" s="40">
        <v>20009729</v>
      </c>
      <c r="H11" s="19" t="s">
        <v>95</v>
      </c>
      <c r="I11" s="40">
        <v>3</v>
      </c>
      <c r="J11" s="40">
        <v>3</v>
      </c>
      <c r="K11" s="41">
        <v>8</v>
      </c>
      <c r="L11" s="41">
        <v>24</v>
      </c>
    </row>
    <row r="12" spans="1:12">
      <c r="D12" s="39">
        <v>46058</v>
      </c>
      <c r="E12" s="19">
        <v>1576647</v>
      </c>
      <c r="F12" s="19" t="s">
        <v>17</v>
      </c>
      <c r="G12" s="40">
        <v>20315529</v>
      </c>
      <c r="H12" s="19" t="s">
        <v>96</v>
      </c>
      <c r="I12" s="40">
        <v>1</v>
      </c>
      <c r="J12" s="40">
        <v>1</v>
      </c>
      <c r="K12" s="41">
        <v>8</v>
      </c>
      <c r="L12" s="41">
        <v>8</v>
      </c>
    </row>
    <row r="13" spans="1:12">
      <c r="D13" s="39">
        <v>46058</v>
      </c>
      <c r="E13" s="19">
        <v>1576647</v>
      </c>
      <c r="F13" s="19" t="s">
        <v>17</v>
      </c>
      <c r="G13" s="40">
        <v>20007359</v>
      </c>
      <c r="H13" s="19" t="s">
        <v>93</v>
      </c>
      <c r="I13" s="40">
        <v>1</v>
      </c>
      <c r="J13" s="40">
        <v>1</v>
      </c>
      <c r="K13" s="41">
        <v>8</v>
      </c>
      <c r="L13" s="41">
        <v>8</v>
      </c>
    </row>
    <row r="14" spans="1:12">
      <c r="D14" s="39">
        <v>46058</v>
      </c>
      <c r="E14" s="19">
        <v>1576647</v>
      </c>
      <c r="F14" s="19" t="s">
        <v>17</v>
      </c>
      <c r="G14" s="40">
        <v>20009729</v>
      </c>
      <c r="H14" s="19" t="s">
        <v>95</v>
      </c>
      <c r="I14" s="40">
        <v>3</v>
      </c>
      <c r="J14" s="40">
        <v>3</v>
      </c>
      <c r="K14" s="41">
        <v>8</v>
      </c>
      <c r="L14" s="41">
        <v>24</v>
      </c>
    </row>
    <row r="15" spans="1:12">
      <c r="D15" s="39">
        <v>46062</v>
      </c>
      <c r="E15" s="19">
        <v>1577466</v>
      </c>
      <c r="F15" s="19" t="s">
        <v>17</v>
      </c>
      <c r="G15" s="40">
        <v>20315529</v>
      </c>
      <c r="H15" s="19" t="s">
        <v>96</v>
      </c>
      <c r="I15" s="40">
        <v>4</v>
      </c>
      <c r="J15" s="40">
        <v>4</v>
      </c>
      <c r="K15" s="41">
        <v>8</v>
      </c>
      <c r="L15" s="41">
        <v>32</v>
      </c>
    </row>
    <row r="16" spans="1:12">
      <c r="D16" s="39">
        <v>46062</v>
      </c>
      <c r="E16" s="19">
        <v>1577466</v>
      </c>
      <c r="F16" s="19" t="s">
        <v>17</v>
      </c>
      <c r="G16" s="40">
        <v>20009730</v>
      </c>
      <c r="H16" s="19" t="s">
        <v>94</v>
      </c>
      <c r="I16" s="40">
        <v>3</v>
      </c>
      <c r="J16" s="40">
        <v>3</v>
      </c>
      <c r="K16" s="41">
        <v>8</v>
      </c>
      <c r="L16" s="41">
        <v>24</v>
      </c>
    </row>
    <row r="17" spans="4:12">
      <c r="D17" s="39">
        <v>46062</v>
      </c>
      <c r="E17" s="19">
        <v>1577466</v>
      </c>
      <c r="F17" s="19" t="s">
        <v>17</v>
      </c>
      <c r="G17" s="40">
        <v>20009729</v>
      </c>
      <c r="H17" s="19" t="s">
        <v>95</v>
      </c>
      <c r="I17" s="40">
        <v>2</v>
      </c>
      <c r="J17" s="40">
        <v>2</v>
      </c>
      <c r="K17" s="41">
        <v>8</v>
      </c>
      <c r="L17" s="41">
        <v>16</v>
      </c>
    </row>
    <row r="18" spans="4:12">
      <c r="D18" s="39">
        <v>46064</v>
      </c>
      <c r="E18" s="19">
        <v>1578091</v>
      </c>
      <c r="F18" s="19" t="s">
        <v>17</v>
      </c>
      <c r="G18" s="40">
        <v>20315529</v>
      </c>
      <c r="H18" s="19" t="s">
        <v>96</v>
      </c>
      <c r="I18" s="40">
        <v>1</v>
      </c>
      <c r="J18" s="40">
        <v>1</v>
      </c>
      <c r="K18" s="41">
        <v>8</v>
      </c>
      <c r="L18" s="41">
        <v>8</v>
      </c>
    </row>
    <row r="19" spans="4:12">
      <c r="D19" s="39">
        <v>46064</v>
      </c>
      <c r="E19" s="19">
        <v>1578091</v>
      </c>
      <c r="F19" s="19" t="s">
        <v>17</v>
      </c>
      <c r="G19" s="40">
        <v>20009729</v>
      </c>
      <c r="H19" s="19" t="s">
        <v>95</v>
      </c>
      <c r="I19" s="40">
        <v>5</v>
      </c>
      <c r="J19" s="40">
        <v>5</v>
      </c>
      <c r="K19" s="41">
        <v>8</v>
      </c>
      <c r="L19" s="41">
        <v>40</v>
      </c>
    </row>
    <row r="20" spans="4:12">
      <c r="D20" s="39">
        <v>46066</v>
      </c>
      <c r="E20" s="19">
        <v>1578747</v>
      </c>
      <c r="F20" s="19" t="s">
        <v>17</v>
      </c>
      <c r="G20" s="40">
        <v>20315529</v>
      </c>
      <c r="H20" s="19" t="s">
        <v>96</v>
      </c>
      <c r="I20" s="40">
        <v>2</v>
      </c>
      <c r="J20" s="40">
        <v>2</v>
      </c>
      <c r="K20" s="41">
        <v>8</v>
      </c>
      <c r="L20" s="41">
        <v>16</v>
      </c>
    </row>
    <row r="21" spans="4:12">
      <c r="D21" s="39">
        <v>46066</v>
      </c>
      <c r="E21" s="19">
        <v>1578747</v>
      </c>
      <c r="F21" s="19" t="s">
        <v>17</v>
      </c>
      <c r="G21" s="40">
        <v>20009729</v>
      </c>
      <c r="H21" s="19" t="s">
        <v>95</v>
      </c>
      <c r="I21" s="40">
        <v>5</v>
      </c>
      <c r="J21" s="40">
        <v>5</v>
      </c>
      <c r="K21" s="41">
        <v>8</v>
      </c>
      <c r="L21" s="41">
        <v>40</v>
      </c>
    </row>
    <row r="22" spans="4:12">
      <c r="D22" s="39">
        <v>46067</v>
      </c>
      <c r="E22" s="19">
        <v>1579004</v>
      </c>
      <c r="F22" s="19" t="s">
        <v>17</v>
      </c>
      <c r="G22" s="40">
        <v>20009730</v>
      </c>
      <c r="H22" s="19" t="s">
        <v>94</v>
      </c>
      <c r="I22" s="40">
        <v>2</v>
      </c>
      <c r="J22" s="40">
        <v>2</v>
      </c>
      <c r="K22" s="41">
        <v>8</v>
      </c>
      <c r="L22" s="41">
        <v>16</v>
      </c>
    </row>
    <row r="23" spans="4:12">
      <c r="D23" s="39">
        <v>46067</v>
      </c>
      <c r="E23" s="19">
        <v>1579004</v>
      </c>
      <c r="F23" s="19" t="s">
        <v>17</v>
      </c>
      <c r="G23" s="40">
        <v>20009729</v>
      </c>
      <c r="H23" s="19" t="s">
        <v>95</v>
      </c>
      <c r="I23" s="40">
        <v>2</v>
      </c>
      <c r="J23" s="40">
        <v>2</v>
      </c>
      <c r="K23" s="41">
        <v>8</v>
      </c>
      <c r="L23" s="41">
        <v>16</v>
      </c>
    </row>
    <row r="24" spans="4:12">
      <c r="D24" s="39">
        <v>46077</v>
      </c>
      <c r="E24" s="19">
        <v>1579816</v>
      </c>
      <c r="F24" s="19" t="s">
        <v>17</v>
      </c>
      <c r="G24" s="40">
        <v>20009729</v>
      </c>
      <c r="H24" s="19" t="s">
        <v>95</v>
      </c>
      <c r="I24" s="40">
        <v>4</v>
      </c>
      <c r="J24" s="40">
        <v>4</v>
      </c>
      <c r="K24" s="41">
        <v>8</v>
      </c>
      <c r="L24" s="41">
        <v>32</v>
      </c>
    </row>
    <row r="25" spans="4:12">
      <c r="D25" s="39">
        <v>46078</v>
      </c>
      <c r="E25" s="19">
        <v>1580102</v>
      </c>
      <c r="F25" s="19" t="s">
        <v>46</v>
      </c>
      <c r="G25" s="40">
        <v>20007409</v>
      </c>
      <c r="H25" s="19" t="s">
        <v>97</v>
      </c>
      <c r="I25" s="40">
        <v>1</v>
      </c>
      <c r="J25" s="40">
        <v>1</v>
      </c>
      <c r="K25" s="41">
        <v>13</v>
      </c>
      <c r="L25" s="41">
        <v>13</v>
      </c>
    </row>
    <row r="26" spans="4:12">
      <c r="D26" s="39">
        <v>46078</v>
      </c>
      <c r="E26" s="19">
        <v>1580102</v>
      </c>
      <c r="F26" s="19" t="s">
        <v>17</v>
      </c>
      <c r="G26" s="40">
        <v>20009730</v>
      </c>
      <c r="H26" s="19" t="s">
        <v>94</v>
      </c>
      <c r="I26" s="40">
        <v>1</v>
      </c>
      <c r="J26" s="40">
        <v>1</v>
      </c>
      <c r="K26" s="41">
        <v>8</v>
      </c>
      <c r="L26" s="41">
        <v>8</v>
      </c>
    </row>
    <row r="27" spans="4:12">
      <c r="D27" s="39">
        <v>46078</v>
      </c>
      <c r="E27" s="19">
        <v>1580102</v>
      </c>
      <c r="F27" s="19" t="s">
        <v>17</v>
      </c>
      <c r="G27" s="40">
        <v>20009729</v>
      </c>
      <c r="H27" s="19" t="s">
        <v>95</v>
      </c>
      <c r="I27" s="40">
        <v>5</v>
      </c>
      <c r="J27" s="40">
        <v>5</v>
      </c>
      <c r="K27" s="41">
        <v>8</v>
      </c>
      <c r="L27" s="41">
        <v>40</v>
      </c>
    </row>
    <row r="28" spans="4:12">
      <c r="D28" s="39">
        <v>46080</v>
      </c>
      <c r="E28" s="19">
        <v>1580559</v>
      </c>
      <c r="F28" s="19" t="s">
        <v>17</v>
      </c>
      <c r="G28" s="40">
        <v>20009730</v>
      </c>
      <c r="H28" s="19" t="s">
        <v>94</v>
      </c>
      <c r="I28" s="40">
        <v>1</v>
      </c>
      <c r="J28" s="40">
        <v>1</v>
      </c>
      <c r="K28" s="41">
        <v>8</v>
      </c>
      <c r="L28" s="41">
        <v>8</v>
      </c>
    </row>
    <row r="29" spans="4:12">
      <c r="D29" s="39">
        <v>46080</v>
      </c>
      <c r="E29" s="19">
        <v>1580559</v>
      </c>
      <c r="F29" s="19" t="s">
        <v>17</v>
      </c>
      <c r="G29" s="40">
        <v>20009729</v>
      </c>
      <c r="H29" s="19" t="s">
        <v>95</v>
      </c>
      <c r="I29" s="40">
        <v>4</v>
      </c>
      <c r="J29" s="40">
        <v>4</v>
      </c>
      <c r="K29" s="41">
        <v>8</v>
      </c>
      <c r="L29" s="41">
        <v>32</v>
      </c>
    </row>
    <row r="30" spans="4:12">
      <c r="D30" s="39">
        <v>46081</v>
      </c>
      <c r="E30" s="19">
        <v>1580883</v>
      </c>
      <c r="F30" s="19" t="s">
        <v>17</v>
      </c>
      <c r="G30" s="40">
        <v>20009729</v>
      </c>
      <c r="H30" s="19" t="s">
        <v>95</v>
      </c>
      <c r="I30" s="40">
        <v>4</v>
      </c>
      <c r="J30" s="40">
        <v>4</v>
      </c>
      <c r="K30" s="41">
        <v>8</v>
      </c>
      <c r="L30" s="41">
        <v>32</v>
      </c>
    </row>
    <row r="31" spans="4:12">
      <c r="D31" s="39">
        <v>46081</v>
      </c>
      <c r="E31" s="19">
        <v>1581199</v>
      </c>
      <c r="F31" s="19" t="s">
        <v>17</v>
      </c>
      <c r="G31" s="40">
        <v>20315529</v>
      </c>
      <c r="H31" s="19" t="s">
        <v>96</v>
      </c>
      <c r="I31" s="40">
        <v>1</v>
      </c>
      <c r="J31" s="40">
        <v>1</v>
      </c>
      <c r="K31" s="41">
        <v>8</v>
      </c>
      <c r="L31" s="41">
        <v>8</v>
      </c>
    </row>
    <row r="32" spans="4:12">
      <c r="D32" s="39">
        <v>46081</v>
      </c>
      <c r="E32" s="19">
        <v>1581199</v>
      </c>
      <c r="F32" s="19" t="s">
        <v>17</v>
      </c>
      <c r="G32" s="40">
        <v>20009730</v>
      </c>
      <c r="H32" s="19" t="s">
        <v>94</v>
      </c>
      <c r="I32" s="40">
        <v>1</v>
      </c>
      <c r="J32" s="40">
        <v>1</v>
      </c>
      <c r="K32" s="41">
        <v>8</v>
      </c>
      <c r="L32" s="41">
        <v>8</v>
      </c>
    </row>
    <row r="33" spans="4:12">
      <c r="D33" s="39">
        <v>46081</v>
      </c>
      <c r="E33" s="19">
        <v>1581199</v>
      </c>
      <c r="F33" s="19" t="s">
        <v>17</v>
      </c>
      <c r="G33" s="40">
        <v>20009729</v>
      </c>
      <c r="H33" s="19" t="s">
        <v>95</v>
      </c>
      <c r="I33" s="40">
        <v>6</v>
      </c>
      <c r="J33" s="40">
        <v>6</v>
      </c>
      <c r="K33" s="41">
        <v>8</v>
      </c>
      <c r="L33" s="41">
        <v>48</v>
      </c>
    </row>
  </sheetData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0.75" customWidth="1"/>
    <col min="12" max="12" width="11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98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4</v>
      </c>
      <c r="J8" s="37"/>
      <c r="K8" s="38"/>
      <c r="L8" s="38">
        <v>32</v>
      </c>
    </row>
    <row r="9" spans="1:12">
      <c r="D9" s="39">
        <v>46062</v>
      </c>
      <c r="E9" s="19">
        <v>1577467</v>
      </c>
      <c r="F9" s="19" t="s">
        <v>17</v>
      </c>
      <c r="G9" s="40">
        <v>20352877</v>
      </c>
      <c r="H9" s="19" t="s">
        <v>99</v>
      </c>
      <c r="I9" s="40">
        <v>2</v>
      </c>
      <c r="J9" s="40">
        <v>2</v>
      </c>
      <c r="K9" s="41">
        <v>8</v>
      </c>
      <c r="L9" s="41">
        <v>16</v>
      </c>
    </row>
    <row r="10" spans="1:12">
      <c r="D10" s="39">
        <v>46062</v>
      </c>
      <c r="E10" s="19">
        <v>1577467</v>
      </c>
      <c r="F10" s="19" t="s">
        <v>17</v>
      </c>
      <c r="G10" s="40">
        <v>20352876</v>
      </c>
      <c r="H10" s="19" t="s">
        <v>100</v>
      </c>
      <c r="I10" s="40">
        <v>1</v>
      </c>
      <c r="J10" s="40">
        <v>1</v>
      </c>
      <c r="K10" s="41">
        <v>8</v>
      </c>
      <c r="L10" s="41">
        <v>8</v>
      </c>
    </row>
    <row r="11" spans="1:12">
      <c r="D11" s="39">
        <v>46062</v>
      </c>
      <c r="E11" s="19">
        <v>1577467</v>
      </c>
      <c r="F11" s="19" t="s">
        <v>17</v>
      </c>
      <c r="G11" s="40">
        <v>20007417</v>
      </c>
      <c r="H11" s="19" t="s">
        <v>50</v>
      </c>
      <c r="I11" s="40">
        <v>1</v>
      </c>
      <c r="J11" s="40">
        <v>1</v>
      </c>
      <c r="K11" s="41">
        <v>8</v>
      </c>
      <c r="L11" s="41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1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1.6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101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f>228-2</f>
        <v>226</v>
      </c>
      <c r="J8" s="37"/>
      <c r="K8" s="38"/>
      <c r="L8" s="38">
        <f>SUM(L9:L151)+费用调整!J15</f>
        <v>8434.5</v>
      </c>
    </row>
    <row r="9" spans="1:12">
      <c r="D9" s="39">
        <v>46056</v>
      </c>
      <c r="E9" s="19">
        <v>1575685</v>
      </c>
      <c r="F9" s="19" t="s">
        <v>44</v>
      </c>
      <c r="G9" s="40">
        <v>20009011</v>
      </c>
      <c r="H9" s="19" t="s">
        <v>102</v>
      </c>
      <c r="I9" s="40">
        <v>1</v>
      </c>
      <c r="J9" s="40">
        <v>7</v>
      </c>
      <c r="K9" s="41">
        <v>38.5</v>
      </c>
      <c r="L9" s="41">
        <v>38.5</v>
      </c>
    </row>
    <row r="10" spans="1:12">
      <c r="D10" s="39">
        <v>46056</v>
      </c>
      <c r="E10" s="19">
        <v>1575685</v>
      </c>
      <c r="F10" s="19" t="s">
        <v>44</v>
      </c>
      <c r="G10" s="40">
        <v>20007296</v>
      </c>
      <c r="H10" s="19" t="s">
        <v>103</v>
      </c>
      <c r="I10" s="40">
        <v>2</v>
      </c>
      <c r="J10" s="40">
        <v>74</v>
      </c>
      <c r="K10" s="41">
        <v>203.5</v>
      </c>
      <c r="L10" s="41">
        <v>407</v>
      </c>
    </row>
    <row r="11" spans="1:12">
      <c r="D11" s="39">
        <v>46056</v>
      </c>
      <c r="E11" s="19">
        <v>1575685</v>
      </c>
      <c r="F11" s="19" t="s">
        <v>44</v>
      </c>
      <c r="G11" s="40">
        <v>20300285</v>
      </c>
      <c r="H11" s="19" t="s">
        <v>104</v>
      </c>
      <c r="I11" s="40">
        <v>1</v>
      </c>
      <c r="J11" s="40">
        <v>14</v>
      </c>
      <c r="K11" s="41">
        <v>77</v>
      </c>
      <c r="L11" s="41">
        <v>77</v>
      </c>
    </row>
    <row r="12" spans="1:12">
      <c r="D12" s="39">
        <v>46056</v>
      </c>
      <c r="E12" s="19">
        <v>1575685</v>
      </c>
      <c r="F12" s="19" t="s">
        <v>46</v>
      </c>
      <c r="G12" s="40">
        <v>20008605</v>
      </c>
      <c r="H12" s="19" t="s">
        <v>47</v>
      </c>
      <c r="I12" s="40">
        <v>3</v>
      </c>
      <c r="J12" s="40">
        <v>6</v>
      </c>
      <c r="K12" s="41">
        <v>16.5</v>
      </c>
      <c r="L12" s="41">
        <v>49.5</v>
      </c>
    </row>
    <row r="13" spans="1:12">
      <c r="D13" s="39">
        <v>46056</v>
      </c>
      <c r="E13" s="19">
        <v>1575685</v>
      </c>
      <c r="F13" s="19" t="s">
        <v>17</v>
      </c>
      <c r="G13" s="40">
        <v>20312603</v>
      </c>
      <c r="H13" s="19" t="s">
        <v>105</v>
      </c>
      <c r="I13" s="40">
        <v>3</v>
      </c>
      <c r="J13" s="40">
        <v>9</v>
      </c>
      <c r="K13" s="41">
        <v>16.5</v>
      </c>
      <c r="L13" s="41">
        <v>49.5</v>
      </c>
    </row>
    <row r="14" spans="1:12">
      <c r="D14" s="39">
        <v>46056</v>
      </c>
      <c r="E14" s="19">
        <v>1575685</v>
      </c>
      <c r="F14" s="19" t="s">
        <v>17</v>
      </c>
      <c r="G14" s="40">
        <v>20313189</v>
      </c>
      <c r="H14" s="19" t="s">
        <v>106</v>
      </c>
      <c r="I14" s="40">
        <v>1</v>
      </c>
      <c r="J14" s="40">
        <v>3</v>
      </c>
      <c r="K14" s="41">
        <v>16.5</v>
      </c>
      <c r="L14" s="41">
        <v>16.5</v>
      </c>
    </row>
    <row r="15" spans="1:12">
      <c r="D15" s="39">
        <v>46056</v>
      </c>
      <c r="E15" s="19">
        <v>1575685</v>
      </c>
      <c r="F15" s="19" t="s">
        <v>24</v>
      </c>
      <c r="G15" s="40">
        <v>20320389</v>
      </c>
      <c r="H15" s="19" t="s">
        <v>107</v>
      </c>
      <c r="I15" s="40">
        <v>1</v>
      </c>
      <c r="J15" s="40">
        <v>3</v>
      </c>
      <c r="K15" s="41">
        <v>16.5</v>
      </c>
      <c r="L15" s="41">
        <v>16.5</v>
      </c>
    </row>
    <row r="16" spans="1:12">
      <c r="D16" s="39">
        <v>46056</v>
      </c>
      <c r="E16" s="19">
        <v>1575742</v>
      </c>
      <c r="F16" s="19" t="s">
        <v>28</v>
      </c>
      <c r="G16" s="40">
        <v>20411495</v>
      </c>
      <c r="H16" s="19" t="s">
        <v>108</v>
      </c>
      <c r="I16" s="40">
        <v>1</v>
      </c>
      <c r="J16" s="40">
        <v>2</v>
      </c>
      <c r="K16" s="41">
        <v>35</v>
      </c>
      <c r="L16" s="41">
        <f>K16</f>
        <v>35</v>
      </c>
    </row>
    <row r="17" spans="4:12">
      <c r="D17" s="39">
        <v>46056</v>
      </c>
      <c r="E17" s="19">
        <v>1575742</v>
      </c>
      <c r="F17" s="19" t="s">
        <v>28</v>
      </c>
      <c r="G17" s="40">
        <v>20384105</v>
      </c>
      <c r="H17" s="19" t="s">
        <v>79</v>
      </c>
      <c r="I17" s="40">
        <v>1</v>
      </c>
      <c r="J17" s="40">
        <v>1</v>
      </c>
      <c r="K17" s="41">
        <v>28</v>
      </c>
      <c r="L17" s="41">
        <v>28</v>
      </c>
    </row>
    <row r="18" spans="4:12">
      <c r="D18" s="39">
        <v>46056</v>
      </c>
      <c r="E18" s="19">
        <v>1575742</v>
      </c>
      <c r="F18" s="19" t="s">
        <v>28</v>
      </c>
      <c r="G18" s="40">
        <v>20011833</v>
      </c>
      <c r="H18" s="19" t="s">
        <v>84</v>
      </c>
      <c r="I18" s="40">
        <v>1</v>
      </c>
      <c r="J18" s="40">
        <v>1</v>
      </c>
      <c r="K18" s="41">
        <v>28</v>
      </c>
      <c r="L18" s="41">
        <v>28</v>
      </c>
    </row>
    <row r="19" spans="4:12">
      <c r="D19" s="39">
        <v>46057</v>
      </c>
      <c r="E19" s="19">
        <v>1576016</v>
      </c>
      <c r="F19" s="19" t="s">
        <v>44</v>
      </c>
      <c r="G19" s="40">
        <v>20009011</v>
      </c>
      <c r="H19" s="19" t="s">
        <v>102</v>
      </c>
      <c r="I19" s="40">
        <v>3</v>
      </c>
      <c r="J19" s="40">
        <v>21</v>
      </c>
      <c r="K19" s="41">
        <v>38.5</v>
      </c>
      <c r="L19" s="41">
        <v>115.5</v>
      </c>
    </row>
    <row r="20" spans="4:12">
      <c r="D20" s="39">
        <v>46057</v>
      </c>
      <c r="E20" s="19">
        <v>1576016</v>
      </c>
      <c r="F20" s="19" t="s">
        <v>44</v>
      </c>
      <c r="G20" s="40">
        <v>20310486</v>
      </c>
      <c r="H20" s="19" t="s">
        <v>109</v>
      </c>
      <c r="I20" s="40">
        <v>1</v>
      </c>
      <c r="J20" s="40">
        <v>13</v>
      </c>
      <c r="K20" s="41">
        <v>71.5</v>
      </c>
      <c r="L20" s="41">
        <v>71.5</v>
      </c>
    </row>
    <row r="21" spans="4:12">
      <c r="D21" s="39">
        <v>46057</v>
      </c>
      <c r="E21" s="19">
        <v>1576016</v>
      </c>
      <c r="F21" s="19" t="s">
        <v>44</v>
      </c>
      <c r="G21" s="40">
        <v>20007348</v>
      </c>
      <c r="H21" s="19" t="s">
        <v>110</v>
      </c>
      <c r="I21" s="40">
        <v>1</v>
      </c>
      <c r="J21" s="40">
        <v>27</v>
      </c>
      <c r="K21" s="41">
        <v>148.5</v>
      </c>
      <c r="L21" s="41">
        <v>148.5</v>
      </c>
    </row>
    <row r="22" spans="4:12">
      <c r="D22" s="39">
        <v>46057</v>
      </c>
      <c r="E22" s="19">
        <v>1576016</v>
      </c>
      <c r="F22" s="19" t="s">
        <v>44</v>
      </c>
      <c r="G22" s="40">
        <v>20013323</v>
      </c>
      <c r="H22" s="19" t="s">
        <v>111</v>
      </c>
      <c r="I22" s="40">
        <v>1</v>
      </c>
      <c r="J22" s="40">
        <v>21</v>
      </c>
      <c r="K22" s="41">
        <v>115.5</v>
      </c>
      <c r="L22" s="41">
        <v>115.5</v>
      </c>
    </row>
    <row r="23" spans="4:12">
      <c r="D23" s="39">
        <v>46057</v>
      </c>
      <c r="E23" s="19">
        <v>1576016</v>
      </c>
      <c r="F23" s="19" t="s">
        <v>44</v>
      </c>
      <c r="G23" s="40">
        <v>20009113</v>
      </c>
      <c r="H23" s="19" t="s">
        <v>112</v>
      </c>
      <c r="I23" s="40">
        <v>1</v>
      </c>
      <c r="J23" s="40">
        <v>24</v>
      </c>
      <c r="K23" s="41">
        <v>132</v>
      </c>
      <c r="L23" s="41">
        <v>132</v>
      </c>
    </row>
    <row r="24" spans="4:12">
      <c r="D24" s="39">
        <v>46057</v>
      </c>
      <c r="E24" s="19">
        <v>1576016</v>
      </c>
      <c r="F24" s="19" t="s">
        <v>44</v>
      </c>
      <c r="G24" s="40">
        <v>20300285</v>
      </c>
      <c r="H24" s="19" t="s">
        <v>104</v>
      </c>
      <c r="I24" s="40">
        <v>1</v>
      </c>
      <c r="J24" s="40">
        <v>14</v>
      </c>
      <c r="K24" s="41">
        <v>77</v>
      </c>
      <c r="L24" s="41">
        <v>77</v>
      </c>
    </row>
    <row r="25" spans="4:12">
      <c r="D25" s="39">
        <v>46057</v>
      </c>
      <c r="E25" s="19">
        <v>1576016</v>
      </c>
      <c r="F25" s="19" t="s">
        <v>46</v>
      </c>
      <c r="G25" s="40">
        <v>20008605</v>
      </c>
      <c r="H25" s="19" t="s">
        <v>47</v>
      </c>
      <c r="I25" s="40">
        <v>6</v>
      </c>
      <c r="J25" s="40">
        <v>12</v>
      </c>
      <c r="K25" s="41">
        <v>16.5</v>
      </c>
      <c r="L25" s="41">
        <v>99</v>
      </c>
    </row>
    <row r="26" spans="4:12">
      <c r="D26" s="39">
        <v>46057</v>
      </c>
      <c r="E26" s="19">
        <v>1576016</v>
      </c>
      <c r="F26" s="19" t="s">
        <v>17</v>
      </c>
      <c r="G26" s="40">
        <v>20312603</v>
      </c>
      <c r="H26" s="19" t="s">
        <v>105</v>
      </c>
      <c r="I26" s="40">
        <v>4</v>
      </c>
      <c r="J26" s="40">
        <v>12</v>
      </c>
      <c r="K26" s="41">
        <v>16.5</v>
      </c>
      <c r="L26" s="41">
        <v>66</v>
      </c>
    </row>
    <row r="27" spans="4:12">
      <c r="D27" s="39">
        <v>46057</v>
      </c>
      <c r="E27" s="19">
        <v>1576016</v>
      </c>
      <c r="F27" s="19" t="s">
        <v>17</v>
      </c>
      <c r="G27" s="40">
        <v>20313189</v>
      </c>
      <c r="H27" s="19" t="s">
        <v>106</v>
      </c>
      <c r="I27" s="40">
        <v>3</v>
      </c>
      <c r="J27" s="40">
        <v>9</v>
      </c>
      <c r="K27" s="41">
        <v>16.5</v>
      </c>
      <c r="L27" s="41">
        <v>49.5</v>
      </c>
    </row>
    <row r="28" spans="4:12">
      <c r="D28" s="39">
        <v>46057</v>
      </c>
      <c r="E28" s="19">
        <v>1576016</v>
      </c>
      <c r="F28" s="19" t="s">
        <v>24</v>
      </c>
      <c r="G28" s="40">
        <v>20312602</v>
      </c>
      <c r="H28" s="19" t="s">
        <v>113</v>
      </c>
      <c r="I28" s="40">
        <v>1</v>
      </c>
      <c r="J28" s="40">
        <v>4</v>
      </c>
      <c r="K28" s="41">
        <v>22</v>
      </c>
      <c r="L28" s="41">
        <v>22</v>
      </c>
    </row>
    <row r="29" spans="4:12">
      <c r="D29" s="39">
        <v>46057</v>
      </c>
      <c r="E29" s="19">
        <v>1576016</v>
      </c>
      <c r="F29" s="19" t="s">
        <v>24</v>
      </c>
      <c r="G29" s="40">
        <v>20009328</v>
      </c>
      <c r="H29" s="19" t="s">
        <v>114</v>
      </c>
      <c r="I29" s="40">
        <v>1</v>
      </c>
      <c r="J29" s="40">
        <v>10</v>
      </c>
      <c r="K29" s="41">
        <v>55</v>
      </c>
      <c r="L29" s="41">
        <v>55</v>
      </c>
    </row>
    <row r="30" spans="4:12">
      <c r="D30" s="39">
        <v>46057</v>
      </c>
      <c r="E30" s="19">
        <v>1576016</v>
      </c>
      <c r="F30" s="19" t="s">
        <v>24</v>
      </c>
      <c r="G30" s="40">
        <v>20008674</v>
      </c>
      <c r="H30" s="19" t="s">
        <v>115</v>
      </c>
      <c r="I30" s="40">
        <v>1</v>
      </c>
      <c r="J30" s="40">
        <v>6</v>
      </c>
      <c r="K30" s="41">
        <v>33</v>
      </c>
      <c r="L30" s="41">
        <v>33</v>
      </c>
    </row>
    <row r="31" spans="4:12">
      <c r="D31" s="39">
        <v>46057</v>
      </c>
      <c r="E31" s="19">
        <v>1576075</v>
      </c>
      <c r="F31" s="19" t="s">
        <v>28</v>
      </c>
      <c r="G31" s="40">
        <v>20014717</v>
      </c>
      <c r="H31" s="19" t="s">
        <v>116</v>
      </c>
      <c r="I31" s="40">
        <v>1</v>
      </c>
      <c r="J31" s="40">
        <v>1</v>
      </c>
      <c r="K31" s="41">
        <v>35</v>
      </c>
      <c r="L31" s="41">
        <v>35</v>
      </c>
    </row>
    <row r="32" spans="4:12">
      <c r="D32" s="39">
        <v>46057</v>
      </c>
      <c r="E32" s="19">
        <v>1576075</v>
      </c>
      <c r="F32" s="19" t="s">
        <v>28</v>
      </c>
      <c r="G32" s="40">
        <v>20314039</v>
      </c>
      <c r="H32" s="19" t="s">
        <v>117</v>
      </c>
      <c r="I32" s="40">
        <v>1</v>
      </c>
      <c r="J32" s="40">
        <v>1</v>
      </c>
      <c r="K32" s="41">
        <v>28</v>
      </c>
      <c r="L32" s="41">
        <v>28</v>
      </c>
    </row>
    <row r="33" spans="4:12">
      <c r="D33" s="39">
        <v>46057</v>
      </c>
      <c r="E33" s="19">
        <v>1576075</v>
      </c>
      <c r="F33" s="19" t="s">
        <v>28</v>
      </c>
      <c r="G33" s="40">
        <v>20007702</v>
      </c>
      <c r="H33" s="19" t="s">
        <v>118</v>
      </c>
      <c r="I33" s="40">
        <v>1</v>
      </c>
      <c r="J33" s="40">
        <v>1</v>
      </c>
      <c r="K33" s="41">
        <v>28</v>
      </c>
      <c r="L33" s="41">
        <v>28</v>
      </c>
    </row>
    <row r="34" spans="4:12">
      <c r="D34" s="39">
        <v>46057</v>
      </c>
      <c r="E34" s="19">
        <v>1576075</v>
      </c>
      <c r="F34" s="19" t="s">
        <v>28</v>
      </c>
      <c r="G34" s="40">
        <v>20007478</v>
      </c>
      <c r="H34" s="19" t="s">
        <v>119</v>
      </c>
      <c r="I34" s="40">
        <v>3</v>
      </c>
      <c r="J34" s="40">
        <v>3</v>
      </c>
      <c r="K34" s="41">
        <v>35</v>
      </c>
      <c r="L34" s="41">
        <v>105</v>
      </c>
    </row>
    <row r="35" spans="4:12">
      <c r="D35" s="39">
        <v>46057</v>
      </c>
      <c r="E35" s="19">
        <v>1576075</v>
      </c>
      <c r="F35" s="19" t="s">
        <v>28</v>
      </c>
      <c r="G35" s="40">
        <v>20007381</v>
      </c>
      <c r="H35" s="19" t="s">
        <v>120</v>
      </c>
      <c r="I35" s="40">
        <v>1</v>
      </c>
      <c r="J35" s="40">
        <v>1</v>
      </c>
      <c r="K35" s="41">
        <v>28</v>
      </c>
      <c r="L35" s="41">
        <v>28</v>
      </c>
    </row>
    <row r="36" spans="4:12">
      <c r="D36" s="39">
        <v>46057</v>
      </c>
      <c r="E36" s="19">
        <v>1576075</v>
      </c>
      <c r="F36" s="19" t="s">
        <v>28</v>
      </c>
      <c r="G36" s="40">
        <v>20007700</v>
      </c>
      <c r="H36" s="19" t="s">
        <v>121</v>
      </c>
      <c r="I36" s="40">
        <v>1</v>
      </c>
      <c r="J36" s="40">
        <v>1</v>
      </c>
      <c r="K36" s="41">
        <v>22</v>
      </c>
      <c r="L36" s="41">
        <v>22</v>
      </c>
    </row>
    <row r="37" spans="4:12">
      <c r="D37" s="39">
        <v>46057</v>
      </c>
      <c r="E37" s="19">
        <v>1576075</v>
      </c>
      <c r="F37" s="19" t="s">
        <v>28</v>
      </c>
      <c r="G37" s="40">
        <v>20011049</v>
      </c>
      <c r="H37" s="19" t="s">
        <v>90</v>
      </c>
      <c r="I37" s="40">
        <v>1</v>
      </c>
      <c r="J37" s="40">
        <v>1</v>
      </c>
      <c r="K37" s="41">
        <v>22</v>
      </c>
      <c r="L37" s="41">
        <v>22</v>
      </c>
    </row>
    <row r="38" spans="4:12">
      <c r="D38" s="39">
        <v>46057</v>
      </c>
      <c r="E38" s="19">
        <v>1576075</v>
      </c>
      <c r="F38" s="19" t="s">
        <v>28</v>
      </c>
      <c r="G38" s="40">
        <v>20324695</v>
      </c>
      <c r="H38" s="19" t="s">
        <v>122</v>
      </c>
      <c r="I38" s="40">
        <v>1</v>
      </c>
      <c r="J38" s="40">
        <v>4</v>
      </c>
      <c r="K38" s="41">
        <v>88</v>
      </c>
      <c r="L38" s="41">
        <v>88</v>
      </c>
    </row>
    <row r="39" spans="4:12">
      <c r="D39" s="39">
        <v>46057</v>
      </c>
      <c r="E39" s="19">
        <v>1576075</v>
      </c>
      <c r="F39" s="19" t="s">
        <v>28</v>
      </c>
      <c r="G39" s="40">
        <v>20007701</v>
      </c>
      <c r="H39" s="19" t="s">
        <v>123</v>
      </c>
      <c r="I39" s="40">
        <v>1</v>
      </c>
      <c r="J39" s="40">
        <v>1</v>
      </c>
      <c r="K39" s="41">
        <v>28</v>
      </c>
      <c r="L39" s="41">
        <v>28</v>
      </c>
    </row>
    <row r="40" spans="4:12">
      <c r="D40" s="39">
        <v>46057</v>
      </c>
      <c r="E40" s="19">
        <v>1576075</v>
      </c>
      <c r="F40" s="19" t="s">
        <v>28</v>
      </c>
      <c r="G40" s="40">
        <v>20352760</v>
      </c>
      <c r="H40" s="19" t="s">
        <v>124</v>
      </c>
      <c r="I40" s="40">
        <v>2</v>
      </c>
      <c r="J40" s="40">
        <v>2</v>
      </c>
      <c r="K40" s="41">
        <v>35</v>
      </c>
      <c r="L40" s="41">
        <v>70</v>
      </c>
    </row>
    <row r="41" spans="4:12">
      <c r="D41" s="39">
        <v>46057</v>
      </c>
      <c r="E41" s="19">
        <v>1576075</v>
      </c>
      <c r="F41" s="19" t="s">
        <v>28</v>
      </c>
      <c r="G41" s="40">
        <v>20010183</v>
      </c>
      <c r="H41" s="19" t="s">
        <v>125</v>
      </c>
      <c r="I41" s="40">
        <v>1</v>
      </c>
      <c r="J41" s="40">
        <v>1</v>
      </c>
      <c r="K41" s="41">
        <v>28</v>
      </c>
      <c r="L41" s="41">
        <v>28</v>
      </c>
    </row>
    <row r="42" spans="4:12">
      <c r="D42" s="39">
        <v>46057</v>
      </c>
      <c r="E42" s="19">
        <v>1576075</v>
      </c>
      <c r="F42" s="19" t="s">
        <v>28</v>
      </c>
      <c r="G42" s="40">
        <v>20367991</v>
      </c>
      <c r="H42" s="19" t="s">
        <v>126</v>
      </c>
      <c r="I42" s="40">
        <v>1</v>
      </c>
      <c r="J42" s="40">
        <v>2</v>
      </c>
      <c r="K42" s="41">
        <v>44</v>
      </c>
      <c r="L42" s="41">
        <v>44</v>
      </c>
    </row>
    <row r="43" spans="4:12">
      <c r="D43" s="39">
        <v>46057</v>
      </c>
      <c r="E43" s="19">
        <v>1576075</v>
      </c>
      <c r="F43" s="19" t="s">
        <v>28</v>
      </c>
      <c r="G43" s="40">
        <v>20010888</v>
      </c>
      <c r="H43" s="19" t="s">
        <v>127</v>
      </c>
      <c r="I43" s="40">
        <v>1</v>
      </c>
      <c r="J43" s="40">
        <v>1</v>
      </c>
      <c r="K43" s="41">
        <v>35</v>
      </c>
      <c r="L43" s="41">
        <v>35</v>
      </c>
    </row>
    <row r="44" spans="4:12">
      <c r="D44" s="39">
        <v>46057</v>
      </c>
      <c r="E44" s="19">
        <v>1576075</v>
      </c>
      <c r="F44" s="19" t="s">
        <v>28</v>
      </c>
      <c r="G44" s="40">
        <v>20352470</v>
      </c>
      <c r="H44" s="19" t="s">
        <v>128</v>
      </c>
      <c r="I44" s="40">
        <v>1</v>
      </c>
      <c r="J44" s="40">
        <v>1</v>
      </c>
      <c r="K44" s="41">
        <v>22</v>
      </c>
      <c r="L44" s="41">
        <v>22</v>
      </c>
    </row>
    <row r="45" spans="4:12">
      <c r="D45" s="39">
        <v>46057</v>
      </c>
      <c r="E45" s="19">
        <v>1576075</v>
      </c>
      <c r="F45" s="19" t="s">
        <v>28</v>
      </c>
      <c r="G45" s="40">
        <v>20007384</v>
      </c>
      <c r="H45" s="19" t="s">
        <v>129</v>
      </c>
      <c r="I45" s="40">
        <v>1</v>
      </c>
      <c r="J45" s="40">
        <v>1</v>
      </c>
      <c r="K45" s="41">
        <v>28</v>
      </c>
      <c r="L45" s="41">
        <v>28</v>
      </c>
    </row>
    <row r="46" spans="4:12">
      <c r="D46" s="39">
        <v>46057</v>
      </c>
      <c r="E46" s="19">
        <v>1576075</v>
      </c>
      <c r="F46" s="19" t="s">
        <v>28</v>
      </c>
      <c r="G46" s="40">
        <v>20410783</v>
      </c>
      <c r="H46" s="19" t="s">
        <v>130</v>
      </c>
      <c r="I46" s="40">
        <v>1</v>
      </c>
      <c r="J46" s="40">
        <v>2</v>
      </c>
      <c r="K46" s="41">
        <v>35</v>
      </c>
      <c r="L46" s="41">
        <v>35</v>
      </c>
    </row>
    <row r="47" spans="4:12">
      <c r="D47" s="39">
        <v>46057</v>
      </c>
      <c r="E47" s="19">
        <v>1576075</v>
      </c>
      <c r="F47" s="19" t="s">
        <v>28</v>
      </c>
      <c r="G47" s="40">
        <v>20007465</v>
      </c>
      <c r="H47" s="19" t="s">
        <v>29</v>
      </c>
      <c r="I47" s="40">
        <v>1</v>
      </c>
      <c r="J47" s="40">
        <v>1</v>
      </c>
      <c r="K47" s="41">
        <v>35</v>
      </c>
      <c r="L47" s="41">
        <v>35</v>
      </c>
    </row>
    <row r="48" spans="4:12">
      <c r="D48" s="39">
        <v>46057</v>
      </c>
      <c r="E48" s="19">
        <v>1576075</v>
      </c>
      <c r="F48" s="19" t="s">
        <v>28</v>
      </c>
      <c r="G48" s="40">
        <v>20007427</v>
      </c>
      <c r="H48" s="19" t="s">
        <v>131</v>
      </c>
      <c r="I48" s="40">
        <v>1</v>
      </c>
      <c r="J48" s="40">
        <v>1</v>
      </c>
      <c r="K48" s="41">
        <v>28</v>
      </c>
      <c r="L48" s="41">
        <v>28</v>
      </c>
    </row>
    <row r="49" spans="4:12">
      <c r="D49" s="39">
        <v>46057</v>
      </c>
      <c r="E49" s="19">
        <v>1576075</v>
      </c>
      <c r="F49" s="19" t="s">
        <v>28</v>
      </c>
      <c r="G49" s="40">
        <v>20007494</v>
      </c>
      <c r="H49" s="19" t="s">
        <v>132</v>
      </c>
      <c r="I49" s="40">
        <v>1</v>
      </c>
      <c r="J49" s="40">
        <v>1</v>
      </c>
      <c r="K49" s="41">
        <v>25</v>
      </c>
      <c r="L49" s="41">
        <v>25</v>
      </c>
    </row>
    <row r="50" spans="4:12">
      <c r="D50" s="39">
        <v>46057</v>
      </c>
      <c r="E50" s="19">
        <v>1576075</v>
      </c>
      <c r="F50" s="19" t="s">
        <v>28</v>
      </c>
      <c r="G50" s="40">
        <v>20007429</v>
      </c>
      <c r="H50" s="19" t="s">
        <v>133</v>
      </c>
      <c r="I50" s="40">
        <v>1</v>
      </c>
      <c r="J50" s="40">
        <v>1</v>
      </c>
      <c r="K50" s="41">
        <v>28</v>
      </c>
      <c r="L50" s="41">
        <v>28</v>
      </c>
    </row>
    <row r="51" spans="4:12">
      <c r="D51" s="39">
        <v>46058</v>
      </c>
      <c r="E51" s="19">
        <v>1576343</v>
      </c>
      <c r="F51" s="19" t="s">
        <v>44</v>
      </c>
      <c r="G51" s="40">
        <v>20009011</v>
      </c>
      <c r="H51" s="19" t="s">
        <v>102</v>
      </c>
      <c r="I51" s="40">
        <v>1</v>
      </c>
      <c r="J51" s="40">
        <v>7</v>
      </c>
      <c r="K51" s="41">
        <v>38.5</v>
      </c>
      <c r="L51" s="41">
        <v>38.5</v>
      </c>
    </row>
    <row r="52" spans="4:12">
      <c r="D52" s="39">
        <v>46058</v>
      </c>
      <c r="E52" s="19">
        <v>1576343</v>
      </c>
      <c r="F52" s="19" t="s">
        <v>44</v>
      </c>
      <c r="G52" s="40">
        <v>20310486</v>
      </c>
      <c r="H52" s="19" t="s">
        <v>109</v>
      </c>
      <c r="I52" s="40">
        <v>1</v>
      </c>
      <c r="J52" s="40">
        <v>13</v>
      </c>
      <c r="K52" s="41">
        <v>71.5</v>
      </c>
      <c r="L52" s="41">
        <v>71.5</v>
      </c>
    </row>
    <row r="53" spans="4:12">
      <c r="D53" s="39">
        <v>46058</v>
      </c>
      <c r="E53" s="19">
        <v>1576343</v>
      </c>
      <c r="F53" s="19" t="s">
        <v>46</v>
      </c>
      <c r="G53" s="40">
        <v>20008605</v>
      </c>
      <c r="H53" s="19" t="s">
        <v>47</v>
      </c>
      <c r="I53" s="40">
        <v>3</v>
      </c>
      <c r="J53" s="40">
        <v>6</v>
      </c>
      <c r="K53" s="41">
        <v>16.5</v>
      </c>
      <c r="L53" s="41">
        <v>49.5</v>
      </c>
    </row>
    <row r="54" spans="4:12">
      <c r="D54" s="39">
        <v>46058</v>
      </c>
      <c r="E54" s="19">
        <v>1576343</v>
      </c>
      <c r="F54" s="19" t="s">
        <v>17</v>
      </c>
      <c r="G54" s="40">
        <v>20312603</v>
      </c>
      <c r="H54" s="19" t="s">
        <v>105</v>
      </c>
      <c r="I54" s="40">
        <v>2</v>
      </c>
      <c r="J54" s="40">
        <v>6</v>
      </c>
      <c r="K54" s="41">
        <v>16.5</v>
      </c>
      <c r="L54" s="41">
        <v>33</v>
      </c>
    </row>
    <row r="55" spans="4:12">
      <c r="D55" s="39">
        <v>46058</v>
      </c>
      <c r="E55" s="19">
        <v>1576343</v>
      </c>
      <c r="F55" s="19" t="s">
        <v>17</v>
      </c>
      <c r="G55" s="40">
        <v>20321339</v>
      </c>
      <c r="H55" s="19" t="s">
        <v>134</v>
      </c>
      <c r="I55" s="40">
        <v>3</v>
      </c>
      <c r="J55" s="40">
        <v>6</v>
      </c>
      <c r="K55" s="41">
        <v>8</v>
      </c>
      <c r="L55" s="41">
        <v>24</v>
      </c>
    </row>
    <row r="56" spans="4:12">
      <c r="D56" s="39">
        <v>46058</v>
      </c>
      <c r="E56" s="19">
        <v>1576343</v>
      </c>
      <c r="F56" s="19" t="s">
        <v>14</v>
      </c>
      <c r="G56" s="40">
        <v>20378341</v>
      </c>
      <c r="H56" s="19" t="s">
        <v>135</v>
      </c>
      <c r="I56" s="40">
        <v>8</v>
      </c>
      <c r="J56" s="40">
        <v>0</v>
      </c>
      <c r="K56" s="41">
        <v>4</v>
      </c>
      <c r="L56" s="41">
        <v>32</v>
      </c>
    </row>
    <row r="57" spans="4:12">
      <c r="D57" s="39">
        <v>46058</v>
      </c>
      <c r="E57" s="19">
        <v>1576362</v>
      </c>
      <c r="F57" s="19" t="s">
        <v>28</v>
      </c>
      <c r="G57" s="40">
        <v>20352760</v>
      </c>
      <c r="H57" s="19" t="s">
        <v>124</v>
      </c>
      <c r="I57" s="40">
        <v>1</v>
      </c>
      <c r="J57" s="40">
        <v>1</v>
      </c>
      <c r="K57" s="41">
        <v>35</v>
      </c>
      <c r="L57" s="41">
        <v>35</v>
      </c>
    </row>
    <row r="58" spans="4:12">
      <c r="D58" s="39">
        <v>46058</v>
      </c>
      <c r="E58" s="19">
        <v>1576362</v>
      </c>
      <c r="F58" s="19" t="s">
        <v>28</v>
      </c>
      <c r="G58" s="40">
        <v>20353770</v>
      </c>
      <c r="H58" s="19" t="s">
        <v>136</v>
      </c>
      <c r="I58" s="40">
        <v>1</v>
      </c>
      <c r="J58" s="40">
        <v>1</v>
      </c>
      <c r="K58" s="41">
        <v>28</v>
      </c>
      <c r="L58" s="41">
        <v>28</v>
      </c>
    </row>
    <row r="59" spans="4:12">
      <c r="D59" s="39">
        <v>46058</v>
      </c>
      <c r="E59" s="19">
        <v>1576699</v>
      </c>
      <c r="F59" s="19" t="s">
        <v>44</v>
      </c>
      <c r="G59" s="40">
        <v>20009011</v>
      </c>
      <c r="H59" s="19" t="s">
        <v>102</v>
      </c>
      <c r="I59" s="40">
        <v>1</v>
      </c>
      <c r="J59" s="40">
        <v>7</v>
      </c>
      <c r="K59" s="41">
        <v>38.5</v>
      </c>
      <c r="L59" s="41">
        <v>38.5</v>
      </c>
    </row>
    <row r="60" spans="4:12">
      <c r="D60" s="39">
        <v>46058</v>
      </c>
      <c r="E60" s="19">
        <v>1576699</v>
      </c>
      <c r="F60" s="19" t="s">
        <v>44</v>
      </c>
      <c r="G60" s="40">
        <v>20009113</v>
      </c>
      <c r="H60" s="19" t="s">
        <v>112</v>
      </c>
      <c r="I60" s="40">
        <v>1</v>
      </c>
      <c r="J60" s="40">
        <v>24</v>
      </c>
      <c r="K60" s="41">
        <v>132</v>
      </c>
      <c r="L60" s="41">
        <v>132</v>
      </c>
    </row>
    <row r="61" spans="4:12">
      <c r="D61" s="39">
        <v>46058</v>
      </c>
      <c r="E61" s="19">
        <v>1576699</v>
      </c>
      <c r="F61" s="19" t="s">
        <v>46</v>
      </c>
      <c r="G61" s="40">
        <v>20008605</v>
      </c>
      <c r="H61" s="19" t="s">
        <v>47</v>
      </c>
      <c r="I61" s="40">
        <v>2</v>
      </c>
      <c r="J61" s="40">
        <v>4</v>
      </c>
      <c r="K61" s="41">
        <v>16.5</v>
      </c>
      <c r="L61" s="41">
        <v>33</v>
      </c>
    </row>
    <row r="62" spans="4:12">
      <c r="D62" s="39">
        <v>46058</v>
      </c>
      <c r="E62" s="19">
        <v>1576699</v>
      </c>
      <c r="F62" s="19" t="s">
        <v>17</v>
      </c>
      <c r="G62" s="40">
        <v>20312603</v>
      </c>
      <c r="H62" s="19" t="s">
        <v>105</v>
      </c>
      <c r="I62" s="40">
        <v>1</v>
      </c>
      <c r="J62" s="40">
        <v>3</v>
      </c>
      <c r="K62" s="41">
        <v>16.5</v>
      </c>
      <c r="L62" s="41">
        <v>16.5</v>
      </c>
    </row>
    <row r="63" spans="4:12">
      <c r="D63" s="39">
        <v>46058</v>
      </c>
      <c r="E63" s="19">
        <v>1576699</v>
      </c>
      <c r="F63" s="19" t="s">
        <v>24</v>
      </c>
      <c r="G63" s="40">
        <v>20008674</v>
      </c>
      <c r="H63" s="19" t="s">
        <v>115</v>
      </c>
      <c r="I63" s="40">
        <v>1</v>
      </c>
      <c r="J63" s="40">
        <v>6</v>
      </c>
      <c r="K63" s="41">
        <v>33</v>
      </c>
      <c r="L63" s="41">
        <v>33</v>
      </c>
    </row>
    <row r="64" spans="4:12">
      <c r="D64" s="39">
        <v>46059</v>
      </c>
      <c r="E64" s="19">
        <v>1576984</v>
      </c>
      <c r="F64" s="19" t="s">
        <v>44</v>
      </c>
      <c r="G64" s="40">
        <v>20009011</v>
      </c>
      <c r="H64" s="19" t="s">
        <v>102</v>
      </c>
      <c r="I64" s="40">
        <v>2</v>
      </c>
      <c r="J64" s="40">
        <v>14</v>
      </c>
      <c r="K64" s="41">
        <v>38.5</v>
      </c>
      <c r="L64" s="41">
        <v>77</v>
      </c>
    </row>
    <row r="65" spans="4:12">
      <c r="D65" s="39">
        <v>46059</v>
      </c>
      <c r="E65" s="19">
        <v>1576984</v>
      </c>
      <c r="F65" s="19" t="s">
        <v>44</v>
      </c>
      <c r="G65" s="40">
        <v>20310486</v>
      </c>
      <c r="H65" s="19" t="s">
        <v>109</v>
      </c>
      <c r="I65" s="40">
        <v>1</v>
      </c>
      <c r="J65" s="40">
        <v>13</v>
      </c>
      <c r="K65" s="41">
        <v>71.5</v>
      </c>
      <c r="L65" s="41">
        <v>71.5</v>
      </c>
    </row>
    <row r="66" spans="4:12">
      <c r="D66" s="39">
        <v>46059</v>
      </c>
      <c r="E66" s="19">
        <v>1576984</v>
      </c>
      <c r="F66" s="19" t="s">
        <v>44</v>
      </c>
      <c r="G66" s="40">
        <v>20013323</v>
      </c>
      <c r="H66" s="19" t="s">
        <v>111</v>
      </c>
      <c r="I66" s="40">
        <v>2</v>
      </c>
      <c r="J66" s="40">
        <v>42</v>
      </c>
      <c r="K66" s="41">
        <v>115.5</v>
      </c>
      <c r="L66" s="41">
        <v>231</v>
      </c>
    </row>
    <row r="67" spans="4:12">
      <c r="D67" s="39">
        <v>46059</v>
      </c>
      <c r="E67" s="19">
        <v>1576984</v>
      </c>
      <c r="F67" s="19" t="s">
        <v>44</v>
      </c>
      <c r="G67" s="40">
        <v>20300285</v>
      </c>
      <c r="H67" s="19" t="s">
        <v>104</v>
      </c>
      <c r="I67" s="40">
        <v>1</v>
      </c>
      <c r="J67" s="40">
        <v>14</v>
      </c>
      <c r="K67" s="41">
        <v>77</v>
      </c>
      <c r="L67" s="41">
        <v>77</v>
      </c>
    </row>
    <row r="68" spans="4:12">
      <c r="D68" s="39">
        <v>46059</v>
      </c>
      <c r="E68" s="19">
        <v>1576984</v>
      </c>
      <c r="F68" s="19" t="s">
        <v>46</v>
      </c>
      <c r="G68" s="40">
        <v>20008605</v>
      </c>
      <c r="H68" s="19" t="s">
        <v>47</v>
      </c>
      <c r="I68" s="40">
        <v>5</v>
      </c>
      <c r="J68" s="40">
        <v>10</v>
      </c>
      <c r="K68" s="41">
        <v>16.5</v>
      </c>
      <c r="L68" s="41">
        <v>82.5</v>
      </c>
    </row>
    <row r="69" spans="4:12">
      <c r="D69" s="39">
        <v>46059</v>
      </c>
      <c r="E69" s="19">
        <v>1576984</v>
      </c>
      <c r="F69" s="19" t="s">
        <v>22</v>
      </c>
      <c r="G69" s="40">
        <v>20354736</v>
      </c>
      <c r="H69" s="19" t="s">
        <v>137</v>
      </c>
      <c r="I69" s="40">
        <v>1</v>
      </c>
      <c r="J69" s="40">
        <v>13</v>
      </c>
      <c r="K69" s="41">
        <v>71.5</v>
      </c>
      <c r="L69" s="41">
        <v>71.5</v>
      </c>
    </row>
    <row r="70" spans="4:12">
      <c r="D70" s="39">
        <v>46060</v>
      </c>
      <c r="E70" s="19">
        <v>1577047</v>
      </c>
      <c r="F70" s="19" t="s">
        <v>17</v>
      </c>
      <c r="G70" s="40">
        <v>20312603</v>
      </c>
      <c r="H70" s="19" t="s">
        <v>105</v>
      </c>
      <c r="I70" s="40">
        <v>5</v>
      </c>
      <c r="J70" s="40">
        <v>15</v>
      </c>
      <c r="K70" s="41">
        <v>16.5</v>
      </c>
      <c r="L70" s="41">
        <v>82.5</v>
      </c>
    </row>
    <row r="71" spans="4:12">
      <c r="D71" s="39">
        <v>46060</v>
      </c>
      <c r="E71" s="19">
        <v>1577061</v>
      </c>
      <c r="F71" s="19" t="s">
        <v>28</v>
      </c>
      <c r="G71" s="40">
        <v>20009294</v>
      </c>
      <c r="H71" s="19" t="s">
        <v>138</v>
      </c>
      <c r="I71" s="40">
        <v>1</v>
      </c>
      <c r="J71" s="40">
        <v>1</v>
      </c>
      <c r="K71" s="41">
        <v>35</v>
      </c>
      <c r="L71" s="41">
        <v>35</v>
      </c>
    </row>
    <row r="72" spans="4:12">
      <c r="D72" s="39">
        <v>46060</v>
      </c>
      <c r="E72" s="19">
        <v>1577061</v>
      </c>
      <c r="F72" s="19" t="s">
        <v>28</v>
      </c>
      <c r="G72" s="40">
        <v>20008442</v>
      </c>
      <c r="H72" s="19" t="s">
        <v>139</v>
      </c>
      <c r="I72" s="40">
        <v>1</v>
      </c>
      <c r="J72" s="40">
        <v>4</v>
      </c>
      <c r="K72" s="41">
        <v>88</v>
      </c>
      <c r="L72" s="41">
        <v>88</v>
      </c>
    </row>
    <row r="73" spans="4:12">
      <c r="D73" s="39">
        <v>46060</v>
      </c>
      <c r="E73" s="19">
        <v>1577061</v>
      </c>
      <c r="F73" s="19" t="s">
        <v>28</v>
      </c>
      <c r="G73" s="40">
        <v>20352760</v>
      </c>
      <c r="H73" s="19" t="s">
        <v>124</v>
      </c>
      <c r="I73" s="40">
        <v>2</v>
      </c>
      <c r="J73" s="40">
        <v>2</v>
      </c>
      <c r="K73" s="41">
        <v>35</v>
      </c>
      <c r="L73" s="41">
        <v>70</v>
      </c>
    </row>
    <row r="74" spans="4:12">
      <c r="D74" s="39">
        <v>46060</v>
      </c>
      <c r="E74" s="19">
        <v>1577061</v>
      </c>
      <c r="F74" s="19" t="s">
        <v>28</v>
      </c>
      <c r="G74" s="40">
        <v>20367991</v>
      </c>
      <c r="H74" s="19" t="s">
        <v>126</v>
      </c>
      <c r="I74" s="40">
        <v>1</v>
      </c>
      <c r="J74" s="40">
        <v>2</v>
      </c>
      <c r="K74" s="41">
        <v>44</v>
      </c>
      <c r="L74" s="41">
        <v>44</v>
      </c>
    </row>
    <row r="75" spans="4:12">
      <c r="D75" s="39">
        <v>46060</v>
      </c>
      <c r="E75" s="19">
        <v>1577061</v>
      </c>
      <c r="F75" s="19" t="s">
        <v>28</v>
      </c>
      <c r="G75" s="40">
        <v>20009390</v>
      </c>
      <c r="H75" s="19" t="s">
        <v>140</v>
      </c>
      <c r="I75" s="40">
        <v>1</v>
      </c>
      <c r="J75" s="40">
        <v>1</v>
      </c>
      <c r="K75" s="41">
        <v>28</v>
      </c>
      <c r="L75" s="41">
        <v>28</v>
      </c>
    </row>
    <row r="76" spans="4:12">
      <c r="D76" s="39">
        <v>46062</v>
      </c>
      <c r="E76" s="19">
        <v>1577468</v>
      </c>
      <c r="F76" s="19" t="s">
        <v>44</v>
      </c>
      <c r="G76" s="40">
        <v>20300285</v>
      </c>
      <c r="H76" s="19" t="s">
        <v>104</v>
      </c>
      <c r="I76" s="40">
        <v>1</v>
      </c>
      <c r="J76" s="40">
        <v>14</v>
      </c>
      <c r="K76" s="41">
        <v>77</v>
      </c>
      <c r="L76" s="41">
        <v>77</v>
      </c>
    </row>
    <row r="77" spans="4:12">
      <c r="D77" s="39">
        <v>46062</v>
      </c>
      <c r="E77" s="19">
        <v>1577468</v>
      </c>
      <c r="F77" s="19" t="s">
        <v>46</v>
      </c>
      <c r="G77" s="40">
        <v>20008605</v>
      </c>
      <c r="H77" s="19" t="s">
        <v>47</v>
      </c>
      <c r="I77" s="40">
        <v>1</v>
      </c>
      <c r="J77" s="40">
        <v>2</v>
      </c>
      <c r="K77" s="41">
        <v>16.5</v>
      </c>
      <c r="L77" s="41">
        <v>16.5</v>
      </c>
    </row>
    <row r="78" spans="4:12">
      <c r="D78" s="39">
        <v>46062</v>
      </c>
      <c r="E78" s="19">
        <v>1577468</v>
      </c>
      <c r="F78" s="19" t="s">
        <v>17</v>
      </c>
      <c r="G78" s="40">
        <v>20312603</v>
      </c>
      <c r="H78" s="19" t="s">
        <v>105</v>
      </c>
      <c r="I78" s="40">
        <v>1</v>
      </c>
      <c r="J78" s="40">
        <v>3</v>
      </c>
      <c r="K78" s="41">
        <v>16.5</v>
      </c>
      <c r="L78" s="41">
        <v>16.5</v>
      </c>
    </row>
    <row r="79" spans="4:12">
      <c r="D79" s="39">
        <v>46063</v>
      </c>
      <c r="E79" s="19">
        <v>1577843</v>
      </c>
      <c r="F79" s="19" t="s">
        <v>44</v>
      </c>
      <c r="G79" s="40">
        <v>20007296</v>
      </c>
      <c r="H79" s="19" t="s">
        <v>103</v>
      </c>
      <c r="I79" s="40">
        <v>2</v>
      </c>
      <c r="J79" s="40">
        <v>74</v>
      </c>
      <c r="K79" s="41">
        <v>203.5</v>
      </c>
      <c r="L79" s="41">
        <v>407</v>
      </c>
    </row>
    <row r="80" spans="4:12">
      <c r="D80" s="39">
        <v>46063</v>
      </c>
      <c r="E80" s="19">
        <v>1577843</v>
      </c>
      <c r="F80" s="19" t="s">
        <v>44</v>
      </c>
      <c r="G80" s="40">
        <v>20013323</v>
      </c>
      <c r="H80" s="19" t="s">
        <v>111</v>
      </c>
      <c r="I80" s="40">
        <v>1</v>
      </c>
      <c r="J80" s="40">
        <v>21</v>
      </c>
      <c r="K80" s="41">
        <v>115.5</v>
      </c>
      <c r="L80" s="41">
        <v>115.5</v>
      </c>
    </row>
    <row r="81" spans="4:12">
      <c r="D81" s="39">
        <v>46063</v>
      </c>
      <c r="E81" s="19">
        <v>1577843</v>
      </c>
      <c r="F81" s="19" t="s">
        <v>46</v>
      </c>
      <c r="G81" s="40">
        <v>20008605</v>
      </c>
      <c r="H81" s="19" t="s">
        <v>47</v>
      </c>
      <c r="I81" s="40">
        <v>1</v>
      </c>
      <c r="J81" s="40">
        <v>2</v>
      </c>
      <c r="K81" s="41">
        <v>16.5</v>
      </c>
      <c r="L81" s="41">
        <v>16.5</v>
      </c>
    </row>
    <row r="82" spans="4:12">
      <c r="D82" s="39">
        <v>46063</v>
      </c>
      <c r="E82" s="19">
        <v>1577843</v>
      </c>
      <c r="F82" s="19" t="s">
        <v>17</v>
      </c>
      <c r="G82" s="40">
        <v>20312603</v>
      </c>
      <c r="H82" s="19" t="s">
        <v>105</v>
      </c>
      <c r="I82" s="40">
        <v>3</v>
      </c>
      <c r="J82" s="40">
        <v>9</v>
      </c>
      <c r="K82" s="41">
        <v>16.5</v>
      </c>
      <c r="L82" s="41">
        <v>49.5</v>
      </c>
    </row>
    <row r="83" spans="4:12">
      <c r="D83" s="39">
        <v>46063</v>
      </c>
      <c r="E83" s="19">
        <v>1577843</v>
      </c>
      <c r="F83" s="19" t="s">
        <v>24</v>
      </c>
      <c r="G83" s="40">
        <v>20323870</v>
      </c>
      <c r="H83" s="19" t="s">
        <v>141</v>
      </c>
      <c r="I83" s="40">
        <v>1</v>
      </c>
      <c r="J83" s="40">
        <v>6</v>
      </c>
      <c r="K83" s="41">
        <v>33</v>
      </c>
      <c r="L83" s="41">
        <v>33</v>
      </c>
    </row>
    <row r="84" spans="4:12">
      <c r="D84" s="39">
        <v>46063</v>
      </c>
      <c r="E84" s="19">
        <v>1577843</v>
      </c>
      <c r="F84" s="19" t="s">
        <v>14</v>
      </c>
      <c r="G84" s="40">
        <v>20378341</v>
      </c>
      <c r="H84" s="19" t="s">
        <v>135</v>
      </c>
      <c r="I84" s="40">
        <v>10</v>
      </c>
      <c r="J84" s="40">
        <v>0</v>
      </c>
      <c r="K84" s="41">
        <v>4</v>
      </c>
      <c r="L84" s="41">
        <v>40</v>
      </c>
    </row>
    <row r="85" spans="4:12">
      <c r="D85" s="39">
        <v>46064</v>
      </c>
      <c r="E85" s="19">
        <v>1577905</v>
      </c>
      <c r="F85" s="19" t="s">
        <v>28</v>
      </c>
      <c r="G85" s="40">
        <v>20322021</v>
      </c>
      <c r="H85" s="19" t="s">
        <v>142</v>
      </c>
      <c r="I85" s="40">
        <v>1</v>
      </c>
      <c r="J85" s="40">
        <v>11</v>
      </c>
      <c r="K85" s="41">
        <v>187</v>
      </c>
      <c r="L85" s="41">
        <v>187</v>
      </c>
    </row>
    <row r="86" spans="4:12">
      <c r="D86" s="39">
        <v>46064</v>
      </c>
      <c r="E86" s="19">
        <v>1578092</v>
      </c>
      <c r="F86" s="19" t="s">
        <v>44</v>
      </c>
      <c r="G86" s="40">
        <v>20013323</v>
      </c>
      <c r="H86" s="19" t="s">
        <v>111</v>
      </c>
      <c r="I86" s="40">
        <v>2</v>
      </c>
      <c r="J86" s="40">
        <v>42</v>
      </c>
      <c r="K86" s="41">
        <v>115.5</v>
      </c>
      <c r="L86" s="41">
        <v>231</v>
      </c>
    </row>
    <row r="87" spans="4:12">
      <c r="D87" s="39">
        <v>46064</v>
      </c>
      <c r="E87" s="19">
        <v>1578092</v>
      </c>
      <c r="F87" s="19" t="s">
        <v>46</v>
      </c>
      <c r="G87" s="40">
        <v>20008605</v>
      </c>
      <c r="H87" s="19" t="s">
        <v>47</v>
      </c>
      <c r="I87" s="40">
        <v>2</v>
      </c>
      <c r="J87" s="40">
        <v>4</v>
      </c>
      <c r="K87" s="41">
        <v>16.5</v>
      </c>
      <c r="L87" s="41">
        <v>33</v>
      </c>
    </row>
    <row r="88" spans="4:12">
      <c r="D88" s="39">
        <v>46064</v>
      </c>
      <c r="E88" s="19">
        <v>1578092</v>
      </c>
      <c r="F88" s="19" t="s">
        <v>17</v>
      </c>
      <c r="G88" s="40">
        <v>20313189</v>
      </c>
      <c r="H88" s="19" t="s">
        <v>106</v>
      </c>
      <c r="I88" s="40">
        <v>1</v>
      </c>
      <c r="J88" s="40">
        <v>3</v>
      </c>
      <c r="K88" s="41">
        <v>16.5</v>
      </c>
      <c r="L88" s="41">
        <v>16.5</v>
      </c>
    </row>
    <row r="89" spans="4:12">
      <c r="D89" s="39">
        <v>46065</v>
      </c>
      <c r="E89" s="19">
        <v>1578480</v>
      </c>
      <c r="F89" s="19" t="s">
        <v>44</v>
      </c>
      <c r="G89" s="40">
        <v>20009113</v>
      </c>
      <c r="H89" s="19" t="s">
        <v>112</v>
      </c>
      <c r="I89" s="40">
        <v>1</v>
      </c>
      <c r="J89" s="40">
        <v>24</v>
      </c>
      <c r="K89" s="41">
        <v>132</v>
      </c>
      <c r="L89" s="41">
        <v>132</v>
      </c>
    </row>
    <row r="90" spans="4:12">
      <c r="D90" s="39">
        <v>46065</v>
      </c>
      <c r="E90" s="19">
        <v>1578480</v>
      </c>
      <c r="F90" s="19" t="s">
        <v>46</v>
      </c>
      <c r="G90" s="40">
        <v>20008605</v>
      </c>
      <c r="H90" s="19" t="s">
        <v>47</v>
      </c>
      <c r="I90" s="40">
        <v>1</v>
      </c>
      <c r="J90" s="40">
        <v>2</v>
      </c>
      <c r="K90" s="41">
        <v>16.5</v>
      </c>
      <c r="L90" s="41">
        <v>16.5</v>
      </c>
    </row>
    <row r="91" spans="4:12">
      <c r="D91" s="39">
        <v>46065</v>
      </c>
      <c r="E91" s="19">
        <v>1578480</v>
      </c>
      <c r="F91" s="19" t="s">
        <v>17</v>
      </c>
      <c r="G91" s="40">
        <v>20312603</v>
      </c>
      <c r="H91" s="19" t="s">
        <v>105</v>
      </c>
      <c r="I91" s="40">
        <v>1</v>
      </c>
      <c r="J91" s="40">
        <v>3</v>
      </c>
      <c r="K91" s="41">
        <v>16.5</v>
      </c>
      <c r="L91" s="41">
        <v>16.5</v>
      </c>
    </row>
    <row r="92" spans="4:12">
      <c r="D92" s="39">
        <v>46065</v>
      </c>
      <c r="E92" s="19">
        <v>1578480</v>
      </c>
      <c r="F92" s="19" t="s">
        <v>24</v>
      </c>
      <c r="G92" s="40">
        <v>20323870</v>
      </c>
      <c r="H92" s="19" t="s">
        <v>141</v>
      </c>
      <c r="I92" s="40">
        <v>1</v>
      </c>
      <c r="J92" s="40">
        <v>6</v>
      </c>
      <c r="K92" s="41">
        <v>33</v>
      </c>
      <c r="L92" s="41">
        <v>33</v>
      </c>
    </row>
    <row r="93" spans="4:12">
      <c r="D93" s="39">
        <v>46067</v>
      </c>
      <c r="E93" s="19">
        <v>1579005</v>
      </c>
      <c r="F93" s="19" t="s">
        <v>46</v>
      </c>
      <c r="G93" s="40">
        <v>20008605</v>
      </c>
      <c r="H93" s="19" t="s">
        <v>47</v>
      </c>
      <c r="I93" s="40">
        <v>1</v>
      </c>
      <c r="J93" s="40">
        <v>2</v>
      </c>
      <c r="K93" s="41">
        <v>16.5</v>
      </c>
      <c r="L93" s="41">
        <v>16.5</v>
      </c>
    </row>
    <row r="94" spans="4:12">
      <c r="D94" s="39">
        <v>46067</v>
      </c>
      <c r="E94" s="19">
        <v>1579005</v>
      </c>
      <c r="F94" s="19" t="s">
        <v>17</v>
      </c>
      <c r="G94" s="40">
        <v>20370442</v>
      </c>
      <c r="H94" s="19" t="s">
        <v>143</v>
      </c>
      <c r="I94" s="40">
        <v>1</v>
      </c>
      <c r="J94" s="40">
        <v>1</v>
      </c>
      <c r="K94" s="41">
        <v>8</v>
      </c>
      <c r="L94" s="41">
        <v>8</v>
      </c>
    </row>
    <row r="95" spans="4:12">
      <c r="D95" s="39">
        <v>46067</v>
      </c>
      <c r="E95" s="19">
        <v>1579005</v>
      </c>
      <c r="F95" s="19" t="s">
        <v>24</v>
      </c>
      <c r="G95" s="40">
        <v>20353037</v>
      </c>
      <c r="H95" s="19" t="s">
        <v>144</v>
      </c>
      <c r="I95" s="40">
        <v>1</v>
      </c>
      <c r="J95" s="40">
        <v>1</v>
      </c>
      <c r="K95" s="41">
        <v>16.5</v>
      </c>
      <c r="L95" s="41">
        <v>16.5</v>
      </c>
    </row>
    <row r="96" spans="4:12">
      <c r="D96" s="39">
        <v>46067</v>
      </c>
      <c r="E96" s="19">
        <v>1579046</v>
      </c>
      <c r="F96" s="19" t="s">
        <v>28</v>
      </c>
      <c r="G96" s="40">
        <v>20352760</v>
      </c>
      <c r="H96" s="19" t="s">
        <v>124</v>
      </c>
      <c r="I96" s="40">
        <v>1</v>
      </c>
      <c r="J96" s="40">
        <v>1</v>
      </c>
      <c r="K96" s="41">
        <v>35</v>
      </c>
      <c r="L96" s="41">
        <v>35</v>
      </c>
    </row>
    <row r="97" spans="4:12">
      <c r="D97" s="39">
        <v>46067</v>
      </c>
      <c r="E97" s="19">
        <v>1579046</v>
      </c>
      <c r="F97" s="19" t="s">
        <v>28</v>
      </c>
      <c r="G97" s="40">
        <v>20353770</v>
      </c>
      <c r="H97" s="19" t="s">
        <v>136</v>
      </c>
      <c r="I97" s="40">
        <v>1</v>
      </c>
      <c r="J97" s="40">
        <v>1</v>
      </c>
      <c r="K97" s="41">
        <v>28</v>
      </c>
      <c r="L97" s="41">
        <v>28</v>
      </c>
    </row>
    <row r="98" spans="4:12">
      <c r="D98" s="39">
        <v>46077</v>
      </c>
      <c r="E98" s="19">
        <v>1579740</v>
      </c>
      <c r="F98" s="19" t="s">
        <v>44</v>
      </c>
      <c r="G98" s="40">
        <v>20009011</v>
      </c>
      <c r="H98" s="19" t="s">
        <v>102</v>
      </c>
      <c r="I98" s="40">
        <v>1</v>
      </c>
      <c r="J98" s="40">
        <v>7</v>
      </c>
      <c r="K98" s="41">
        <v>38.5</v>
      </c>
      <c r="L98" s="41">
        <v>38.5</v>
      </c>
    </row>
    <row r="99" spans="4:12">
      <c r="D99" s="39">
        <v>46077</v>
      </c>
      <c r="E99" s="19">
        <v>1579740</v>
      </c>
      <c r="F99" s="19" t="s">
        <v>44</v>
      </c>
      <c r="G99" s="40">
        <v>20013323</v>
      </c>
      <c r="H99" s="19" t="s">
        <v>111</v>
      </c>
      <c r="I99" s="40">
        <v>1</v>
      </c>
      <c r="J99" s="40">
        <v>21</v>
      </c>
      <c r="K99" s="41">
        <v>115.5</v>
      </c>
      <c r="L99" s="41">
        <v>115.5</v>
      </c>
    </row>
    <row r="100" spans="4:12">
      <c r="D100" s="39">
        <v>46077</v>
      </c>
      <c r="E100" s="19">
        <v>1579740</v>
      </c>
      <c r="F100" s="19" t="s">
        <v>46</v>
      </c>
      <c r="G100" s="40">
        <v>20008605</v>
      </c>
      <c r="H100" s="19" t="s">
        <v>47</v>
      </c>
      <c r="I100" s="40">
        <v>2</v>
      </c>
      <c r="J100" s="40">
        <v>4</v>
      </c>
      <c r="K100" s="41">
        <v>16.5</v>
      </c>
      <c r="L100" s="41">
        <v>33</v>
      </c>
    </row>
    <row r="101" spans="4:12">
      <c r="D101" s="39">
        <v>46077</v>
      </c>
      <c r="E101" s="19">
        <v>1579740</v>
      </c>
      <c r="F101" s="19" t="s">
        <v>46</v>
      </c>
      <c r="G101" s="40">
        <v>20009149</v>
      </c>
      <c r="H101" s="19" t="s">
        <v>48</v>
      </c>
      <c r="I101" s="40">
        <v>1</v>
      </c>
      <c r="J101" s="40">
        <v>1</v>
      </c>
      <c r="K101" s="41">
        <v>16</v>
      </c>
      <c r="L101" s="41">
        <v>16</v>
      </c>
    </row>
    <row r="102" spans="4:12">
      <c r="D102" s="39">
        <v>46077</v>
      </c>
      <c r="E102" s="19">
        <v>1579740</v>
      </c>
      <c r="F102" s="19" t="s">
        <v>17</v>
      </c>
      <c r="G102" s="40">
        <v>20354179</v>
      </c>
      <c r="H102" s="19" t="s">
        <v>145</v>
      </c>
      <c r="I102" s="40">
        <v>1</v>
      </c>
      <c r="J102" s="40">
        <v>2</v>
      </c>
      <c r="K102" s="41">
        <v>16.5</v>
      </c>
      <c r="L102" s="41">
        <v>16.5</v>
      </c>
    </row>
    <row r="103" spans="4:12">
      <c r="D103" s="39">
        <v>46077</v>
      </c>
      <c r="E103" s="19">
        <v>1579740</v>
      </c>
      <c r="F103" s="19" t="s">
        <v>17</v>
      </c>
      <c r="G103" s="40">
        <v>20370439</v>
      </c>
      <c r="H103" s="19" t="s">
        <v>146</v>
      </c>
      <c r="I103" s="40">
        <v>1</v>
      </c>
      <c r="J103" s="40">
        <v>1</v>
      </c>
      <c r="K103" s="41">
        <v>8</v>
      </c>
      <c r="L103" s="41">
        <v>8</v>
      </c>
    </row>
    <row r="104" spans="4:12">
      <c r="D104" s="39">
        <v>46077</v>
      </c>
      <c r="E104" s="19">
        <v>1579740</v>
      </c>
      <c r="F104" s="19" t="s">
        <v>17</v>
      </c>
      <c r="G104" s="40">
        <v>20312603</v>
      </c>
      <c r="H104" s="19" t="s">
        <v>105</v>
      </c>
      <c r="I104" s="40">
        <v>2</v>
      </c>
      <c r="J104" s="40">
        <v>6</v>
      </c>
      <c r="K104" s="41">
        <v>16.5</v>
      </c>
      <c r="L104" s="41">
        <v>33</v>
      </c>
    </row>
    <row r="105" spans="4:12">
      <c r="D105" s="39">
        <v>46077</v>
      </c>
      <c r="E105" s="19">
        <v>1579740</v>
      </c>
      <c r="F105" s="19" t="s">
        <v>22</v>
      </c>
      <c r="G105" s="40">
        <v>20325185</v>
      </c>
      <c r="H105" s="19" t="s">
        <v>147</v>
      </c>
      <c r="I105" s="40">
        <v>1</v>
      </c>
      <c r="J105" s="40">
        <v>6</v>
      </c>
      <c r="K105" s="41">
        <v>33</v>
      </c>
      <c r="L105" s="41">
        <v>33</v>
      </c>
    </row>
    <row r="106" spans="4:12">
      <c r="D106" s="39">
        <v>46077</v>
      </c>
      <c r="E106" s="19">
        <v>1579740</v>
      </c>
      <c r="F106" s="19" t="s">
        <v>24</v>
      </c>
      <c r="G106" s="40">
        <v>20312532</v>
      </c>
      <c r="H106" s="19" t="s">
        <v>148</v>
      </c>
      <c r="I106" s="40">
        <v>1</v>
      </c>
      <c r="J106" s="40">
        <v>3</v>
      </c>
      <c r="K106" s="41">
        <v>16.5</v>
      </c>
      <c r="L106" s="41">
        <v>16.5</v>
      </c>
    </row>
    <row r="107" spans="4:12">
      <c r="D107" s="39">
        <v>46077</v>
      </c>
      <c r="E107" s="19">
        <v>1579740</v>
      </c>
      <c r="F107" s="19" t="s">
        <v>24</v>
      </c>
      <c r="G107" s="40">
        <v>20370441</v>
      </c>
      <c r="H107" s="19" t="s">
        <v>149</v>
      </c>
      <c r="I107" s="40">
        <v>1</v>
      </c>
      <c r="J107" s="40">
        <v>1</v>
      </c>
      <c r="K107" s="41">
        <v>16.5</v>
      </c>
      <c r="L107" s="41">
        <v>16.5</v>
      </c>
    </row>
    <row r="108" spans="4:12">
      <c r="D108" s="39">
        <v>46077</v>
      </c>
      <c r="E108" s="19">
        <v>1579740</v>
      </c>
      <c r="F108" s="19" t="s">
        <v>24</v>
      </c>
      <c r="G108" s="40">
        <v>20370440</v>
      </c>
      <c r="H108" s="19" t="s">
        <v>150</v>
      </c>
      <c r="I108" s="40">
        <v>1</v>
      </c>
      <c r="J108" s="40">
        <v>4</v>
      </c>
      <c r="K108" s="41">
        <v>22</v>
      </c>
      <c r="L108" s="41">
        <v>22</v>
      </c>
    </row>
    <row r="109" spans="4:12">
      <c r="D109" s="39">
        <v>46077</v>
      </c>
      <c r="E109" s="19">
        <v>1579740</v>
      </c>
      <c r="F109" s="19" t="s">
        <v>24</v>
      </c>
      <c r="G109" s="40">
        <v>20359894</v>
      </c>
      <c r="H109" s="19" t="s">
        <v>151</v>
      </c>
      <c r="I109" s="40">
        <v>1</v>
      </c>
      <c r="J109" s="40">
        <v>1</v>
      </c>
      <c r="K109" s="41">
        <v>16.5</v>
      </c>
      <c r="L109" s="41">
        <v>16.5</v>
      </c>
    </row>
    <row r="110" spans="4:12">
      <c r="D110" s="39">
        <v>46077</v>
      </c>
      <c r="E110" s="19">
        <v>1579817</v>
      </c>
      <c r="F110" s="19" t="s">
        <v>44</v>
      </c>
      <c r="G110" s="40">
        <v>20009011</v>
      </c>
      <c r="H110" s="19" t="s">
        <v>102</v>
      </c>
      <c r="I110" s="40">
        <v>1</v>
      </c>
      <c r="J110" s="40">
        <v>7</v>
      </c>
      <c r="K110" s="41">
        <v>38.5</v>
      </c>
      <c r="L110" s="41">
        <v>38.5</v>
      </c>
    </row>
    <row r="111" spans="4:12">
      <c r="D111" s="39">
        <v>46077</v>
      </c>
      <c r="E111" s="19">
        <v>1579817</v>
      </c>
      <c r="F111" s="19" t="s">
        <v>44</v>
      </c>
      <c r="G111" s="40">
        <v>20013323</v>
      </c>
      <c r="H111" s="19" t="s">
        <v>111</v>
      </c>
      <c r="I111" s="40">
        <v>1</v>
      </c>
      <c r="J111" s="40">
        <v>21</v>
      </c>
      <c r="K111" s="41">
        <v>115.5</v>
      </c>
      <c r="L111" s="41">
        <v>115.5</v>
      </c>
    </row>
    <row r="112" spans="4:12">
      <c r="D112" s="39">
        <v>46077</v>
      </c>
      <c r="E112" s="19">
        <v>1579817</v>
      </c>
      <c r="F112" s="19" t="s">
        <v>46</v>
      </c>
      <c r="G112" s="40">
        <v>20008605</v>
      </c>
      <c r="H112" s="19" t="s">
        <v>47</v>
      </c>
      <c r="I112" s="40">
        <v>2</v>
      </c>
      <c r="J112" s="40">
        <v>4</v>
      </c>
      <c r="K112" s="41">
        <v>16.5</v>
      </c>
      <c r="L112" s="41">
        <v>33</v>
      </c>
    </row>
    <row r="113" spans="4:12">
      <c r="D113" s="39">
        <v>46077</v>
      </c>
      <c r="E113" s="19">
        <v>1579817</v>
      </c>
      <c r="F113" s="19" t="s">
        <v>17</v>
      </c>
      <c r="G113" s="40">
        <v>20312603</v>
      </c>
      <c r="H113" s="19" t="s">
        <v>105</v>
      </c>
      <c r="I113" s="40">
        <v>2</v>
      </c>
      <c r="J113" s="40">
        <v>6</v>
      </c>
      <c r="K113" s="41">
        <v>16.5</v>
      </c>
      <c r="L113" s="41">
        <v>33</v>
      </c>
    </row>
    <row r="114" spans="4:12">
      <c r="D114" s="39">
        <v>46078</v>
      </c>
      <c r="E114" s="19">
        <v>1579877</v>
      </c>
      <c r="F114" s="19" t="s">
        <v>28</v>
      </c>
      <c r="G114" s="40">
        <v>20367990</v>
      </c>
      <c r="H114" s="19" t="s">
        <v>152</v>
      </c>
      <c r="I114" s="40">
        <v>1</v>
      </c>
      <c r="J114" s="40">
        <v>4</v>
      </c>
      <c r="K114" s="41">
        <v>88</v>
      </c>
      <c r="L114" s="41">
        <v>88</v>
      </c>
    </row>
    <row r="115" spans="4:12">
      <c r="D115" s="39">
        <v>46078</v>
      </c>
      <c r="E115" s="19">
        <v>1579877</v>
      </c>
      <c r="F115" s="19" t="s">
        <v>28</v>
      </c>
      <c r="G115" s="40">
        <v>20011049</v>
      </c>
      <c r="H115" s="19" t="s">
        <v>90</v>
      </c>
      <c r="I115" s="40">
        <v>2</v>
      </c>
      <c r="J115" s="40">
        <v>2</v>
      </c>
      <c r="K115" s="41">
        <v>22</v>
      </c>
      <c r="L115" s="41">
        <v>44</v>
      </c>
    </row>
    <row r="116" spans="4:12">
      <c r="D116" s="39">
        <v>46078</v>
      </c>
      <c r="E116" s="19">
        <v>1579877</v>
      </c>
      <c r="F116" s="19" t="s">
        <v>28</v>
      </c>
      <c r="G116" s="40">
        <v>20008719</v>
      </c>
      <c r="H116" s="19" t="s">
        <v>91</v>
      </c>
      <c r="I116" s="40">
        <v>1</v>
      </c>
      <c r="J116" s="40">
        <v>4</v>
      </c>
      <c r="K116" s="41">
        <v>88</v>
      </c>
      <c r="L116" s="41">
        <v>88</v>
      </c>
    </row>
    <row r="117" spans="4:12">
      <c r="D117" s="39">
        <v>46078</v>
      </c>
      <c r="E117" s="19">
        <v>1579877</v>
      </c>
      <c r="F117" s="19" t="s">
        <v>28</v>
      </c>
      <c r="G117" s="40">
        <v>20367991</v>
      </c>
      <c r="H117" s="19" t="s">
        <v>126</v>
      </c>
      <c r="I117" s="40">
        <v>2</v>
      </c>
      <c r="J117" s="40">
        <v>4</v>
      </c>
      <c r="K117" s="41">
        <v>44</v>
      </c>
      <c r="L117" s="41">
        <v>88</v>
      </c>
    </row>
    <row r="118" spans="4:12">
      <c r="D118" s="39">
        <v>46078</v>
      </c>
      <c r="E118" s="19">
        <v>1579877</v>
      </c>
      <c r="F118" s="19" t="s">
        <v>28</v>
      </c>
      <c r="G118" s="40">
        <v>20009390</v>
      </c>
      <c r="H118" s="19" t="s">
        <v>140</v>
      </c>
      <c r="I118" s="40">
        <v>1</v>
      </c>
      <c r="J118" s="40">
        <v>1</v>
      </c>
      <c r="K118" s="41">
        <v>28</v>
      </c>
      <c r="L118" s="41">
        <v>28</v>
      </c>
    </row>
    <row r="119" spans="4:12">
      <c r="D119" s="39">
        <v>46078</v>
      </c>
      <c r="E119" s="19">
        <v>1579877</v>
      </c>
      <c r="F119" s="19" t="s">
        <v>28</v>
      </c>
      <c r="G119" s="40">
        <v>20007525</v>
      </c>
      <c r="H119" s="19" t="s">
        <v>86</v>
      </c>
      <c r="I119" s="40">
        <v>1</v>
      </c>
      <c r="J119" s="40">
        <v>1</v>
      </c>
      <c r="K119" s="41">
        <v>35</v>
      </c>
      <c r="L119" s="41">
        <v>35</v>
      </c>
    </row>
    <row r="120" spans="4:12">
      <c r="D120" s="39">
        <v>46078</v>
      </c>
      <c r="E120" s="19">
        <v>1580103</v>
      </c>
      <c r="F120" s="19" t="s">
        <v>44</v>
      </c>
      <c r="G120" s="40">
        <v>20007296</v>
      </c>
      <c r="H120" s="19" t="s">
        <v>103</v>
      </c>
      <c r="I120" s="40">
        <v>1</v>
      </c>
      <c r="J120" s="40">
        <v>37</v>
      </c>
      <c r="K120" s="41">
        <v>203.5</v>
      </c>
      <c r="L120" s="41">
        <v>203.5</v>
      </c>
    </row>
    <row r="121" spans="4:12">
      <c r="D121" s="39">
        <v>46078</v>
      </c>
      <c r="E121" s="19">
        <v>1580103</v>
      </c>
      <c r="F121" s="19" t="s">
        <v>44</v>
      </c>
      <c r="G121" s="40">
        <v>20300285</v>
      </c>
      <c r="H121" s="19" t="s">
        <v>104</v>
      </c>
      <c r="I121" s="40">
        <v>1</v>
      </c>
      <c r="J121" s="40">
        <v>14</v>
      </c>
      <c r="K121" s="41">
        <v>77</v>
      </c>
      <c r="L121" s="41">
        <v>77</v>
      </c>
    </row>
    <row r="122" spans="4:12">
      <c r="D122" s="39">
        <v>46078</v>
      </c>
      <c r="E122" s="19">
        <v>1580103</v>
      </c>
      <c r="F122" s="19" t="s">
        <v>46</v>
      </c>
      <c r="G122" s="40">
        <v>20008605</v>
      </c>
      <c r="H122" s="19" t="s">
        <v>47</v>
      </c>
      <c r="I122" s="40">
        <v>2</v>
      </c>
      <c r="J122" s="40">
        <v>4</v>
      </c>
      <c r="K122" s="41">
        <v>16.5</v>
      </c>
      <c r="L122" s="41">
        <v>33</v>
      </c>
    </row>
    <row r="123" spans="4:12">
      <c r="D123" s="39">
        <v>46078</v>
      </c>
      <c r="E123" s="19">
        <v>1580103</v>
      </c>
      <c r="F123" s="19" t="s">
        <v>17</v>
      </c>
      <c r="G123" s="40">
        <v>20312603</v>
      </c>
      <c r="H123" s="19" t="s">
        <v>105</v>
      </c>
      <c r="I123" s="40">
        <v>1</v>
      </c>
      <c r="J123" s="40">
        <v>3</v>
      </c>
      <c r="K123" s="41">
        <v>16.5</v>
      </c>
      <c r="L123" s="41">
        <v>16.5</v>
      </c>
    </row>
    <row r="124" spans="4:12">
      <c r="D124" s="39">
        <v>46078</v>
      </c>
      <c r="E124" s="19">
        <v>1580103</v>
      </c>
      <c r="F124" s="19" t="s">
        <v>14</v>
      </c>
      <c r="G124" s="40">
        <v>20378341</v>
      </c>
      <c r="H124" s="19" t="s">
        <v>135</v>
      </c>
      <c r="I124" s="40">
        <v>8</v>
      </c>
      <c r="J124" s="40">
        <v>0</v>
      </c>
      <c r="K124" s="41">
        <v>4</v>
      </c>
      <c r="L124" s="41">
        <v>32</v>
      </c>
    </row>
    <row r="125" spans="4:12">
      <c r="D125" s="39">
        <v>46079</v>
      </c>
      <c r="E125" s="19">
        <v>1580220</v>
      </c>
      <c r="F125" s="19" t="s">
        <v>28</v>
      </c>
      <c r="G125" s="40">
        <v>20367991</v>
      </c>
      <c r="H125" s="19" t="s">
        <v>126</v>
      </c>
      <c r="I125" s="40">
        <v>1</v>
      </c>
      <c r="J125" s="40">
        <v>2</v>
      </c>
      <c r="K125" s="41">
        <v>44</v>
      </c>
      <c r="L125" s="41">
        <v>44</v>
      </c>
    </row>
    <row r="126" spans="4:12">
      <c r="D126" s="39">
        <v>46079</v>
      </c>
      <c r="E126" s="19">
        <v>1580403</v>
      </c>
      <c r="F126" s="19" t="s">
        <v>44</v>
      </c>
      <c r="G126" s="40">
        <v>20008786</v>
      </c>
      <c r="H126" s="19" t="s">
        <v>153</v>
      </c>
      <c r="I126" s="40">
        <v>1</v>
      </c>
      <c r="J126" s="40">
        <v>33</v>
      </c>
      <c r="K126" s="41">
        <v>181.5</v>
      </c>
      <c r="L126" s="41">
        <v>181.5</v>
      </c>
    </row>
    <row r="127" spans="4:12">
      <c r="D127" s="39">
        <v>46079</v>
      </c>
      <c r="E127" s="19">
        <v>1580403</v>
      </c>
      <c r="F127" s="19" t="s">
        <v>46</v>
      </c>
      <c r="G127" s="40">
        <v>20008605</v>
      </c>
      <c r="H127" s="19" t="s">
        <v>47</v>
      </c>
      <c r="I127" s="40">
        <v>1</v>
      </c>
      <c r="J127" s="40">
        <v>2</v>
      </c>
      <c r="K127" s="41">
        <v>16.5</v>
      </c>
      <c r="L127" s="41">
        <v>16.5</v>
      </c>
    </row>
    <row r="128" spans="4:12">
      <c r="D128" s="39">
        <v>46079</v>
      </c>
      <c r="E128" s="19">
        <v>1580403</v>
      </c>
      <c r="F128" s="19" t="s">
        <v>17</v>
      </c>
      <c r="G128" s="40">
        <v>20007323</v>
      </c>
      <c r="H128" s="19" t="s">
        <v>154</v>
      </c>
      <c r="I128" s="40">
        <v>1</v>
      </c>
      <c r="J128" s="40">
        <v>2</v>
      </c>
      <c r="K128" s="41">
        <v>13.5</v>
      </c>
      <c r="L128" s="41">
        <v>13.5</v>
      </c>
    </row>
    <row r="129" spans="4:12">
      <c r="D129" s="39">
        <v>46079</v>
      </c>
      <c r="E129" s="19">
        <v>1580403</v>
      </c>
      <c r="F129" s="19" t="s">
        <v>24</v>
      </c>
      <c r="G129" s="40">
        <v>20008311</v>
      </c>
      <c r="H129" s="19" t="s">
        <v>155</v>
      </c>
      <c r="I129" s="40">
        <v>1</v>
      </c>
      <c r="J129" s="40">
        <v>10</v>
      </c>
      <c r="K129" s="41">
        <v>55</v>
      </c>
      <c r="L129" s="41">
        <v>55</v>
      </c>
    </row>
    <row r="130" spans="4:12">
      <c r="D130" s="39">
        <v>46079</v>
      </c>
      <c r="E130" s="19">
        <v>1580403</v>
      </c>
      <c r="F130" s="19" t="s">
        <v>24</v>
      </c>
      <c r="G130" s="40">
        <v>20370443</v>
      </c>
      <c r="H130" s="19" t="s">
        <v>156</v>
      </c>
      <c r="I130" s="40">
        <v>1</v>
      </c>
      <c r="J130" s="40">
        <v>2</v>
      </c>
      <c r="K130" s="41">
        <v>16.5</v>
      </c>
      <c r="L130" s="41">
        <v>16.5</v>
      </c>
    </row>
    <row r="131" spans="4:12">
      <c r="D131" s="39">
        <v>46079</v>
      </c>
      <c r="E131" s="19">
        <v>1580483</v>
      </c>
      <c r="F131" s="19" t="s">
        <v>44</v>
      </c>
      <c r="G131" s="40">
        <v>20007348</v>
      </c>
      <c r="H131" s="19" t="s">
        <v>110</v>
      </c>
      <c r="I131" s="40">
        <v>1</v>
      </c>
      <c r="J131" s="40">
        <v>27</v>
      </c>
      <c r="K131" s="41">
        <v>148.5</v>
      </c>
      <c r="L131" s="41">
        <v>148.5</v>
      </c>
    </row>
    <row r="132" spans="4:12">
      <c r="D132" s="39">
        <v>46079</v>
      </c>
      <c r="E132" s="19">
        <v>1580483</v>
      </c>
      <c r="F132" s="19" t="s">
        <v>44</v>
      </c>
      <c r="G132" s="40">
        <v>20007296</v>
      </c>
      <c r="H132" s="19" t="s">
        <v>103</v>
      </c>
      <c r="I132" s="40">
        <v>1</v>
      </c>
      <c r="J132" s="40">
        <v>37</v>
      </c>
      <c r="K132" s="41">
        <v>203.5</v>
      </c>
      <c r="L132" s="41">
        <v>203.5</v>
      </c>
    </row>
    <row r="133" spans="4:12">
      <c r="D133" s="39">
        <v>46079</v>
      </c>
      <c r="E133" s="19">
        <v>1580483</v>
      </c>
      <c r="F133" s="19" t="s">
        <v>44</v>
      </c>
      <c r="G133" s="40">
        <v>20013323</v>
      </c>
      <c r="H133" s="19" t="s">
        <v>111</v>
      </c>
      <c r="I133" s="40">
        <v>2</v>
      </c>
      <c r="J133" s="40">
        <v>42</v>
      </c>
      <c r="K133" s="41">
        <v>115.5</v>
      </c>
      <c r="L133" s="41">
        <v>231</v>
      </c>
    </row>
    <row r="134" spans="4:12">
      <c r="D134" s="39">
        <v>46079</v>
      </c>
      <c r="E134" s="19">
        <v>1580483</v>
      </c>
      <c r="F134" s="19" t="s">
        <v>24</v>
      </c>
      <c r="G134" s="40">
        <v>20320389</v>
      </c>
      <c r="H134" s="19" t="s">
        <v>107</v>
      </c>
      <c r="I134" s="40">
        <v>1</v>
      </c>
      <c r="J134" s="40">
        <v>3</v>
      </c>
      <c r="K134" s="41">
        <v>16.5</v>
      </c>
      <c r="L134" s="41">
        <v>16.5</v>
      </c>
    </row>
    <row r="135" spans="4:12">
      <c r="D135" s="39">
        <v>46079</v>
      </c>
      <c r="E135" s="19">
        <v>1580483</v>
      </c>
      <c r="F135" s="19" t="s">
        <v>24</v>
      </c>
      <c r="G135" s="40">
        <v>20312602</v>
      </c>
      <c r="H135" s="19" t="s">
        <v>113</v>
      </c>
      <c r="I135" s="40">
        <v>1</v>
      </c>
      <c r="J135" s="40">
        <v>4</v>
      </c>
      <c r="K135" s="41">
        <v>22</v>
      </c>
      <c r="L135" s="41">
        <v>22</v>
      </c>
    </row>
    <row r="136" spans="4:12">
      <c r="D136" s="39">
        <v>46080</v>
      </c>
      <c r="E136" s="19">
        <v>1580560</v>
      </c>
      <c r="F136" s="19" t="s">
        <v>46</v>
      </c>
      <c r="G136" s="40">
        <v>20008605</v>
      </c>
      <c r="H136" s="19" t="s">
        <v>47</v>
      </c>
      <c r="I136" s="40">
        <v>4</v>
      </c>
      <c r="J136" s="40">
        <v>8</v>
      </c>
      <c r="K136" s="41">
        <v>16.5</v>
      </c>
      <c r="L136" s="41">
        <v>66</v>
      </c>
    </row>
    <row r="137" spans="4:12">
      <c r="D137" s="39">
        <v>46080</v>
      </c>
      <c r="E137" s="19">
        <v>1580560</v>
      </c>
      <c r="F137" s="19" t="s">
        <v>17</v>
      </c>
      <c r="G137" s="40">
        <v>20312603</v>
      </c>
      <c r="H137" s="19" t="s">
        <v>105</v>
      </c>
      <c r="I137" s="40">
        <v>3</v>
      </c>
      <c r="J137" s="40">
        <v>9</v>
      </c>
      <c r="K137" s="41">
        <v>16.5</v>
      </c>
      <c r="L137" s="41">
        <v>49.5</v>
      </c>
    </row>
    <row r="138" spans="4:12">
      <c r="D138" s="39">
        <v>46080</v>
      </c>
      <c r="E138" s="19">
        <v>1580579</v>
      </c>
      <c r="F138" s="19" t="s">
        <v>28</v>
      </c>
      <c r="G138" s="40">
        <v>20014717</v>
      </c>
      <c r="H138" s="19" t="s">
        <v>116</v>
      </c>
      <c r="I138" s="40">
        <v>1</v>
      </c>
      <c r="J138" s="40">
        <v>1</v>
      </c>
      <c r="K138" s="41">
        <v>35</v>
      </c>
      <c r="L138" s="41">
        <v>35</v>
      </c>
    </row>
    <row r="139" spans="4:12">
      <c r="D139" s="39">
        <v>46080</v>
      </c>
      <c r="E139" s="19">
        <v>1580579</v>
      </c>
      <c r="F139" s="19" t="s">
        <v>28</v>
      </c>
      <c r="G139" s="40">
        <v>20007432</v>
      </c>
      <c r="H139" s="19" t="s">
        <v>157</v>
      </c>
      <c r="I139" s="40">
        <v>2</v>
      </c>
      <c r="J139" s="40">
        <v>2</v>
      </c>
      <c r="K139" s="41">
        <v>28</v>
      </c>
      <c r="L139" s="41">
        <v>56</v>
      </c>
    </row>
    <row r="140" spans="4:12">
      <c r="D140" s="39">
        <v>46080</v>
      </c>
      <c r="E140" s="19">
        <v>1580579</v>
      </c>
      <c r="F140" s="19" t="s">
        <v>28</v>
      </c>
      <c r="G140" s="40">
        <v>20007701</v>
      </c>
      <c r="H140" s="19" t="s">
        <v>123</v>
      </c>
      <c r="I140" s="40">
        <v>1</v>
      </c>
      <c r="J140" s="40">
        <v>1</v>
      </c>
      <c r="K140" s="41">
        <v>28</v>
      </c>
      <c r="L140" s="41">
        <v>28</v>
      </c>
    </row>
    <row r="141" spans="4:12">
      <c r="D141" s="39">
        <v>46080</v>
      </c>
      <c r="E141" s="19">
        <v>1580579</v>
      </c>
      <c r="F141" s="19" t="s">
        <v>28</v>
      </c>
      <c r="G141" s="40">
        <v>20010183</v>
      </c>
      <c r="H141" s="19" t="s">
        <v>125</v>
      </c>
      <c r="I141" s="40">
        <v>1</v>
      </c>
      <c r="J141" s="40">
        <v>1</v>
      </c>
      <c r="K141" s="41">
        <v>28</v>
      </c>
      <c r="L141" s="41">
        <v>28</v>
      </c>
    </row>
    <row r="142" spans="4:12">
      <c r="D142" s="39">
        <v>46080</v>
      </c>
      <c r="E142" s="19">
        <v>1580579</v>
      </c>
      <c r="F142" s="19" t="s">
        <v>28</v>
      </c>
      <c r="G142" s="40">
        <v>20010888</v>
      </c>
      <c r="H142" s="19" t="s">
        <v>127</v>
      </c>
      <c r="I142" s="40">
        <v>1</v>
      </c>
      <c r="J142" s="40">
        <v>1</v>
      </c>
      <c r="K142" s="41">
        <v>35</v>
      </c>
      <c r="L142" s="41">
        <v>35</v>
      </c>
    </row>
    <row r="143" spans="4:12">
      <c r="D143" s="39">
        <v>46080</v>
      </c>
      <c r="E143" s="19">
        <v>1580579</v>
      </c>
      <c r="F143" s="19" t="s">
        <v>28</v>
      </c>
      <c r="G143" s="40">
        <v>20007465</v>
      </c>
      <c r="H143" s="19" t="s">
        <v>29</v>
      </c>
      <c r="I143" s="40">
        <v>2</v>
      </c>
      <c r="J143" s="40">
        <v>2</v>
      </c>
      <c r="K143" s="41">
        <v>35</v>
      </c>
      <c r="L143" s="41">
        <v>70</v>
      </c>
    </row>
    <row r="144" spans="4:12">
      <c r="D144" s="39">
        <v>46080</v>
      </c>
      <c r="E144" s="19">
        <v>1580579</v>
      </c>
      <c r="F144" s="19" t="s">
        <v>28</v>
      </c>
      <c r="G144" s="40">
        <v>20007427</v>
      </c>
      <c r="H144" s="19" t="s">
        <v>131</v>
      </c>
      <c r="I144" s="40">
        <v>1</v>
      </c>
      <c r="J144" s="40">
        <v>1</v>
      </c>
      <c r="K144" s="41">
        <v>28</v>
      </c>
      <c r="L144" s="41">
        <v>28</v>
      </c>
    </row>
    <row r="145" spans="4:12">
      <c r="D145" s="39">
        <v>46080</v>
      </c>
      <c r="E145" s="19">
        <v>1580579</v>
      </c>
      <c r="F145" s="19" t="s">
        <v>28</v>
      </c>
      <c r="G145" s="40">
        <v>20007494</v>
      </c>
      <c r="H145" s="19" t="s">
        <v>132</v>
      </c>
      <c r="I145" s="40">
        <v>1</v>
      </c>
      <c r="J145" s="40">
        <v>1</v>
      </c>
      <c r="K145" s="41">
        <v>25</v>
      </c>
      <c r="L145" s="41">
        <v>25</v>
      </c>
    </row>
    <row r="146" spans="4:12">
      <c r="D146" s="39">
        <v>46080</v>
      </c>
      <c r="E146" s="19">
        <v>1580579</v>
      </c>
      <c r="F146" s="19" t="s">
        <v>28</v>
      </c>
      <c r="G146" s="40">
        <v>20007703</v>
      </c>
      <c r="H146" s="19" t="s">
        <v>158</v>
      </c>
      <c r="I146" s="40">
        <v>1</v>
      </c>
      <c r="J146" s="40">
        <v>1</v>
      </c>
      <c r="K146" s="41">
        <v>28</v>
      </c>
      <c r="L146" s="41">
        <v>28</v>
      </c>
    </row>
    <row r="147" spans="4:12">
      <c r="D147" s="39">
        <v>46081</v>
      </c>
      <c r="E147" s="19">
        <v>1580884</v>
      </c>
      <c r="F147" s="19" t="s">
        <v>44</v>
      </c>
      <c r="G147" s="40">
        <v>20013323</v>
      </c>
      <c r="H147" s="19" t="s">
        <v>111</v>
      </c>
      <c r="I147" s="40">
        <v>1</v>
      </c>
      <c r="J147" s="40">
        <v>21</v>
      </c>
      <c r="K147" s="41">
        <v>115.5</v>
      </c>
      <c r="L147" s="41">
        <v>115.5</v>
      </c>
    </row>
    <row r="148" spans="4:12">
      <c r="D148" s="39">
        <v>46081</v>
      </c>
      <c r="E148" s="19">
        <v>1580884</v>
      </c>
      <c r="F148" s="19" t="s">
        <v>46</v>
      </c>
      <c r="G148" s="40">
        <v>20008605</v>
      </c>
      <c r="H148" s="19" t="s">
        <v>47</v>
      </c>
      <c r="I148" s="40">
        <v>1</v>
      </c>
      <c r="J148" s="40">
        <v>2</v>
      </c>
      <c r="K148" s="41">
        <v>16.5</v>
      </c>
      <c r="L148" s="41">
        <v>16.5</v>
      </c>
    </row>
    <row r="149" spans="4:12">
      <c r="D149" s="39">
        <v>46081</v>
      </c>
      <c r="E149" s="19">
        <v>1580884</v>
      </c>
      <c r="F149" s="19" t="s">
        <v>17</v>
      </c>
      <c r="G149" s="40">
        <v>20312603</v>
      </c>
      <c r="H149" s="19" t="s">
        <v>105</v>
      </c>
      <c r="I149" s="40">
        <v>3</v>
      </c>
      <c r="J149" s="40">
        <v>9</v>
      </c>
      <c r="K149" s="41">
        <v>16.5</v>
      </c>
      <c r="L149" s="41">
        <v>49.5</v>
      </c>
    </row>
    <row r="150" spans="4:12">
      <c r="D150" s="39">
        <v>46081</v>
      </c>
      <c r="E150" s="19">
        <v>1580884</v>
      </c>
      <c r="F150" s="19" t="s">
        <v>22</v>
      </c>
      <c r="G150" s="40">
        <v>20325185</v>
      </c>
      <c r="H150" s="19" t="s">
        <v>147</v>
      </c>
      <c r="I150" s="40">
        <v>1</v>
      </c>
      <c r="J150" s="40">
        <v>6</v>
      </c>
      <c r="K150" s="41">
        <v>33</v>
      </c>
      <c r="L150" s="41">
        <v>33</v>
      </c>
    </row>
    <row r="151" spans="4:12">
      <c r="D151" s="39">
        <v>46081</v>
      </c>
      <c r="E151" s="19">
        <v>1581200</v>
      </c>
      <c r="F151" s="19" t="s">
        <v>14</v>
      </c>
      <c r="G151" s="40">
        <v>20013908</v>
      </c>
      <c r="H151" s="19" t="s">
        <v>159</v>
      </c>
      <c r="I151" s="40">
        <v>4</v>
      </c>
      <c r="J151" s="40">
        <v>0</v>
      </c>
      <c r="K151" s="41">
        <v>2.5</v>
      </c>
      <c r="L151" s="41">
        <v>10</v>
      </c>
    </row>
  </sheetData>
  <mergeCells count="5">
    <mergeCell ref="D8:H8"/>
    <mergeCell ref="C7:C151"/>
    <mergeCell ref="B4:H5"/>
    <mergeCell ref="A7:B151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8.625" customWidth="1"/>
    <col min="11" max="11" width="11.25" customWidth="1"/>
    <col min="12" max="12" width="12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160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2</v>
      </c>
      <c r="J8" s="37"/>
      <c r="K8" s="38"/>
      <c r="L8" s="38">
        <v>16</v>
      </c>
    </row>
    <row r="9" spans="1:12">
      <c r="D9" s="39">
        <v>46081</v>
      </c>
      <c r="E9" s="19">
        <v>1580885</v>
      </c>
      <c r="F9" s="19" t="s">
        <v>17</v>
      </c>
      <c r="G9" s="40">
        <v>20010965</v>
      </c>
      <c r="H9" s="19" t="s">
        <v>72</v>
      </c>
      <c r="I9" s="40">
        <v>1</v>
      </c>
      <c r="J9" s="40">
        <v>1</v>
      </c>
      <c r="K9" s="41">
        <v>8</v>
      </c>
      <c r="L9" s="41">
        <v>8</v>
      </c>
    </row>
    <row r="10" spans="1:12">
      <c r="D10" s="39">
        <v>46081</v>
      </c>
      <c r="E10" s="19">
        <v>1580885</v>
      </c>
      <c r="F10" s="19" t="s">
        <v>17</v>
      </c>
      <c r="G10" s="40">
        <v>20352876</v>
      </c>
      <c r="H10" s="19" t="s">
        <v>100</v>
      </c>
      <c r="I10" s="40">
        <v>1</v>
      </c>
      <c r="J10" s="40">
        <v>1</v>
      </c>
      <c r="K10" s="41">
        <v>8</v>
      </c>
      <c r="L10" s="41">
        <v>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15:18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view="pageBreakPreview" zoomScaleNormal="100" workbookViewId="0">
      <selection activeCell="D37" sqref="D37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9.875" customWidth="1"/>
    <col min="5" max="5" width="9.8" customWidth="1"/>
    <col min="6" max="6" width="9.4" customWidth="1"/>
    <col min="7" max="7" width="14.125" customWidth="1"/>
    <col min="8" max="8" width="9.75" customWidth="1"/>
    <col min="9" max="9" width="29.875" customWidth="1"/>
    <col min="10" max="10" width="9.125" customWidth="1"/>
    <col min="11" max="11" width="10.625" customWidth="1"/>
    <col min="12" max="13" width="8.20833333333333" customWidth="1"/>
    <col min="14" max="14" width="0.025" customWidth="1"/>
  </cols>
  <sheetData>
    <row r="1" customFormat="1" spans="1:13">
      <c r="B1" s="1" t="s">
        <v>161</v>
      </c>
    </row>
    <row r="2" ht="23.05" customHeight="1"/>
    <row r="3" ht="2" customHeight="1"/>
    <row r="4" customFormat="1" ht="15.2" customHeight="1" spans="1:13">
      <c r="B4" s="2" t="s">
        <v>162</v>
      </c>
    </row>
    <row r="6" ht="2.05" customHeight="1"/>
    <row r="7" customFormat="1" ht="1.9" customHeight="1" spans="1:1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customFormat="1" spans="1:13">
      <c r="A8" s="8" t="s">
        <v>2</v>
      </c>
      <c r="C8" s="8" t="s">
        <v>2</v>
      </c>
      <c r="D8" s="8" t="s">
        <v>4</v>
      </c>
      <c r="E8" s="8" t="s">
        <v>5</v>
      </c>
      <c r="F8" s="8" t="s">
        <v>163</v>
      </c>
      <c r="G8" s="8" t="s">
        <v>6</v>
      </c>
      <c r="H8" s="8" t="s">
        <v>164</v>
      </c>
      <c r="I8" s="8" t="s">
        <v>8</v>
      </c>
      <c r="J8" s="21" t="s">
        <v>165</v>
      </c>
      <c r="K8" s="21" t="s">
        <v>166</v>
      </c>
      <c r="L8" s="21" t="s">
        <v>11</v>
      </c>
      <c r="M8" s="21" t="s">
        <v>167</v>
      </c>
    </row>
    <row r="9" customFormat="1" ht="15" spans="1:13">
      <c r="A9" s="22" t="s">
        <v>2</v>
      </c>
      <c r="B9" s="5" t="s">
        <v>2</v>
      </c>
      <c r="C9" s="22" t="s">
        <v>2</v>
      </c>
      <c r="D9" s="22" t="s">
        <v>168</v>
      </c>
      <c r="E9" s="5" t="s">
        <v>2</v>
      </c>
      <c r="F9" s="5" t="s">
        <v>2</v>
      </c>
      <c r="G9" s="5" t="s">
        <v>2</v>
      </c>
      <c r="H9" s="5" t="s">
        <v>2</v>
      </c>
      <c r="I9" s="22" t="s">
        <v>2</v>
      </c>
      <c r="J9" s="23">
        <v>7</v>
      </c>
      <c r="K9" s="24">
        <v>213</v>
      </c>
      <c r="L9" s="22" t="s">
        <v>2</v>
      </c>
      <c r="M9" s="25">
        <v>772</v>
      </c>
    </row>
    <row r="10" customFormat="1" ht="14.25" spans="1:13">
      <c r="A10" s="8" t="s">
        <v>2</v>
      </c>
      <c r="C10" s="10" t="s">
        <v>2</v>
      </c>
      <c r="D10" s="10" t="s">
        <v>169</v>
      </c>
      <c r="E10" s="5" t="s">
        <v>2</v>
      </c>
      <c r="F10" s="5" t="s">
        <v>2</v>
      </c>
      <c r="G10" s="5" t="s">
        <v>2</v>
      </c>
      <c r="H10" s="5" t="s">
        <v>2</v>
      </c>
      <c r="I10" s="10" t="s">
        <v>2</v>
      </c>
      <c r="J10" s="26">
        <v>7</v>
      </c>
      <c r="K10" s="27">
        <v>213</v>
      </c>
      <c r="L10" s="10" t="s">
        <v>2</v>
      </c>
      <c r="M10" s="28">
        <v>772</v>
      </c>
    </row>
    <row r="11" customFormat="1" ht="24.75" spans="1:13">
      <c r="C11" s="8" t="s">
        <v>2</v>
      </c>
      <c r="D11" s="29">
        <v>46077</v>
      </c>
      <c r="E11" s="15">
        <v>1579754</v>
      </c>
      <c r="F11" s="15" t="s">
        <v>170</v>
      </c>
      <c r="G11" s="19" t="s">
        <v>171</v>
      </c>
      <c r="H11" s="15">
        <v>20413282</v>
      </c>
      <c r="I11" s="19" t="s">
        <v>172</v>
      </c>
      <c r="J11" s="30">
        <v>1</v>
      </c>
      <c r="K11" s="31">
        <v>4</v>
      </c>
      <c r="L11" s="32">
        <v>22</v>
      </c>
      <c r="M11" s="32">
        <v>22</v>
      </c>
    </row>
    <row r="12" customFormat="1" ht="24.75" spans="1:13">
      <c r="D12" s="29">
        <v>46077</v>
      </c>
      <c r="E12" s="15">
        <v>1579754</v>
      </c>
      <c r="F12" s="15" t="s">
        <v>170</v>
      </c>
      <c r="G12" s="19" t="s">
        <v>171</v>
      </c>
      <c r="H12" s="15">
        <v>20413283</v>
      </c>
      <c r="I12" s="19" t="s">
        <v>173</v>
      </c>
      <c r="J12" s="30">
        <v>1</v>
      </c>
      <c r="K12" s="31">
        <v>3</v>
      </c>
      <c r="L12" s="32">
        <v>16.5</v>
      </c>
      <c r="M12" s="32">
        <v>16.5</v>
      </c>
    </row>
    <row r="13" customFormat="1" ht="24.75" spans="1:13">
      <c r="D13" s="29">
        <v>46077</v>
      </c>
      <c r="E13" s="15">
        <v>1579823</v>
      </c>
      <c r="F13" s="15" t="s">
        <v>170</v>
      </c>
      <c r="G13" s="19" t="s">
        <v>174</v>
      </c>
      <c r="H13" s="15">
        <v>20413284</v>
      </c>
      <c r="I13" s="19" t="s">
        <v>175</v>
      </c>
      <c r="J13" s="30">
        <v>1</v>
      </c>
      <c r="K13" s="31">
        <v>109</v>
      </c>
      <c r="L13" s="32">
        <v>200</v>
      </c>
      <c r="M13" s="32">
        <v>200</v>
      </c>
    </row>
    <row r="14" customFormat="1" ht="24.75" spans="1:13">
      <c r="D14" s="29">
        <v>46077</v>
      </c>
      <c r="E14" s="15">
        <v>1579823</v>
      </c>
      <c r="F14" s="15" t="s">
        <v>170</v>
      </c>
      <c r="G14" s="19" t="s">
        <v>174</v>
      </c>
      <c r="H14" s="15">
        <v>20413285</v>
      </c>
      <c r="I14" s="19" t="s">
        <v>176</v>
      </c>
      <c r="J14" s="30">
        <v>1</v>
      </c>
      <c r="K14" s="31">
        <v>32</v>
      </c>
      <c r="L14" s="32">
        <v>176</v>
      </c>
      <c r="M14" s="32">
        <v>176</v>
      </c>
    </row>
    <row r="15" customFormat="1" ht="24.75" spans="1:13">
      <c r="D15" s="29">
        <v>46077</v>
      </c>
      <c r="E15" s="15">
        <v>1579823</v>
      </c>
      <c r="F15" s="15" t="s">
        <v>170</v>
      </c>
      <c r="G15" s="19" t="s">
        <v>171</v>
      </c>
      <c r="H15" s="15">
        <v>20413286</v>
      </c>
      <c r="I15" s="19" t="s">
        <v>177</v>
      </c>
      <c r="J15" s="30">
        <v>1</v>
      </c>
      <c r="K15" s="31">
        <v>17</v>
      </c>
      <c r="L15" s="32">
        <v>93.5</v>
      </c>
      <c r="M15" s="32">
        <v>93.5</v>
      </c>
    </row>
    <row r="16" customFormat="1" ht="24.75" spans="1:13">
      <c r="D16" s="29">
        <v>46077</v>
      </c>
      <c r="E16" s="15">
        <v>1579823</v>
      </c>
      <c r="F16" s="15" t="s">
        <v>170</v>
      </c>
      <c r="G16" s="19" t="s">
        <v>171</v>
      </c>
      <c r="H16" s="15">
        <v>20413287</v>
      </c>
      <c r="I16" s="19" t="s">
        <v>178</v>
      </c>
      <c r="J16" s="30">
        <v>1</v>
      </c>
      <c r="K16" s="31">
        <v>34</v>
      </c>
      <c r="L16" s="32">
        <v>187</v>
      </c>
      <c r="M16" s="32">
        <v>187</v>
      </c>
    </row>
    <row r="17" customFormat="1" ht="24.75" spans="1:13">
      <c r="D17" s="29">
        <v>46077</v>
      </c>
      <c r="E17" s="15">
        <v>1579823</v>
      </c>
      <c r="F17" s="15" t="s">
        <v>170</v>
      </c>
      <c r="G17" s="19" t="s">
        <v>171</v>
      </c>
      <c r="H17" s="15">
        <v>20413288</v>
      </c>
      <c r="I17" s="19" t="s">
        <v>179</v>
      </c>
      <c r="J17" s="30">
        <v>1</v>
      </c>
      <c r="K17" s="31">
        <v>14</v>
      </c>
      <c r="L17" s="32">
        <v>77</v>
      </c>
      <c r="M17" s="32">
        <v>77</v>
      </c>
    </row>
    <row r="18" customFormat="1" spans="1:13">
      <c r="C18" s="8" t="s">
        <v>2</v>
      </c>
      <c r="D18" s="8" t="s">
        <v>2</v>
      </c>
      <c r="E18" s="8" t="s">
        <v>2</v>
      </c>
      <c r="F18" s="8" t="s">
        <v>2</v>
      </c>
      <c r="G18" s="8" t="s">
        <v>2</v>
      </c>
      <c r="H18" s="8" t="s">
        <v>2</v>
      </c>
      <c r="I18" s="8" t="s">
        <v>2</v>
      </c>
      <c r="J18" s="8" t="s">
        <v>2</v>
      </c>
      <c r="K18" s="8" t="s">
        <v>2</v>
      </c>
      <c r="L18" s="8" t="s">
        <v>2</v>
      </c>
      <c r="M18" s="8" t="s">
        <v>2</v>
      </c>
    </row>
    <row r="19" customFormat="1" spans="1:13">
      <c r="A19" s="8" t="s">
        <v>2</v>
      </c>
      <c r="C19" s="8" t="s">
        <v>2</v>
      </c>
      <c r="D19" s="8" t="s">
        <v>2</v>
      </c>
      <c r="E19" s="8" t="s">
        <v>2</v>
      </c>
      <c r="F19" s="8" t="s">
        <v>2</v>
      </c>
      <c r="G19" s="8" t="s">
        <v>2</v>
      </c>
      <c r="H19" s="8" t="s">
        <v>2</v>
      </c>
      <c r="I19" s="8" t="s">
        <v>2</v>
      </c>
      <c r="J19" s="8" t="s">
        <v>2</v>
      </c>
      <c r="K19" s="8" t="s">
        <v>2</v>
      </c>
      <c r="L19" s="8" t="s">
        <v>2</v>
      </c>
      <c r="M19" s="8" t="s">
        <v>2</v>
      </c>
    </row>
    <row r="20" ht="0.05" customHeight="1"/>
  </sheetData>
  <mergeCells count="9">
    <mergeCell ref="A8:B8"/>
    <mergeCell ref="A9:B9"/>
    <mergeCell ref="D9:H9"/>
    <mergeCell ref="D10:H10"/>
    <mergeCell ref="A19:B19"/>
    <mergeCell ref="C11:C17"/>
    <mergeCell ref="B1:I2"/>
    <mergeCell ref="B4:I5"/>
    <mergeCell ref="A10:B18"/>
  </mergeCells>
  <pageMargins left="0.25" right="0.25" top="0.75" bottom="0.75" header="0.298611111111111" footer="0.298611111111111"/>
  <pageSetup paperSize="9" scale="82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view="pageBreakPreview" zoomScaleNormal="100" topLeftCell="A4" workbookViewId="0">
      <selection activeCell="Q25" sqref="Q25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1.625" customWidth="1"/>
    <col min="5" max="5" width="16.5" customWidth="1"/>
    <col min="6" max="6" width="7.75" customWidth="1"/>
    <col min="7" max="7" width="17.375" customWidth="1"/>
    <col min="8" max="8" width="12.375" customWidth="1"/>
    <col min="9" max="9" width="26.375" customWidth="1"/>
    <col min="10" max="10" width="11" customWidth="1"/>
  </cols>
  <sheetData>
    <row r="1" customFormat="1" ht="25.5" customHeight="1" spans="1:10">
      <c r="B1" s="1" t="s">
        <v>180</v>
      </c>
    </row>
    <row r="2" ht="2" customHeight="1"/>
    <row r="3" customFormat="1" ht="12.75" customHeight="1" spans="1:10">
      <c r="B3" s="2" t="s">
        <v>181</v>
      </c>
    </row>
    <row r="5" ht="2.05" customHeight="1"/>
    <row r="6" customFormat="1" ht="1.95" customHeight="1" spans="1:10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</row>
    <row r="7" customFormat="1" ht="15.75" spans="1:10">
      <c r="A7" s="4" t="s">
        <v>2</v>
      </c>
      <c r="B7" s="5" t="s">
        <v>2</v>
      </c>
      <c r="C7" s="4" t="s">
        <v>2</v>
      </c>
      <c r="D7" s="6" t="s">
        <v>3</v>
      </c>
      <c r="E7" s="5" t="s">
        <v>2</v>
      </c>
      <c r="F7" s="5" t="s">
        <v>2</v>
      </c>
      <c r="G7" s="5" t="s">
        <v>2</v>
      </c>
      <c r="H7" s="5" t="s">
        <v>2</v>
      </c>
      <c r="I7" s="4" t="s">
        <v>2</v>
      </c>
      <c r="J7" s="7">
        <v>-222.5</v>
      </c>
    </row>
    <row r="8" customFormat="1" spans="1:10">
      <c r="A8" s="8" t="s">
        <v>2</v>
      </c>
      <c r="C8" s="9" t="s">
        <v>2</v>
      </c>
      <c r="D8" s="9" t="s">
        <v>182</v>
      </c>
      <c r="E8" s="9" t="s">
        <v>183</v>
      </c>
      <c r="F8" s="9" t="s">
        <v>184</v>
      </c>
      <c r="G8" s="9" t="s">
        <v>185</v>
      </c>
      <c r="H8" s="9" t="s">
        <v>7</v>
      </c>
      <c r="I8" s="9" t="s">
        <v>186</v>
      </c>
      <c r="J8" s="9" t="s">
        <v>187</v>
      </c>
    </row>
    <row r="9" customFormat="1" ht="14.25" spans="1:10">
      <c r="C9" s="9" t="s">
        <v>2</v>
      </c>
      <c r="D9" s="10" t="s">
        <v>19</v>
      </c>
      <c r="E9" s="5" t="s">
        <v>2</v>
      </c>
      <c r="F9" s="5" t="s">
        <v>2</v>
      </c>
      <c r="G9" s="5" t="s">
        <v>2</v>
      </c>
      <c r="H9" s="5" t="s">
        <v>2</v>
      </c>
      <c r="I9" s="9" t="s">
        <v>2</v>
      </c>
      <c r="J9" s="11">
        <v>-162</v>
      </c>
    </row>
    <row r="10" customFormat="1" spans="1:10">
      <c r="C10" s="8" t="s">
        <v>2</v>
      </c>
      <c r="D10" s="12" t="s">
        <v>188</v>
      </c>
      <c r="E10" s="5" t="s">
        <v>2</v>
      </c>
      <c r="F10" s="5" t="s">
        <v>2</v>
      </c>
      <c r="G10" s="5" t="s">
        <v>2</v>
      </c>
      <c r="H10" s="5" t="s">
        <v>2</v>
      </c>
      <c r="I10" s="13" t="s">
        <v>2</v>
      </c>
      <c r="J10" s="14">
        <v>-162</v>
      </c>
    </row>
    <row r="11" customFormat="1" spans="1:10">
      <c r="D11" s="15">
        <v>3005933134</v>
      </c>
      <c r="E11" s="16">
        <v>46083.6696684375</v>
      </c>
      <c r="F11" s="17" t="s">
        <v>189</v>
      </c>
      <c r="G11" s="18">
        <v>46064.5025431366</v>
      </c>
      <c r="H11" s="19">
        <v>20412434</v>
      </c>
      <c r="I11" s="19" t="s">
        <v>33</v>
      </c>
      <c r="J11" s="20">
        <v>-66</v>
      </c>
    </row>
    <row r="12" customFormat="1" spans="1:10">
      <c r="D12" s="15">
        <v>3005933135</v>
      </c>
      <c r="E12" s="16">
        <v>46083.6698429745</v>
      </c>
      <c r="F12" s="17" t="s">
        <v>189</v>
      </c>
      <c r="G12" s="18">
        <v>46064.5025477199</v>
      </c>
      <c r="H12" s="19">
        <v>20412429</v>
      </c>
      <c r="I12" s="19" t="s">
        <v>34</v>
      </c>
      <c r="J12" s="20">
        <v>-66</v>
      </c>
    </row>
    <row r="13" customFormat="1" spans="1:10">
      <c r="D13" s="15">
        <v>3005933136</v>
      </c>
      <c r="E13" s="16">
        <v>46083.6702182523</v>
      </c>
      <c r="F13" s="17" t="s">
        <v>189</v>
      </c>
      <c r="G13" s="18">
        <v>46064.5025488773</v>
      </c>
      <c r="H13" s="19">
        <v>20412424</v>
      </c>
      <c r="I13" s="19" t="s">
        <v>35</v>
      </c>
      <c r="J13" s="20">
        <v>-30</v>
      </c>
    </row>
    <row r="14" customFormat="1" spans="1:10">
      <c r="C14" s="9" t="s">
        <v>2</v>
      </c>
      <c r="D14" s="9" t="s">
        <v>182</v>
      </c>
      <c r="E14" s="9" t="s">
        <v>183</v>
      </c>
      <c r="F14" s="9" t="s">
        <v>184</v>
      </c>
      <c r="G14" s="9" t="s">
        <v>185</v>
      </c>
      <c r="H14" s="9" t="s">
        <v>7</v>
      </c>
      <c r="I14" s="9" t="s">
        <v>186</v>
      </c>
      <c r="J14" s="9" t="s">
        <v>187</v>
      </c>
    </row>
    <row r="15" customFormat="1" ht="14.25" spans="1:10">
      <c r="C15" s="9" t="s">
        <v>2</v>
      </c>
      <c r="D15" s="10" t="s">
        <v>101</v>
      </c>
      <c r="E15" s="5" t="s">
        <v>2</v>
      </c>
      <c r="F15" s="5" t="s">
        <v>2</v>
      </c>
      <c r="G15" s="5" t="s">
        <v>2</v>
      </c>
      <c r="H15" s="5" t="s">
        <v>2</v>
      </c>
      <c r="I15" s="9" t="s">
        <v>2</v>
      </c>
      <c r="J15" s="11">
        <v>-60.5</v>
      </c>
    </row>
    <row r="16" customFormat="1" spans="1:10">
      <c r="C16" s="8" t="s">
        <v>2</v>
      </c>
      <c r="D16" s="12" t="s">
        <v>188</v>
      </c>
      <c r="E16" s="5" t="s">
        <v>2</v>
      </c>
      <c r="F16" s="5" t="s">
        <v>2</v>
      </c>
      <c r="G16" s="5" t="s">
        <v>2</v>
      </c>
      <c r="H16" s="5" t="s">
        <v>2</v>
      </c>
      <c r="I16" s="13" t="s">
        <v>2</v>
      </c>
      <c r="J16" s="14">
        <v>-60.5</v>
      </c>
    </row>
    <row r="17" customFormat="1" spans="1:10">
      <c r="D17" s="15">
        <v>3005948241</v>
      </c>
      <c r="E17" s="16">
        <v>46083.6739744213</v>
      </c>
      <c r="F17" s="17" t="s">
        <v>189</v>
      </c>
      <c r="G17" s="18">
        <v>46078.0381872338</v>
      </c>
      <c r="H17" s="19">
        <v>20367991</v>
      </c>
      <c r="I17" s="19" t="s">
        <v>126</v>
      </c>
      <c r="J17" s="20">
        <v>-44</v>
      </c>
    </row>
    <row r="18" customFormat="1" spans="1:10">
      <c r="D18" s="15">
        <v>3005956589</v>
      </c>
      <c r="E18" s="16">
        <v>46083.6741379977</v>
      </c>
      <c r="F18" s="17" t="s">
        <v>189</v>
      </c>
      <c r="G18" s="18">
        <v>46080.0657763889</v>
      </c>
      <c r="H18" s="19">
        <v>20312603</v>
      </c>
      <c r="I18" s="19" t="s">
        <v>105</v>
      </c>
      <c r="J18" s="20">
        <v>-16.5</v>
      </c>
    </row>
    <row r="19" customFormat="1" spans="1:10">
      <c r="A19" s="8" t="s">
        <v>2</v>
      </c>
      <c r="C19" s="8" t="s">
        <v>2</v>
      </c>
      <c r="D19" s="8" t="s">
        <v>2</v>
      </c>
      <c r="E19" s="8" t="s">
        <v>2</v>
      </c>
      <c r="F19" s="8" t="s">
        <v>2</v>
      </c>
      <c r="G19" s="8" t="s">
        <v>2</v>
      </c>
      <c r="H19" s="8" t="s">
        <v>2</v>
      </c>
      <c r="I19" s="8" t="s">
        <v>2</v>
      </c>
      <c r="J19" s="8" t="s">
        <v>2</v>
      </c>
    </row>
    <row r="20" ht="0.05" customHeight="1"/>
    <row r="21" ht="11.6" customHeight="1"/>
  </sheetData>
  <mergeCells count="12">
    <mergeCell ref="B1:I1"/>
    <mergeCell ref="A7:B7"/>
    <mergeCell ref="D7:H7"/>
    <mergeCell ref="D9:H9"/>
    <mergeCell ref="D10:H10"/>
    <mergeCell ref="D15:H15"/>
    <mergeCell ref="D16:H16"/>
    <mergeCell ref="A19:B19"/>
    <mergeCell ref="C10:C13"/>
    <mergeCell ref="C16:C18"/>
    <mergeCell ref="A8:B18"/>
    <mergeCell ref="B3:E4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耳科</vt:lpstr>
      <vt:lpstr>妇科病房（一病区）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透析科</vt:lpstr>
      <vt:lpstr>外来器械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2026-03-02T07:19:00Z</dcterms:created>
  <dcterms:modified xsi:type="dcterms:W3CDTF">2026-03-06T07:48:07Z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12BCCBC66A354BC0A8057DE109EC74D6_13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