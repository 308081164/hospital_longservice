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4940" windowHeight="11490" firstSheet="5"/>
  </bookViews>
  <sheets>
    <sheet name="Sheet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<sst xmlns="http://schemas.openxmlformats.org/spreadsheetml/2006/main" count="45" uniqueCount="45">
  <si>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黑龙江中医药大学附属第三医院2026年5月消毒灭菌费明细</t>
  </si>
  <si>
    <t>日期</t>
  </si>
  <si>
    <t>消毒方式</t>
  </si>
  <si>
    <t>包材尺寸</t>
  </si>
  <si>
    <t>包数</t>
  </si>
  <si>
    <t>把数</t>
  </si>
  <si>
    <t>单价</t>
  </si>
  <si>
    <t>金额</t>
  </si>
  <si>
    <t>高温</t>
  </si>
  <si>
    <t>三件以上（含三件）器械</t>
  </si>
  <si>
    <t>纸塑袋10cm（小）</t>
  </si>
  <si>
    <t>纸塑袋15cm（中）</t>
  </si>
  <si>
    <t>纸塑袋20cm（大）</t>
  </si>
  <si>
    <t>纸塑袋包装两把器械</t>
  </si>
  <si>
    <t>纸塑袋25cm（特大）</t>
  </si>
  <si>
    <t>高温特殊收费</t>
  </si>
  <si>
    <t>低温</t>
  </si>
  <si>
    <t>低温灭菌  10cm</t>
  </si>
  <si>
    <t>低温灭菌  15cm</t>
  </si>
  <si>
    <t>低温灭菌  20cm</t>
  </si>
  <si>
    <t>低温灭菌  25cm</t>
  </si>
  <si>
    <t>低温灭菌  30cm</t>
  </si>
  <si>
    <t>低温一件（含篮筐）</t>
  </si>
  <si>
    <t>低温两件</t>
  </si>
  <si>
    <t>低温三件</t>
  </si>
  <si>
    <t>低温四件</t>
  </si>
  <si>
    <t>低温灭菌（套）5件内</t>
  </si>
  <si>
    <t>低温灭菌（套）8件</t>
  </si>
  <si>
    <t>低温灭菌（套）10件内</t>
  </si>
  <si>
    <t>低温灭菌十一件</t>
  </si>
  <si>
    <t>低温灭菌（套）20件内</t>
  </si>
  <si>
    <t>敷料</t>
  </si>
  <si>
    <t>纸塑袋15cm*10cm</t>
  </si>
  <si>
    <t>纸塑袋20cm*20cm</t>
  </si>
  <si>
    <t>敷料 小 （20cm*20cm*15cm)仅灭菌，医院自行打包</t>
  </si>
  <si>
    <t>敷料 小 （20cm*20cm*15cm)无纺布灭菌+打包</t>
  </si>
  <si>
    <t>敷料 大 （30cm*30cm*50cm)仅灭菌，医院自行打包</t>
  </si>
  <si>
    <t>外来器械</t>
  </si>
  <si>
    <t>钉</t>
  </si>
  <si>
    <t>一盒</t>
  </si>
  <si>
    <t>植入物</t>
  </si>
  <si>
    <t>外来器械组件</t>
  </si>
  <si>
    <t>组件</t>
  </si>
  <si>
    <t>合计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</si>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</sst>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&quot;元&quot;"/>
  </numFmts>
  <fonts count="27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b/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4" applyNumberFormat="0" applyAlignment="0" applyProtection="0">
      <alignment vertical="center"/>
    </xf>
    <xf numFmtId="0" fontId="17" fillId="4" borderId="15" applyNumberFormat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5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57" fontId="2" fillId="0" borderId="4" xfId="0" applyNumberFormat="1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/>
    <xf numFmtId="177" fontId="6" fillId="0" borderId="5" xfId="0" applyNumberFormat="1" applyFont="1" applyFill="1" applyBorder="1" applyAlignment="1">
      <alignment horizontal="center" vertical="center"/>
    </xf>
    <xf numFmtId="57" fontId="2" fillId="0" borderId="6" xfId="0" applyNumberFormat="1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176" fontId="2" fillId="0" borderId="5" xfId="0" applyNumberFormat="1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view="pageBreakPreview" zoomScaleNormal="100" workbookViewId="0">
      <selection activeCell="G37" sqref="G37"/>
    </sheetView>
  </sheetViews>
  <sheetFormatPr defaultColWidth="9" defaultRowHeight="13.5" outlineLevelCol="6"/>
  <cols>
    <col min="1" max="1" width="11.625" customWidth="1"/>
    <col min="2" max="2" width="10.125" style="1" customWidth="1"/>
    <col min="3" max="3" width="48.5" style="1" customWidth="1"/>
    <col min="4" max="5" width="9" style="2"/>
    <col min="6" max="6" width="9.375" style="2"/>
    <col min="7" max="7" width="11.375" style="2" customWidth="1"/>
  </cols>
  <sheetData>
    <row r="1" spans="1:7">
      <c r="A1" s="3" t="s">
        <v>0</v>
      </c>
      <c r="B1" s="3"/>
      <c r="C1" s="3"/>
      <c r="D1" s="4"/>
      <c r="E1" s="4"/>
      <c r="F1" s="3"/>
      <c r="G1" s="3"/>
    </row>
    <row r="2" spans="1:7">
      <c r="A2" s="3"/>
      <c r="B2" s="3"/>
      <c r="C2" s="3"/>
      <c r="D2" s="4"/>
      <c r="E2" s="4"/>
      <c r="F2" s="3"/>
      <c r="G2" s="3"/>
    </row>
    <row r="3" customFormat="1" ht="20" customHeight="1" spans="1:7">
      <c r="A3" s="5" t="s">
        <v>1</v>
      </c>
      <c r="B3" s="6" t="s">
        <v>2</v>
      </c>
      <c r="C3" s="7" t="s">
        <v>3</v>
      </c>
      <c r="D3" s="8" t="s">
        <v>4</v>
      </c>
      <c r="E3" s="9" t="s">
        <v>5</v>
      </c>
      <c r="F3" s="9" t="s">
        <v>6</v>
      </c>
      <c r="G3" s="10" t="s">
        <v>7</v>
      </c>
    </row>
    <row r="4" customFormat="1" ht="20" customHeight="1" spans="1:7">
      <c r="A4" s="11">
        <v>46143</v>
      </c>
      <c r="B4" s="12" t="s">
        <v>8</v>
      </c>
      <c r="C4" s="13" t="s">
        <v>9</v>
      </c>
      <c r="D4" s="14">
        <v>145</v>
      </c>
      <c r="E4" s="14">
        <v>2285</v>
      </c>
      <c r="F4" s="15">
        <v>3.85</v>
      </c>
      <c r="G4" s="15">
        <v>8674.05</v>
      </c>
    </row>
    <row r="5" customFormat="1" ht="20" customHeight="1" spans="1:7">
      <c r="A5" s="16"/>
      <c r="B5" s="12"/>
      <c r="C5" s="17" t="s">
        <v>10</v>
      </c>
      <c r="D5" s="14">
        <v>510</v>
      </c>
      <c r="E5" s="14">
        <v>530</v>
      </c>
      <c r="F5" s="15">
        <v>5.6</v>
      </c>
      <c r="G5" s="15">
        <f t="shared" ref="G5:G29" si="0">D5*F5</f>
        <v>2856</v>
      </c>
    </row>
    <row r="6" customFormat="1" ht="20" customHeight="1" spans="1:7">
      <c r="A6" s="16"/>
      <c r="B6" s="12"/>
      <c r="C6" s="17" t="s">
        <v>11</v>
      </c>
      <c r="D6" s="14">
        <v>14</v>
      </c>
      <c r="E6" s="14">
        <v>14</v>
      </c>
      <c r="F6" s="15">
        <v>7.7</v>
      </c>
      <c r="G6" s="15">
        <f t="shared" si="0"/>
        <v>107.8</v>
      </c>
    </row>
    <row r="7" customFormat="1" ht="20" customHeight="1" spans="1:7">
      <c r="A7" s="16"/>
      <c r="B7" s="12"/>
      <c r="C7" s="17" t="s">
        <v>12</v>
      </c>
      <c r="D7" s="14">
        <v>10</v>
      </c>
      <c r="E7" s="14">
        <v>10</v>
      </c>
      <c r="F7" s="15">
        <v>9.1</v>
      </c>
      <c r="G7" s="15">
        <f t="shared" si="0"/>
        <v>91</v>
      </c>
    </row>
    <row r="8" customFormat="1" ht="20" customHeight="1" spans="1:7">
      <c r="A8" s="16"/>
      <c r="B8" s="12"/>
      <c r="C8" s="17" t="s">
        <v>13</v>
      </c>
      <c r="D8" s="14">
        <v>1</v>
      </c>
      <c r="E8" s="14">
        <v>2</v>
      </c>
      <c r="F8" s="15">
        <v>9.45</v>
      </c>
      <c r="G8" s="15">
        <f t="shared" si="0"/>
        <v>9.45</v>
      </c>
    </row>
    <row r="9" customFormat="1" ht="20" customHeight="1" spans="1:7">
      <c r="A9" s="16"/>
      <c r="B9" s="12"/>
      <c r="C9" s="17" t="s">
        <v>14</v>
      </c>
      <c r="D9" s="14">
        <v>13</v>
      </c>
      <c r="E9" s="14">
        <v>13</v>
      </c>
      <c r="F9" s="15">
        <v>11.2</v>
      </c>
      <c r="G9" s="15">
        <f t="shared" si="0"/>
        <v>145.6</v>
      </c>
    </row>
    <row r="10" customFormat="1" ht="20" customHeight="1" spans="1:7">
      <c r="A10" s="16"/>
      <c r="B10" s="12"/>
      <c r="C10" s="17" t="s">
        <v>15</v>
      </c>
      <c r="D10" s="14">
        <v>158</v>
      </c>
      <c r="E10" s="14">
        <v>456</v>
      </c>
      <c r="F10" s="15">
        <v>11.55</v>
      </c>
      <c r="G10" s="15">
        <f t="shared" si="0"/>
        <v>1824.9</v>
      </c>
    </row>
    <row r="11" customFormat="1" ht="20" customHeight="1" spans="1:7">
      <c r="A11" s="16"/>
      <c r="B11" s="18" t="s">
        <v>16</v>
      </c>
      <c r="C11" s="17" t="s">
        <v>17</v>
      </c>
      <c r="D11" s="14">
        <v>4</v>
      </c>
      <c r="E11" s="14">
        <v>4</v>
      </c>
      <c r="F11" s="15">
        <v>15.4</v>
      </c>
      <c r="G11" s="15">
        <f t="shared" si="0"/>
        <v>61.6</v>
      </c>
    </row>
    <row r="12" customFormat="1" ht="20" customHeight="1" spans="1:7">
      <c r="A12" s="16"/>
      <c r="B12" s="19"/>
      <c r="C12" s="20" t="s">
        <v>18</v>
      </c>
      <c r="D12" s="14">
        <v>9</v>
      </c>
      <c r="E12" s="14">
        <v>9</v>
      </c>
      <c r="F12" s="15">
        <v>17.5</v>
      </c>
      <c r="G12" s="15">
        <f t="shared" si="0"/>
        <v>157.5</v>
      </c>
    </row>
    <row r="13" customFormat="1" ht="20" customHeight="1" spans="1:7">
      <c r="A13" s="16"/>
      <c r="B13" s="19"/>
      <c r="C13" s="20" t="s">
        <v>19</v>
      </c>
      <c r="D13" s="14">
        <v>46</v>
      </c>
      <c r="E13" s="14">
        <v>46</v>
      </c>
      <c r="F13" s="15">
        <v>19.6</v>
      </c>
      <c r="G13" s="15">
        <f t="shared" si="0"/>
        <v>901.6</v>
      </c>
    </row>
    <row r="14" customFormat="1" ht="20" customHeight="1" spans="1:7">
      <c r="A14" s="16"/>
      <c r="B14" s="19"/>
      <c r="C14" s="21" t="s">
        <v>20</v>
      </c>
      <c r="D14" s="14"/>
      <c r="E14" s="14"/>
      <c r="F14" s="15">
        <v>21</v>
      </c>
      <c r="G14" s="15">
        <f t="shared" si="0"/>
        <v>0</v>
      </c>
    </row>
    <row r="15" customFormat="1" ht="20" customHeight="1" spans="1:7">
      <c r="A15" s="16"/>
      <c r="B15" s="19"/>
      <c r="C15" s="21" t="s">
        <v>21</v>
      </c>
      <c r="D15" s="14">
        <v>29</v>
      </c>
      <c r="E15" s="14">
        <v>29</v>
      </c>
      <c r="F15" s="15">
        <v>24.5</v>
      </c>
      <c r="G15" s="15">
        <f t="shared" si="0"/>
        <v>710.5</v>
      </c>
    </row>
    <row r="16" customFormat="1" ht="20" customHeight="1" spans="1:7">
      <c r="A16" s="16"/>
      <c r="B16" s="19"/>
      <c r="C16" s="21" t="s">
        <v>22</v>
      </c>
      <c r="D16" s="14">
        <v>2</v>
      </c>
      <c r="E16" s="14">
        <v>4</v>
      </c>
      <c r="F16" s="15">
        <v>25.2</v>
      </c>
      <c r="G16" s="15">
        <f t="shared" si="0"/>
        <v>50.4</v>
      </c>
    </row>
    <row r="17" customFormat="1" ht="20" customHeight="1" spans="1:7">
      <c r="A17" s="16"/>
      <c r="B17" s="19"/>
      <c r="C17" s="17" t="s">
        <v>23</v>
      </c>
      <c r="D17" s="14">
        <v>4</v>
      </c>
      <c r="E17" s="14">
        <v>8</v>
      </c>
      <c r="F17" s="15">
        <f>15.4*2</f>
        <v>30.8</v>
      </c>
      <c r="G17" s="15">
        <f t="shared" si="0"/>
        <v>123.2</v>
      </c>
    </row>
    <row r="18" ht="20" customHeight="1" spans="1:7">
      <c r="A18" s="16"/>
      <c r="B18" s="19"/>
      <c r="C18" s="17" t="s">
        <v>24</v>
      </c>
      <c r="D18" s="14">
        <v>9</v>
      </c>
      <c r="E18" s="14">
        <v>27</v>
      </c>
      <c r="F18" s="15">
        <f>15.4*3</f>
        <v>46.2</v>
      </c>
      <c r="G18" s="15">
        <f t="shared" si="0"/>
        <v>415.8</v>
      </c>
    </row>
    <row r="19" ht="20" customHeight="1" spans="1:7">
      <c r="A19" s="16"/>
      <c r="B19" s="19"/>
      <c r="C19" s="17" t="s">
        <v>25</v>
      </c>
      <c r="D19" s="14">
        <v>4</v>
      </c>
      <c r="E19" s="14">
        <v>16</v>
      </c>
      <c r="F19" s="15">
        <f>15.4*4</f>
        <v>61.6</v>
      </c>
      <c r="G19" s="15">
        <f t="shared" si="0"/>
        <v>246.4</v>
      </c>
    </row>
    <row r="20" ht="20" customHeight="1" spans="1:7">
      <c r="A20" s="16"/>
      <c r="B20" s="19"/>
      <c r="C20" s="17" t="s">
        <v>26</v>
      </c>
      <c r="D20" s="14">
        <v>3</v>
      </c>
      <c r="E20" s="14">
        <v>15</v>
      </c>
      <c r="F20" s="15">
        <f>88*0.7</f>
        <v>61.6</v>
      </c>
      <c r="G20" s="15">
        <f t="shared" si="0"/>
        <v>184.8</v>
      </c>
    </row>
    <row r="21" ht="20" customHeight="1" spans="1:7">
      <c r="A21" s="16"/>
      <c r="B21" s="19"/>
      <c r="C21" s="17" t="s">
        <v>27</v>
      </c>
      <c r="D21" s="14">
        <v>1</v>
      </c>
      <c r="E21" s="14">
        <v>8</v>
      </c>
      <c r="F21" s="15">
        <v>107.8</v>
      </c>
      <c r="G21" s="15">
        <f t="shared" si="0"/>
        <v>107.8</v>
      </c>
    </row>
    <row r="22" ht="20" customHeight="1" spans="1:7">
      <c r="A22" s="16"/>
      <c r="B22" s="19"/>
      <c r="C22" s="17" t="s">
        <v>28</v>
      </c>
      <c r="D22" s="14"/>
      <c r="E22" s="14"/>
      <c r="F22" s="15">
        <f>165*0.7</f>
        <v>115.5</v>
      </c>
      <c r="G22" s="15">
        <f t="shared" si="0"/>
        <v>0</v>
      </c>
    </row>
    <row r="23" ht="20" customHeight="1" spans="1:7">
      <c r="A23" s="16"/>
      <c r="B23" s="19"/>
      <c r="C23" s="17" t="s">
        <v>29</v>
      </c>
      <c r="D23" s="14"/>
      <c r="E23" s="14"/>
      <c r="F23" s="15">
        <v>130.9</v>
      </c>
      <c r="G23" s="15">
        <f t="shared" si="0"/>
        <v>0</v>
      </c>
    </row>
    <row r="24" ht="20" customHeight="1" spans="1:7">
      <c r="A24" s="16"/>
      <c r="B24" s="19"/>
      <c r="C24" s="17" t="s">
        <v>30</v>
      </c>
      <c r="D24" s="14">
        <v>2</v>
      </c>
      <c r="E24" s="14">
        <v>2</v>
      </c>
      <c r="F24" s="15">
        <f>300*0.7</f>
        <v>210</v>
      </c>
      <c r="G24" s="15">
        <f t="shared" si="0"/>
        <v>420</v>
      </c>
    </row>
    <row r="25" ht="20" customHeight="1" spans="1:7">
      <c r="A25" s="16"/>
      <c r="B25" s="12" t="s">
        <v>31</v>
      </c>
      <c r="C25" s="17" t="s">
        <v>32</v>
      </c>
      <c r="D25" s="14">
        <v>31</v>
      </c>
      <c r="E25" s="14"/>
      <c r="F25" s="15">
        <v>1.75</v>
      </c>
      <c r="G25" s="15">
        <f t="shared" si="0"/>
        <v>54.25</v>
      </c>
    </row>
    <row r="26" ht="20" customHeight="1" spans="1:7">
      <c r="A26" s="16"/>
      <c r="B26" s="12"/>
      <c r="C26" s="21" t="s">
        <v>33</v>
      </c>
      <c r="D26" s="14">
        <v>54</v>
      </c>
      <c r="E26" s="14"/>
      <c r="F26" s="15">
        <v>2.8</v>
      </c>
      <c r="G26" s="15">
        <f t="shared" si="0"/>
        <v>151.2</v>
      </c>
    </row>
    <row r="27" ht="20" customHeight="1" spans="1:7">
      <c r="A27" s="16"/>
      <c r="B27" s="12"/>
      <c r="C27" s="21" t="s">
        <v>34</v>
      </c>
      <c r="D27" s="14"/>
      <c r="E27" s="14"/>
      <c r="F27" s="15">
        <v>10.5</v>
      </c>
      <c r="G27" s="15">
        <f t="shared" si="0"/>
        <v>0</v>
      </c>
    </row>
    <row r="28" ht="20" customHeight="1" spans="1:7">
      <c r="A28" s="16"/>
      <c r="B28" s="12"/>
      <c r="C28" s="21" t="s">
        <v>35</v>
      </c>
      <c r="D28" s="14"/>
      <c r="E28" s="22"/>
      <c r="F28" s="15">
        <v>17.5</v>
      </c>
      <c r="G28" s="15">
        <f t="shared" si="0"/>
        <v>0</v>
      </c>
    </row>
    <row r="29" ht="20" customHeight="1" spans="1:7">
      <c r="A29" s="16"/>
      <c r="B29" s="12"/>
      <c r="C29" s="21" t="s">
        <v>36</v>
      </c>
      <c r="D29" s="22"/>
      <c r="E29" s="22"/>
      <c r="F29" s="15">
        <v>24.5</v>
      </c>
      <c r="G29" s="15">
        <f t="shared" si="0"/>
        <v>0</v>
      </c>
    </row>
    <row r="30" ht="18" customHeight="1" spans="1:7">
      <c r="A30" s="16"/>
      <c r="B30" s="18" t="s">
        <v>37</v>
      </c>
      <c r="C30" s="12" t="s">
        <v>38</v>
      </c>
      <c r="E30" s="18" t="s">
        <v>39</v>
      </c>
      <c r="F30" s="15">
        <v>140</v>
      </c>
      <c r="G30" s="15">
        <f>F30</f>
        <v>140</v>
      </c>
    </row>
    <row r="31" ht="18" customHeight="1" spans="1:7">
      <c r="A31" s="16"/>
      <c r="B31" s="19"/>
      <c r="C31" s="12" t="s">
        <v>40</v>
      </c>
      <c r="D31" s="18"/>
      <c r="E31" s="18">
        <v>7</v>
      </c>
      <c r="F31" s="15">
        <v>3.85</v>
      </c>
      <c r="G31" s="15">
        <f>E31*F31</f>
        <v>26.95</v>
      </c>
    </row>
    <row r="32" ht="18" customHeight="1" spans="1:7">
      <c r="A32" s="16"/>
      <c r="B32" s="19"/>
      <c r="C32" s="12" t="s">
        <v>41</v>
      </c>
      <c r="D32" s="18"/>
      <c r="E32" s="18">
        <v>664</v>
      </c>
      <c r="F32" s="15">
        <v>3.85</v>
      </c>
      <c r="G32" s="15">
        <f>E32*F32</f>
        <v>2556.4</v>
      </c>
    </row>
    <row r="33" ht="18" customHeight="1" spans="1:7">
      <c r="A33" s="16"/>
      <c r="B33" s="19"/>
      <c r="C33" s="12" t="s">
        <v>42</v>
      </c>
      <c r="D33" s="18"/>
      <c r="E33" s="18">
        <v>1</v>
      </c>
      <c r="F33" s="15">
        <v>11.55</v>
      </c>
      <c r="G33" s="15">
        <f>F33*E33</f>
        <v>11.55</v>
      </c>
    </row>
    <row r="34" ht="18" customHeight="1" spans="1:7">
      <c r="A34" s="23" t="s">
        <v>43</v>
      </c>
      <c r="B34" s="24"/>
      <c r="C34" s="24"/>
      <c r="D34" s="25">
        <f>SUM(D4:D33)</f>
        <v>1049</v>
      </c>
      <c r="E34" s="25"/>
      <c r="F34" s="25" t="s">
        <v>44</v>
      </c>
      <c r="G34" s="15">
        <f>SUM(G4:G33)</f>
        <v>20028.75</v>
      </c>
    </row>
  </sheetData>
  <mergeCells count="7">
    <mergeCell ref="A34:C34"/>
    <mergeCell ref="A4:A33"/>
    <mergeCell ref="B4:B10"/>
    <mergeCell ref="B11:B24"/>
    <mergeCell ref="B25:B29"/>
    <mergeCell ref="B30:B33"/>
    <mergeCell ref="A1:G2"/>
  </mergeCells>
  <pageMargins left="0.25" right="0.25" top="0.75" bottom="0.75" header="0.298611111111111" footer="0.298611111111111"/>
  <pageSetup paperSize="9" scale="92" orientation="portrait"/>
  <headerFooter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2025-04-02T02:40:00Z</dcterms:created>
  <dcterms:modified xsi:type="dcterms:W3CDTF">2026-06-05T00:15:55Z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BA26D56D78D240F7BED80CEFAA7A0DAD_13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