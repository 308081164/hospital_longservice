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firstSheet="5"/>
  </bookViews>
  <sheets>
    <sheet name="Sheet2" sheetId="6" r:id="rId1"/>
  </sheet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<sst xmlns="http://schemas.openxmlformats.org/spreadsheetml/2006/main" count="17" uniqueCount="17">
  <si>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祖研-黑龙江省中医医院（香安院区）2026年6月科室灭菌价格汇总</t>
  </si>
  <si>
    <t>科室</t>
  </si>
  <si>
    <t>基础器械</t>
  </si>
  <si>
    <t>物流费用</t>
  </si>
  <si>
    <t>价格</t>
  </si>
  <si>
    <t>确认签字</t>
  </si>
  <si>
    <t>总灭菌费</t>
  </si>
  <si>
    <t>各科室占比</t>
  </si>
  <si>
    <t>总物流费</t>
  </si>
  <si>
    <t>合计费用</t>
  </si>
  <si>
    <t>耳鼻喉科</t>
  </si>
  <si>
    <t>骨一，二科</t>
  </si>
  <si>
    <t>内分泌三、老年病二科</t>
  </si>
  <si>
    <t>脾胃六（小箱）</t>
  </si>
  <si>
    <t>脾胃一（小箱）</t>
  </si>
  <si>
    <t>针灸一科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</si>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</sst>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0.0000000000_ "/>
    <numFmt numFmtId="179" formatCode="[$-10804]0.00;\(0.00\)"/>
    <numFmt numFmtId="180" formatCode="0.00_);\(0.00\)"/>
  </numFmts>
  <fonts count="29">
    <font>
      <sz val="11"/>
      <name val="宋体"/>
      <charset val="134"/>
      <scheme val="minor"/>
    </font>
    <font>
      <sz val="12"/>
      <color rgb="FF000000"/>
      <name val="宋体"/>
      <charset val="134"/>
    </font>
    <font>
      <sz val="11"/>
      <color rgb="FF000000"/>
      <name val="微软雅黑"/>
      <charset val="134"/>
    </font>
    <font>
      <sz val="12"/>
      <color rgb="FF000000"/>
      <name val="微软雅黑"/>
      <charset val="134"/>
    </font>
    <font>
      <sz val="12"/>
      <name val="微软雅黑"/>
      <charset val="134"/>
    </font>
    <font>
      <b/>
      <sz val="14"/>
      <color rgb="FF000000"/>
      <name val="微软雅黑"/>
      <charset val="134"/>
    </font>
    <font>
      <b/>
      <sz val="14"/>
      <name val="微软雅黑"/>
      <charset val="134"/>
    </font>
    <font>
      <sz val="1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6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8" fillId="0" borderId="0"/>
  </cellStyleXfs>
  <cellXfs count="26">
    <xf numFmtId="0" fontId="0" fillId="0" borderId="0" xfId="0" applyFont="1" applyFill="1" applyBorder="1" applyAlignment="1"/>
    <xf numFmtId="0" fontId="1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Border="1">
      <alignment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177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176" fontId="5" fillId="0" borderId="0" xfId="0" applyNumberFormat="1" applyFont="1" applyFill="1" applyAlignment="1">
      <alignment horizontal="center" vertical="center"/>
    </xf>
    <xf numFmtId="177" fontId="5" fillId="0" borderId="0" xfId="0" applyNumberFormat="1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176" fontId="2" fillId="0" borderId="0" xfId="0" applyNumberFormat="1" applyFont="1" applyFill="1" applyBorder="1" applyAlignment="1">
      <alignment vertical="center"/>
    </xf>
    <xf numFmtId="178" fontId="2" fillId="0" borderId="0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 wrapText="1" readingOrder="1"/>
    </xf>
    <xf numFmtId="179" fontId="7" fillId="0" borderId="1" xfId="0" applyNumberFormat="1" applyFont="1" applyFill="1" applyBorder="1" applyAlignment="1">
      <alignment horizontal="center" vertical="center" wrapText="1" readingOrder="1"/>
    </xf>
    <xf numFmtId="18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tabSelected="1" view="pageBreakPreview" zoomScaleNormal="100" workbookViewId="0">
      <pane xSplit="7" ySplit="3" topLeftCell="H4" activePane="bottomRight" state="frozen"/>
      <selection/>
      <selection pane="topRight"/>
      <selection pane="bottomLeft"/>
      <selection pane="bottomRight" activeCell="L14" sqref="L14"/>
    </sheetView>
  </sheetViews>
  <sheetFormatPr defaultColWidth="9" defaultRowHeight="17.25"/>
  <cols>
    <col min="1" max="1" width="11" style="1" hidden="1" customWidth="1"/>
    <col min="2" max="2" width="17.5" style="4" hidden="1" customWidth="1"/>
    <col min="3" max="3" width="21.5" style="1" hidden="1" customWidth="1"/>
    <col min="4" max="4" width="17.7583333333333" style="1" hidden="1" customWidth="1"/>
    <col min="5" max="5" width="9.63333333333333" style="1" hidden="1" customWidth="1"/>
    <col min="6" max="6" width="10" style="1" hidden="1" customWidth="1"/>
    <col min="7" max="7" width="9.68333333333333" style="1" hidden="1" customWidth="1"/>
    <col min="8" max="8" width="26" style="5" customWidth="1"/>
    <col min="9" max="9" width="15.625" style="6" customWidth="1"/>
    <col min="10" max="10" width="15.625" style="7" customWidth="1"/>
    <col min="11" max="11" width="15.625" style="8" customWidth="1"/>
    <col min="12" max="12" width="25.625" style="9" customWidth="1"/>
    <col min="13" max="16228" width="11" style="1"/>
    <col min="16229" max="16384" width="9" style="1"/>
  </cols>
  <sheetData>
    <row r="1" s="1" customFormat="1" ht="44" customHeight="1" spans="1:12">
      <c r="B1" s="4"/>
      <c r="H1" s="10" t="s">
        <v>0</v>
      </c>
      <c r="I1" s="11"/>
      <c r="J1" s="12"/>
      <c r="K1" s="13"/>
      <c r="L1" s="10"/>
    </row>
    <row r="2" s="2" customFormat="1" ht="22" customHeight="1" spans="1:12">
      <c r="A2" s="14"/>
      <c r="B2" s="14"/>
      <c r="C2" s="14"/>
      <c r="D2" s="14"/>
      <c r="H2" s="15" t="s">
        <v>1</v>
      </c>
      <c r="I2" s="16" t="s">
        <v>2</v>
      </c>
      <c r="J2" s="17" t="s">
        <v>3</v>
      </c>
      <c r="K2" s="18" t="s">
        <v>4</v>
      </c>
      <c r="L2" s="15" t="s">
        <v>5</v>
      </c>
    </row>
    <row r="3" s="2" customFormat="1" ht="22" customHeight="1" spans="1:12">
      <c r="A3" s="14"/>
      <c r="B3" s="14" t="s">
        <v>6</v>
      </c>
      <c r="C3" s="14" t="s">
        <v>7</v>
      </c>
      <c r="D3" s="14" t="s">
        <v>8</v>
      </c>
      <c r="H3" s="15"/>
      <c r="I3" s="16"/>
      <c r="J3" s="17"/>
      <c r="K3" s="18" t="s">
        <v>9</v>
      </c>
      <c r="L3" s="15"/>
    </row>
    <row r="4" s="3" customFormat="1" ht="30" customHeight="1" spans="1:12">
      <c r="A4" s="19"/>
      <c r="B4" s="20">
        <v>287.5</v>
      </c>
      <c r="C4" s="21">
        <f t="shared" ref="C4:C9" si="0">I4/B4</f>
        <v>0.1391304348</v>
      </c>
      <c r="D4" s="19">
        <v>225</v>
      </c>
      <c r="E4" s="3">
        <f t="shared" ref="E4:E9" si="1">C4*D4</f>
        <v>31.30434783</v>
      </c>
      <c r="H4" s="22" t="s">
        <v>10</v>
      </c>
      <c r="I4" s="23">
        <v>40</v>
      </c>
      <c r="J4" s="17">
        <v>31.3</v>
      </c>
      <c r="K4" s="24">
        <f t="shared" ref="K4:K9" si="2">I4+J4</f>
        <v>71.3</v>
      </c>
      <c r="L4" s="15"/>
    </row>
    <row r="5" s="3" customFormat="1" ht="30" customHeight="1" spans="1:12">
      <c r="A5" s="19"/>
      <c r="B5" s="20">
        <v>287.5</v>
      </c>
      <c r="C5" s="21">
        <f t="shared" si="0"/>
        <v>0.0573913043</v>
      </c>
      <c r="D5" s="19">
        <v>225</v>
      </c>
      <c r="E5" s="3">
        <f t="shared" si="1"/>
        <v>12.9130434675</v>
      </c>
      <c r="H5" s="22" t="s">
        <v>11</v>
      </c>
      <c r="I5" s="23">
        <v>16.5</v>
      </c>
      <c r="J5" s="17">
        <v>12.91</v>
      </c>
      <c r="K5" s="24">
        <f t="shared" si="2"/>
        <v>29.41</v>
      </c>
      <c r="L5" s="15"/>
    </row>
    <row r="6" s="3" customFormat="1" ht="30" customHeight="1" spans="1:12">
      <c r="A6" s="19"/>
      <c r="B6" s="20">
        <v>287.5</v>
      </c>
      <c r="C6" s="21">
        <f t="shared" si="0"/>
        <v>0.0573913043</v>
      </c>
      <c r="D6" s="19">
        <v>225</v>
      </c>
      <c r="E6" s="3">
        <f t="shared" si="1"/>
        <v>12.9130434675</v>
      </c>
      <c r="H6" s="22" t="s">
        <v>12</v>
      </c>
      <c r="I6" s="23">
        <v>16.5</v>
      </c>
      <c r="J6" s="17">
        <v>12.91</v>
      </c>
      <c r="K6" s="24">
        <f t="shared" si="2"/>
        <v>29.41</v>
      </c>
      <c r="L6" s="15"/>
    </row>
    <row r="7" s="3" customFormat="1" ht="30" customHeight="1" spans="1:12">
      <c r="A7" s="19"/>
      <c r="B7" s="20">
        <v>287.5</v>
      </c>
      <c r="C7" s="21">
        <f t="shared" si="0"/>
        <v>0.612173913</v>
      </c>
      <c r="D7" s="19">
        <v>225</v>
      </c>
      <c r="E7" s="3">
        <f t="shared" si="1"/>
        <v>137.739130425</v>
      </c>
      <c r="H7" s="22" t="s">
        <v>13</v>
      </c>
      <c r="I7" s="23">
        <v>176</v>
      </c>
      <c r="J7" s="17">
        <f>137.74+0.01</f>
        <v>137.75</v>
      </c>
      <c r="K7" s="24">
        <f t="shared" si="2"/>
        <v>313.75</v>
      </c>
      <c r="L7" s="15"/>
    </row>
    <row r="8" s="3" customFormat="1" ht="30" customHeight="1" spans="1:12">
      <c r="A8" s="19"/>
      <c r="B8" s="20">
        <v>287.5</v>
      </c>
      <c r="C8" s="21">
        <f t="shared" si="0"/>
        <v>0.0765217391</v>
      </c>
      <c r="D8" s="19">
        <v>225</v>
      </c>
      <c r="E8" s="3">
        <f t="shared" si="1"/>
        <v>17.2173912975</v>
      </c>
      <c r="H8" s="22" t="s">
        <v>14</v>
      </c>
      <c r="I8" s="23">
        <v>22</v>
      </c>
      <c r="J8" s="17">
        <v>17.22</v>
      </c>
      <c r="K8" s="24">
        <f t="shared" si="2"/>
        <v>39.22</v>
      </c>
      <c r="L8" s="15"/>
    </row>
    <row r="9" s="3" customFormat="1" ht="30" customHeight="1" spans="1:12">
      <c r="A9" s="19"/>
      <c r="B9" s="20">
        <v>287.5</v>
      </c>
      <c r="C9" s="21">
        <f t="shared" si="0"/>
        <v>0.0573913043</v>
      </c>
      <c r="D9" s="19">
        <v>225</v>
      </c>
      <c r="E9" s="3">
        <f t="shared" si="1"/>
        <v>12.9130434675</v>
      </c>
      <c r="H9" s="22" t="s">
        <v>15</v>
      </c>
      <c r="I9" s="23">
        <v>16.5</v>
      </c>
      <c r="J9" s="17">
        <v>12.91</v>
      </c>
      <c r="K9" s="24">
        <f t="shared" si="2"/>
        <v>29.41</v>
      </c>
      <c r="L9" s="15"/>
    </row>
    <row r="10" s="3" customFormat="1" ht="30" customHeight="1" spans="1:12">
      <c r="A10" s="19"/>
      <c r="B10" s="20"/>
      <c r="C10" s="21"/>
      <c r="D10" s="19"/>
      <c r="E10" s="3"/>
      <c r="H10" s="25" t="s">
        <v>16</v>
      </c>
      <c r="I10" s="23">
        <f>SUM(I4:I9)</f>
        <v>287.5</v>
      </c>
      <c r="J10" s="17">
        <v>225</v>
      </c>
      <c r="K10" s="24">
        <f>SUM(K4:K9)</f>
        <v>512.5</v>
      </c>
      <c r="L10" s="15"/>
    </row>
  </sheetData>
  <mergeCells count="5">
    <mergeCell ref="H1:L1"/>
    <mergeCell ref="H2:H3"/>
    <mergeCell ref="I2:I3"/>
    <mergeCell ref="J2:J3"/>
    <mergeCell ref="L2:L3"/>
  </mergeCells>
  <printOptions gridLines="1"/>
  <pageMargins left="0.25" right="0.25" top="0.75" bottom="0.75" header="0.298611111111111" footer="0.298611111111111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2023-10-18T01:38:00Z</dcterms:created>
  <dcterms:modified xsi:type="dcterms:W3CDTF">2026-07-01T07:27:23Z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F0AB7CDCF4844D7FA294F3B60B03ED98_13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