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91"/>
  </bookViews>
  <sheets>
    <sheet name="汇总" sheetId="8" r:id="rId1"/>
    <sheet name="肺一科" sheetId="1" r:id="rId2"/>
    <sheet name="老年病科" sheetId="2" r:id="rId3"/>
    <sheet name="内分泌科" sheetId="3" r:id="rId4"/>
    <sheet name="脾胃六（小箱）" sheetId="4" r:id="rId5"/>
    <sheet name="脾胃三" sheetId="5" r:id="rId6"/>
    <sheet name="脾胃一（小箱）" sheetId="6" r:id="rId7"/>
    <sheet name="周围血管（小箱）" sheetId="7" r:id="rId8"/>
  </sheets>
  <definedNames>
    <definedName name="_xlnm.Print_Titles" localSheetId="1">肺一科!$1:$6</definedName>
    <definedName name="_xlnm.Print_Titles" localSheetId="2">老年病科!$1:$6</definedName>
    <definedName name="_xlnm.Print_Titles" localSheetId="3">内分泌科!$1:$6</definedName>
    <definedName name="_xlnm.Print_Titles" localSheetId="4">'脾胃六（小箱）'!$1:$6</definedName>
    <definedName name="_xlnm.Print_Titles" localSheetId="5">脾胃三!$1:$6</definedName>
    <definedName name="_xlnm.Print_Titles" localSheetId="6">'脾胃一（小箱）'!$1:$6</definedName>
    <definedName name="_xlnm.Print_Titles" localSheetId="7">'周围血管（小箱）'!$1:$6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<sst xmlns="http://schemas.openxmlformats.org/spreadsheetml/2006/main" count="193" uniqueCount="37">
  <si>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2026年5月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</si>
  <si>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</si>
  <si>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</si>
  <si>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肺一科</t>
  </si>
  <si>
    <t>供应室</t>
  </si>
  <si>
    <t>老年病科</t>
  </si>
  <si>
    <t>内分泌科</t>
  </si>
  <si>
    <t>脾胃六（小箱）</t>
  </si>
  <si>
    <t>脾胃三</t>
  </si>
  <si>
    <t>脾胃一（小箱）</t>
  </si>
  <si>
    <t>周围血管（小箱）</t>
  </si>
  <si>
    <t>物流费</t>
  </si>
  <si>
    <t>合计</t>
  </si>
  <si>
    <t>叁佰零贰元伍角整</t>
  </si>
  <si>
    <t/>
  </si>
  <si>
    <t>制表人：　　　　　　　　　核算人：　　　　　　　　甲方核算人：</t>
  </si>
  <si>
    <t>黑龙江省铂康医疗灭菌有限公司
2026年5月31日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</si>
  <si>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</si>
  <si>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</si>
  <si>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黑龙江省中医医院（香安院区）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</si>
  <si>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</si>
  <si>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</si>
  <si>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</si>
  <si>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</si>
  <si>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</si>
  <si>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</si>
  <si>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</si>
  <si>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</si>
  <si>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</si>
  <si>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开口器1 舌钳子1 压舌板1/z1530</t>
  </si>
  <si>
    <t>开口器1压舌板1/Z1526</t>
  </si>
  <si>
    <t>单包装包</t>
  </si>
  <si>
    <t>埋线包（盘1镊子2剪刀1）/W6050</t>
  </si>
  <si>
    <t>器械包(ZSD)</t>
  </si>
  <si>
    <t>埋线包（一）</t>
  </si>
  <si>
    <t>剪刀2止血钳1/z1526</t>
  </si>
  <si>
    <t>剪刀2止血钳1探针1/z1526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</si>
</sst>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6" xfId="0" applyNumberFormat="1" applyFont="1" applyFill="1" applyBorder="1" applyAlignment="1">
      <alignment horizontal="center" vertical="center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76200</xdr:rowOff>
    </xdr:from>
    <xdr:to>
      <xdr:col>10</xdr:col>
      <xdr:colOff>795738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76200</xdr:rowOff>
    </xdr:from>
    <xdr:to>
      <xdr:col>10</xdr:col>
      <xdr:colOff>690963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19050</xdr:rowOff>
    </xdr:from>
    <xdr:to>
      <xdr:col>10</xdr:col>
      <xdr:colOff>795738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0374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76200</xdr:rowOff>
    </xdr:from>
    <xdr:to>
      <xdr:col>10</xdr:col>
      <xdr:colOff>700488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4680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161925</xdr:rowOff>
    </xdr:from>
    <xdr:to>
      <xdr:col>10</xdr:col>
      <xdr:colOff>786213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9325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85725</xdr:rowOff>
    </xdr:from>
    <xdr:to>
      <xdr:col>10</xdr:col>
      <xdr:colOff>690963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4670" y="857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5"/>
  <sheetViews>
    <sheetView tabSelected="1" workbookViewId="0">
      <selection activeCell="C4" sqref="C4:E7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v>16.5</v>
      </c>
      <c r="D4" s="20" t="s">
        <v>4</v>
      </c>
      <c r="E4" s="21">
        <v>0</v>
      </c>
    </row>
    <row r="5" customFormat="1" ht="30" customHeight="1" spans="2:5">
      <c r="B5" s="20" t="s">
        <v>5</v>
      </c>
      <c r="C5" s="21">
        <v>16.5</v>
      </c>
      <c r="D5" s="20" t="s">
        <v>6</v>
      </c>
      <c r="E5" s="21">
        <v>16.5</v>
      </c>
    </row>
    <row r="6" customFormat="1" ht="30" customHeight="1" spans="2:5">
      <c r="B6" s="20" t="s">
        <v>7</v>
      </c>
      <c r="C6" s="21">
        <v>115.5</v>
      </c>
      <c r="D6" s="20" t="s">
        <v>8</v>
      </c>
      <c r="E6" s="21">
        <v>22</v>
      </c>
    </row>
    <row r="7" customFormat="1" ht="30" customHeight="1" spans="2:5">
      <c r="B7" s="20" t="s">
        <v>9</v>
      </c>
      <c r="C7" s="21">
        <v>22</v>
      </c>
      <c r="D7" s="20" t="s">
        <v>10</v>
      </c>
      <c r="E7" s="21">
        <v>93.5</v>
      </c>
    </row>
    <row r="8" customFormat="1" ht="30" customHeight="1" spans="2:5">
      <c r="B8" s="20" t="s">
        <v>11</v>
      </c>
      <c r="C8" s="21">
        <f>9*25</f>
        <v>225</v>
      </c>
      <c r="D8" s="20"/>
      <c r="E8" s="22"/>
    </row>
    <row r="9" customFormat="1" ht="30" customHeight="1" spans="2:5">
      <c r="B9" s="19" t="s">
        <v>12</v>
      </c>
      <c r="C9" s="21">
        <f>C4+E4+C5+E5+C6+E6+C7+E7+C8</f>
        <v>527.5</v>
      </c>
      <c r="D9" s="20" t="s">
        <v>13</v>
      </c>
      <c r="E9" s="23" t="s">
        <v>14</v>
      </c>
    </row>
    <row r="10" customFormat="1" ht="30" customHeight="1" spans="2:5">
      <c r="B10" s="24" t="s">
        <v>14</v>
      </c>
      <c r="C10" s="24" t="s">
        <v>14</v>
      </c>
      <c r="D10" s="24" t="s">
        <v>14</v>
      </c>
      <c r="E10" s="24" t="s">
        <v>14</v>
      </c>
    </row>
    <row r="11" customFormat="1" ht="30" customHeight="1" spans="2:5">
      <c r="B11" s="24" t="s">
        <v>15</v>
      </c>
    </row>
    <row r="12" customFormat="1" ht="30" customHeight="1" spans="2:5">
      <c r="B12" s="25" t="s">
        <v>16</v>
      </c>
    </row>
    <row r="13" ht="30" customHeight="1"/>
    <row r="14" ht="30" customHeight="1"/>
    <row r="15" ht="30" customHeight="1"/>
  </sheetData>
  <mergeCells count="4">
    <mergeCell ref="B2:E2"/>
    <mergeCell ref="D9:E9"/>
    <mergeCell ref="B11:E11"/>
    <mergeCell ref="B12:E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17</v>
      </c>
    </row>
    <row r="2" ht="23.05" customHeight="1"/>
    <row r="3" ht="2" customHeight="1"/>
    <row r="4" ht="15.2" customHeight="1" spans="2:12">
      <c r="B4" s="2" t="s">
        <v>18</v>
      </c>
    </row>
    <row r="6" ht="2.95" customHeight="1"/>
    <row r="7" ht="3.95" customHeight="1" spans="2:12"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</row>
    <row r="8" ht="15" spans="2:12">
      <c r="C8" s="3" t="s">
        <v>14</v>
      </c>
      <c r="D8" s="15" t="s">
        <v>19</v>
      </c>
      <c r="E8" s="8" t="s">
        <v>14</v>
      </c>
      <c r="F8" s="8" t="s">
        <v>14</v>
      </c>
      <c r="G8" s="8" t="s">
        <v>14</v>
      </c>
      <c r="H8" s="8" t="s">
        <v>14</v>
      </c>
      <c r="I8" s="16"/>
      <c r="J8" s="17"/>
      <c r="K8" s="17"/>
    </row>
    <row r="9" spans="2:12">
      <c r="C9" s="3" t="s">
        <v>14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</row>
    <row r="10" ht="14.25" spans="2:12">
      <c r="D10" s="7" t="s">
        <v>3</v>
      </c>
      <c r="E10" s="8" t="s">
        <v>14</v>
      </c>
      <c r="F10" s="8" t="s">
        <v>14</v>
      </c>
      <c r="G10" s="8" t="s">
        <v>14</v>
      </c>
      <c r="H10" s="8" t="s">
        <v>14</v>
      </c>
      <c r="I10" s="9">
        <v>1</v>
      </c>
      <c r="J10" s="10"/>
      <c r="K10" s="10">
        <v>16.5</v>
      </c>
      <c r="L10">
        <f>K10+老年病科!K8+内分泌科!K8+'脾胃六（小箱）'!K8+脾胃三!K8+'脾胃一（小箱）'!K8+'周围血管（小箱）'!K8</f>
        <v>302.5</v>
      </c>
    </row>
    <row r="11" spans="2:12">
      <c r="D11" s="11">
        <v>46153</v>
      </c>
      <c r="E11" s="12">
        <v>1602109</v>
      </c>
      <c r="F11" s="12" t="s">
        <v>28</v>
      </c>
      <c r="G11" s="13">
        <v>20422624</v>
      </c>
      <c r="H11" s="12" t="s">
        <v>29</v>
      </c>
      <c r="I11" s="13">
        <v>1</v>
      </c>
      <c r="J11" s="14">
        <v>16.5</v>
      </c>
      <c r="K11" s="14">
        <v>16.5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5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16.5</v>
      </c>
    </row>
    <row r="9" spans="1:11">
      <c r="D9" s="11">
        <v>46171</v>
      </c>
      <c r="E9" s="12">
        <v>1607691</v>
      </c>
      <c r="F9" s="12" t="s">
        <v>28</v>
      </c>
      <c r="G9" s="13">
        <v>20422624</v>
      </c>
      <c r="H9" s="12" t="s">
        <v>29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4" sqref="L24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6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16.5</v>
      </c>
    </row>
    <row r="9" spans="1:11">
      <c r="D9" s="11">
        <v>46171</v>
      </c>
      <c r="E9" s="12">
        <v>1607690</v>
      </c>
      <c r="F9" s="12" t="s">
        <v>28</v>
      </c>
      <c r="G9" s="13">
        <v>20421667</v>
      </c>
      <c r="H9" s="12" t="s">
        <v>30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375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7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6</v>
      </c>
      <c r="J8" s="10"/>
      <c r="K8" s="10">
        <v>115.5</v>
      </c>
    </row>
    <row r="9" spans="1:11">
      <c r="D9" s="11">
        <v>46153</v>
      </c>
      <c r="E9" s="12">
        <v>1602110</v>
      </c>
      <c r="F9" s="12" t="s">
        <v>31</v>
      </c>
      <c r="G9" s="13">
        <v>20417265</v>
      </c>
      <c r="H9" s="12" t="s">
        <v>32</v>
      </c>
      <c r="I9" s="13">
        <v>1</v>
      </c>
      <c r="J9" s="14">
        <v>22</v>
      </c>
      <c r="K9" s="14">
        <v>22</v>
      </c>
    </row>
    <row r="10" spans="1:11">
      <c r="D10" s="11">
        <v>46155</v>
      </c>
      <c r="E10" s="12">
        <v>1602817</v>
      </c>
      <c r="F10" s="12" t="s">
        <v>33</v>
      </c>
      <c r="G10" s="13">
        <v>20410082</v>
      </c>
      <c r="H10" s="12" t="s">
        <v>34</v>
      </c>
      <c r="I10" s="13">
        <v>1</v>
      </c>
      <c r="J10" s="14">
        <v>16.5</v>
      </c>
      <c r="K10" s="14">
        <v>16.5</v>
      </c>
    </row>
    <row r="11" spans="1:11">
      <c r="D11" s="11">
        <v>46160</v>
      </c>
      <c r="E11" s="12">
        <v>1604095</v>
      </c>
      <c r="F11" s="12" t="s">
        <v>31</v>
      </c>
      <c r="G11" s="13">
        <v>20417265</v>
      </c>
      <c r="H11" s="12" t="s">
        <v>32</v>
      </c>
      <c r="I11" s="13">
        <v>1</v>
      </c>
      <c r="J11" s="14">
        <v>22</v>
      </c>
      <c r="K11" s="14">
        <v>22</v>
      </c>
    </row>
    <row r="12" spans="1:11">
      <c r="D12" s="11">
        <v>46162</v>
      </c>
      <c r="E12" s="12">
        <v>1604913</v>
      </c>
      <c r="F12" s="12" t="s">
        <v>33</v>
      </c>
      <c r="G12" s="13">
        <v>20410082</v>
      </c>
      <c r="H12" s="12" t="s">
        <v>34</v>
      </c>
      <c r="I12" s="13">
        <v>1</v>
      </c>
      <c r="J12" s="14">
        <v>16.5</v>
      </c>
      <c r="K12" s="14">
        <v>16.5</v>
      </c>
    </row>
    <row r="13" spans="1:11">
      <c r="D13" s="11">
        <v>46167</v>
      </c>
      <c r="E13" s="12">
        <v>1606166</v>
      </c>
      <c r="F13" s="12" t="s">
        <v>31</v>
      </c>
      <c r="G13" s="13">
        <v>20417265</v>
      </c>
      <c r="H13" s="12" t="s">
        <v>32</v>
      </c>
      <c r="I13" s="13">
        <v>1</v>
      </c>
      <c r="J13" s="14">
        <v>22</v>
      </c>
      <c r="K13" s="14">
        <v>22</v>
      </c>
    </row>
    <row r="14" spans="1:11">
      <c r="D14" s="11">
        <v>46169</v>
      </c>
      <c r="E14" s="12">
        <v>1606940</v>
      </c>
      <c r="F14" s="12" t="s">
        <v>33</v>
      </c>
      <c r="G14" s="13">
        <v>20410082</v>
      </c>
      <c r="H14" s="12" t="s">
        <v>34</v>
      </c>
      <c r="I14" s="13">
        <v>1</v>
      </c>
      <c r="J14" s="14">
        <v>16.5</v>
      </c>
      <c r="K14" s="14">
        <v>16.5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875" customWidth="1"/>
    <col min="7" max="7" width="9.36666666666667" customWidth="1"/>
    <col min="8" max="8" width="27.87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8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22</v>
      </c>
    </row>
    <row r="9" spans="1:11">
      <c r="D9" s="11">
        <v>46148</v>
      </c>
      <c r="E9" s="12">
        <v>1600541</v>
      </c>
      <c r="F9" s="12" t="s">
        <v>31</v>
      </c>
      <c r="G9" s="13">
        <v>20417265</v>
      </c>
      <c r="H9" s="12" t="s">
        <v>32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75" customWidth="1"/>
    <col min="7" max="7" width="9.36666666666667" customWidth="1"/>
    <col min="8" max="8" width="27.2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9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22</v>
      </c>
    </row>
    <row r="9" spans="1:11">
      <c r="D9" s="11">
        <v>46148</v>
      </c>
      <c r="E9" s="12">
        <v>1600542</v>
      </c>
      <c r="F9" s="12" t="s">
        <v>31</v>
      </c>
      <c r="G9" s="13">
        <v>20417265</v>
      </c>
      <c r="H9" s="12" t="s">
        <v>32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875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10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4</v>
      </c>
      <c r="J8" s="10"/>
      <c r="K8" s="10">
        <v>93.5</v>
      </c>
    </row>
    <row r="9" spans="1:11">
      <c r="D9" s="11">
        <v>46148</v>
      </c>
      <c r="E9" s="12">
        <v>1600540</v>
      </c>
      <c r="F9" s="12" t="s">
        <v>28</v>
      </c>
      <c r="G9" s="13">
        <v>20422206</v>
      </c>
      <c r="H9" s="12" t="s">
        <v>35</v>
      </c>
      <c r="I9" s="13">
        <v>1</v>
      </c>
      <c r="J9" s="14">
        <v>22</v>
      </c>
      <c r="K9" s="14">
        <v>22</v>
      </c>
    </row>
    <row r="10" spans="1:11">
      <c r="D10" s="11">
        <v>46153</v>
      </c>
      <c r="E10" s="12">
        <v>1602111</v>
      </c>
      <c r="F10" s="12" t="s">
        <v>28</v>
      </c>
      <c r="G10" s="13">
        <v>20422206</v>
      </c>
      <c r="H10" s="12" t="s">
        <v>35</v>
      </c>
      <c r="I10" s="13">
        <v>1</v>
      </c>
      <c r="J10" s="14">
        <v>22</v>
      </c>
      <c r="K10" s="14">
        <v>22</v>
      </c>
    </row>
    <row r="11" spans="1:11">
      <c r="D11" s="11">
        <v>46157</v>
      </c>
      <c r="E11" s="12">
        <v>1603576</v>
      </c>
      <c r="F11" s="12" t="s">
        <v>28</v>
      </c>
      <c r="G11" s="13">
        <v>20422206</v>
      </c>
      <c r="H11" s="12" t="s">
        <v>35</v>
      </c>
      <c r="I11" s="13">
        <v>1</v>
      </c>
      <c r="J11" s="14">
        <v>22</v>
      </c>
      <c r="K11" s="14">
        <v>22</v>
      </c>
    </row>
    <row r="12" spans="1:11">
      <c r="D12" s="11">
        <v>46171</v>
      </c>
      <c r="E12" s="12">
        <v>1607692</v>
      </c>
      <c r="F12" s="12" t="s">
        <v>28</v>
      </c>
      <c r="G12" s="13">
        <v>20427681</v>
      </c>
      <c r="H12" s="12" t="s">
        <v>36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12:55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肺一科</vt:lpstr>
      <vt:lpstr>老年病科</vt:lpstr>
      <vt:lpstr>内分泌科</vt:lpstr>
      <vt:lpstr>脾胃六（小箱）</vt:lpstr>
      <vt:lpstr>脾胃三</vt:lpstr>
      <vt:lpstr>脾胃一（小箱）</vt:lpstr>
      <vt:lpstr>周围血管（小箱）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2026-06-04T04:55:00Z</dcterms:created>
  <dcterms:modified xsi:type="dcterms:W3CDTF">2026-06-11T05:13:16Z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A2C92DAC73F64BCCAC3F7CDEBBF08876_13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