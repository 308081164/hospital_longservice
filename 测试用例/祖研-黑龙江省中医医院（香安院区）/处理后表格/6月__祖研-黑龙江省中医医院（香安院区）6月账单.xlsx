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155" windowHeight="11655" firstSheet="2"/>
  </bookViews>
  <sheets>
    <sheet name="汇总" sheetId="7" r:id="rId1"/>
    <sheet name="耳鼻喉科" sheetId="1" r:id="rId2"/>
    <sheet name="骨一，二科" sheetId="2" r:id="rId3"/>
    <sheet name="内分泌三、老年病二科" sheetId="3" r:id="rId4"/>
    <sheet name="脾胃六（小箱）" sheetId="4" r:id="rId5"/>
    <sheet name="脾胃一（小箱）" sheetId="5" r:id="rId6"/>
    <sheet name="针灸一科" sheetId="6" r:id="rId7"/>
  </sheets>
  <definedNames>
    <definedName name="_xlnm.Print_Titles" localSheetId="1">耳鼻喉科!$1:$6</definedName>
    <definedName name="_xlnm.Print_Titles" localSheetId="2">'骨一，二科'!$1:$6</definedName>
    <definedName name="_xlnm.Print_Titles" localSheetId="3">内分泌三、老年病二科!$1:$6</definedName>
    <definedName name="_xlnm.Print_Titles" localSheetId="4">'脾胃六（小箱）'!$1:$6</definedName>
    <definedName name="_xlnm.Print_Titles" localSheetId="5">'脾胃一（小箱）'!$1:$6</definedName>
    <definedName name="_xlnm.Print_Titles" localSheetId="6">针灸一科!$1:$6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<sst xmlns="http://schemas.openxmlformats.org/spreadsheetml/2006/main" count="172" uniqueCount="33">
  <si>
    <r>
      <rPr>
        <b/>
        <sz val="14"/>
        <color rgb="FF000000"/>
        <rFont val="宋体"/>
        <charset val="134"/>
      </rPr>
      <t>祖研-黑龙江省中医医院（香安院区）</t>
    </r>
    <r>
      <rPr>
        <b/>
        <sz val="14"/>
        <color rgb="FF000000"/>
        <rFont val="宋体"/>
        <charset val="134"/>
      </rPr>
      <t>各科室</t>
    </r>
    <r>
      <rPr>
        <b/>
        <sz val="14"/>
        <color rgb="FF000000"/>
        <rFont val="宋体"/>
        <charset val="134"/>
      </rPr>
      <t>2026年6月</t>
    </r>
    <r>
      <rPr>
        <b/>
        <sz val="14"/>
        <color rgb="FF000000"/>
        <rFont val="宋体"/>
        <charset val="134"/>
      </rPr>
      <t>灭菌价格汇总</t>
    </r>
  </si>
  <si>
    <t>科室</t>
  </si>
  <si>
    <t>价格</t>
  </si>
  <si>
    <t>耳鼻喉科</t>
  </si>
  <si>
    <t>供应室</t>
  </si>
  <si>
    <t>骨一，二科</t>
  </si>
  <si>
    <t>内分泌三、老年病二科</t>
  </si>
  <si>
    <t>脾胃六（小箱）</t>
  </si>
  <si>
    <t>脾胃一（小箱）</t>
  </si>
  <si>
    <t>针灸一科</t>
  </si>
  <si>
    <t>物流费</t>
  </si>
  <si>
    <t>合计</t>
  </si>
  <si>
    <t/>
  </si>
  <si>
    <t>黑龙江省铂康医疗灭菌有限公司
2026年6月30日</t>
  </si>
  <si>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</si>
  <si>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</si>
  <si>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r>
      <t>祖研</t>
    </r>
    <r>
      <rPr>
        <sz val="12"/>
        <color rgb="FFFFFFFF"/>
        <rFont val="Droid Sans Fallback"/>
        <charset val="134"/>
      </rPr>
      <t>-</t>
    </r>
    <r>
      <rPr>
        <sz val="12"/>
        <color rgb="FFFFFFFF"/>
        <rFont val="宋体"/>
        <charset val="134"/>
      </rPr>
      <t>黑龙江省中医医院（香安院区）</t>
    </r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</si>
  <si>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</si>
  <si>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</si>
  <si>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</si>
  <si>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</si>
  <si>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</si>
  <si>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</si>
  <si>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</si>
  <si>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</si>
  <si>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额外包(纸塑袋)</t>
  </si>
  <si>
    <t>镊子-1/z7526</t>
  </si>
  <si>
    <t>剥离子-1/Z7534</t>
  </si>
  <si>
    <t>开口器1 舌钳子1 压舌板1/z1530</t>
  </si>
  <si>
    <t>单包装包</t>
  </si>
  <si>
    <t>埋线包（盘1镊子2剪刀1）/W6050</t>
  </si>
  <si>
    <t>器械包(ZSD)</t>
  </si>
  <si>
    <t>埋线包（一）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</si>
</sst>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  <numFmt numFmtId="178" formatCode="[DBNum2][$RMB]General;[Red][DBNum2][$RMB]General"/>
  </numFmts>
  <fonts count="32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rgb="FF000000"/>
      <name val="宋体"/>
      <charset val="134"/>
    </font>
    <font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1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4" borderId="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10" applyNumberFormat="0" applyAlignment="0" applyProtection="0">
      <alignment vertical="center"/>
    </xf>
    <xf numFmtId="0" fontId="21" fillId="6" borderId="11" applyNumberFormat="0" applyAlignment="0" applyProtection="0">
      <alignment vertical="center"/>
    </xf>
    <xf numFmtId="0" fontId="22" fillId="6" borderId="10" applyNumberFormat="0" applyAlignment="0" applyProtection="0">
      <alignment vertical="center"/>
    </xf>
    <xf numFmtId="0" fontId="23" fillId="7" borderId="12" applyNumberFormat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1" fillId="0" borderId="0"/>
  </cellStyleXfs>
  <cellXfs count="26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3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1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4" fillId="2" borderId="3" xfId="49" applyNumberFormat="1" applyFont="1" applyFill="1" applyBorder="1" applyAlignment="1">
      <alignment vertical="top" wrapText="1" readingOrder="1"/>
    </xf>
    <xf numFmtId="0" fontId="0" fillId="0" borderId="4" xfId="49" applyNumberFormat="1" applyFont="1" applyFill="1" applyBorder="1" applyAlignment="1">
      <alignment vertical="top" wrapText="1"/>
    </xf>
    <xf numFmtId="0" fontId="4" fillId="2" borderId="3" xfId="49" applyNumberFormat="1" applyFont="1" applyFill="1" applyBorder="1" applyAlignment="1">
      <alignment horizontal="center" vertical="top" wrapText="1" readingOrder="1"/>
    </xf>
    <xf numFmtId="176" fontId="4" fillId="2" borderId="3" xfId="49" applyNumberFormat="1" applyFont="1" applyFill="1" applyBorder="1" applyAlignment="1">
      <alignment horizontal="center" vertical="top" wrapText="1" readingOrder="1"/>
    </xf>
    <xf numFmtId="177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horizontal="center" vertical="top" wrapText="1" readingOrder="1"/>
    </xf>
    <xf numFmtId="176" fontId="3" fillId="0" borderId="3" xfId="49" applyNumberFormat="1" applyFont="1" applyFill="1" applyBorder="1" applyAlignment="1">
      <alignment horizontal="center" vertical="top" wrapText="1" readingOrder="1"/>
    </xf>
    <xf numFmtId="0" fontId="5" fillId="3" borderId="3" xfId="49" applyNumberFormat="1" applyFont="1" applyFill="1" applyBorder="1" applyAlignment="1">
      <alignment vertical="top" wrapText="1" readingOrder="1"/>
    </xf>
    <xf numFmtId="0" fontId="6" fillId="3" borderId="3" xfId="49" applyNumberFormat="1" applyFont="1" applyFill="1" applyBorder="1" applyAlignment="1">
      <alignment horizontal="center" vertical="top" wrapText="1" readingOrder="1"/>
    </xf>
    <xf numFmtId="176" fontId="6" fillId="3" borderId="3" xfId="49" applyNumberFormat="1" applyFont="1" applyFill="1" applyBorder="1" applyAlignment="1">
      <alignment horizontal="center" vertical="top" wrapText="1" readingOrder="1"/>
    </xf>
    <xf numFmtId="0" fontId="7" fillId="0" borderId="0" xfId="49" applyNumberFormat="1" applyFont="1" applyFill="1" applyBorder="1" applyAlignment="1">
      <alignment horizontal="center" vertical="center" wrapText="1" readingOrder="1"/>
    </xf>
    <xf numFmtId="0" fontId="8" fillId="0" borderId="5" xfId="49" applyNumberFormat="1" applyFont="1" applyFill="1" applyBorder="1" applyAlignment="1">
      <alignment horizontal="center" vertical="center" wrapText="1" readingOrder="1"/>
    </xf>
    <xf numFmtId="0" fontId="9" fillId="0" borderId="5" xfId="49" applyNumberFormat="1" applyFont="1" applyFill="1" applyBorder="1" applyAlignment="1">
      <alignment horizontal="center" vertical="center" wrapText="1" readingOrder="1"/>
    </xf>
    <xf numFmtId="176" fontId="9" fillId="0" borderId="5" xfId="49" applyNumberFormat="1" applyFont="1" applyFill="1" applyBorder="1" applyAlignment="1">
      <alignment horizontal="center" vertical="center" wrapText="1" readingOrder="1"/>
    </xf>
    <xf numFmtId="178" fontId="9" fillId="0" borderId="5" xfId="49" applyNumberFormat="1" applyFont="1" applyFill="1" applyBorder="1" applyAlignment="1">
      <alignment horizontal="center" vertical="center" wrapText="1" readingOrder="1"/>
    </xf>
    <xf numFmtId="178" fontId="0" fillId="0" borderId="6" xfId="49" applyNumberFormat="1" applyFont="1" applyFill="1" applyBorder="1" applyAlignment="1">
      <alignment vertical="top" wrapText="1"/>
    </xf>
    <xf numFmtId="0" fontId="10" fillId="0" borderId="0" xfId="49" applyNumberFormat="1" applyFont="1" applyFill="1" applyBorder="1" applyAlignment="1">
      <alignment horizontal="left" vertical="top" wrapText="1" readingOrder="1"/>
    </xf>
    <xf numFmtId="0" fontId="10" fillId="0" borderId="0" xfId="49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361950</xdr:colOff>
      <xdr:row>0</xdr:row>
      <xdr:rowOff>152400</xdr:rowOff>
    </xdr:from>
    <xdr:to>
      <xdr:col>10</xdr:col>
      <xdr:colOff>871938</xdr:colOff>
      <xdr:row>3</xdr:row>
      <xdr:rowOff>171450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037070" y="15240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238125</xdr:colOff>
      <xdr:row>0</xdr:row>
      <xdr:rowOff>123825</xdr:rowOff>
    </xdr:from>
    <xdr:to>
      <xdr:col>10</xdr:col>
      <xdr:colOff>748113</xdr:colOff>
      <xdr:row>3</xdr:row>
      <xdr:rowOff>142875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61175" y="123825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200025</xdr:colOff>
      <xdr:row>0</xdr:row>
      <xdr:rowOff>76200</xdr:rowOff>
    </xdr:from>
    <xdr:to>
      <xdr:col>10</xdr:col>
      <xdr:colOff>710013</xdr:colOff>
      <xdr:row>3</xdr:row>
      <xdr:rowOff>95250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23075" y="76200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285750</xdr:colOff>
      <xdr:row>1</xdr:row>
      <xdr:rowOff>9525</xdr:rowOff>
    </xdr:from>
    <xdr:to>
      <xdr:col>10</xdr:col>
      <xdr:colOff>795738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018020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314325</xdr:colOff>
      <xdr:row>1</xdr:row>
      <xdr:rowOff>28575</xdr:rowOff>
    </xdr:from>
    <xdr:to>
      <xdr:col>10</xdr:col>
      <xdr:colOff>824313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078980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342900</xdr:colOff>
      <xdr:row>0</xdr:row>
      <xdr:rowOff>152400</xdr:rowOff>
    </xdr:from>
    <xdr:to>
      <xdr:col>10</xdr:col>
      <xdr:colOff>852888</xdr:colOff>
      <xdr:row>3</xdr:row>
      <xdr:rowOff>171450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98970" y="15240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12"/>
  <sheetViews>
    <sheetView tabSelected="1" view="pageBreakPreview" zoomScaleNormal="100" workbookViewId="0">
      <selection activeCell="D20" sqref="D20"/>
    </sheetView>
  </sheetViews>
  <sheetFormatPr defaultColWidth="9" defaultRowHeight="13.5" outlineLevelCol="4"/>
  <cols>
    <col min="1" max="1" width="1.69166666666667" customWidth="1"/>
    <col min="2" max="2" width="30.1916666666667" customWidth="1"/>
    <col min="3" max="3" width="12.8333333333333" customWidth="1"/>
    <col min="4" max="4" width="29.6" customWidth="1"/>
    <col min="5" max="5" width="12.5416666666667" customWidth="1"/>
    <col min="6" max="6" width="2" customWidth="1"/>
  </cols>
  <sheetData>
    <row r="1" customFormat="1" ht="14.95" customHeight="1"/>
    <row r="2" customFormat="1" ht="25.5" customHeight="1" spans="2:5">
      <c r="B2" s="18" t="s">
        <v>0</v>
      </c>
    </row>
    <row r="3" customFormat="1" ht="30" customHeight="1" spans="2:5">
      <c r="B3" s="19" t="s">
        <v>1</v>
      </c>
      <c r="C3" s="19" t="s">
        <v>2</v>
      </c>
      <c r="D3" s="19" t="s">
        <v>1</v>
      </c>
      <c r="E3" s="19" t="s">
        <v>2</v>
      </c>
    </row>
    <row r="4" customFormat="1" ht="30" customHeight="1" spans="2:5">
      <c r="B4" s="20" t="s">
        <v>3</v>
      </c>
      <c r="C4" s="21">
        <v>40</v>
      </c>
      <c r="D4" s="20" t="s">
        <v>4</v>
      </c>
      <c r="E4" s="21">
        <v>0</v>
      </c>
    </row>
    <row r="5" customFormat="1" ht="30" customHeight="1" spans="2:5">
      <c r="B5" s="20" t="s">
        <v>5</v>
      </c>
      <c r="C5" s="21">
        <v>16.5</v>
      </c>
      <c r="D5" s="20" t="s">
        <v>6</v>
      </c>
      <c r="E5" s="21">
        <v>16.5</v>
      </c>
    </row>
    <row r="6" customFormat="1" ht="30" customHeight="1" spans="2:5">
      <c r="B6" s="20" t="s">
        <v>7</v>
      </c>
      <c r="C6" s="21">
        <v>176</v>
      </c>
      <c r="D6" s="20" t="s">
        <v>8</v>
      </c>
      <c r="E6" s="21">
        <v>22</v>
      </c>
    </row>
    <row r="7" customFormat="1" ht="30" customHeight="1" spans="2:5">
      <c r="B7" s="20" t="s">
        <v>9</v>
      </c>
      <c r="C7" s="21">
        <v>16.5</v>
      </c>
      <c r="D7" s="20" t="s">
        <v>10</v>
      </c>
      <c r="E7" s="20">
        <f>9*25</f>
        <v>225</v>
      </c>
    </row>
    <row r="8" customFormat="1" ht="30" customHeight="1" spans="2:5">
      <c r="B8" s="19" t="s">
        <v>11</v>
      </c>
      <c r="C8" s="21">
        <f>C4+C5+C6+C7+E5+E6+E7</f>
        <v>512.5</v>
      </c>
      <c r="D8" s="22">
        <f>C8</f>
        <v>512.5</v>
      </c>
      <c r="E8" s="23" t="s">
        <v>12</v>
      </c>
    </row>
    <row r="9" customFormat="1" ht="30" customHeight="1" spans="2:5">
      <c r="B9" s="24" t="s">
        <v>12</v>
      </c>
      <c r="C9" s="24" t="s">
        <v>12</v>
      </c>
      <c r="D9" s="24" t="s">
        <v>12</v>
      </c>
      <c r="E9" s="24" t="s">
        <v>12</v>
      </c>
    </row>
    <row r="10" customFormat="1" ht="30" customHeight="1" spans="2:5">
      <c r="B10" s="24"/>
    </row>
    <row r="11" customFormat="1" ht="27.75" customHeight="1" spans="2:5">
      <c r="B11" s="25" t="s">
        <v>13</v>
      </c>
    </row>
    <row r="12" customFormat="1" ht="0.05" customHeight="1"/>
  </sheetData>
  <mergeCells count="4">
    <mergeCell ref="B2:E2"/>
    <mergeCell ref="D8:E8"/>
    <mergeCell ref="B10:E10"/>
    <mergeCell ref="B11:E11"/>
  </mergeCells>
  <pageMargins left="0.25" right="0.25" top="0.75" bottom="0.75" header="0.298611111111111" footer="0.298611111111111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view="pageBreakPreview" zoomScaleNormal="100" workbookViewId="0">
      <pane ySplit="6" topLeftCell="A7" activePane="bottomLeft" state="frozen"/>
      <selection/>
      <selection pane="bottomLeft" activeCell="N22" sqref="N2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5.5" customWidth="1"/>
    <col min="9" max="9" width="6.475" customWidth="1"/>
    <col min="10" max="10" width="12.2083333333333" customWidth="1"/>
    <col min="11" max="11" width="12.25" customWidth="1"/>
  </cols>
  <sheetData>
    <row r="1" spans="2:11">
      <c r="C1" s="1" t="s">
        <v>14</v>
      </c>
    </row>
    <row r="2" ht="23.05" customHeight="1"/>
    <row r="3" ht="2" customHeight="1"/>
    <row r="4" ht="15.2" customHeight="1" spans="2:11">
      <c r="B4" s="2" t="s">
        <v>15</v>
      </c>
    </row>
    <row r="6" ht="2.95" customHeight="1"/>
    <row r="7" ht="3.95" customHeight="1" spans="2:11">
      <c r="B7" s="4" t="s">
        <v>12</v>
      </c>
      <c r="C7" s="4" t="s">
        <v>12</v>
      </c>
      <c r="D7" s="4" t="s">
        <v>12</v>
      </c>
      <c r="E7" s="4" t="s">
        <v>12</v>
      </c>
      <c r="F7" s="4" t="s">
        <v>12</v>
      </c>
      <c r="G7" s="4" t="s">
        <v>12</v>
      </c>
      <c r="H7" s="4" t="s">
        <v>12</v>
      </c>
      <c r="I7" s="4" t="s">
        <v>12</v>
      </c>
      <c r="J7" s="4" t="s">
        <v>12</v>
      </c>
      <c r="K7" s="4" t="s">
        <v>12</v>
      </c>
    </row>
    <row r="8" ht="15" spans="2:11">
      <c r="C8" s="3" t="s">
        <v>12</v>
      </c>
      <c r="D8" s="15" t="s">
        <v>16</v>
      </c>
      <c r="E8" s="8" t="s">
        <v>12</v>
      </c>
      <c r="F8" s="8" t="s">
        <v>12</v>
      </c>
      <c r="G8" s="8" t="s">
        <v>12</v>
      </c>
      <c r="H8" s="8" t="s">
        <v>12</v>
      </c>
      <c r="I8" s="16"/>
      <c r="J8" s="17"/>
      <c r="K8" s="17"/>
    </row>
    <row r="9" spans="2:11">
      <c r="C9" s="3" t="s">
        <v>12</v>
      </c>
      <c r="D9" s="13" t="s">
        <v>17</v>
      </c>
      <c r="E9" s="13" t="s">
        <v>18</v>
      </c>
      <c r="F9" s="13" t="s">
        <v>19</v>
      </c>
      <c r="G9" s="13" t="s">
        <v>20</v>
      </c>
      <c r="H9" s="13" t="s">
        <v>21</v>
      </c>
      <c r="I9" s="13" t="s">
        <v>22</v>
      </c>
      <c r="J9" s="13" t="s">
        <v>23</v>
      </c>
      <c r="K9" s="13" t="s">
        <v>24</v>
      </c>
    </row>
    <row r="10" ht="14.25" spans="2:11">
      <c r="D10" s="7" t="s">
        <v>3</v>
      </c>
      <c r="E10" s="8" t="s">
        <v>12</v>
      </c>
      <c r="F10" s="8" t="s">
        <v>12</v>
      </c>
      <c r="G10" s="8" t="s">
        <v>12</v>
      </c>
      <c r="H10" s="8" t="s">
        <v>12</v>
      </c>
      <c r="I10" s="9">
        <v>5</v>
      </c>
      <c r="J10" s="10"/>
      <c r="K10" s="10">
        <v>40</v>
      </c>
    </row>
    <row r="11" spans="2:11">
      <c r="D11" s="11">
        <v>46174</v>
      </c>
      <c r="E11" s="12">
        <v>1608132</v>
      </c>
      <c r="F11" s="12" t="s">
        <v>25</v>
      </c>
      <c r="G11" s="13">
        <v>20420138</v>
      </c>
      <c r="H11" s="12" t="s">
        <v>26</v>
      </c>
      <c r="I11" s="13">
        <v>3</v>
      </c>
      <c r="J11" s="14">
        <v>8</v>
      </c>
      <c r="K11" s="14">
        <v>24</v>
      </c>
    </row>
    <row r="12" spans="2:11">
      <c r="D12" s="11">
        <v>46176</v>
      </c>
      <c r="E12" s="12">
        <v>1608974</v>
      </c>
      <c r="F12" s="12" t="s">
        <v>25</v>
      </c>
      <c r="G12" s="13">
        <v>20428344</v>
      </c>
      <c r="H12" s="12" t="s">
        <v>27</v>
      </c>
      <c r="I12" s="13">
        <v>1</v>
      </c>
      <c r="J12" s="14">
        <v>8</v>
      </c>
      <c r="K12" s="14">
        <v>8</v>
      </c>
    </row>
    <row r="13" spans="2:11">
      <c r="D13" s="11">
        <v>46176</v>
      </c>
      <c r="E13" s="12">
        <v>1608974</v>
      </c>
      <c r="F13" s="12" t="s">
        <v>25</v>
      </c>
      <c r="G13" s="13">
        <v>20420138</v>
      </c>
      <c r="H13" s="12" t="s">
        <v>26</v>
      </c>
      <c r="I13" s="13">
        <v>1</v>
      </c>
      <c r="J13" s="14">
        <v>8</v>
      </c>
      <c r="K13" s="14">
        <v>8</v>
      </c>
    </row>
  </sheetData>
  <mergeCells count="6">
    <mergeCell ref="D8:H8"/>
    <mergeCell ref="D10:H10"/>
    <mergeCell ref="C9:C13"/>
    <mergeCell ref="B4:H5"/>
    <mergeCell ref="A8:B1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&amp;"-,Regular"2026年7月1日 15:13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O13" sqref="O1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14</v>
      </c>
    </row>
    <row r="2" ht="23.05" customHeight="1"/>
    <row r="3" ht="2" customHeight="1"/>
    <row r="4" ht="15.2" customHeight="1" spans="1:11">
      <c r="B4" s="2" t="s">
        <v>15</v>
      </c>
    </row>
    <row r="6" ht="2.95" customHeight="1"/>
    <row r="7" spans="1:11">
      <c r="A7" s="3" t="s">
        <v>12</v>
      </c>
      <c r="B7" s="4" t="s">
        <v>12</v>
      </c>
      <c r="C7" s="5" t="s">
        <v>12</v>
      </c>
      <c r="D7" s="6" t="s">
        <v>17</v>
      </c>
      <c r="E7" s="6" t="s">
        <v>18</v>
      </c>
      <c r="F7" s="6" t="s">
        <v>19</v>
      </c>
      <c r="G7" s="6" t="s">
        <v>20</v>
      </c>
      <c r="H7" s="6" t="s">
        <v>21</v>
      </c>
      <c r="I7" s="6" t="s">
        <v>22</v>
      </c>
      <c r="J7" s="6" t="s">
        <v>23</v>
      </c>
      <c r="K7" s="6" t="s">
        <v>24</v>
      </c>
    </row>
    <row r="8" ht="14.25" spans="1:11">
      <c r="D8" s="7" t="s">
        <v>5</v>
      </c>
      <c r="E8" s="8" t="s">
        <v>12</v>
      </c>
      <c r="F8" s="8" t="s">
        <v>12</v>
      </c>
      <c r="G8" s="8" t="s">
        <v>12</v>
      </c>
      <c r="H8" s="8" t="s">
        <v>12</v>
      </c>
      <c r="I8" s="9">
        <v>1</v>
      </c>
      <c r="J8" s="10"/>
      <c r="K8" s="10">
        <v>16.5</v>
      </c>
    </row>
    <row r="9" spans="1:11">
      <c r="D9" s="11">
        <v>46188</v>
      </c>
      <c r="E9" s="12">
        <v>1612266</v>
      </c>
      <c r="F9" s="12" t="s">
        <v>25</v>
      </c>
      <c r="G9" s="13">
        <v>20422624</v>
      </c>
      <c r="H9" s="12" t="s">
        <v>28</v>
      </c>
      <c r="I9" s="13">
        <v>1</v>
      </c>
      <c r="J9" s="14">
        <v>16.5</v>
      </c>
      <c r="K9" s="14">
        <v>16.5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&amp;"-,Regular"2026年7月1日 15:13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O15" sqref="O1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75" customWidth="1"/>
  </cols>
  <sheetData>
    <row r="1" spans="1:11">
      <c r="C1" s="1" t="s">
        <v>14</v>
      </c>
    </row>
    <row r="2" ht="23.05" customHeight="1"/>
    <row r="3" ht="2" customHeight="1"/>
    <row r="4" ht="15.2" customHeight="1" spans="1:11">
      <c r="B4" s="2" t="s">
        <v>15</v>
      </c>
    </row>
    <row r="6" ht="2.95" customHeight="1"/>
    <row r="7" spans="1:11">
      <c r="A7" s="3" t="s">
        <v>12</v>
      </c>
      <c r="B7" s="4" t="s">
        <v>12</v>
      </c>
      <c r="C7" s="5" t="s">
        <v>12</v>
      </c>
      <c r="D7" s="6" t="s">
        <v>17</v>
      </c>
      <c r="E7" s="6" t="s">
        <v>18</v>
      </c>
      <c r="F7" s="6" t="s">
        <v>19</v>
      </c>
      <c r="G7" s="6" t="s">
        <v>20</v>
      </c>
      <c r="H7" s="6" t="s">
        <v>21</v>
      </c>
      <c r="I7" s="6" t="s">
        <v>22</v>
      </c>
      <c r="J7" s="6" t="s">
        <v>23</v>
      </c>
      <c r="K7" s="6" t="s">
        <v>24</v>
      </c>
    </row>
    <row r="8" ht="14.25" spans="1:11">
      <c r="D8" s="7" t="s">
        <v>6</v>
      </c>
      <c r="E8" s="8" t="s">
        <v>12</v>
      </c>
      <c r="F8" s="8" t="s">
        <v>12</v>
      </c>
      <c r="G8" s="8" t="s">
        <v>12</v>
      </c>
      <c r="H8" s="8" t="s">
        <v>12</v>
      </c>
      <c r="I8" s="9">
        <v>1</v>
      </c>
      <c r="J8" s="10"/>
      <c r="K8" s="10">
        <v>16.5</v>
      </c>
    </row>
    <row r="9" spans="1:11">
      <c r="D9" s="11">
        <v>46176</v>
      </c>
      <c r="E9" s="12">
        <v>1608977</v>
      </c>
      <c r="F9" s="12" t="s">
        <v>25</v>
      </c>
      <c r="G9" s="13">
        <v>20422624</v>
      </c>
      <c r="H9" s="12" t="s">
        <v>28</v>
      </c>
      <c r="I9" s="13">
        <v>1</v>
      </c>
      <c r="J9" s="14">
        <v>16.5</v>
      </c>
      <c r="K9" s="14">
        <v>16.5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&amp;"-,Regular"2026年7月1日 15:13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showGridLines="0" view="pageBreakPreview" zoomScaleNormal="100" workbookViewId="0">
      <pane ySplit="6" topLeftCell="A7" activePane="bottomLeft" state="frozen"/>
      <selection/>
      <selection pane="bottomLeft" activeCell="O11" sqref="O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6.25" customWidth="1"/>
    <col min="9" max="9" width="6.475" customWidth="1"/>
    <col min="10" max="10" width="12.2083333333333" customWidth="1"/>
    <col min="11" max="11" width="12.125" customWidth="1"/>
  </cols>
  <sheetData>
    <row r="1" spans="1:11">
      <c r="C1" s="1" t="s">
        <v>14</v>
      </c>
    </row>
    <row r="2" ht="23.05" customHeight="1"/>
    <row r="3" ht="2" customHeight="1"/>
    <row r="4" ht="15.2" customHeight="1" spans="1:11">
      <c r="B4" s="2" t="s">
        <v>15</v>
      </c>
    </row>
    <row r="6" ht="2.95" customHeight="1"/>
    <row r="7" spans="1:11">
      <c r="A7" s="3" t="s">
        <v>12</v>
      </c>
      <c r="B7" s="4" t="s">
        <v>12</v>
      </c>
      <c r="C7" s="5" t="s">
        <v>12</v>
      </c>
      <c r="D7" s="6" t="s">
        <v>17</v>
      </c>
      <c r="E7" s="6" t="s">
        <v>18</v>
      </c>
      <c r="F7" s="6" t="s">
        <v>19</v>
      </c>
      <c r="G7" s="6" t="s">
        <v>20</v>
      </c>
      <c r="H7" s="6" t="s">
        <v>21</v>
      </c>
      <c r="I7" s="6" t="s">
        <v>22</v>
      </c>
      <c r="J7" s="6" t="s">
        <v>23</v>
      </c>
      <c r="K7" s="6" t="s">
        <v>24</v>
      </c>
    </row>
    <row r="8" ht="14.25" spans="1:11">
      <c r="D8" s="7" t="s">
        <v>7</v>
      </c>
      <c r="E8" s="8" t="s">
        <v>12</v>
      </c>
      <c r="F8" s="8" t="s">
        <v>12</v>
      </c>
      <c r="G8" s="8" t="s">
        <v>12</v>
      </c>
      <c r="H8" s="8" t="s">
        <v>12</v>
      </c>
      <c r="I8" s="9">
        <v>9</v>
      </c>
      <c r="J8" s="10"/>
      <c r="K8" s="10">
        <v>176</v>
      </c>
    </row>
    <row r="9" spans="1:11">
      <c r="D9" s="11">
        <v>46174</v>
      </c>
      <c r="E9" s="12">
        <v>1608133</v>
      </c>
      <c r="F9" s="12" t="s">
        <v>29</v>
      </c>
      <c r="G9" s="13">
        <v>20417265</v>
      </c>
      <c r="H9" s="12" t="s">
        <v>30</v>
      </c>
      <c r="I9" s="13">
        <v>1</v>
      </c>
      <c r="J9" s="14">
        <v>22</v>
      </c>
      <c r="K9" s="14">
        <v>22</v>
      </c>
    </row>
    <row r="10" spans="1:11">
      <c r="D10" s="11">
        <v>46176</v>
      </c>
      <c r="E10" s="12">
        <v>1608975</v>
      </c>
      <c r="F10" s="12" t="s">
        <v>31</v>
      </c>
      <c r="G10" s="13">
        <v>20410082</v>
      </c>
      <c r="H10" s="12" t="s">
        <v>32</v>
      </c>
      <c r="I10" s="13">
        <v>1</v>
      </c>
      <c r="J10" s="14">
        <v>16.5</v>
      </c>
      <c r="K10" s="14">
        <v>16.5</v>
      </c>
    </row>
    <row r="11" spans="1:11">
      <c r="D11" s="11">
        <v>46181</v>
      </c>
      <c r="E11" s="12">
        <v>1610309</v>
      </c>
      <c r="F11" s="12" t="s">
        <v>29</v>
      </c>
      <c r="G11" s="13">
        <v>20417265</v>
      </c>
      <c r="H11" s="12" t="s">
        <v>30</v>
      </c>
      <c r="I11" s="13">
        <v>2</v>
      </c>
      <c r="J11" s="14">
        <v>22</v>
      </c>
      <c r="K11" s="14">
        <v>44</v>
      </c>
    </row>
    <row r="12" spans="1:11">
      <c r="D12" s="11">
        <v>46183</v>
      </c>
      <c r="E12" s="12">
        <v>1611080</v>
      </c>
      <c r="F12" s="12" t="s">
        <v>31</v>
      </c>
      <c r="G12" s="13">
        <v>20410082</v>
      </c>
      <c r="H12" s="12" t="s">
        <v>32</v>
      </c>
      <c r="I12" s="13">
        <v>1</v>
      </c>
      <c r="J12" s="14">
        <v>16.5</v>
      </c>
      <c r="K12" s="14">
        <v>16.5</v>
      </c>
    </row>
    <row r="13" spans="1:11">
      <c r="D13" s="11">
        <v>46188</v>
      </c>
      <c r="E13" s="12">
        <v>1612267</v>
      </c>
      <c r="F13" s="12" t="s">
        <v>31</v>
      </c>
      <c r="G13" s="13">
        <v>20410082</v>
      </c>
      <c r="H13" s="12" t="s">
        <v>32</v>
      </c>
      <c r="I13" s="13">
        <v>1</v>
      </c>
      <c r="J13" s="14">
        <v>16.5</v>
      </c>
      <c r="K13" s="14">
        <v>16.5</v>
      </c>
    </row>
    <row r="14" spans="1:11">
      <c r="D14" s="11">
        <v>46190</v>
      </c>
      <c r="E14" s="12">
        <v>1613058</v>
      </c>
      <c r="F14" s="12" t="s">
        <v>29</v>
      </c>
      <c r="G14" s="13">
        <v>20417265</v>
      </c>
      <c r="H14" s="12" t="s">
        <v>30</v>
      </c>
      <c r="I14" s="13">
        <v>1</v>
      </c>
      <c r="J14" s="14">
        <v>22</v>
      </c>
      <c r="K14" s="14">
        <v>22</v>
      </c>
    </row>
    <row r="15" spans="1:11">
      <c r="D15" s="11">
        <v>46197</v>
      </c>
      <c r="E15" s="12">
        <v>1614838</v>
      </c>
      <c r="F15" s="12" t="s">
        <v>29</v>
      </c>
      <c r="G15" s="13">
        <v>20417265</v>
      </c>
      <c r="H15" s="12" t="s">
        <v>30</v>
      </c>
      <c r="I15" s="13">
        <v>1</v>
      </c>
      <c r="J15" s="14">
        <v>22</v>
      </c>
      <c r="K15" s="14">
        <v>22</v>
      </c>
    </row>
    <row r="16" spans="1:11">
      <c r="D16" s="11">
        <v>46202</v>
      </c>
      <c r="E16" s="12">
        <v>1615988</v>
      </c>
      <c r="F16" s="12" t="s">
        <v>31</v>
      </c>
      <c r="G16" s="13">
        <v>20410082</v>
      </c>
      <c r="H16" s="12" t="s">
        <v>32</v>
      </c>
      <c r="I16" s="13">
        <v>1</v>
      </c>
      <c r="J16" s="14">
        <v>16.5</v>
      </c>
      <c r="K16" s="14">
        <v>16.5</v>
      </c>
    </row>
  </sheetData>
  <mergeCells count="5">
    <mergeCell ref="D8:H8"/>
    <mergeCell ref="C7:C16"/>
    <mergeCell ref="B4:H5"/>
    <mergeCell ref="A7:B1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&amp;"-,Regular"2026年7月1日 15:13 
&amp;"-,Bold"&amp;10 黑龙江省铂康医疗灭菌有限公司 &amp;R&amp;"Droid Sans Fallback"&amp;9第&amp;P页，共&amp;N页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N12" sqref="N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3.5" customWidth="1"/>
    <col min="7" max="7" width="9.36666666666667" customWidth="1"/>
    <col min="8" max="8" width="28.125" customWidth="1"/>
    <col min="9" max="9" width="6.475" customWidth="1"/>
    <col min="10" max="10" width="12.2083333333333" customWidth="1"/>
    <col min="11" max="11" width="12" customWidth="1"/>
  </cols>
  <sheetData>
    <row r="1" spans="1:11">
      <c r="C1" s="1" t="s">
        <v>14</v>
      </c>
    </row>
    <row r="2" ht="23.05" customHeight="1"/>
    <row r="3" ht="2" customHeight="1"/>
    <row r="4" ht="15.2" customHeight="1" spans="1:11">
      <c r="B4" s="2" t="s">
        <v>15</v>
      </c>
    </row>
    <row r="6" ht="2.95" customHeight="1"/>
    <row r="7" spans="1:11">
      <c r="A7" s="3" t="s">
        <v>12</v>
      </c>
      <c r="B7" s="4" t="s">
        <v>12</v>
      </c>
      <c r="C7" s="5" t="s">
        <v>12</v>
      </c>
      <c r="D7" s="6" t="s">
        <v>17</v>
      </c>
      <c r="E7" s="6" t="s">
        <v>18</v>
      </c>
      <c r="F7" s="6" t="s">
        <v>19</v>
      </c>
      <c r="G7" s="6" t="s">
        <v>20</v>
      </c>
      <c r="H7" s="6" t="s">
        <v>21</v>
      </c>
      <c r="I7" s="6" t="s">
        <v>22</v>
      </c>
      <c r="J7" s="6" t="s">
        <v>23</v>
      </c>
      <c r="K7" s="6" t="s">
        <v>24</v>
      </c>
    </row>
    <row r="8" ht="14.25" spans="1:11">
      <c r="D8" s="7" t="s">
        <v>8</v>
      </c>
      <c r="E8" s="8" t="s">
        <v>12</v>
      </c>
      <c r="F8" s="8" t="s">
        <v>12</v>
      </c>
      <c r="G8" s="8" t="s">
        <v>12</v>
      </c>
      <c r="H8" s="8" t="s">
        <v>12</v>
      </c>
      <c r="I8" s="9">
        <v>1</v>
      </c>
      <c r="J8" s="10"/>
      <c r="K8" s="10">
        <v>22</v>
      </c>
    </row>
    <row r="9" spans="1:11">
      <c r="D9" s="11">
        <v>46176</v>
      </c>
      <c r="E9" s="12">
        <v>1608976</v>
      </c>
      <c r="F9" s="12" t="s">
        <v>29</v>
      </c>
      <c r="G9" s="13">
        <v>20417265</v>
      </c>
      <c r="H9" s="12" t="s">
        <v>30</v>
      </c>
      <c r="I9" s="13">
        <v>1</v>
      </c>
      <c r="J9" s="14">
        <v>22</v>
      </c>
      <c r="K9" s="14">
        <v>22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&amp;"-,Regular"2026年7月1日 15:13 
&amp;"-,Bold"&amp;10 黑龙江省铂康医疗灭菌有限公司 &amp;R&amp;"Droid Sans Fallback"&amp;9第&amp;P页，共&amp;N页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M24" sqref="M2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5.25" customWidth="1"/>
    <col min="9" max="9" width="6.475" customWidth="1"/>
    <col min="10" max="10" width="12.2083333333333" customWidth="1"/>
    <col min="11" max="11" width="12" customWidth="1"/>
  </cols>
  <sheetData>
    <row r="1" spans="1:11">
      <c r="C1" s="1" t="s">
        <v>14</v>
      </c>
    </row>
    <row r="2" ht="23.05" customHeight="1"/>
    <row r="3" ht="2" customHeight="1"/>
    <row r="4" ht="15.2" customHeight="1" spans="1:11">
      <c r="B4" s="2" t="s">
        <v>15</v>
      </c>
    </row>
    <row r="6" ht="2.95" customHeight="1"/>
    <row r="7" spans="1:11">
      <c r="A7" s="3" t="s">
        <v>12</v>
      </c>
      <c r="B7" s="4" t="s">
        <v>12</v>
      </c>
      <c r="C7" s="5" t="s">
        <v>12</v>
      </c>
      <c r="D7" s="6" t="s">
        <v>17</v>
      </c>
      <c r="E7" s="6" t="s">
        <v>18</v>
      </c>
      <c r="F7" s="6" t="s">
        <v>19</v>
      </c>
      <c r="G7" s="6" t="s">
        <v>20</v>
      </c>
      <c r="H7" s="6" t="s">
        <v>21</v>
      </c>
      <c r="I7" s="6" t="s">
        <v>22</v>
      </c>
      <c r="J7" s="6" t="s">
        <v>23</v>
      </c>
      <c r="K7" s="6" t="s">
        <v>24</v>
      </c>
    </row>
    <row r="8" ht="14.25" spans="1:11">
      <c r="D8" s="7" t="s">
        <v>9</v>
      </c>
      <c r="E8" s="8" t="s">
        <v>12</v>
      </c>
      <c r="F8" s="8" t="s">
        <v>12</v>
      </c>
      <c r="G8" s="8" t="s">
        <v>12</v>
      </c>
      <c r="H8" s="8" t="s">
        <v>12</v>
      </c>
      <c r="I8" s="9">
        <v>1</v>
      </c>
      <c r="J8" s="10"/>
      <c r="K8" s="10">
        <v>16.5</v>
      </c>
    </row>
    <row r="9" spans="1:11">
      <c r="D9" s="11">
        <v>46185</v>
      </c>
      <c r="E9" s="12">
        <v>1611840</v>
      </c>
      <c r="F9" s="12" t="s">
        <v>25</v>
      </c>
      <c r="G9" s="13">
        <v>20422624</v>
      </c>
      <c r="H9" s="12" t="s">
        <v>28</v>
      </c>
      <c r="I9" s="13">
        <v>1</v>
      </c>
      <c r="J9" s="14">
        <v>16.5</v>
      </c>
      <c r="K9" s="14">
        <v>16.5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&amp;"-,Regular"2026年7月1日 15:13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汇总</vt:lpstr>
      <vt:lpstr>耳鼻喉科</vt:lpstr>
      <vt:lpstr>骨一，二科</vt:lpstr>
      <vt:lpstr>内分泌三、老年病二科</vt:lpstr>
      <vt:lpstr>脾胃六（小箱）</vt:lpstr>
      <vt:lpstr>脾胃一（小箱）</vt:lpstr>
      <vt:lpstr>针灸一科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2026-07-01T07:14:06Z</dcterms:created>
  <dcterms:modified xsi:type="dcterms:W3CDTF">2026-07-01T07:25:25Z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7868C897D2574367BE53B1BEAC3F709D_13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