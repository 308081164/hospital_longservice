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26.03-04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<sst xmlns="http://schemas.openxmlformats.org/spreadsheetml/2006/main" count="14" uniqueCount="14">
  <si>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黑龙江中医院大学附属第一医院 手术室一区2026年3月-5月洗涤费用明细</t>
  </si>
  <si>
    <t>序</t>
  </si>
  <si>
    <t>日期</t>
  </si>
  <si>
    <t>小单</t>
  </si>
  <si>
    <t>中单</t>
  </si>
  <si>
    <t>大单</t>
  </si>
  <si>
    <t>手术衣</t>
  </si>
  <si>
    <t>衣</t>
  </si>
  <si>
    <t>裤</t>
  </si>
  <si>
    <t>备注</t>
  </si>
  <si>
    <t>数量合计</t>
  </si>
  <si>
    <t>单价</t>
  </si>
  <si>
    <t>金额合计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</si>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</sst>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showZeros="0" tabSelected="1" view="pageBreakPreview" zoomScaleNormal="100" topLeftCell="A15" workbookViewId="0">
      <selection activeCell="A2" sqref="$A2:$XFD41"/>
    </sheetView>
  </sheetViews>
  <sheetFormatPr defaultColWidth="9.375" defaultRowHeight="21" customHeight="1"/>
  <cols>
    <col min="1" max="1" width="5.625" style="1" customWidth="1"/>
    <col min="2" max="2" width="11.875" style="2" customWidth="1"/>
    <col min="3" max="9" width="11.625" style="3" customWidth="1"/>
    <col min="10" max="16383" width="9.375" style="3" customWidth="1"/>
    <col min="16384" max="16384" width="9.375" style="3"/>
  </cols>
  <sheetData>
    <row r="1" ht="36" customHeight="1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s="1" customFormat="1" ht="19" customHeight="1" spans="1:9">
      <c r="A2" s="5" t="s">
        <v>1</v>
      </c>
      <c r="B2" s="6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7" t="s">
        <v>9</v>
      </c>
    </row>
    <row r="3" ht="19" customHeight="1" spans="1:9">
      <c r="A3" s="5">
        <v>1</v>
      </c>
      <c r="B3" s="8">
        <v>46104</v>
      </c>
      <c r="C3" s="9">
        <v>44</v>
      </c>
      <c r="D3" s="9">
        <v>30</v>
      </c>
      <c r="E3" s="9">
        <v>4</v>
      </c>
      <c r="F3" s="9">
        <v>30</v>
      </c>
      <c r="G3" s="9"/>
      <c r="H3" s="9"/>
      <c r="I3" s="10"/>
    </row>
    <row r="4" ht="19" customHeight="1" spans="1:9">
      <c r="A4" s="5">
        <v>2</v>
      </c>
      <c r="B4" s="8">
        <v>46111</v>
      </c>
      <c r="C4" s="9">
        <v>6</v>
      </c>
      <c r="D4" s="9">
        <v>2</v>
      </c>
      <c r="E4" s="9"/>
      <c r="F4" s="9">
        <v>6</v>
      </c>
      <c r="G4" s="9"/>
      <c r="H4" s="9"/>
      <c r="I4" s="10"/>
    </row>
    <row r="5" ht="19" customHeight="1" spans="1:9">
      <c r="A5" s="5">
        <v>3</v>
      </c>
      <c r="B5" s="8">
        <v>46113</v>
      </c>
      <c r="C5" s="9">
        <f>6+6+6</f>
        <v>18</v>
      </c>
      <c r="D5" s="9">
        <f>7+2</f>
        <v>9</v>
      </c>
      <c r="E5" s="9">
        <v>1</v>
      </c>
      <c r="F5" s="9">
        <f>6+6</f>
        <v>12</v>
      </c>
      <c r="G5" s="9"/>
      <c r="H5" s="9"/>
      <c r="I5" s="10"/>
    </row>
    <row r="6" ht="19" customHeight="1" spans="1:9">
      <c r="A6" s="5">
        <v>4</v>
      </c>
      <c r="B6" s="8">
        <v>46120</v>
      </c>
      <c r="C6" s="9">
        <v>3</v>
      </c>
      <c r="D6" s="9">
        <v>1</v>
      </c>
      <c r="E6" s="9"/>
      <c r="F6" s="9">
        <v>3</v>
      </c>
      <c r="G6" s="9"/>
      <c r="H6" s="9"/>
      <c r="I6" s="10"/>
    </row>
    <row r="7" ht="19" customHeight="1" spans="1:9">
      <c r="A7" s="5">
        <v>5</v>
      </c>
      <c r="B7" s="8">
        <v>46125</v>
      </c>
      <c r="C7" s="9">
        <f>9+9+8</f>
        <v>26</v>
      </c>
      <c r="D7" s="9">
        <f>6+7</f>
        <v>13</v>
      </c>
      <c r="E7" s="9">
        <v>4</v>
      </c>
      <c r="F7" s="9">
        <v>9</v>
      </c>
      <c r="G7" s="9"/>
      <c r="H7" s="9"/>
      <c r="I7" s="10"/>
    </row>
    <row r="8" ht="19" customHeight="1" spans="1:9">
      <c r="A8" s="5">
        <v>6</v>
      </c>
      <c r="B8" s="8">
        <v>46126</v>
      </c>
      <c r="C8" s="9">
        <f>9+6</f>
        <v>15</v>
      </c>
      <c r="D8" s="9">
        <f>6+2</f>
        <v>8</v>
      </c>
      <c r="E8" s="9">
        <v>1</v>
      </c>
      <c r="F8" s="9">
        <f>3+6</f>
        <v>9</v>
      </c>
      <c r="G8" s="9"/>
      <c r="H8" s="9"/>
      <c r="I8" s="10"/>
    </row>
    <row r="9" ht="19" customHeight="1" spans="1:9">
      <c r="A9" s="5">
        <v>7</v>
      </c>
      <c r="B9" s="8">
        <v>46128</v>
      </c>
      <c r="C9" s="9">
        <v>6</v>
      </c>
      <c r="D9" s="9">
        <v>2</v>
      </c>
      <c r="E9" s="9"/>
      <c r="F9" s="9">
        <v>6</v>
      </c>
      <c r="G9" s="9"/>
      <c r="H9" s="9"/>
      <c r="I9" s="10"/>
    </row>
    <row r="10" ht="19" customHeight="1" spans="1:9">
      <c r="A10" s="5">
        <v>8</v>
      </c>
      <c r="B10" s="8">
        <v>46132</v>
      </c>
      <c r="C10" s="9">
        <f>9+3+9</f>
        <v>21</v>
      </c>
      <c r="D10" s="9">
        <f>6+1+6</f>
        <v>13</v>
      </c>
      <c r="E10" s="9">
        <v>2</v>
      </c>
      <c r="F10" s="9">
        <f>3+3+3</f>
        <v>9</v>
      </c>
      <c r="G10" s="9"/>
      <c r="H10" s="9"/>
      <c r="I10" s="10"/>
    </row>
    <row r="11" ht="19" customHeight="1" spans="1:9">
      <c r="A11" s="5">
        <v>9</v>
      </c>
      <c r="B11" s="8">
        <v>46133</v>
      </c>
      <c r="C11" s="9">
        <v>6</v>
      </c>
      <c r="D11" s="9">
        <v>2</v>
      </c>
      <c r="E11" s="9"/>
      <c r="F11" s="9">
        <v>6</v>
      </c>
      <c r="G11" s="9"/>
      <c r="H11" s="9"/>
      <c r="I11" s="10"/>
    </row>
    <row r="12" ht="19" customHeight="1" spans="1:9">
      <c r="A12" s="5">
        <v>10</v>
      </c>
      <c r="B12" s="8">
        <v>46134</v>
      </c>
      <c r="C12" s="9">
        <f>12+9+12</f>
        <v>33</v>
      </c>
      <c r="D12" s="9">
        <f>7+6+7</f>
        <v>20</v>
      </c>
      <c r="E12" s="9">
        <v>2</v>
      </c>
      <c r="F12" s="9">
        <f>6+3+6</f>
        <v>15</v>
      </c>
      <c r="G12" s="9"/>
      <c r="H12" s="9"/>
      <c r="I12" s="10"/>
    </row>
    <row r="13" ht="19" customHeight="1" spans="1:9">
      <c r="A13" s="5">
        <v>11</v>
      </c>
      <c r="B13" s="8">
        <v>46135</v>
      </c>
      <c r="C13" s="9">
        <v>12</v>
      </c>
      <c r="D13" s="9">
        <v>7</v>
      </c>
      <c r="E13" s="9">
        <v>1</v>
      </c>
      <c r="F13" s="9">
        <v>6</v>
      </c>
      <c r="G13" s="9"/>
      <c r="H13" s="9"/>
      <c r="I13" s="10"/>
    </row>
    <row r="14" ht="19" customHeight="1" spans="1:9">
      <c r="A14" s="5">
        <v>12</v>
      </c>
      <c r="B14" s="8">
        <v>46136</v>
      </c>
      <c r="C14" s="9">
        <v>6</v>
      </c>
      <c r="D14" s="9">
        <v>2</v>
      </c>
      <c r="E14" s="9"/>
      <c r="F14" s="9">
        <v>6</v>
      </c>
      <c r="G14" s="9"/>
      <c r="H14" s="9"/>
      <c r="I14" s="10"/>
    </row>
    <row r="15" ht="19" customHeight="1" spans="1:9">
      <c r="A15" s="5">
        <v>13</v>
      </c>
      <c r="B15" s="8">
        <v>46141</v>
      </c>
      <c r="C15" s="9">
        <v>3</v>
      </c>
      <c r="D15" s="9">
        <v>1</v>
      </c>
      <c r="E15" s="9"/>
      <c r="F15" s="9">
        <v>3</v>
      </c>
      <c r="G15" s="9"/>
      <c r="H15" s="9"/>
      <c r="I15" s="10"/>
    </row>
    <row r="16" ht="19" customHeight="1" spans="1:9">
      <c r="A16" s="5">
        <v>14</v>
      </c>
      <c r="B16" s="8">
        <v>46142</v>
      </c>
      <c r="C16" s="9">
        <f>3+3+3</f>
        <v>9</v>
      </c>
      <c r="D16" s="9">
        <f>1+1+1</f>
        <v>3</v>
      </c>
      <c r="E16" s="9">
        <v>1</v>
      </c>
      <c r="F16" s="9">
        <f>3+3+3</f>
        <v>9</v>
      </c>
      <c r="G16" s="9"/>
      <c r="H16" s="9"/>
      <c r="I16" s="10"/>
    </row>
    <row r="17" ht="19" customHeight="1" spans="1:9">
      <c r="A17" s="5">
        <v>15</v>
      </c>
      <c r="B17" s="8">
        <v>46148</v>
      </c>
      <c r="C17" s="9"/>
      <c r="D17" s="9"/>
      <c r="E17" s="9"/>
      <c r="F17" s="9"/>
      <c r="G17" s="9">
        <v>30</v>
      </c>
      <c r="H17" s="9">
        <v>30</v>
      </c>
      <c r="I17" s="10"/>
    </row>
    <row r="18" ht="19" customHeight="1" spans="1:9">
      <c r="A18" s="5">
        <v>16</v>
      </c>
      <c r="B18" s="8">
        <v>46149</v>
      </c>
      <c r="C18" s="9">
        <f>6+60+60+6</f>
        <v>132</v>
      </c>
      <c r="D18" s="9">
        <f>2+20+20+20+20+2</f>
        <v>84</v>
      </c>
      <c r="E18" s="9">
        <f>5+5</f>
        <v>10</v>
      </c>
      <c r="F18" s="9">
        <f>6+25+25+25+25+6</f>
        <v>112</v>
      </c>
      <c r="G18" s="9">
        <v>30</v>
      </c>
      <c r="H18" s="9">
        <v>30</v>
      </c>
      <c r="I18" s="10"/>
    </row>
    <row r="19" ht="19" customHeight="1" spans="1:9">
      <c r="A19" s="5">
        <v>17</v>
      </c>
      <c r="B19" s="8">
        <v>46150</v>
      </c>
      <c r="C19" s="9"/>
      <c r="D19" s="9"/>
      <c r="E19" s="9"/>
      <c r="F19" s="9"/>
      <c r="G19" s="9">
        <f>19+20</f>
        <v>39</v>
      </c>
      <c r="H19" s="9">
        <v>39</v>
      </c>
      <c r="I19" s="10"/>
    </row>
    <row r="20" ht="19" customHeight="1" spans="1:9">
      <c r="A20" s="5">
        <v>18</v>
      </c>
      <c r="B20" s="8">
        <v>46151</v>
      </c>
      <c r="C20" s="9"/>
      <c r="D20" s="9"/>
      <c r="E20" s="9"/>
      <c r="F20" s="9"/>
      <c r="G20" s="9">
        <v>30</v>
      </c>
      <c r="H20" s="9">
        <v>30</v>
      </c>
      <c r="I20" s="10"/>
    </row>
    <row r="21" ht="19" customHeight="1" spans="1:9">
      <c r="A21" s="5">
        <v>19</v>
      </c>
      <c r="B21" s="8">
        <v>46153</v>
      </c>
      <c r="C21" s="9">
        <f>9+12</f>
        <v>21</v>
      </c>
      <c r="D21" s="9">
        <f>3+7</f>
        <v>10</v>
      </c>
      <c r="E21" s="9">
        <v>1</v>
      </c>
      <c r="F21" s="9">
        <f>9+6+5</f>
        <v>20</v>
      </c>
      <c r="G21" s="9">
        <v>55</v>
      </c>
      <c r="H21" s="9">
        <v>55</v>
      </c>
      <c r="I21" s="10"/>
    </row>
    <row r="22" ht="19" customHeight="1" spans="1:9">
      <c r="A22" s="5">
        <v>20</v>
      </c>
      <c r="B22" s="8">
        <v>46154</v>
      </c>
      <c r="C22" s="9"/>
      <c r="D22" s="9"/>
      <c r="E22" s="9"/>
      <c r="F22" s="9"/>
      <c r="G22" s="9">
        <v>40</v>
      </c>
      <c r="H22" s="9">
        <v>40</v>
      </c>
      <c r="I22" s="10"/>
    </row>
    <row r="23" ht="19" customHeight="1" spans="1:9">
      <c r="A23" s="5">
        <v>21</v>
      </c>
      <c r="B23" s="8">
        <v>46155</v>
      </c>
      <c r="C23" s="9">
        <v>3</v>
      </c>
      <c r="D23" s="9">
        <v>1</v>
      </c>
      <c r="E23" s="9"/>
      <c r="F23" s="9">
        <v>3</v>
      </c>
      <c r="G23" s="9">
        <v>30</v>
      </c>
      <c r="H23" s="9">
        <v>30</v>
      </c>
      <c r="I23" s="10"/>
    </row>
    <row r="24" ht="19" customHeight="1" spans="1:9">
      <c r="A24" s="5">
        <v>22</v>
      </c>
      <c r="B24" s="8">
        <v>46156</v>
      </c>
      <c r="C24" s="9">
        <v>6</v>
      </c>
      <c r="D24" s="9">
        <v>5</v>
      </c>
      <c r="E24" s="9"/>
      <c r="F24" s="9">
        <v>5</v>
      </c>
      <c r="G24" s="9">
        <v>51</v>
      </c>
      <c r="H24" s="9">
        <v>51</v>
      </c>
      <c r="I24" s="10"/>
    </row>
    <row r="25" ht="19" customHeight="1" spans="1:9">
      <c r="A25" s="5">
        <v>23</v>
      </c>
      <c r="B25" s="8">
        <v>46157</v>
      </c>
      <c r="C25" s="9"/>
      <c r="D25" s="9"/>
      <c r="E25" s="9"/>
      <c r="F25" s="9"/>
      <c r="G25" s="9">
        <v>27</v>
      </c>
      <c r="H25" s="9">
        <v>27</v>
      </c>
      <c r="I25" s="10"/>
    </row>
    <row r="26" ht="19" customHeight="1" spans="1:9">
      <c r="A26" s="5">
        <v>24</v>
      </c>
      <c r="B26" s="8">
        <v>46158</v>
      </c>
      <c r="C26" s="9"/>
      <c r="D26" s="9"/>
      <c r="E26" s="9"/>
      <c r="F26" s="9"/>
      <c r="G26" s="9">
        <v>30</v>
      </c>
      <c r="H26" s="9">
        <v>30</v>
      </c>
      <c r="I26" s="10"/>
    </row>
    <row r="27" ht="19" customHeight="1" spans="1:9">
      <c r="A27" s="5">
        <v>25</v>
      </c>
      <c r="B27" s="8">
        <v>46159</v>
      </c>
      <c r="C27" s="9"/>
      <c r="D27" s="9"/>
      <c r="E27" s="9"/>
      <c r="F27" s="9"/>
      <c r="G27" s="9">
        <v>17</v>
      </c>
      <c r="H27" s="9">
        <v>17</v>
      </c>
      <c r="I27" s="10"/>
    </row>
    <row r="28" ht="19" customHeight="1" spans="1:9">
      <c r="A28" s="5">
        <v>26</v>
      </c>
      <c r="B28" s="8">
        <v>46162</v>
      </c>
      <c r="C28" s="9"/>
      <c r="D28" s="9"/>
      <c r="E28" s="9"/>
      <c r="F28" s="9"/>
      <c r="G28" s="9">
        <f>13+13</f>
        <v>26</v>
      </c>
      <c r="H28" s="9">
        <v>26</v>
      </c>
      <c r="I28" s="10"/>
    </row>
    <row r="29" ht="19" customHeight="1" spans="1:9">
      <c r="A29" s="5">
        <v>27</v>
      </c>
      <c r="B29" s="8">
        <v>46163</v>
      </c>
      <c r="C29" s="9"/>
      <c r="D29" s="9"/>
      <c r="E29" s="9"/>
      <c r="F29" s="9"/>
      <c r="G29" s="9">
        <f>9+23</f>
        <v>32</v>
      </c>
      <c r="H29" s="9">
        <v>32</v>
      </c>
      <c r="I29" s="10"/>
    </row>
    <row r="30" ht="19" customHeight="1" spans="1:9">
      <c r="A30" s="5">
        <v>28</v>
      </c>
      <c r="B30" s="8">
        <v>46164</v>
      </c>
      <c r="C30" s="9">
        <v>50</v>
      </c>
      <c r="D30" s="9">
        <v>50</v>
      </c>
      <c r="E30" s="9">
        <v>5</v>
      </c>
      <c r="F30" s="9">
        <v>50</v>
      </c>
      <c r="G30" s="9">
        <f>20+17</f>
        <v>37</v>
      </c>
      <c r="H30" s="9">
        <f>20+17</f>
        <v>37</v>
      </c>
      <c r="I30" s="10"/>
    </row>
    <row r="31" ht="19" customHeight="1" spans="1:9">
      <c r="A31" s="5">
        <v>29</v>
      </c>
      <c r="B31" s="8">
        <v>46165</v>
      </c>
      <c r="C31" s="9"/>
      <c r="D31" s="9"/>
      <c r="E31" s="9">
        <v>5</v>
      </c>
      <c r="F31" s="9"/>
      <c r="G31" s="9">
        <v>28</v>
      </c>
      <c r="H31" s="9">
        <v>28</v>
      </c>
      <c r="I31" s="10"/>
    </row>
    <row r="32" ht="19" customHeight="1" spans="1:9">
      <c r="A32" s="5">
        <v>30</v>
      </c>
      <c r="B32" s="8">
        <v>46167</v>
      </c>
      <c r="C32" s="9">
        <v>5</v>
      </c>
      <c r="D32" s="9"/>
      <c r="E32" s="9"/>
      <c r="F32" s="9"/>
      <c r="G32" s="9">
        <f>11+13</f>
        <v>24</v>
      </c>
      <c r="H32" s="9">
        <f>11+13</f>
        <v>24</v>
      </c>
      <c r="I32" s="10"/>
    </row>
    <row r="33" ht="19" customHeight="1" spans="1:9">
      <c r="A33" s="5">
        <v>31</v>
      </c>
      <c r="B33" s="8">
        <v>46168</v>
      </c>
      <c r="C33" s="9"/>
      <c r="D33" s="9"/>
      <c r="E33" s="9"/>
      <c r="F33" s="9"/>
      <c r="G33" s="9">
        <v>42</v>
      </c>
      <c r="H33" s="9">
        <v>42</v>
      </c>
      <c r="I33" s="10"/>
    </row>
    <row r="34" ht="19" customHeight="1" spans="1:9">
      <c r="A34" s="5">
        <v>32</v>
      </c>
      <c r="B34" s="8">
        <v>46169</v>
      </c>
      <c r="C34" s="9">
        <v>3</v>
      </c>
      <c r="D34" s="9">
        <v>1</v>
      </c>
      <c r="E34" s="9"/>
      <c r="F34" s="9">
        <v>3</v>
      </c>
      <c r="G34" s="9">
        <f>22+2+12</f>
        <v>36</v>
      </c>
      <c r="H34" s="9">
        <v>36</v>
      </c>
      <c r="I34" s="10"/>
    </row>
    <row r="35" ht="19" customHeight="1" spans="1:9">
      <c r="A35" s="5">
        <v>33</v>
      </c>
      <c r="B35" s="8">
        <v>46170</v>
      </c>
      <c r="C35" s="9">
        <v>6</v>
      </c>
      <c r="D35" s="9">
        <v>2</v>
      </c>
      <c r="E35" s="9"/>
      <c r="F35" s="9">
        <v>6</v>
      </c>
      <c r="G35" s="9">
        <v>29</v>
      </c>
      <c r="H35" s="9">
        <v>29</v>
      </c>
      <c r="I35" s="10"/>
    </row>
    <row r="36" ht="19" customHeight="1" spans="1:9">
      <c r="A36" s="5">
        <v>34</v>
      </c>
      <c r="B36" s="8">
        <v>46171</v>
      </c>
      <c r="C36" s="9"/>
      <c r="D36" s="9"/>
      <c r="E36" s="9"/>
      <c r="F36" s="9"/>
      <c r="G36" s="9">
        <v>23</v>
      </c>
      <c r="H36" s="9">
        <v>23</v>
      </c>
      <c r="I36" s="10"/>
    </row>
    <row r="37" ht="19" customHeight="1" spans="1:9">
      <c r="A37" s="5">
        <v>35</v>
      </c>
      <c r="B37" s="8">
        <v>46172</v>
      </c>
      <c r="C37" s="9"/>
      <c r="D37" s="9"/>
      <c r="E37" s="9"/>
      <c r="F37" s="9"/>
      <c r="G37" s="9">
        <v>17</v>
      </c>
      <c r="H37" s="9">
        <v>17</v>
      </c>
      <c r="I37" s="10"/>
    </row>
    <row r="38" ht="19" customHeight="1" spans="1:9">
      <c r="A38" s="11" t="s">
        <v>10</v>
      </c>
      <c r="B38" s="11"/>
      <c r="C38" s="11">
        <f>SUM(C3:C37)</f>
        <v>434</v>
      </c>
      <c r="D38" s="11">
        <f>SUM(D3:D37)</f>
        <v>266</v>
      </c>
      <c r="E38" s="11">
        <f>SUM(E3:E37)</f>
        <v>37</v>
      </c>
      <c r="F38" s="11">
        <f>SUM(F3:F37)</f>
        <v>328</v>
      </c>
      <c r="G38" s="11">
        <f>SUM(G3:G37)</f>
        <v>673</v>
      </c>
      <c r="H38" s="11">
        <f>SUM(H17:H37)</f>
        <v>673</v>
      </c>
      <c r="I38" s="10"/>
    </row>
    <row r="39" ht="19" customHeight="1" spans="1:9">
      <c r="A39" s="11" t="s">
        <v>11</v>
      </c>
      <c r="B39" s="11"/>
      <c r="C39" s="11">
        <v>1.5</v>
      </c>
      <c r="D39" s="11">
        <v>2</v>
      </c>
      <c r="E39" s="11">
        <v>3</v>
      </c>
      <c r="F39" s="11">
        <v>2.7</v>
      </c>
      <c r="G39" s="11">
        <v>2.4</v>
      </c>
      <c r="H39" s="11">
        <v>2.2</v>
      </c>
      <c r="I39" s="10"/>
    </row>
    <row r="40" ht="19" customHeight="1" spans="1:9">
      <c r="A40" s="11" t="s">
        <v>12</v>
      </c>
      <c r="B40" s="11"/>
      <c r="C40" s="11">
        <f>C39*C38</f>
        <v>651</v>
      </c>
      <c r="D40" s="11">
        <f>D39*D38</f>
        <v>532</v>
      </c>
      <c r="E40" s="11">
        <f>E39*E38</f>
        <v>111</v>
      </c>
      <c r="F40" s="11">
        <f>F39*F38</f>
        <v>885.6</v>
      </c>
      <c r="G40" s="11">
        <f>G39*G38</f>
        <v>1615.2</v>
      </c>
      <c r="H40" s="11">
        <f>H38*H39</f>
        <v>1480.6</v>
      </c>
      <c r="I40" s="10"/>
    </row>
    <row r="41" ht="19" customHeight="1" spans="1:9">
      <c r="A41" s="11" t="s">
        <v>13</v>
      </c>
      <c r="B41" s="11"/>
      <c r="C41" s="12" t="str">
        <f>SUM(C40:H40)&amp;"元"</f>
        <v>5275.4元</v>
      </c>
      <c r="D41" s="13"/>
      <c r="E41" s="13"/>
      <c r="F41" s="13"/>
      <c r="G41" s="13"/>
      <c r="H41" s="13"/>
      <c r="I41" s="14"/>
    </row>
  </sheetData>
  <mergeCells count="6">
    <mergeCell ref="A1:I1"/>
    <mergeCell ref="A38:B38"/>
    <mergeCell ref="A39:B39"/>
    <mergeCell ref="A40:B40"/>
    <mergeCell ref="A41:B41"/>
    <mergeCell ref="C41:I41"/>
  </mergeCells>
  <printOptions horizontalCentered="1"/>
  <pageMargins left="0.25" right="0.25" top="0.314583333333333" bottom="0.275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26.03-04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</dc:creator>
  <cp:lastModifiedBy>铂康医疗销售部内勤</cp:lastModifiedBy>
  <dcterms:created xsi:type="dcterms:W3CDTF">2023-05-12T11:15:00Z</dcterms:created>
  <dcterms:modified xsi:type="dcterms:W3CDTF">2026-06-04T01:07:23Z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7611807C188147948A6A2B4721C9B63F_13</vt:lpwstr>
  </property>
  <property fmtid="{D5CDD505-2E9C-101B-9397-08002B2CF9AE}" pid="5" name="CalculationRule">
    <vt:i4>0</vt:i4>
  </property>
</Properties>
</file>