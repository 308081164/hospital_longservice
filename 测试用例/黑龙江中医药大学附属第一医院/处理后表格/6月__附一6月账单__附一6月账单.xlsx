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11"/>
  </bookViews>
  <sheets>
    <sheet name="产科门诊236" sheetId="1" r:id="rId1"/>
    <sheet name="超声" sheetId="2" r:id="rId2"/>
    <sheet name="耳鼻喉病房" sheetId="3" r:id="rId3"/>
    <sheet name="耳鼻喉门诊" sheetId="4" r:id="rId4"/>
    <sheet name="妇二" sheetId="5" r:id="rId5"/>
    <sheet name="妇二门诊561" sheetId="6" r:id="rId6"/>
    <sheet name="妇科门诊" sheetId="7" r:id="rId7"/>
    <sheet name="妇三" sheetId="8" r:id="rId8"/>
    <sheet name="妇一" sheetId="9" r:id="rId9"/>
    <sheet name="肛肠科" sheetId="10" r:id="rId10"/>
    <sheet name="肛肠门诊" sheetId="11" r:id="rId11"/>
    <sheet name="宫腔镜" sheetId="12" r:id="rId12"/>
    <sheet name="骨二" sheetId="13" r:id="rId13"/>
    <sheet name="骨三" sheetId="14" r:id="rId14"/>
    <sheet name="骨四" sheetId="15" r:id="rId15"/>
    <sheet name="急诊" sheetId="16" r:id="rId16"/>
    <sheet name="计划生育手术室" sheetId="17" r:id="rId17"/>
    <sheet name="介入科" sheetId="18" r:id="rId18"/>
    <sheet name="静配中心" sheetId="19" r:id="rId19"/>
    <sheet name="康复二科" sheetId="20" r:id="rId20"/>
    <sheet name="口腔科" sheetId="21" r:id="rId21"/>
    <sheet name="门诊手术室" sheetId="22" r:id="rId22"/>
    <sheet name="内分泌（二）" sheetId="23" r:id="rId23"/>
    <sheet name="内镜诊疗室" sheetId="24" r:id="rId24"/>
    <sheet name="清洁区（手术室）" sheetId="25" r:id="rId25"/>
    <sheet name="肾病一科" sheetId="26" r:id="rId26"/>
    <sheet name="手术室(二区)" sheetId="27" r:id="rId27"/>
    <sheet name="手术室(一区)" sheetId="28" r:id="rId28"/>
    <sheet name="外来" sheetId="43" r:id="rId29"/>
    <sheet name="透析" sheetId="29" r:id="rId30"/>
    <sheet name="外二" sheetId="30" r:id="rId31"/>
    <sheet name="外三" sheetId="31" r:id="rId32"/>
    <sheet name="外四" sheetId="32" r:id="rId33"/>
    <sheet name="消化微创病房" sheetId="33" r:id="rId34"/>
    <sheet name="眼科病房" sheetId="34" r:id="rId35"/>
    <sheet name="眼科门诊322" sheetId="35" r:id="rId36"/>
    <sheet name="眼科门诊357" sheetId="36" r:id="rId37"/>
    <sheet name="眼科门诊手术室（二）" sheetId="37" r:id="rId38"/>
    <sheet name="眼科门诊手术室（一）" sheetId="38" r:id="rId39"/>
    <sheet name="中医经典病房" sheetId="39" r:id="rId40"/>
    <sheet name="重症医学科" sheetId="40" r:id="rId41"/>
    <sheet name="周围血管二" sheetId="41" r:id="rId42"/>
    <sheet name="周围血管一" sheetId="42" r:id="rId43"/>
    <sheet name="Sheet1" sheetId="44" r:id="rId44"/>
    <sheet name="Sheet2" sheetId="45" r:id="rId45"/>
  </sheets>
  <definedNames>
    <definedName name="_xlnm._FilterDatabase" localSheetId="0" hidden="1">产科门诊236!$A$9:$N$17</definedName>
    <definedName name="_xlnm._FilterDatabase" localSheetId="1" hidden="1">超声!$A$7:$N$22</definedName>
    <definedName name="_xlnm._FilterDatabase" localSheetId="2" hidden="1">耳鼻喉病房!$A$7:$N$111</definedName>
    <definedName name="_xlnm._FilterDatabase" localSheetId="3" hidden="1">耳鼻喉门诊!$A$7:$N$143</definedName>
    <definedName name="_xlnm._FilterDatabase" localSheetId="4" hidden="1">妇二!$A$7:$N$87</definedName>
    <definedName name="_xlnm._FilterDatabase" localSheetId="5" hidden="1">妇二门诊561!$A$7:$N$24</definedName>
    <definedName name="_xlnm._FilterDatabase" localSheetId="6" hidden="1">妇科门诊!$A$7:$N$21</definedName>
    <definedName name="_xlnm._FilterDatabase" localSheetId="7" hidden="1">妇三!$A$7:$N$45</definedName>
    <definedName name="_xlnm._FilterDatabase" localSheetId="8" hidden="1">妇一!$A$7:$N$19</definedName>
    <definedName name="_xlnm._FilterDatabase" localSheetId="9" hidden="1">肛肠科!$A$7:$N$121</definedName>
    <definedName name="_xlnm._FilterDatabase" localSheetId="10" hidden="1">肛肠门诊!$A$7:$N$29</definedName>
    <definedName name="_xlnm._FilterDatabase" localSheetId="11" hidden="1">宫腔镜!$A$7:$N$127</definedName>
    <definedName name="_xlnm._FilterDatabase" localSheetId="13" hidden="1">骨三!$A$7:$N$48</definedName>
    <definedName name="_xlnm._FilterDatabase" localSheetId="15" hidden="1">急诊!$A$7:$N$25</definedName>
    <definedName name="_xlnm._FilterDatabase" localSheetId="16" hidden="1">计划生育手术室!$A$7:$N$33</definedName>
    <definedName name="_xlnm._FilterDatabase" localSheetId="17" hidden="1">介入科!$A$7:$N$15</definedName>
    <definedName name="_xlnm._FilterDatabase" localSheetId="20" hidden="1">口腔科!$A$7:$N$150</definedName>
    <definedName name="_xlnm._FilterDatabase" localSheetId="24" hidden="1">'清洁区（手术室）'!$A$7:$N$87</definedName>
    <definedName name="_xlnm._FilterDatabase" localSheetId="25" hidden="1">肾病一科!$A$7:$N$26</definedName>
    <definedName name="_xlnm._FilterDatabase" localSheetId="26" hidden="1">'手术室(二区)'!$A$7:$N$105</definedName>
    <definedName name="_xlnm._FilterDatabase" localSheetId="27" hidden="1">'手术室(一区)'!$A$7:$N$599</definedName>
    <definedName name="_xlnm._FilterDatabase" localSheetId="28" hidden="1">外来!$A$3:$Q$59</definedName>
    <definedName name="_xlnm._FilterDatabase" localSheetId="29" hidden="1">透析!$A$7:$N$34</definedName>
    <definedName name="_xlnm._FilterDatabase" localSheetId="30" hidden="1">外二!$A$7:$N$62</definedName>
    <definedName name="_xlnm._FilterDatabase" localSheetId="31" hidden="1">外三!$A$7:$N$22</definedName>
    <definedName name="_xlnm._FilterDatabase" localSheetId="32" hidden="1">外四!$A$7:$N$18</definedName>
    <definedName name="_xlnm._FilterDatabase" localSheetId="34" hidden="1">眼科病房!$A$7:$N$31</definedName>
    <definedName name="_xlnm._FilterDatabase" localSheetId="35" hidden="1">眼科门诊322!$A$7:$N$21</definedName>
    <definedName name="_xlnm._FilterDatabase" localSheetId="36" hidden="1">眼科门诊357!$A$7:$N$16</definedName>
    <definedName name="_xlnm._FilterDatabase" localSheetId="37" hidden="1">'眼科门诊手术室（二）'!$A$7:$N$27</definedName>
    <definedName name="_xlnm._FilterDatabase" localSheetId="40" hidden="1">重症医学科!$A$7:$N$33</definedName>
    <definedName name="_xlnm._FilterDatabase" localSheetId="41" hidden="1">周围血管二!$A$7:$N$25</definedName>
    <definedName name="_xlnm._FilterDatabase" localSheetId="42" hidden="1">周围血管一!$A$7:$N$66</definedName>
    <definedName name="_xlnm.Print_Titles" localSheetId="0">产科门诊236!$1:$6</definedName>
    <definedName name="_xlnm.Print_Titles" localSheetId="1">超声!$1:$6</definedName>
    <definedName name="_xlnm.Print_Titles" localSheetId="2">耳鼻喉病房!$1:$6</definedName>
    <definedName name="_xlnm.Print_Titles" localSheetId="3">耳鼻喉门诊!$1:$6</definedName>
    <definedName name="_xlnm.Print_Titles" localSheetId="4">妇二!$1:$6</definedName>
    <definedName name="_xlnm.Print_Titles" localSheetId="5">妇二门诊561!$1:$6</definedName>
    <definedName name="_xlnm.Print_Titles" localSheetId="6">妇科门诊!$1:$6</definedName>
    <definedName name="_xlnm.Print_Titles" localSheetId="7">妇三!$1:$6</definedName>
    <definedName name="_xlnm.Print_Titles" localSheetId="8">妇一!$1:$6</definedName>
    <definedName name="_xlnm.Print_Titles" localSheetId="9">肛肠科!$1:$6</definedName>
    <definedName name="_xlnm.Print_Titles" localSheetId="10">肛肠门诊!$1:$6</definedName>
    <definedName name="_xlnm.Print_Titles" localSheetId="11">宫腔镜!$1:$6</definedName>
    <definedName name="_xlnm.Print_Titles" localSheetId="12">骨二!$1:$6</definedName>
    <definedName name="_xlnm.Print_Titles" localSheetId="13">骨三!$1:$6</definedName>
    <definedName name="_xlnm.Print_Titles" localSheetId="14">骨四!$1:$6</definedName>
    <definedName name="_xlnm.Print_Titles" localSheetId="15">急诊!$1:$6</definedName>
    <definedName name="_xlnm.Print_Titles" localSheetId="16">计划生育手术室!$1:$6</definedName>
    <definedName name="_xlnm.Print_Titles" localSheetId="17">介入科!$1:$6</definedName>
    <definedName name="_xlnm.Print_Titles" localSheetId="18">静配中心!$1:$6</definedName>
    <definedName name="_xlnm.Print_Titles" localSheetId="19">康复二科!$1:$6</definedName>
    <definedName name="_xlnm.Print_Titles" localSheetId="20">口腔科!$1:$6</definedName>
    <definedName name="_xlnm.Print_Titles" localSheetId="21">门诊手术室!$1:$6</definedName>
    <definedName name="_xlnm.Print_Titles" localSheetId="22">'内分泌（二）'!$1:$6</definedName>
    <definedName name="_xlnm.Print_Titles" localSheetId="23">内镜诊疗室!$1:$6</definedName>
    <definedName name="_xlnm.Print_Titles" localSheetId="24">'清洁区（手术室）'!$1:$6</definedName>
    <definedName name="_xlnm.Print_Titles" localSheetId="25">肾病一科!$1:$6</definedName>
    <definedName name="_xlnm.Print_Titles" localSheetId="26">'手术室(二区)'!$1:$6</definedName>
    <definedName name="_xlnm.Print_Titles" localSheetId="27">'手术室(一区)'!$1:$6</definedName>
    <definedName name="_xlnm.Print_Titles" localSheetId="29">透析!$1:$6</definedName>
    <definedName name="_xlnm.Print_Titles" localSheetId="30">外二!$1:$6</definedName>
    <definedName name="_xlnm.Print_Titles" localSheetId="31">外三!$1:$6</definedName>
    <definedName name="_xlnm.Print_Titles" localSheetId="32">外四!$1:$6</definedName>
    <definedName name="_xlnm.Print_Titles" localSheetId="33">消化微创病房!$1:$6</definedName>
    <definedName name="_xlnm.Print_Titles" localSheetId="34">眼科病房!$1:$6</definedName>
    <definedName name="_xlnm.Print_Titles" localSheetId="35">眼科门诊322!$1:$6</definedName>
    <definedName name="_xlnm.Print_Titles" localSheetId="36">眼科门诊357!$1:$6</definedName>
    <definedName name="_xlnm.Print_Titles" localSheetId="37">'眼科门诊手术室（二）'!$1:$6</definedName>
    <definedName name="_xlnm.Print_Titles" localSheetId="38">'眼科门诊手术室（一）'!$1:$6</definedName>
    <definedName name="_xlnm.Print_Titles" localSheetId="39">中医经典病房!$1:$6</definedName>
    <definedName name="_xlnm.Print_Titles" localSheetId="40">重症医学科!$1:$6</definedName>
    <definedName name="_xlnm.Print_Titles" localSheetId="41">周围血管二!$1:$6</definedName>
    <definedName name="_xlnm.Print_Titles" localSheetId="42">周围血管一!$1:$6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<sst xmlns="http://schemas.openxmlformats.org/spreadsheetml/2006/main" count="6938" uniqueCount="551">
  <si>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</si>
  <si>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</si>
  <si>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</si>
  <si>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黑龙江中医药大学附属第一医院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</si>
  <si>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</si>
  <si>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</si>
  <si>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</si>
  <si>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</si>
  <si>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</si>
  <si>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</si>
  <si>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</si>
  <si>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</si>
  <si>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</si>
  <si>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</si>
  <si>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</si>
  <si>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产科门诊236</t>
  </si>
  <si>
    <t>额外包</t>
  </si>
  <si>
    <t>大镊子-1/Z7534</t>
  </si>
  <si>
    <r>
      <rPr>
        <sz val="10"/>
        <color rgb="FF000000"/>
        <rFont val="宋体"/>
        <charset val="134"/>
      </rPr>
      <t>纸塑袋</t>
    </r>
    <r>
      <rPr>
        <sz val="10"/>
        <color rgb="FF000000"/>
        <rFont val="Droid Sans Fallback"/>
        <charset val="134"/>
      </rPr>
      <t xml:space="preserve"> 10cm  (</t>
    </r>
    <r>
      <rPr>
        <sz val="10"/>
        <color rgb="FF000000"/>
        <rFont val="宋体"/>
        <charset val="134"/>
      </rPr>
      <t>小）</t>
    </r>
  </si>
  <si>
    <t>宫颈钳-1/Z1535</t>
  </si>
  <si>
    <t>纸塑袋 15cm  (中）</t>
  </si>
  <si>
    <t>剪刀-1/Z1029</t>
  </si>
  <si>
    <t>棉球缸-1/z2530</t>
  </si>
  <si>
    <r>
      <rPr>
        <sz val="10"/>
        <color rgb="FF000000"/>
        <rFont val="WenQuanYiZenHeiSharp"/>
        <charset val="134"/>
      </rPr>
      <t xml:space="preserve">纸塑袋 </t>
    </r>
    <r>
      <rPr>
        <sz val="10"/>
        <color rgb="FF000000"/>
        <rFont val="LiberationSerif"/>
        <charset val="134"/>
      </rPr>
      <t>25cm</t>
    </r>
    <r>
      <rPr>
        <sz val="10"/>
        <color rgb="FF000000"/>
        <rFont val="WenQuanYiZenHeiSharp"/>
        <charset val="134"/>
      </rPr>
      <t>（特大）</t>
    </r>
  </si>
  <si>
    <t>特殊取环器-1/Z1535</t>
  </si>
  <si>
    <t>止血钳-1/Z1029</t>
  </si>
  <si>
    <t>器械包</t>
  </si>
  <si>
    <t>上取环包</t>
  </si>
  <si>
    <t>无纺布</t>
  </si>
  <si>
    <t>超声</t>
  </si>
  <si>
    <t>卵圆钳-1/Z1535</t>
  </si>
  <si>
    <t>窥器-1/Z1526</t>
  </si>
  <si>
    <t>穿刺架-1/z1029</t>
  </si>
  <si>
    <t>耳鼻喉病房</t>
  </si>
  <si>
    <t>单包装包</t>
  </si>
  <si>
    <t>鼻镜25 方盘1/W9050</t>
  </si>
  <si>
    <t>穿刺针-1/Z7526</t>
  </si>
  <si>
    <t>烙治头-1/Z7534</t>
  </si>
  <si>
    <t>弯针27吸引管13喉镜33枪状镊52盘1/w9050</t>
  </si>
  <si>
    <t>橄榄头-73/z2030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</si>
  <si>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（套）</t>
    </r>
    <r>
      <rPr>
        <sz val="10"/>
        <color rgb="FF000000"/>
        <rFont val="Droid Sans Fallback"/>
        <charset val="134"/>
      </rPr>
      <t>10</t>
    </r>
    <r>
      <rPr>
        <sz val="10"/>
        <color rgb="FF000000"/>
        <rFont val="宋体"/>
        <charset val="134"/>
      </rPr>
      <t>件</t>
    </r>
  </si>
  <si>
    <t>1 （套）</t>
  </si>
  <si>
    <r>
      <rPr>
        <sz val="10"/>
        <color rgb="FF000000"/>
        <rFont val="宋体"/>
        <charset val="134"/>
      </rPr>
      <t>低温灭菌（套）</t>
    </r>
    <r>
      <rPr>
        <sz val="10"/>
        <color rgb="FF000000"/>
        <rFont val="Droid Sans Fallback"/>
        <charset val="134"/>
      </rPr>
      <t>5</t>
    </r>
    <r>
      <rPr>
        <sz val="10"/>
        <color rgb="FF000000"/>
        <rFont val="宋体"/>
        <charset val="134"/>
      </rPr>
      <t>件</t>
    </r>
  </si>
  <si>
    <r>
      <rPr>
        <sz val="10"/>
        <color rgb="FF000000"/>
        <rFont val="Droid Sans Fallback"/>
        <charset val="134"/>
      </rPr>
      <t xml:space="preserve">1 </t>
    </r>
    <r>
      <rPr>
        <sz val="10"/>
        <color rgb="FF000000"/>
        <rFont val="宋体"/>
        <charset val="134"/>
      </rPr>
      <t>（套）</t>
    </r>
  </si>
  <si>
    <t>弯针11吸管7喉镜16枪状镊21盒1/w9050</t>
  </si>
  <si>
    <t>枪状镊23喉镜9吸引管5弯针8盘1/W9050</t>
  </si>
  <si>
    <t>枪状镊22吸管8弯针8喉镜11盘1/w9050</t>
  </si>
  <si>
    <t>冲洗头-120/z2030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</si>
  <si>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（套）</t>
    </r>
    <r>
      <rPr>
        <sz val="10"/>
        <color rgb="FF000000"/>
        <rFont val="Droid Sans Fallback"/>
        <charset val="134"/>
      </rPr>
      <t>20</t>
    </r>
    <r>
      <rPr>
        <sz val="10"/>
        <color rgb="FF000000"/>
        <rFont val="宋体"/>
        <charset val="134"/>
      </rPr>
      <t>件</t>
    </r>
  </si>
  <si>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（套）</t>
    </r>
  </si>
  <si>
    <t>枪状镊25吸管6弯针11喉镜13盘1/w9050</t>
  </si>
  <si>
    <t>敷料包</t>
  </si>
  <si>
    <t>纱条/Z1029</t>
  </si>
  <si>
    <r>
      <rPr>
        <sz val="10"/>
        <color rgb="FF000000"/>
        <rFont val="宋体"/>
        <charset val="134"/>
      </rPr>
      <t>大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20cm*20cm*15cm</t>
    </r>
    <r>
      <rPr>
        <sz val="10"/>
        <color rgb="FF000000"/>
        <rFont val="宋体"/>
        <charset val="134"/>
      </rPr>
      <t>）</t>
    </r>
  </si>
  <si>
    <t>枪状镊57吸管17弯针17喉镜20盘1/w9050</t>
  </si>
  <si>
    <t>枪状镊25喉镜9吸管12弯针6盘1/W9050</t>
  </si>
  <si>
    <t>枪状镊24吸管12喉镜10弯针7盘1/w9050</t>
  </si>
  <si>
    <t>冲洗头-128/z2030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</si>
  <si>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10cm</t>
    </r>
  </si>
  <si>
    <t>枪状镊23吸管10弯针7喉镜10盘1/w9050</t>
  </si>
  <si>
    <t>枪状镊29喉镜6吸管12弯针4盘1/W9050</t>
  </si>
  <si>
    <t>冲洗头-79/z2030</t>
  </si>
  <si>
    <t>异物钳-1/Z1535</t>
  </si>
  <si>
    <t>枪状镊54吸管29弯针18喉镜24盘1/w9050</t>
  </si>
  <si>
    <t>橄榄头-87/z2030</t>
  </si>
  <si>
    <t>枪状镊25吸管16弯针9喉镜12盘1/w9050</t>
  </si>
  <si>
    <t>枪状镊28喉镜10吸引管19弯针6盘1/W9050</t>
  </si>
  <si>
    <t>组织钳-1/Z1026</t>
  </si>
  <si>
    <t>枪状镊16弯针6吸引管15喉镜8盘1/w9050</t>
  </si>
  <si>
    <t>冲洗头-106/z2030</t>
  </si>
  <si>
    <t>枪状镊58喉镜26吸管50弯针18盘1/W9050</t>
  </si>
  <si>
    <t>冲洗头-82/Z2030</t>
  </si>
  <si>
    <t>枪状镊10吸管11喉镜6弯针6盘1/w9050</t>
  </si>
  <si>
    <t>枪状镊17弯针4吸引管10喉镜7盘1/w9050</t>
  </si>
  <si>
    <t>耳镜-1/Z1020</t>
  </si>
  <si>
    <t>枪状镊13吸管13喉镜9弯针6盘1/w9050</t>
  </si>
  <si>
    <t>冲洗头-71/z2030</t>
  </si>
  <si>
    <t>枪状镊23吸管17弯针5喉镜5盘1/w9050</t>
  </si>
  <si>
    <t>枪状镊28吸管28喉镜19弯针13盘1/w9050</t>
  </si>
  <si>
    <t>橄榄头-102/z2030</t>
  </si>
  <si>
    <t>耳鼻喉门诊</t>
  </si>
  <si>
    <t>镊子32弯针8吸管32喉镜12盘1/w9050</t>
  </si>
  <si>
    <t>镊子27弯针6吸管26喉镜6盒1/w9050</t>
  </si>
  <si>
    <t>橄榄头-20/Z2030</t>
  </si>
  <si>
    <t>镊子37吸管35弯针18喉镜33盘1/w9050</t>
  </si>
  <si>
    <t>纱条/z2032（平铺）</t>
  </si>
  <si>
    <t>20cm*20cm</t>
  </si>
  <si>
    <t>镊子51弯针8吸管50喉镜8盘1/w9050</t>
  </si>
  <si>
    <t>镊子37弯针9喉镜9吸引管34盘1/w9050</t>
  </si>
  <si>
    <t>镊子43弯针9吸管33喉镜10盘1/w9050</t>
  </si>
  <si>
    <t>镊子54弯折10吸管43喉镜10盘1/w9050</t>
  </si>
  <si>
    <t>镊子36弯针8吸管24喉镜8盘1/w9050</t>
  </si>
  <si>
    <t>镊子30吸管34弯针7喉镜7盘1/w9050</t>
  </si>
  <si>
    <t>镊子42吸管41弯针11喉镜9盘1/w9050</t>
  </si>
  <si>
    <t>直角压舌板-1  /Z1026</t>
  </si>
  <si>
    <t>镊子57弯针10喉镜9吸引管51盘1/w9050</t>
  </si>
  <si>
    <t>镊子31喉镜6吸管36弯针6盘1/W9050</t>
  </si>
  <si>
    <t>喉异物钳-1/Z1535</t>
  </si>
  <si>
    <t>镊子47弯针10吸管57喉镜9盘1/W9050</t>
  </si>
  <si>
    <t>活检钳-1/Z2530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</si>
  <si>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25cm</t>
    </r>
  </si>
  <si>
    <t>镊子61吸管39弯针4喉镜5盘1/w9050</t>
  </si>
  <si>
    <t>镊子34弯针1吸管19喉镜1盘1/w9050</t>
  </si>
  <si>
    <t>镊子30吸管21弯针8喉镜7盘1/w9050</t>
  </si>
  <si>
    <t>锐勺-1/Z1029</t>
  </si>
  <si>
    <t>镊子43弯针1吸管28喉镜2盘1/w9050</t>
  </si>
  <si>
    <t>镊子64弯针6吸管43喉镜5盘1/w9050</t>
  </si>
  <si>
    <t>耵聍钩-1/Z7530</t>
  </si>
  <si>
    <t>镊子35弯针4吸管25喉镜5盘1/W9050</t>
  </si>
  <si>
    <t>镊子68吸管50弯针11喉镜11盘1/w9050</t>
  </si>
  <si>
    <t>喉镜3镊子42吸管20弯针3盘1/W9050</t>
  </si>
  <si>
    <t>镊子33吸管30弯针2喉镜2盘1/w9050</t>
  </si>
  <si>
    <t>刮勺-1/Z7526</t>
  </si>
  <si>
    <t>镊子48弯针6吸管40喉镜5盘1/W9050</t>
  </si>
  <si>
    <t>镊子48弯针5吸管40喉镜5盘1/W9050</t>
  </si>
  <si>
    <t>镊子44弯针1吸管38喉镜1盘1/W9050</t>
  </si>
  <si>
    <t>镊子39弯针3吸管30喉镜3盘1/w9050</t>
  </si>
  <si>
    <t>弯针8喉镜8镊子34吸引管29盘1/w9050</t>
  </si>
  <si>
    <t>镊子32弯针7喉镜7吸引管24盘1/w9050</t>
  </si>
  <si>
    <t>镊子28弯针6喉镜6吸引管25盘1/w9050</t>
  </si>
  <si>
    <t>妇二</t>
  </si>
  <si>
    <t>扩棒-1/Z7530</t>
  </si>
  <si>
    <t>镊子-1/Z7534</t>
  </si>
  <si>
    <t>腔内电极-3/z1530</t>
  </si>
  <si>
    <t>按最低单把单价收取</t>
  </si>
  <si>
    <t>取环包</t>
  </si>
  <si>
    <t>通水包（妇二）</t>
  </si>
  <si>
    <t>持物钳罐-2/w6050</t>
  </si>
  <si>
    <t>腔内电极-2/z1530</t>
  </si>
  <si>
    <t>切开包</t>
  </si>
  <si>
    <t>人流包</t>
  </si>
  <si>
    <t>止血钳-1/Z1530</t>
  </si>
  <si>
    <t>卵圆钳(小头！！！)-1/Z1535</t>
  </si>
  <si>
    <t>妇二门诊561</t>
  </si>
  <si>
    <t>腔内电极-5/z1530</t>
  </si>
  <si>
    <t>腔内电极-6/w6050</t>
  </si>
  <si>
    <t>腔内电极-7/w6050</t>
  </si>
  <si>
    <t>腔内电极-8/w6050</t>
  </si>
  <si>
    <t>妇科门诊</t>
  </si>
  <si>
    <t>镊子缸-2/w6050</t>
  </si>
  <si>
    <t>阴道镜-4/w6050</t>
  </si>
  <si>
    <t>妇科刮勺-1/z7537</t>
  </si>
  <si>
    <t>妇三</t>
  </si>
  <si>
    <t>棉球/z1020</t>
  </si>
  <si>
    <t>刀柄-1/Z7526</t>
  </si>
  <si>
    <t>通水包-8/w6050</t>
  </si>
  <si>
    <t>宫颈治疗包</t>
  </si>
  <si>
    <t>开口器-1/Z1026</t>
  </si>
  <si>
    <t>舌钳子-1/Z1526</t>
  </si>
  <si>
    <t>妇一</t>
  </si>
  <si>
    <t>通水包（妇一）</t>
  </si>
  <si>
    <t>取环器-1/Z1535</t>
  </si>
  <si>
    <t>肛肠科</t>
  </si>
  <si>
    <t>换药碗(肛肠包配套)-1/Z2530</t>
  </si>
  <si>
    <t>探针-1/保/Z7530</t>
  </si>
  <si>
    <t>肛肠包（肛肠科）</t>
  </si>
  <si>
    <t>镊子48盘1/w9050</t>
  </si>
  <si>
    <t>镊子50盘1/w9050</t>
  </si>
  <si>
    <t>持针器-1/Z1029</t>
  </si>
  <si>
    <t>敷料/z3044</t>
  </si>
  <si>
    <t>压舌板-1/Z1526</t>
  </si>
  <si>
    <t>镊子40盘1/w9050</t>
  </si>
  <si>
    <t>带槽探针-1/Z7526</t>
  </si>
  <si>
    <t>麻杯-1/Z1520</t>
  </si>
  <si>
    <t>肛肠包（新）</t>
  </si>
  <si>
    <t>镊子44盘1/w9050</t>
  </si>
  <si>
    <t>镊子45盘1/w9050</t>
  </si>
  <si>
    <t>拉钩-1/Z7526</t>
  </si>
  <si>
    <t>肛门自动拉钩-1/Z2530</t>
  </si>
  <si>
    <t>肛肠门诊</t>
  </si>
  <si>
    <t>镊子22盘1/w9050</t>
  </si>
  <si>
    <t>镊子15盒1/w9050</t>
  </si>
  <si>
    <t>镊子24盒1/w9050</t>
  </si>
  <si>
    <t>镊子16盘1/w9050</t>
  </si>
  <si>
    <t>镊子12盘1/W9050</t>
  </si>
  <si>
    <t>镊子20盒1/w9050</t>
  </si>
  <si>
    <t>小切开包</t>
  </si>
  <si>
    <t>镊子25盘1/w9050</t>
  </si>
  <si>
    <t>镊子19盘1/W9050</t>
  </si>
  <si>
    <t>宫腔镜</t>
  </si>
  <si>
    <t>人流包（90布）</t>
  </si>
  <si>
    <t>宫腔镜-2/双/z2044</t>
  </si>
  <si>
    <t>水管-1件(检查密封胶圈)/z3040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</si>
  <si>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30cm</t>
    </r>
  </si>
  <si>
    <t>镜头-3件(盒1)/Z2060</t>
  </si>
  <si>
    <t>通水包</t>
  </si>
  <si>
    <t>骨二</t>
  </si>
  <si>
    <t>孟宪宇器械-13件（盒1）/w7050</t>
  </si>
  <si>
    <t>孟宪宇器械-8件（盒1）/w7050</t>
  </si>
  <si>
    <t>骨三</t>
  </si>
  <si>
    <t>钩镊1 剪刀1/Z1029</t>
  </si>
  <si>
    <t>试管架-1/w6050</t>
  </si>
  <si>
    <t>弯钩针-1/z7534</t>
  </si>
  <si>
    <t>长针头-2/Z7530</t>
  </si>
  <si>
    <t>拆线包-2件/Z1026</t>
  </si>
  <si>
    <t>长针头-1/Z7530</t>
  </si>
  <si>
    <t>刀柄-1/Z7520</t>
  </si>
  <si>
    <t>间盘镜特器-3件 盒1/z2060</t>
  </si>
  <si>
    <t>骨四</t>
  </si>
  <si>
    <t>剪刀1 钩镊1/Z1026</t>
  </si>
  <si>
    <t>开口器1舌钳子1压舌板1/Z1526</t>
  </si>
  <si>
    <t>骨锤1骨针3/w6050</t>
  </si>
  <si>
    <t>急诊</t>
  </si>
  <si>
    <t>缝合包</t>
  </si>
  <si>
    <t>拆线包（钩镊，小剪刀）-2/Z1026</t>
  </si>
  <si>
    <t>钩镊-1/z7526</t>
  </si>
  <si>
    <t>计划生育手术室</t>
  </si>
  <si>
    <t>介入科</t>
  </si>
  <si>
    <t>静脉包</t>
  </si>
  <si>
    <t>静配中心</t>
  </si>
  <si>
    <t>毛巾/z3032</t>
  </si>
  <si>
    <t>康复二科</t>
  </si>
  <si>
    <t>口腔科</t>
  </si>
  <si>
    <t>拔牙钳-1/Z1029</t>
  </si>
  <si>
    <t>拔牙挺-1/Z7526</t>
  </si>
  <si>
    <t>碧兰麻注射器-1/Z1029</t>
  </si>
  <si>
    <t>车针盒-1/Z1526</t>
  </si>
  <si>
    <t>充填器-1/Z7530</t>
  </si>
  <si>
    <t>洁牙机-1/z7526</t>
  </si>
  <si>
    <t>手机-1/Z7526</t>
  </si>
  <si>
    <t>挖匙-1/Z7530</t>
  </si>
  <si>
    <t>牙周治疗盒-1/Z2032</t>
  </si>
  <si>
    <t>纸塑袋20cm (大）</t>
  </si>
  <si>
    <t>调刀-1/Z7530</t>
  </si>
  <si>
    <t>牙周探针-1/Z7530</t>
  </si>
  <si>
    <t>玻璃板-1/Z1526</t>
  </si>
  <si>
    <t>垂直加压器-1/保Z7526</t>
  </si>
  <si>
    <t>钥匙-1/Z1020</t>
  </si>
  <si>
    <t>注射器-1/Z1029</t>
  </si>
  <si>
    <t>成型夹-1/Z7520</t>
  </si>
  <si>
    <t>三枪头-1/Z7520</t>
  </si>
  <si>
    <t>去冠器-1/Z7534</t>
  </si>
  <si>
    <t>光敏刀-1/Z7530</t>
  </si>
  <si>
    <t>口镜-1/Z7530</t>
  </si>
  <si>
    <t>门诊手术室</t>
  </si>
  <si>
    <t>小切开包/W12050</t>
  </si>
  <si>
    <t>内分泌（二）</t>
  </si>
  <si>
    <t>内镜诊疗室</t>
  </si>
  <si>
    <t>纱布/Z3032</t>
  </si>
  <si>
    <t>清洁区（手术室）</t>
  </si>
  <si>
    <t>敷料包)</t>
  </si>
  <si>
    <t>洗手服（L号）/W15050</t>
  </si>
  <si>
    <r>
      <rPr>
        <sz val="10"/>
        <color rgb="FF000000"/>
        <rFont val="宋体"/>
        <charset val="134"/>
      </rPr>
      <t>敷料大（</t>
    </r>
    <r>
      <rPr>
        <sz val="10"/>
        <color rgb="FF000000"/>
        <rFont val="Droid Sans Fallback"/>
        <charset val="134"/>
      </rPr>
      <t>30cm*30cm*50cm</t>
    </r>
    <r>
      <rPr>
        <sz val="10"/>
        <color rgb="FF000000"/>
        <rFont val="宋体"/>
        <charset val="134"/>
      </rPr>
      <t>）</t>
    </r>
  </si>
  <si>
    <t>洗手服（XL号）/W15050</t>
  </si>
  <si>
    <t>洗手服（XXXL号）/W15050</t>
  </si>
  <si>
    <t>洗手服（混号）/W15050</t>
  </si>
  <si>
    <t>洗手服（混号）/W12050</t>
  </si>
  <si>
    <t>洗手服（M号）/W15050</t>
  </si>
  <si>
    <t>洗手服（XXL号）/W15050</t>
  </si>
  <si>
    <t>洗手服（3XL号）/W15050</t>
  </si>
  <si>
    <t>洗手服（混码）/W15050</t>
  </si>
  <si>
    <t>眼科包敷料/W15050</t>
  </si>
  <si>
    <t>洗手服（2XL号）/W15050</t>
  </si>
  <si>
    <t>肾病一科</t>
  </si>
  <si>
    <t>显微镊-2/Z1029</t>
  </si>
  <si>
    <t>造瘘包</t>
  </si>
  <si>
    <t>持针器1剪刀1止血钳（弯）1/Z1530</t>
  </si>
  <si>
    <t>手术室(二区)</t>
  </si>
  <si>
    <t>手术衣/W15050</t>
  </si>
  <si>
    <t>毛巾/Z2530</t>
  </si>
  <si>
    <t>膨宫管无铁头-1/Z3040</t>
  </si>
  <si>
    <t>手件-2件/z2035</t>
  </si>
  <si>
    <t>宫腔镜-1/z2060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</si>
  <si>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20cm</t>
    </r>
  </si>
  <si>
    <t>镜头1 手件4盒1/W12050</t>
  </si>
  <si>
    <t>开腹包（二区）</t>
  </si>
  <si>
    <t>小小切开包</t>
  </si>
  <si>
    <t>吸引器(带芯)-1/Z7534</t>
  </si>
  <si>
    <t>碗1 盘2 杯2 /w6050</t>
  </si>
  <si>
    <t>咬骨钳1 咬骨剪1/w6050</t>
  </si>
  <si>
    <t>妇科包</t>
  </si>
  <si>
    <t>腹腔镜包</t>
  </si>
  <si>
    <t>保温杯(高温)-1Z2044</t>
  </si>
  <si>
    <t>气腹针(高温)-1/Z1029</t>
  </si>
  <si>
    <t>超声刀线（低温）-1/z3040</t>
  </si>
  <si>
    <t>镜头-1/z2060</t>
  </si>
  <si>
    <t>可拆吸引器-1件（低温）/z1030</t>
  </si>
  <si>
    <t>气腹管-1/W7050</t>
  </si>
  <si>
    <t>弯钳-1（低温）/z2060</t>
  </si>
  <si>
    <t>无损伤钳(低)-1/Z2060</t>
  </si>
  <si>
    <t>宫颈钳1窥器1扩棒1  /Z2032</t>
  </si>
  <si>
    <t>手术衣/W12050</t>
  </si>
  <si>
    <t>膨宫管-1/z3040</t>
  </si>
  <si>
    <t>手件-3/z2060</t>
  </si>
  <si>
    <t>超声刀线-1/z3040</t>
  </si>
  <si>
    <t>电铲-1/z7550</t>
  </si>
  <si>
    <t>电极线-1/Z3040</t>
  </si>
  <si>
    <t>手件-4件/z2035</t>
  </si>
  <si>
    <t>小切开</t>
  </si>
  <si>
    <t>可拆吸引器-1件/z1560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</si>
  <si>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15cm</t>
    </r>
  </si>
  <si>
    <t>气腹管-1（布）/w7050</t>
  </si>
  <si>
    <t>弯钳-1/z2060</t>
  </si>
  <si>
    <t>无损伤钳-1/z2060</t>
  </si>
  <si>
    <t>辅料包</t>
  </si>
  <si>
    <t>孔巾包</t>
  </si>
  <si>
    <t>腔镜包</t>
  </si>
  <si>
    <t>手术室(一区)</t>
  </si>
  <si>
    <t>肛肠包</t>
  </si>
  <si>
    <t>间盘包</t>
  </si>
  <si>
    <t>肛门探针-1/Z7526</t>
  </si>
  <si>
    <t>大弯-4/w6050</t>
  </si>
  <si>
    <t>冲洗瓶-1/z1530</t>
  </si>
  <si>
    <t>激光光纤-1/z3044</t>
  </si>
  <si>
    <t>检查镜-1/z2060</t>
  </si>
  <si>
    <t>检查镜手件-3/Z2060</t>
  </si>
  <si>
    <t>取石钳-1/Z2060</t>
  </si>
  <si>
    <t>骨科包</t>
  </si>
  <si>
    <t>取板特器</t>
  </si>
  <si>
    <t>电钻-4件（盒1）/w9050</t>
  </si>
  <si>
    <t>尖刀柄-1/Z7530</t>
  </si>
  <si>
    <t>清创包-10框1/w9050</t>
  </si>
  <si>
    <t>咬钉器-1/w9050</t>
  </si>
  <si>
    <t>膀胱检查镜镜头-1/z2060</t>
  </si>
  <si>
    <t>膀胱镜手件-3/双/z2060</t>
  </si>
  <si>
    <t>保温瓶-1/z2044</t>
  </si>
  <si>
    <t>单极钩-1/z7550</t>
  </si>
  <si>
    <t>单极线-1/z3040</t>
  </si>
  <si>
    <t>剪刀-1/Z2060</t>
  </si>
  <si>
    <t>可吸收生物夹钳-1/Z2060</t>
  </si>
  <si>
    <t>气腹管-1/z3044</t>
  </si>
  <si>
    <t>气腹针-1/z1029</t>
  </si>
  <si>
    <t>生物夹钳-1/双层z2060</t>
  </si>
  <si>
    <t>输尿管镜-2/双/z3060</t>
  </si>
  <si>
    <t>头皮夹-1包/Z1526</t>
  </si>
  <si>
    <t>王树人特器-1件/z2060</t>
  </si>
  <si>
    <t>吸引器-1/z1560</t>
  </si>
  <si>
    <t>30°腹腔镜-1/z2060</t>
  </si>
  <si>
    <t>低温灭菌 20cm</t>
  </si>
  <si>
    <t>1</t>
  </si>
  <si>
    <t>低温器械保护盒</t>
  </si>
  <si>
    <t>间盘镜特器（高温）-16件</t>
  </si>
  <si>
    <t>间盘镜特器（高温）-18件</t>
  </si>
  <si>
    <t>杯1 碗1 盘1/Z3032</t>
  </si>
  <si>
    <t>超乳特器-4/Z2535</t>
  </si>
  <si>
    <t>注吸器-1/z7526</t>
  </si>
  <si>
    <t>眼科白内障-13件（盒1）</t>
  </si>
  <si>
    <t>灯把手-8/w6050</t>
  </si>
  <si>
    <t>间盘镜镜头-1件（盒1）/w12050</t>
  </si>
  <si>
    <t>间盘镜特器-18件（筐1）/w12050</t>
  </si>
  <si>
    <t>王树人镜头-1/Z2060</t>
  </si>
  <si>
    <t>王树人特器-26（筐1）/w12050</t>
  </si>
  <si>
    <t>抓钳-1/z2060</t>
  </si>
  <si>
    <t>间盘镜镜头-1/w12050</t>
  </si>
  <si>
    <t>注射器-1/Z7526</t>
  </si>
  <si>
    <t>开腹特器</t>
  </si>
  <si>
    <t>磨钻-16（盒1）/w9050</t>
  </si>
  <si>
    <t>肌钩-2/Z7526</t>
  </si>
  <si>
    <t>中弯-4/Z1526</t>
  </si>
  <si>
    <t>手科特器-14/w6050</t>
  </si>
  <si>
    <t>手科特器-9/w6050</t>
  </si>
  <si>
    <t>持针器-1/z2060</t>
  </si>
  <si>
    <t>敷料/W15050</t>
  </si>
  <si>
    <t>消毒包-4件/W6050</t>
  </si>
  <si>
    <t>开腹包</t>
  </si>
  <si>
    <t>单极铲-1/Z1035</t>
  </si>
  <si>
    <t>胆道镜-6(筐1)/w12050</t>
  </si>
  <si>
    <t>经皮肾镜-1/z2060</t>
  </si>
  <si>
    <t>额外包(低温等离子)</t>
  </si>
  <si>
    <t>保温杯-1件/z2045</t>
  </si>
  <si>
    <t>剪刀-1（低温）/z2060</t>
  </si>
  <si>
    <t>气腹管-1件/z3040</t>
  </si>
  <si>
    <t>气腹针（低温）-1/z1030</t>
  </si>
  <si>
    <t>无损伤钳（低温）-1/z2060</t>
  </si>
  <si>
    <t>吸引器(低)-1/Z1560</t>
  </si>
  <si>
    <t>抓钳-1/Z2060</t>
  </si>
  <si>
    <t>左弯钳-1/Z2060</t>
  </si>
  <si>
    <t>静脉探子-1/Z7534</t>
  </si>
  <si>
    <t>锤子-1/W6050</t>
  </si>
  <si>
    <t>肛肠包-20件（筐1）/W12050</t>
  </si>
  <si>
    <t>间盘镜特器(高温)-17件(筐1)/w1205060</t>
  </si>
  <si>
    <t>上肢外架产品-46件/W9050</t>
  </si>
  <si>
    <t>上肢外架工具-9/w6050</t>
  </si>
  <si>
    <t>咬骨钳-2/W60050</t>
  </si>
  <si>
    <t>王树人特器-1/z7520</t>
  </si>
  <si>
    <r>
      <t>肛肠包</t>
    </r>
    <r>
      <rPr>
        <sz val="10"/>
        <color rgb="FFFF0000"/>
        <rFont val="Droid Sans Fallback"/>
        <charset val="134"/>
      </rPr>
      <t>-20</t>
    </r>
    <r>
      <rPr>
        <sz val="10"/>
        <color rgb="FFFF0000"/>
        <rFont val="宋体"/>
        <charset val="134"/>
      </rPr>
      <t>件（筐</t>
    </r>
    <r>
      <rPr>
        <sz val="10"/>
        <color rgb="FFFF0000"/>
        <rFont val="Droid Sans Fallback"/>
        <charset val="134"/>
      </rPr>
      <t>1</t>
    </r>
    <r>
      <rPr>
        <sz val="10"/>
        <color rgb="FFFF0000"/>
        <rFont val="宋体"/>
        <charset val="134"/>
      </rPr>
      <t>）</t>
    </r>
    <r>
      <rPr>
        <sz val="10"/>
        <color rgb="FFFF0000"/>
        <rFont val="Droid Sans Fallback"/>
        <charset val="134"/>
      </rPr>
      <t>/W12050</t>
    </r>
  </si>
  <si>
    <r>
      <t>碗</t>
    </r>
    <r>
      <rPr>
        <sz val="10"/>
        <color rgb="FFFF0000"/>
        <rFont val="Droid Sans Fallback"/>
        <charset val="134"/>
      </rPr>
      <t xml:space="preserve">1 </t>
    </r>
    <r>
      <rPr>
        <sz val="10"/>
        <color rgb="FFFF0000"/>
        <rFont val="宋体"/>
        <charset val="134"/>
      </rPr>
      <t>盘</t>
    </r>
    <r>
      <rPr>
        <sz val="10"/>
        <color rgb="FFFF0000"/>
        <rFont val="Droid Sans Fallback"/>
        <charset val="134"/>
      </rPr>
      <t xml:space="preserve">2 </t>
    </r>
    <r>
      <rPr>
        <sz val="10"/>
        <color rgb="FFFF0000"/>
        <rFont val="宋体"/>
        <charset val="134"/>
      </rPr>
      <t>杯</t>
    </r>
    <r>
      <rPr>
        <sz val="10"/>
        <color rgb="FFFF0000"/>
        <rFont val="Droid Sans Fallback"/>
        <charset val="134"/>
      </rPr>
      <t>2 /w6050</t>
    </r>
  </si>
  <si>
    <t>刨刀-1件（盒1）/w12050</t>
  </si>
  <si>
    <t>断钉取出器-1/Z1535</t>
  </si>
  <si>
    <t>磨钻头-21件/双z1526</t>
  </si>
  <si>
    <t>内六角-3/w6050</t>
  </si>
  <si>
    <t>关节镜器械（粗）-11件</t>
  </si>
  <si>
    <t>冲洗球-3件2032</t>
  </si>
  <si>
    <t>30°关节镜（粗）-1件/z2060</t>
  </si>
  <si>
    <t>肛肠包-20件</t>
  </si>
  <si>
    <t>电钻-带盒5件/w9050</t>
  </si>
  <si>
    <t>克式钳1螺丝刀1 /w6050</t>
  </si>
  <si>
    <t>特殊钳-1/Z2044</t>
  </si>
  <si>
    <t>人流包-25件</t>
  </si>
  <si>
    <t>克氏针-5/Z7534</t>
  </si>
  <si>
    <t>间盘镜磨钻-6件（盒1）/w9050</t>
  </si>
  <si>
    <t>磨钻手柄-1件（盒1）/w9050</t>
  </si>
  <si>
    <t>减压特器-23件/w9050</t>
  </si>
  <si>
    <t>外架下肢-52/w12050</t>
  </si>
  <si>
    <t>下肢外固定架-14/w15050</t>
  </si>
  <si>
    <t>绷带/Z1526</t>
  </si>
  <si>
    <t>棉球/Z1526</t>
  </si>
  <si>
    <t>关节镜器械（细）-9件（低温）</t>
  </si>
  <si>
    <t>张景欣特器-10盒1/w12050</t>
  </si>
  <si>
    <t>STORZ 3D镜头 光源-2/w12050</t>
  </si>
  <si>
    <t>手科蚊式-7/w6050</t>
  </si>
  <si>
    <t>剪刀1持针器1/Z1526</t>
  </si>
  <si>
    <t>王树人镜头-1（1盒）/w9050</t>
  </si>
  <si>
    <t>光纤-1（过氧化氢）/z3040</t>
  </si>
  <si>
    <t>间盘镜特器-18框1/w12050</t>
  </si>
  <si>
    <t>分离钳-1/z2060</t>
  </si>
  <si>
    <t>膀胱电切镜手件-4/z2060</t>
  </si>
  <si>
    <t>膀胱电切镜头-1/双Z1550</t>
  </si>
  <si>
    <t>膀胱取石钳-1/z1560</t>
  </si>
  <si>
    <t>冲洗瓶-3/z2544</t>
  </si>
  <si>
    <t>保温杯-1Z2044</t>
  </si>
  <si>
    <t>孙晓龙特器-8/w6050</t>
  </si>
  <si>
    <t>生物夹钳-1件（低温）/z2060</t>
  </si>
  <si>
    <t>持针器-1件/z2060</t>
  </si>
  <si>
    <t>单极钩（低温）-1/Z7550</t>
  </si>
  <si>
    <t>单极线-1件/z3040</t>
  </si>
  <si>
    <t>经皮肾镜（低温）-1/z2060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</si>
  <si>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</si>
  <si>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2026/7/1</t>
    </r>
  </si>
  <si>
    <t>处理序号</t>
  </si>
  <si>
    <t>发票操作时间</t>
  </si>
  <si>
    <t>原因</t>
  </si>
  <si>
    <t>处理序号完成时间</t>
  </si>
  <si>
    <t>包名称</t>
  </si>
  <si>
    <t>金额</t>
  </si>
  <si>
    <t>调整</t>
  </si>
  <si>
    <t>黑龙江中医药大学附属第一医院2026年6月1日-2026年6月30日外来器械灭菌费总计金额2904.8元。</t>
  </si>
  <si>
    <t>黑龙江中医药大学附属第一医院哈尔滨奕顺医疗科技2026年6月1日-2026年6月30日外来器械灭菌费总计金额2904.8元。</t>
  </si>
  <si>
    <t>客户名称</t>
  </si>
  <si>
    <t>包号</t>
  </si>
  <si>
    <t>组件类型</t>
  </si>
  <si>
    <t>组件名</t>
  </si>
  <si>
    <t>组件数量</t>
  </si>
  <si>
    <t>器械数量</t>
  </si>
  <si>
    <t>器械单价</t>
  </si>
  <si>
    <t>器械金额</t>
  </si>
  <si>
    <t>钉盒数量</t>
  </si>
  <si>
    <t>钉盒单价</t>
  </si>
  <si>
    <t>钉盒金额</t>
  </si>
  <si>
    <t>生物监测数量</t>
  </si>
  <si>
    <t>生物监测单价</t>
  </si>
  <si>
    <t>生物监测金额</t>
  </si>
  <si>
    <t>合计金额</t>
  </si>
  <si>
    <t>哈尔滨奕顺医疗科技</t>
  </si>
  <si>
    <t>康倪-右侧锁骨骨折固定术1/2</t>
  </si>
  <si>
    <t>器械</t>
  </si>
  <si>
    <t xml:space="preserve">植入物-钉 </t>
  </si>
  <si>
    <t>器械-器皿</t>
  </si>
  <si>
    <t>自带篮筐</t>
  </si>
  <si>
    <t>康倪-右侧锁骨骨折固定术2/2</t>
  </si>
  <si>
    <t xml:space="preserve">组件-1 </t>
  </si>
  <si>
    <t xml:space="preserve">钢板 </t>
  </si>
  <si>
    <t>姚福良-腰间盘突出症1/1</t>
  </si>
  <si>
    <t xml:space="preserve">植入物 </t>
  </si>
  <si>
    <t>张淑琴-右膝关节置换术  1/5</t>
  </si>
  <si>
    <t>外来器械组件</t>
  </si>
  <si>
    <t>张淑琴-右膝关节置换术  2/5</t>
  </si>
  <si>
    <t>张淑琴-右膝关节置换术  3/5</t>
  </si>
  <si>
    <t>张淑琴-右膝关节置换术  4/5</t>
  </si>
  <si>
    <t>张淑琴-右膝关节置换术  5/5</t>
  </si>
  <si>
    <t>公司篮筐</t>
  </si>
  <si>
    <t>鲁振荣-全髋关节置换术1/3</t>
  </si>
  <si>
    <t>鲁振荣-全髋关节置换术2/3</t>
  </si>
  <si>
    <t>鲁振荣-全髋关节置换术3/3</t>
  </si>
  <si>
    <t>张桂凤-人工股骨头置换术  1/2</t>
  </si>
  <si>
    <t>张桂凤-人工股骨头置换术  2/2</t>
  </si>
  <si>
    <t>宋友华-人工髋关节置换术1/2</t>
  </si>
  <si>
    <t>宋友华-人工髋关节置换术2/2</t>
  </si>
  <si>
    <t>陈悦欣-右腓骨骨折固定术1/5</t>
  </si>
  <si>
    <t>陈悦欣-右腓骨骨折固定术2/5</t>
  </si>
  <si>
    <t xml:space="preserve">植入物-板 </t>
  </si>
  <si>
    <t>陈悦欣-右腓骨骨折固定术3/5</t>
  </si>
  <si>
    <t>陈悦欣-右腓骨骨折固定术4/5</t>
  </si>
  <si>
    <t>陈悦欣-右腓骨骨折固定术5/5</t>
  </si>
  <si>
    <t>李平-人工股骨头置换  1/2</t>
  </si>
  <si>
    <t>李平-人工股骨头置换  2/2</t>
  </si>
  <si>
    <t>宋福贤-粗隆间骨折  1/5</t>
  </si>
  <si>
    <t>宋福贤-粗隆间骨折  2/5</t>
  </si>
  <si>
    <t>宋福贤-粗隆间骨折  3/5</t>
  </si>
  <si>
    <t>宋福贤-粗隆间骨折  4/5</t>
  </si>
  <si>
    <t>宋福贤-粗隆间骨折  5/5</t>
  </si>
  <si>
    <t>合计</t>
  </si>
  <si>
    <t>透析</t>
  </si>
  <si>
    <t>血透切开包</t>
  </si>
  <si>
    <t>造瘘手术器械包</t>
  </si>
  <si>
    <t>剪刀1止血钳1/Z1526</t>
  </si>
  <si>
    <t>剪刀1 持针器1/Z1526</t>
  </si>
  <si>
    <t>外二</t>
  </si>
  <si>
    <t>换药包(120布)</t>
  </si>
  <si>
    <t>纸塑袋 15cm (中）</t>
  </si>
  <si>
    <t>换药碗-3/w6050</t>
  </si>
  <si>
    <t>切开包（小）</t>
  </si>
  <si>
    <t>电刀头-1/Z7526</t>
  </si>
  <si>
    <t>电刀头-1/z7526</t>
  </si>
  <si>
    <t>棉垫/z3032</t>
  </si>
  <si>
    <t>外三</t>
  </si>
  <si>
    <t>气管套管-3件（一套）/Z1029</t>
  </si>
  <si>
    <t>切开包-12件/w6050</t>
  </si>
  <si>
    <t>拆线剪-1/Z1029</t>
  </si>
  <si>
    <t>球囊-1/z3044</t>
  </si>
  <si>
    <t>切开包-14件/w6050</t>
  </si>
  <si>
    <t>外四</t>
  </si>
  <si>
    <t>换药碗-1/Z2530</t>
  </si>
  <si>
    <t>尿道探子-1/Z7534</t>
  </si>
  <si>
    <t>消化微创病房</t>
  </si>
  <si>
    <t>眼科病房</t>
  </si>
  <si>
    <t>带盖托盘-1/Z3044</t>
  </si>
  <si>
    <t>睑板腺夹-1/Z7520</t>
  </si>
  <si>
    <t>角板20治疗盒1/w6050</t>
  </si>
  <si>
    <t>眼病治疗盒</t>
  </si>
  <si>
    <t>霰粒肿</t>
  </si>
  <si>
    <t>眼睑板-1/Z7520</t>
  </si>
  <si>
    <t>眼科门诊322</t>
  </si>
  <si>
    <t>泪道探针-1/Z7520</t>
  </si>
  <si>
    <t>泪点扩张器-1/Z1026</t>
  </si>
  <si>
    <t>角板40治疗盒1/w6050</t>
  </si>
  <si>
    <t>眼用无齿镊-1/z7520</t>
  </si>
  <si>
    <t>眼科门诊357</t>
  </si>
  <si>
    <t>角板18睑板腺镊1（盒1）/w6050</t>
  </si>
  <si>
    <t>眼科门诊手术室（二）</t>
  </si>
  <si>
    <t>球内注药-3件/Z1526</t>
  </si>
  <si>
    <t>显微剪刀-1/z7526</t>
  </si>
  <si>
    <t>显微镊-1/Z7530</t>
  </si>
  <si>
    <t>霰粒肿包</t>
  </si>
  <si>
    <t>手柄套-1/Z1029</t>
  </si>
  <si>
    <t>翼状胬肉包-9</t>
  </si>
  <si>
    <t>镊子缸-3/w6050</t>
  </si>
  <si>
    <t>开睑器-1/Z1020</t>
  </si>
  <si>
    <t>球内注药-3件/Z1020</t>
  </si>
  <si>
    <t>显微持针器-1-z7526</t>
  </si>
  <si>
    <t>眼科门诊手术室（一）</t>
  </si>
  <si>
    <t>中医经典病房</t>
  </si>
  <si>
    <t>重症医学科</t>
  </si>
  <si>
    <t>气切包-3/w6050</t>
  </si>
  <si>
    <t>剪口纱布/Z1526</t>
  </si>
  <si>
    <t>盆1镊子2/w7050</t>
  </si>
  <si>
    <t>弯盘1镊子2/w6050</t>
  </si>
  <si>
    <t>简易呼吸球囊-1/z3044</t>
  </si>
  <si>
    <t>周围血管二</t>
  </si>
  <si>
    <t>切开包（周围二）</t>
  </si>
  <si>
    <t>清创包</t>
  </si>
  <si>
    <t>清创机超声手柄(高温)-1/Z1029</t>
  </si>
  <si>
    <t>切开包-15件</t>
  </si>
  <si>
    <t>周围血管一</t>
  </si>
  <si>
    <t>蚊式-1/Z1026</t>
  </si>
  <si>
    <t>鹰嘴钳-1/Z1526</t>
  </si>
  <si>
    <t>剪刀1止血钳1镊子1/Z1526</t>
  </si>
  <si>
    <t>探头-1/Z7526</t>
  </si>
  <si>
    <t>咬骨钳-1/Z1526</t>
  </si>
  <si>
    <t>残根镊-1/z1026</t>
  </si>
  <si>
    <t>跟腱钳-1/Z7526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</si>
</sst>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$-10804]0.00;\(0.00\)"/>
    <numFmt numFmtId="178" formatCode="[$-10804]yyyy/m/d"/>
    <numFmt numFmtId="179" formatCode="yyyy/m/d;@"/>
    <numFmt numFmtId="180" formatCode="[$-10804]0.00"/>
    <numFmt numFmtId="181" formatCode="[$-10804]yyyy/m/d\ h:mm:ss"/>
  </numFmts>
  <fonts count="40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10"/>
      <color rgb="FF000000"/>
      <name val="WenQuanYiZenHeiSharp"/>
      <charset val="134"/>
    </font>
    <font>
      <b/>
      <sz val="16"/>
      <name val="Microsoft YaHei"/>
      <charset val="134"/>
    </font>
    <font>
      <b/>
      <sz val="10"/>
      <color rgb="FFFFFFFF"/>
      <name val="Microsoft YaHei"/>
      <charset val="134"/>
    </font>
    <font>
      <b/>
      <sz val="10"/>
      <name val="Microsoft YaHei"/>
      <charset val="134"/>
    </font>
    <font>
      <sz val="10"/>
      <color rgb="FF4D4D4D"/>
      <name val="微软雅黑"/>
      <charset val="134"/>
    </font>
    <font>
      <sz val="10"/>
      <name val="微软雅黑"/>
      <charset val="134"/>
    </font>
    <font>
      <sz val="10"/>
      <color rgb="FF4D4D4D"/>
      <name val="Microsoft YaHei"/>
      <charset val="134"/>
    </font>
    <font>
      <sz val="10"/>
      <name val="Microsoft YaHei"/>
      <charset val="134"/>
    </font>
    <font>
      <sz val="10"/>
      <color rgb="FFFF0000"/>
      <name val="Droid Sans Fallback"/>
      <charset val="134"/>
    </font>
    <font>
      <sz val="10"/>
      <color rgb="FFFF0000"/>
      <name val="宋体"/>
      <charset val="134"/>
    </font>
    <font>
      <b/>
      <sz val="12"/>
      <color rgb="FFFFFFFF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10"/>
      <color rgb="FF000000"/>
      <name val="LiberationSerif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4C68A2"/>
        <bgColor rgb="FF4C68A2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6" borderId="1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21" applyNumberFormat="0" applyAlignment="0" applyProtection="0">
      <alignment vertical="center"/>
    </xf>
    <xf numFmtId="0" fontId="28" fillId="8" borderId="22" applyNumberFormat="0" applyAlignment="0" applyProtection="0">
      <alignment vertical="center"/>
    </xf>
    <xf numFmtId="0" fontId="29" fillId="8" borderId="21" applyNumberFormat="0" applyAlignment="0" applyProtection="0">
      <alignment vertical="center"/>
    </xf>
    <xf numFmtId="0" fontId="30" fillId="9" borderId="23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8" fillId="0" borderId="0"/>
  </cellStyleXfs>
  <cellXfs count="13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left" vertical="center" wrapText="1" readingOrder="1"/>
    </xf>
    <xf numFmtId="176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4" fillId="2" borderId="3" xfId="0" applyNumberFormat="1" applyFont="1" applyFill="1" applyBorder="1" applyAlignment="1">
      <alignment horizontal="left" vertical="center" wrapText="1" readingOrder="1"/>
    </xf>
    <xf numFmtId="0" fontId="0" fillId="0" borderId="4" xfId="0" applyNumberFormat="1" applyFont="1" applyFill="1" applyBorder="1" applyAlignment="1">
      <alignment horizontal="left" vertical="center" wrapText="1"/>
    </xf>
    <xf numFmtId="177" fontId="4" fillId="2" borderId="3" xfId="0" applyNumberFormat="1" applyFont="1" applyFill="1" applyBorder="1" applyAlignment="1">
      <alignment horizontal="left" vertical="center" wrapText="1" readingOrder="1"/>
    </xf>
    <xf numFmtId="177" fontId="4" fillId="2" borderId="3" xfId="0" applyNumberFormat="1" applyFont="1" applyFill="1" applyBorder="1" applyAlignment="1">
      <alignment horizontal="center" vertical="center" wrapText="1" readingOrder="1"/>
    </xf>
    <xf numFmtId="178" fontId="3" fillId="0" borderId="5" xfId="0" applyNumberFormat="1" applyFont="1" applyFill="1" applyBorder="1" applyAlignment="1">
      <alignment horizontal="left" vertical="center" wrapText="1" readingOrder="1"/>
    </xf>
    <xf numFmtId="0" fontId="3" fillId="0" borderId="5" xfId="0" applyNumberFormat="1" applyFont="1" applyFill="1" applyBorder="1" applyAlignment="1">
      <alignment horizontal="left" vertical="center" wrapText="1" readingOrder="1"/>
    </xf>
    <xf numFmtId="0" fontId="5" fillId="0" borderId="5" xfId="0" applyNumberFormat="1" applyFont="1" applyFill="1" applyBorder="1" applyAlignment="1">
      <alignment horizontal="left" vertical="center" wrapText="1" readingOrder="1"/>
    </xf>
    <xf numFmtId="49" fontId="3" fillId="0" borderId="5" xfId="0" applyNumberFormat="1" applyFont="1" applyFill="1" applyBorder="1" applyAlignment="1">
      <alignment horizontal="center" vertical="center" wrapText="1" readingOrder="1"/>
    </xf>
    <xf numFmtId="177" fontId="3" fillId="0" borderId="5" xfId="0" applyNumberFormat="1" applyFont="1" applyFill="1" applyBorder="1" applyAlignment="1">
      <alignment horizontal="center" vertical="center" wrapText="1" readingOrder="1"/>
    </xf>
    <xf numFmtId="178" fontId="3" fillId="0" borderId="2" xfId="0" applyNumberFormat="1" applyFont="1" applyFill="1" applyBorder="1" applyAlignment="1">
      <alignment horizontal="left" vertical="center" wrapText="1" readingOrder="1"/>
    </xf>
    <xf numFmtId="0" fontId="5" fillId="0" borderId="2" xfId="0" applyNumberFormat="1" applyFont="1" applyFill="1" applyBorder="1" applyAlignment="1">
      <alignment horizontal="left" vertical="center" wrapText="1" readingOrder="1"/>
    </xf>
    <xf numFmtId="49" fontId="3" fillId="0" borderId="2" xfId="0" applyNumberFormat="1" applyFont="1" applyFill="1" applyBorder="1" applyAlignment="1">
      <alignment horizontal="center" vertical="center" wrapText="1" readingOrder="1"/>
    </xf>
    <xf numFmtId="177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left" vertical="top" wrapText="1" readingOrder="1"/>
    </xf>
    <xf numFmtId="0" fontId="4" fillId="2" borderId="3" xfId="0" applyNumberFormat="1" applyFont="1" applyFill="1" applyBorder="1" applyAlignment="1">
      <alignment horizontal="left" vertical="top" wrapText="1" readingOrder="1"/>
    </xf>
    <xf numFmtId="0" fontId="0" fillId="0" borderId="4" xfId="0" applyNumberFormat="1" applyFont="1" applyFill="1" applyBorder="1" applyAlignment="1">
      <alignment horizontal="left" vertical="top" wrapText="1"/>
    </xf>
    <xf numFmtId="177" fontId="4" fillId="2" borderId="3" xfId="0" applyNumberFormat="1" applyFont="1" applyFill="1" applyBorder="1" applyAlignment="1">
      <alignment horizontal="left" vertical="top" wrapText="1" readingOrder="1"/>
    </xf>
    <xf numFmtId="178" fontId="3" fillId="0" borderId="5" xfId="0" applyNumberFormat="1" applyFont="1" applyFill="1" applyBorder="1" applyAlignment="1">
      <alignment horizontal="left" vertical="top" wrapText="1" readingOrder="1"/>
    </xf>
    <xf numFmtId="0" fontId="3" fillId="0" borderId="5" xfId="0" applyNumberFormat="1" applyFont="1" applyFill="1" applyBorder="1" applyAlignment="1">
      <alignment horizontal="left" vertical="top" wrapText="1" readingOrder="1"/>
    </xf>
    <xf numFmtId="0" fontId="5" fillId="0" borderId="5" xfId="0" applyNumberFormat="1" applyFont="1" applyFill="1" applyBorder="1" applyAlignment="1">
      <alignment horizontal="left" vertical="top" wrapText="1" readingOrder="1"/>
    </xf>
    <xf numFmtId="178" fontId="3" fillId="0" borderId="2" xfId="0" applyNumberFormat="1" applyFont="1" applyFill="1" applyBorder="1" applyAlignment="1">
      <alignment horizontal="left" vertical="top" wrapText="1" readingOrder="1"/>
    </xf>
    <xf numFmtId="177" fontId="5" fillId="0" borderId="2" xfId="0" applyNumberFormat="1" applyFont="1" applyFill="1" applyBorder="1" applyAlignment="1">
      <alignment horizontal="left" vertical="top" wrapText="1" readingOrder="1"/>
    </xf>
    <xf numFmtId="0" fontId="5" fillId="0" borderId="2" xfId="0" applyNumberFormat="1" applyFont="1" applyFill="1" applyBorder="1" applyAlignment="1">
      <alignment horizontal="left" vertical="top" wrapText="1" readingOrder="1"/>
    </xf>
    <xf numFmtId="177" fontId="5" fillId="0" borderId="2" xfId="0" applyNumberFormat="1" applyFont="1" applyFill="1" applyBorder="1" applyAlignment="1">
      <alignment horizontal="left" vertical="center" wrapText="1" readingOrder="1"/>
    </xf>
    <xf numFmtId="177" fontId="3" fillId="0" borderId="2" xfId="0" applyNumberFormat="1" applyFont="1" applyFill="1" applyBorder="1" applyAlignment="1">
      <alignment horizontal="left" vertical="center" wrapText="1" readingOrder="1"/>
    </xf>
    <xf numFmtId="177" fontId="5" fillId="0" borderId="6" xfId="0" applyNumberFormat="1" applyFont="1" applyFill="1" applyBorder="1" applyAlignment="1">
      <alignment horizontal="left" vertical="center" wrapText="1" readingOrder="1"/>
    </xf>
    <xf numFmtId="49" fontId="3" fillId="0" borderId="6" xfId="0" applyNumberFormat="1" applyFont="1" applyFill="1" applyBorder="1" applyAlignment="1">
      <alignment horizontal="center" vertical="center" wrapText="1" readingOrder="1"/>
    </xf>
    <xf numFmtId="177" fontId="3" fillId="0" borderId="6" xfId="0" applyNumberFormat="1" applyFont="1" applyFill="1" applyBorder="1" applyAlignment="1">
      <alignment horizontal="center" vertical="center" wrapText="1" readingOrder="1"/>
    </xf>
    <xf numFmtId="0" fontId="3" fillId="0" borderId="7" xfId="0" applyNumberFormat="1" applyFont="1" applyFill="1" applyBorder="1" applyAlignment="1">
      <alignment horizontal="left" vertical="center" wrapText="1" readingOrder="1"/>
    </xf>
    <xf numFmtId="176" fontId="3" fillId="0" borderId="7" xfId="0" applyNumberFormat="1" applyFont="1" applyFill="1" applyBorder="1" applyAlignment="1">
      <alignment horizontal="center" vertical="center" wrapText="1" readingOrder="1"/>
    </xf>
    <xf numFmtId="0" fontId="3" fillId="0" borderId="7" xfId="0" applyNumberFormat="1" applyFont="1" applyFill="1" applyBorder="1" applyAlignment="1">
      <alignment horizontal="center" vertical="center" wrapText="1" readingOrder="1"/>
    </xf>
    <xf numFmtId="0" fontId="4" fillId="2" borderId="8" xfId="0" applyNumberFormat="1" applyFont="1" applyFill="1" applyBorder="1" applyAlignment="1">
      <alignment horizontal="left" vertical="center" wrapText="1" readingOrder="1"/>
    </xf>
    <xf numFmtId="0" fontId="0" fillId="0" borderId="9" xfId="0" applyNumberFormat="1" applyFont="1" applyFill="1" applyBorder="1" applyAlignment="1">
      <alignment horizontal="left" vertical="center" wrapText="1"/>
    </xf>
    <xf numFmtId="177" fontId="4" fillId="2" borderId="8" xfId="0" applyNumberFormat="1" applyFont="1" applyFill="1" applyBorder="1" applyAlignment="1">
      <alignment horizontal="left" vertical="center" wrapText="1" readingOrder="1"/>
    </xf>
    <xf numFmtId="177" fontId="4" fillId="2" borderId="8" xfId="0" applyNumberFormat="1" applyFont="1" applyFill="1" applyBorder="1" applyAlignment="1">
      <alignment horizontal="center" vertical="center" wrapText="1" readingOrder="1"/>
    </xf>
    <xf numFmtId="177" fontId="3" fillId="0" borderId="3" xfId="0" applyNumberFormat="1" applyFont="1" applyFill="1" applyBorder="1" applyAlignment="1">
      <alignment horizontal="center" vertical="top" wrapText="1" readingOrder="1"/>
    </xf>
    <xf numFmtId="0" fontId="3" fillId="0" borderId="7" xfId="0" applyNumberFormat="1" applyFont="1" applyFill="1" applyBorder="1" applyAlignment="1">
      <alignment horizontal="center" vertical="top" wrapText="1" readingOrder="1"/>
    </xf>
    <xf numFmtId="0" fontId="4" fillId="2" borderId="8" xfId="0" applyNumberFormat="1" applyFont="1" applyFill="1" applyBorder="1" applyAlignment="1">
      <alignment vertical="top" wrapText="1" readingOrder="1"/>
    </xf>
    <xf numFmtId="0" fontId="0" fillId="0" borderId="9" xfId="0" applyNumberFormat="1" applyFont="1" applyFill="1" applyBorder="1" applyAlignment="1">
      <alignment vertical="top" wrapText="1"/>
    </xf>
    <xf numFmtId="0" fontId="4" fillId="2" borderId="8" xfId="0" applyNumberFormat="1" applyFont="1" applyFill="1" applyBorder="1" applyAlignment="1">
      <alignment horizontal="center" vertical="top" wrapText="1" readingOrder="1"/>
    </xf>
    <xf numFmtId="177" fontId="4" fillId="2" borderId="8" xfId="0" applyNumberFormat="1" applyFont="1" applyFill="1" applyBorder="1" applyAlignment="1">
      <alignment horizontal="center" vertical="top" wrapText="1" readingOrder="1"/>
    </xf>
    <xf numFmtId="178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horizontal="center" vertical="top" wrapText="1" readingOrder="1"/>
    </xf>
    <xf numFmtId="178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5" fillId="0" borderId="5" xfId="0" applyNumberFormat="1" applyFont="1" applyFill="1" applyBorder="1" applyAlignment="1">
      <alignment horizontal="left" vertical="center" wrapText="1" readingOrder="1"/>
    </xf>
    <xf numFmtId="0" fontId="6" fillId="0" borderId="5" xfId="0" applyFont="1" applyFill="1" applyBorder="1" applyAlignment="1">
      <alignment vertical="center"/>
    </xf>
    <xf numFmtId="49" fontId="3" fillId="0" borderId="5" xfId="0" applyNumberFormat="1" applyFont="1" applyFill="1" applyBorder="1" applyAlignment="1">
      <alignment horizontal="center" vertical="top" wrapText="1" readingOrder="1"/>
    </xf>
    <xf numFmtId="0" fontId="6" fillId="0" borderId="2" xfId="0" applyFont="1" applyFill="1" applyBorder="1" applyAlignment="1">
      <alignment vertical="center"/>
    </xf>
    <xf numFmtId="49" fontId="3" fillId="0" borderId="2" xfId="0" applyNumberFormat="1" applyFont="1" applyFill="1" applyBorder="1" applyAlignment="1">
      <alignment horizontal="center" vertical="top" wrapText="1" readingOrder="1"/>
    </xf>
    <xf numFmtId="0" fontId="3" fillId="0" borderId="7" xfId="0" applyNumberFormat="1" applyFont="1" applyFill="1" applyBorder="1" applyAlignment="1">
      <alignment horizontal="left" vertical="top" wrapText="1" readingOrder="1"/>
    </xf>
    <xf numFmtId="0" fontId="4" fillId="2" borderId="8" xfId="0" applyNumberFormat="1" applyFont="1" applyFill="1" applyBorder="1" applyAlignment="1">
      <alignment horizontal="left" vertical="top" wrapText="1" readingOrder="1"/>
    </xf>
    <xf numFmtId="0" fontId="0" fillId="0" borderId="9" xfId="0" applyNumberFormat="1" applyFont="1" applyFill="1" applyBorder="1" applyAlignment="1">
      <alignment horizontal="left" vertical="top" wrapText="1"/>
    </xf>
    <xf numFmtId="177" fontId="4" fillId="2" borderId="8" xfId="0" applyNumberFormat="1" applyFont="1" applyFill="1" applyBorder="1" applyAlignment="1">
      <alignment horizontal="left" vertical="top" wrapText="1" readingOrder="1"/>
    </xf>
    <xf numFmtId="0" fontId="6" fillId="0" borderId="2" xfId="0" applyFont="1" applyFill="1" applyBorder="1" applyAlignment="1">
      <alignment horizontal="left" vertical="top"/>
    </xf>
    <xf numFmtId="178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0" fontId="5" fillId="0" borderId="6" xfId="0" applyNumberFormat="1" applyFont="1" applyFill="1" applyBorder="1" applyAlignment="1">
      <alignment horizontal="left" vertical="top" wrapText="1" readingOrder="1"/>
    </xf>
    <xf numFmtId="177" fontId="3" fillId="0" borderId="3" xfId="0" applyNumberFormat="1" applyFont="1" applyFill="1" applyBorder="1" applyAlignment="1">
      <alignment horizontal="center" vertical="center" wrapText="1" readingOrder="1"/>
    </xf>
    <xf numFmtId="0" fontId="0" fillId="0" borderId="0" xfId="0" applyFont="1" applyFill="1" applyBorder="1" applyAlignment="1">
      <alignment horizontal="left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 readingOrder="1"/>
    </xf>
    <xf numFmtId="0" fontId="9" fillId="0" borderId="2" xfId="0" applyNumberFormat="1" applyFont="1" applyFill="1" applyBorder="1" applyAlignment="1">
      <alignment horizontal="center" vertical="center" wrapText="1" readingOrder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 wrapText="1" readingOrder="1"/>
    </xf>
    <xf numFmtId="179" fontId="10" fillId="0" borderId="2" xfId="0" applyNumberFormat="1" applyFont="1" applyFill="1" applyBorder="1" applyAlignment="1">
      <alignment horizontal="center" vertical="center" wrapText="1" readingOrder="1"/>
    </xf>
    <xf numFmtId="0" fontId="11" fillId="0" borderId="2" xfId="0" applyNumberFormat="1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 wrapText="1" readingOrder="1"/>
    </xf>
    <xf numFmtId="179" fontId="12" fillId="0" borderId="2" xfId="0" applyNumberFormat="1" applyFont="1" applyFill="1" applyBorder="1" applyAlignment="1">
      <alignment horizontal="center" vertical="center" wrapText="1" readingOrder="1"/>
    </xf>
    <xf numFmtId="0" fontId="13" fillId="0" borderId="2" xfId="0" applyNumberFormat="1" applyFont="1" applyFill="1" applyBorder="1" applyAlignment="1">
      <alignment horizontal="center" vertical="center" wrapText="1"/>
    </xf>
    <xf numFmtId="178" fontId="12" fillId="0" borderId="2" xfId="0" applyNumberFormat="1" applyFont="1" applyFill="1" applyBorder="1" applyAlignment="1">
      <alignment horizontal="center" vertical="center" wrapText="1" readingOrder="1"/>
    </xf>
    <xf numFmtId="0" fontId="13" fillId="0" borderId="2" xfId="0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78" fontId="3" fillId="0" borderId="13" xfId="0" applyNumberFormat="1" applyFont="1" applyFill="1" applyBorder="1" applyAlignment="1">
      <alignment horizontal="left" vertical="center" wrapText="1" readingOrder="1"/>
    </xf>
    <xf numFmtId="0" fontId="3" fillId="0" borderId="13" xfId="0" applyNumberFormat="1" applyFont="1" applyFill="1" applyBorder="1" applyAlignment="1">
      <alignment horizontal="left" vertical="center" wrapText="1" readingOrder="1"/>
    </xf>
    <xf numFmtId="178" fontId="3" fillId="0" borderId="6" xfId="0" applyNumberFormat="1" applyFont="1" applyFill="1" applyBorder="1" applyAlignment="1">
      <alignment horizontal="left" vertical="center" wrapText="1" readingOrder="1"/>
    </xf>
    <xf numFmtId="0" fontId="3" fillId="0" borderId="6" xfId="0" applyNumberFormat="1" applyFont="1" applyFill="1" applyBorder="1" applyAlignment="1">
      <alignment horizontal="left" vertical="center" wrapText="1" readingOrder="1"/>
    </xf>
    <xf numFmtId="177" fontId="3" fillId="0" borderId="13" xfId="0" applyNumberFormat="1" applyFont="1" applyFill="1" applyBorder="1" applyAlignment="1">
      <alignment horizontal="center" vertical="center" wrapText="1" readingOrder="1"/>
    </xf>
    <xf numFmtId="178" fontId="3" fillId="0" borderId="2" xfId="0" applyNumberFormat="1" applyFont="1" applyFill="1" applyBorder="1" applyAlignment="1">
      <alignment horizontal="left" vertical="center" wrapText="1" readingOrder="1"/>
    </xf>
    <xf numFmtId="0" fontId="14" fillId="0" borderId="2" xfId="0" applyNumberFormat="1" applyFont="1" applyFill="1" applyBorder="1" applyAlignment="1">
      <alignment horizontal="left" vertical="center" wrapText="1" readingOrder="1"/>
    </xf>
    <xf numFmtId="0" fontId="15" fillId="0" borderId="2" xfId="0" applyNumberFormat="1" applyFont="1" applyFill="1" applyBorder="1" applyAlignment="1">
      <alignment horizontal="left" vertical="center" wrapText="1" readingOrder="1"/>
    </xf>
    <xf numFmtId="177" fontId="15" fillId="0" borderId="2" xfId="0" applyNumberFormat="1" applyFont="1" applyFill="1" applyBorder="1" applyAlignment="1">
      <alignment horizontal="left" vertical="center" wrapText="1" readingOrder="1"/>
    </xf>
    <xf numFmtId="49" fontId="14" fillId="0" borderId="2" xfId="0" applyNumberFormat="1" applyFont="1" applyFill="1" applyBorder="1" applyAlignment="1">
      <alignment horizontal="center" vertical="center" wrapText="1" readingOrder="1"/>
    </xf>
    <xf numFmtId="177" fontId="14" fillId="0" borderId="2" xfId="0" applyNumberFormat="1" applyFont="1" applyFill="1" applyBorder="1" applyAlignment="1">
      <alignment horizontal="center" vertical="center" wrapText="1" readingOrder="1"/>
    </xf>
    <xf numFmtId="0" fontId="16" fillId="4" borderId="14" xfId="0" applyNumberFormat="1" applyFont="1" applyFill="1" applyBorder="1" applyAlignment="1">
      <alignment vertical="top" wrapText="1" readingOrder="1"/>
    </xf>
    <xf numFmtId="0" fontId="0" fillId="0" borderId="14" xfId="0" applyNumberFormat="1" applyFont="1" applyFill="1" applyBorder="1" applyAlignment="1">
      <alignment vertical="top" wrapText="1"/>
    </xf>
    <xf numFmtId="0" fontId="3" fillId="4" borderId="14" xfId="0" applyNumberFormat="1" applyFont="1" applyFill="1" applyBorder="1" applyAlignment="1">
      <alignment vertical="top" wrapText="1" readingOrder="1"/>
    </xf>
    <xf numFmtId="180" fontId="3" fillId="4" borderId="14" xfId="0" applyNumberFormat="1" applyFont="1" applyFill="1" applyBorder="1" applyAlignment="1">
      <alignment vertical="top" wrapText="1" readingOrder="1"/>
    </xf>
    <xf numFmtId="0" fontId="4" fillId="2" borderId="14" xfId="0" applyNumberFormat="1" applyFont="1" applyFill="1" applyBorder="1" applyAlignment="1">
      <alignment vertical="top" wrapText="1" readingOrder="1"/>
    </xf>
    <xf numFmtId="0" fontId="3" fillId="2" borderId="14" xfId="0" applyNumberFormat="1" applyFont="1" applyFill="1" applyBorder="1" applyAlignment="1">
      <alignment vertical="top" wrapText="1" readingOrder="1"/>
    </xf>
    <xf numFmtId="180" fontId="3" fillId="2" borderId="14" xfId="0" applyNumberFormat="1" applyFont="1" applyFill="1" applyBorder="1" applyAlignment="1">
      <alignment vertical="top" wrapText="1" readingOrder="1"/>
    </xf>
    <xf numFmtId="0" fontId="3" fillId="5" borderId="14" xfId="0" applyNumberFormat="1" applyFont="1" applyFill="1" applyBorder="1" applyAlignment="1">
      <alignment horizontal="left" vertical="top" wrapText="1" readingOrder="1"/>
    </xf>
    <xf numFmtId="0" fontId="3" fillId="5" borderId="14" xfId="0" applyNumberFormat="1" applyFont="1" applyFill="1" applyBorder="1" applyAlignment="1">
      <alignment vertical="top" wrapText="1" readingOrder="1"/>
    </xf>
    <xf numFmtId="180" fontId="3" fillId="5" borderId="14" xfId="0" applyNumberFormat="1" applyFont="1" applyFill="1" applyBorder="1" applyAlignment="1">
      <alignment vertical="top" wrapText="1" readingOrder="1"/>
    </xf>
    <xf numFmtId="0" fontId="3" fillId="0" borderId="8" xfId="0" applyNumberFormat="1" applyFont="1" applyFill="1" applyBorder="1" applyAlignment="1">
      <alignment horizontal="left" vertical="top" wrapText="1" readingOrder="1"/>
    </xf>
    <xf numFmtId="181" fontId="3" fillId="0" borderId="8" xfId="0" applyNumberFormat="1" applyFont="1" applyFill="1" applyBorder="1" applyAlignment="1">
      <alignment horizontal="left" vertical="top" wrapText="1" readingOrder="1"/>
    </xf>
    <xf numFmtId="0" fontId="0" fillId="0" borderId="15" xfId="0" applyNumberFormat="1" applyFont="1" applyFill="1" applyBorder="1" applyAlignment="1">
      <alignment vertical="top" wrapText="1"/>
    </xf>
    <xf numFmtId="0" fontId="5" fillId="0" borderId="8" xfId="0" applyNumberFormat="1" applyFont="1" applyFill="1" applyBorder="1" applyAlignment="1">
      <alignment vertical="top" wrapText="1" readingOrder="1"/>
    </xf>
    <xf numFmtId="181" fontId="3" fillId="0" borderId="8" xfId="0" applyNumberFormat="1" applyFont="1" applyFill="1" applyBorder="1" applyAlignment="1">
      <alignment vertical="top" wrapText="1" readingOrder="1"/>
    </xf>
    <xf numFmtId="0" fontId="3" fillId="0" borderId="8" xfId="0" applyNumberFormat="1" applyFont="1" applyFill="1" applyBorder="1" applyAlignment="1">
      <alignment vertical="top" wrapText="1" readingOrder="1"/>
    </xf>
    <xf numFmtId="180" fontId="3" fillId="0" borderId="8" xfId="0" applyNumberFormat="1" applyFont="1" applyFill="1" applyBorder="1" applyAlignment="1">
      <alignment vertical="top" wrapText="1" readingOrder="1"/>
    </xf>
    <xf numFmtId="0" fontId="0" fillId="0" borderId="0" xfId="0" applyFont="1" applyFill="1" applyBorder="1" applyAlignment="1">
      <alignment horizontal="left" vertical="center"/>
    </xf>
    <xf numFmtId="0" fontId="3" fillId="0" borderId="16" xfId="0" applyNumberFormat="1" applyFont="1" applyFill="1" applyBorder="1" applyAlignment="1">
      <alignment horizontal="left" vertical="top" wrapText="1" readingOrder="1"/>
    </xf>
    <xf numFmtId="0" fontId="3" fillId="0" borderId="16" xfId="0" applyNumberFormat="1" applyFont="1" applyFill="1" applyBorder="1" applyAlignment="1">
      <alignment horizontal="center" vertical="top" wrapText="1" readingOrder="1"/>
    </xf>
    <xf numFmtId="177" fontId="5" fillId="0" borderId="5" xfId="0" applyNumberFormat="1" applyFont="1" applyFill="1" applyBorder="1" applyAlignment="1">
      <alignment horizontal="left" vertical="top" wrapText="1" readingOrder="1"/>
    </xf>
    <xf numFmtId="177" fontId="3" fillId="0" borderId="5" xfId="0" applyNumberFormat="1" applyFont="1" applyFill="1" applyBorder="1" applyAlignment="1">
      <alignment horizontal="left" vertical="center" wrapText="1" readingOrder="1"/>
    </xf>
    <xf numFmtId="0" fontId="6" fillId="0" borderId="5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5" fillId="0" borderId="7" xfId="0" applyNumberFormat="1" applyFont="1" applyFill="1" applyBorder="1" applyAlignment="1">
      <alignment horizontal="left" vertical="center" wrapText="1" readingOrder="1"/>
    </xf>
    <xf numFmtId="0" fontId="17" fillId="4" borderId="8" xfId="0" applyNumberFormat="1" applyFont="1" applyFill="1" applyBorder="1" applyAlignment="1">
      <alignment vertical="top" wrapText="1" readingOrder="1"/>
    </xf>
    <xf numFmtId="0" fontId="17" fillId="4" borderId="8" xfId="0" applyNumberFormat="1" applyFont="1" applyFill="1" applyBorder="1" applyAlignment="1">
      <alignment horizontal="center" vertical="top" wrapText="1" readingOrder="1"/>
    </xf>
    <xf numFmtId="177" fontId="17" fillId="4" borderId="8" xfId="0" applyNumberFormat="1" applyFont="1" applyFill="1" applyBorder="1" applyAlignment="1">
      <alignment horizontal="center" vertical="top" wrapText="1" readingOrder="1"/>
    </xf>
    <xf numFmtId="0" fontId="3" fillId="0" borderId="17" xfId="0" applyNumberFormat="1" applyFont="1" applyFill="1" applyBorder="1" applyAlignment="1">
      <alignment horizontal="left" vertical="center" wrapText="1" readingOrder="1"/>
    </xf>
    <xf numFmtId="176" fontId="3" fillId="0" borderId="17" xfId="0" applyNumberFormat="1" applyFont="1" applyFill="1" applyBorder="1" applyAlignment="1">
      <alignment horizontal="center" vertical="center" wrapText="1" readingOrder="1"/>
    </xf>
    <xf numFmtId="0" fontId="3" fillId="0" borderId="17" xfId="0" applyNumberFormat="1" applyFont="1" applyFill="1" applyBorder="1" applyAlignment="1">
      <alignment horizontal="center" vertical="center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8" Type="http://schemas.openxmlformats.org/officeDocument/2006/relationships/styles" Target="styles.xml"/><Relationship Id="rId47" Type="http://schemas.openxmlformats.org/officeDocument/2006/relationships/sharedStrings" Target="sharedStrings.xml"/><Relationship Id="rId46" Type="http://schemas.openxmlformats.org/officeDocument/2006/relationships/theme" Target="theme/theme1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66040</xdr:colOff>
      <xdr:row>1</xdr:row>
      <xdr:rowOff>47625</xdr:rowOff>
    </xdr:from>
    <xdr:to>
      <xdr:col>13</xdr:col>
      <xdr:colOff>576028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1496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187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2</xdr:row>
      <xdr:rowOff>0</xdr:rowOff>
    </xdr:from>
    <xdr:to>
      <xdr:col>13</xdr:col>
      <xdr:colOff>509905</xdr:colOff>
      <xdr:row>4</xdr:row>
      <xdr:rowOff>165735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09275" y="3429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854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187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187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187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8140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902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137539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902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902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902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902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902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902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902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997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3759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3759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3759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089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3759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3759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2</xdr:row>
      <xdr:rowOff>0</xdr:rowOff>
    </xdr:from>
    <xdr:to>
      <xdr:col>13</xdr:col>
      <xdr:colOff>509905</xdr:colOff>
      <xdr:row>4</xdr:row>
      <xdr:rowOff>165735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956925" y="342900"/>
          <a:ext cx="509905" cy="50863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3759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2</xdr:row>
      <xdr:rowOff>0</xdr:rowOff>
    </xdr:from>
    <xdr:to>
      <xdr:col>13</xdr:col>
      <xdr:colOff>509905</xdr:colOff>
      <xdr:row>4</xdr:row>
      <xdr:rowOff>165735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871200" y="342900"/>
          <a:ext cx="509905" cy="50863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134046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5505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267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267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267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267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152400</xdr:colOff>
      <xdr:row>1</xdr:row>
      <xdr:rowOff>19685</xdr:rowOff>
    </xdr:from>
    <xdr:to>
      <xdr:col>13</xdr:col>
      <xdr:colOff>662305</xdr:colOff>
      <xdr:row>4</xdr:row>
      <xdr:rowOff>17145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579100" y="191135"/>
          <a:ext cx="509905" cy="50863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267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267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267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267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7950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9188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7950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95000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34" sqref="L33:L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75" customWidth="1"/>
    <col min="11" max="11" width="19.25" customWidth="1"/>
    <col min="12" max="13" width="12.2083333333333" customWidth="1"/>
    <col min="14" max="14" width="11.625" customWidth="1"/>
  </cols>
  <sheetData>
    <row r="1" spans="2:14">
      <c r="C1" s="1" t="s">
        <v>0</v>
      </c>
    </row>
    <row r="2" ht="23.05" customHeight="1"/>
    <row r="3" ht="2" customHeight="1"/>
    <row r="4" ht="15.2" customHeight="1" spans="2:14">
      <c r="B4" s="2" t="s">
        <v>1</v>
      </c>
    </row>
    <row r="6" ht="2.95" customHeight="1"/>
    <row r="7" ht="3.95" customHeight="1" spans="2:14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/>
      <c r="K7" s="4"/>
      <c r="L7" s="4"/>
      <c r="M7" s="4" t="s">
        <v>2</v>
      </c>
      <c r="N7" s="4" t="s">
        <v>2</v>
      </c>
    </row>
    <row r="8" ht="15" spans="2:14">
      <c r="C8" s="3" t="s">
        <v>2</v>
      </c>
      <c r="D8" s="125" t="s">
        <v>3</v>
      </c>
      <c r="E8" s="47" t="s">
        <v>2</v>
      </c>
      <c r="F8" s="47" t="s">
        <v>2</v>
      </c>
      <c r="G8" s="47" t="s">
        <v>2</v>
      </c>
      <c r="H8" s="47" t="s">
        <v>2</v>
      </c>
      <c r="I8" s="126"/>
      <c r="J8" s="127"/>
      <c r="K8" s="127"/>
      <c r="L8" s="127"/>
      <c r="M8" s="127"/>
      <c r="N8" s="127"/>
    </row>
    <row r="9" spans="2:14">
      <c r="C9" s="3" t="s">
        <v>2</v>
      </c>
      <c r="D9" s="128" t="s">
        <v>4</v>
      </c>
      <c r="E9" s="128" t="s">
        <v>5</v>
      </c>
      <c r="F9" s="128" t="s">
        <v>6</v>
      </c>
      <c r="G9" s="128" t="s">
        <v>7</v>
      </c>
      <c r="H9" s="128" t="s">
        <v>8</v>
      </c>
      <c r="I9" s="128" t="s">
        <v>9</v>
      </c>
      <c r="J9" s="128" t="s">
        <v>10</v>
      </c>
      <c r="K9" s="129" t="s">
        <v>11</v>
      </c>
      <c r="L9" s="130" t="s">
        <v>12</v>
      </c>
      <c r="M9" s="130" t="s">
        <v>13</v>
      </c>
      <c r="N9" s="130" t="s">
        <v>14</v>
      </c>
    </row>
    <row r="10" ht="14.25" spans="2:14">
      <c r="D10" s="40" t="s">
        <v>15</v>
      </c>
      <c r="E10" s="41" t="s">
        <v>2</v>
      </c>
      <c r="F10" s="41" t="s">
        <v>2</v>
      </c>
      <c r="G10" s="41" t="s">
        <v>2</v>
      </c>
      <c r="H10" s="41" t="s">
        <v>2</v>
      </c>
      <c r="I10" s="40">
        <v>11</v>
      </c>
      <c r="J10" s="42"/>
      <c r="K10" s="43"/>
      <c r="L10" s="43"/>
      <c r="M10" s="43"/>
      <c r="N10" s="43">
        <v>210</v>
      </c>
    </row>
    <row r="11" spans="2:14">
      <c r="D11" s="13">
        <v>46197</v>
      </c>
      <c r="E11" s="14">
        <v>1614927</v>
      </c>
      <c r="F11" s="14" t="s">
        <v>16</v>
      </c>
      <c r="G11" s="14">
        <v>20324382</v>
      </c>
      <c r="H11" s="14" t="s">
        <v>17</v>
      </c>
      <c r="I11" s="14">
        <v>2</v>
      </c>
      <c r="J11" s="15" t="s">
        <v>18</v>
      </c>
      <c r="K11" s="16">
        <v>1</v>
      </c>
      <c r="L11" s="17">
        <v>6.4</v>
      </c>
      <c r="M11" s="17">
        <v>6.4</v>
      </c>
      <c r="N11" s="17">
        <v>12.8</v>
      </c>
    </row>
    <row r="12" spans="2:14">
      <c r="D12" s="18">
        <v>46197</v>
      </c>
      <c r="E12" s="6">
        <v>1614927</v>
      </c>
      <c r="F12" s="6" t="s">
        <v>16</v>
      </c>
      <c r="G12" s="6">
        <v>20324427</v>
      </c>
      <c r="H12" s="6" t="s">
        <v>19</v>
      </c>
      <c r="I12" s="6">
        <v>2</v>
      </c>
      <c r="J12" s="6" t="s">
        <v>20</v>
      </c>
      <c r="K12" s="20">
        <v>1</v>
      </c>
      <c r="L12" s="21">
        <v>8.8</v>
      </c>
      <c r="M12" s="21">
        <v>8.8</v>
      </c>
      <c r="N12" s="21">
        <v>17.6</v>
      </c>
    </row>
    <row r="13" spans="2:14">
      <c r="D13" s="18">
        <v>46197</v>
      </c>
      <c r="E13" s="6">
        <v>1614927</v>
      </c>
      <c r="F13" s="6" t="s">
        <v>16</v>
      </c>
      <c r="G13" s="6">
        <v>20324364</v>
      </c>
      <c r="H13" s="6" t="s">
        <v>21</v>
      </c>
      <c r="I13" s="6">
        <v>1</v>
      </c>
      <c r="J13" s="19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2:14">
      <c r="D14" s="18">
        <v>46197</v>
      </c>
      <c r="E14" s="6">
        <v>1614927</v>
      </c>
      <c r="F14" s="6" t="s">
        <v>16</v>
      </c>
      <c r="G14" s="6">
        <v>20324401</v>
      </c>
      <c r="H14" s="6" t="s">
        <v>22</v>
      </c>
      <c r="I14" s="6">
        <v>1</v>
      </c>
      <c r="J14" s="123" t="s">
        <v>23</v>
      </c>
      <c r="K14" s="20">
        <v>1</v>
      </c>
      <c r="L14" s="21">
        <v>12.8</v>
      </c>
      <c r="M14" s="21">
        <v>12.8</v>
      </c>
      <c r="N14" s="21">
        <v>12.8</v>
      </c>
    </row>
    <row r="15" spans="2:14">
      <c r="D15" s="18">
        <v>46197</v>
      </c>
      <c r="E15" s="6">
        <v>1614927</v>
      </c>
      <c r="F15" s="6" t="s">
        <v>16</v>
      </c>
      <c r="G15" s="6">
        <v>20324402</v>
      </c>
      <c r="H15" s="6" t="s">
        <v>24</v>
      </c>
      <c r="I15" s="6">
        <v>1</v>
      </c>
      <c r="J15" s="6" t="s">
        <v>20</v>
      </c>
      <c r="K15" s="20">
        <v>1</v>
      </c>
      <c r="L15" s="21">
        <v>8.8</v>
      </c>
      <c r="M15" s="21">
        <v>8.8</v>
      </c>
      <c r="N15" s="21">
        <v>8.8</v>
      </c>
    </row>
    <row r="16" spans="2:14">
      <c r="D16" s="18">
        <v>46197</v>
      </c>
      <c r="E16" s="6">
        <v>1614927</v>
      </c>
      <c r="F16" s="6" t="s">
        <v>16</v>
      </c>
      <c r="G16" s="6">
        <v>20324363</v>
      </c>
      <c r="H16" s="6" t="s">
        <v>25</v>
      </c>
      <c r="I16" s="6">
        <v>1</v>
      </c>
      <c r="J16" s="19" t="s">
        <v>18</v>
      </c>
      <c r="K16" s="20">
        <v>1</v>
      </c>
      <c r="L16" s="21">
        <v>6.4</v>
      </c>
      <c r="M16" s="21">
        <v>6.4</v>
      </c>
      <c r="N16" s="21">
        <v>6.4</v>
      </c>
    </row>
    <row r="17" spans="4:14">
      <c r="D17" s="18">
        <v>46197</v>
      </c>
      <c r="E17" s="6">
        <v>1614927</v>
      </c>
      <c r="F17" s="19" t="s">
        <v>26</v>
      </c>
      <c r="G17" s="6">
        <v>20324662</v>
      </c>
      <c r="H17" s="6" t="s">
        <v>27</v>
      </c>
      <c r="I17" s="6">
        <v>3</v>
      </c>
      <c r="J17" s="32" t="s">
        <v>28</v>
      </c>
      <c r="K17" s="20">
        <f>M17/L17</f>
        <v>11</v>
      </c>
      <c r="L17" s="21">
        <v>4.4</v>
      </c>
      <c r="M17" s="21">
        <v>48.4</v>
      </c>
      <c r="N17" s="21">
        <v>145.2</v>
      </c>
    </row>
    <row r="18" ht="0.05" customHeight="1"/>
    <row r="27" spans="4:14">
      <c r="L27">
        <f>N10+超声!N8+耳鼻喉病房!N8+耳鼻喉门诊!N8+妇二!N8+妇二门诊561!N8+妇科门诊!N8+妇三!N8+妇一!N8+肛肠科!N8+肛肠门诊!N8+宫腔镜!N8+骨二!N8+骨三!N8+骨四!N8+急诊!N8+计划生育手术室!N8+介入科!N8+静配中心!N8+康复二科!N8+口腔科!N8+门诊手术室!N8+'内分泌（二）'!N8+内镜诊疗室!N8+'清洁区（手术室）'!N8+肾病一科!N8+'手术室(二区)'!N8+'手术室(一区)'!N8+透析!N8+外二!N8+外三!N8+外四!N8+消化微创病房!N8+眼科病房!N8+眼科门诊322!N8+眼科门诊357!N8+'眼科门诊手术室（二）'!N8+'眼科门诊手术室（一）'!N8+中医经典病房!N8+重症医学科!N8+周围血管二!N8+周围血管一!N8</f>
        <v>158295.6</v>
      </c>
    </row>
  </sheetData>
  <autoFilter xmlns:etc="http://www.wps.cn/officeDocument/2017/etCustomData" ref="A9:N17" etc:filterBottomFollowUsedRange="0">
    <extLst/>
  </autoFilter>
  <mergeCells count="6">
    <mergeCell ref="D8:H8"/>
    <mergeCell ref="D10:H10"/>
    <mergeCell ref="C9:C17"/>
    <mergeCell ref="B4:H5"/>
    <mergeCell ref="A8:B17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showGridLines="0" view="pageBreakPreview" zoomScaleNormal="100" topLeftCell="C1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5" customWidth="1"/>
    <col min="11" max="11" width="19.125" customWidth="1"/>
    <col min="12" max="12" width="13.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29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20</v>
      </c>
      <c r="J8" s="42"/>
      <c r="K8" s="43"/>
      <c r="L8" s="43"/>
      <c r="M8" s="43"/>
      <c r="N8" s="43">
        <v>147.2</v>
      </c>
    </row>
    <row r="9" spans="1:14">
      <c r="D9" s="13">
        <v>46184</v>
      </c>
      <c r="E9" s="14">
        <v>1611533</v>
      </c>
      <c r="F9" s="14" t="s">
        <v>16</v>
      </c>
      <c r="G9" s="14">
        <v>20324364</v>
      </c>
      <c r="H9" s="14" t="s">
        <v>21</v>
      </c>
      <c r="I9" s="14">
        <v>1</v>
      </c>
      <c r="J9" s="15" t="s">
        <v>18</v>
      </c>
      <c r="K9" s="16">
        <v>1</v>
      </c>
      <c r="L9" s="17">
        <v>6.4</v>
      </c>
      <c r="M9" s="17">
        <v>6.4</v>
      </c>
      <c r="N9" s="17">
        <v>6.4</v>
      </c>
    </row>
    <row r="10" spans="1:14">
      <c r="D10" s="18">
        <v>46184</v>
      </c>
      <c r="E10" s="6">
        <v>1611533</v>
      </c>
      <c r="F10" s="6" t="s">
        <v>16</v>
      </c>
      <c r="G10" s="6">
        <v>20324405</v>
      </c>
      <c r="H10" s="6" t="s">
        <v>30</v>
      </c>
      <c r="I10" s="6">
        <v>1</v>
      </c>
      <c r="J10" s="6" t="s">
        <v>20</v>
      </c>
      <c r="K10" s="20">
        <v>1</v>
      </c>
      <c r="L10" s="21">
        <v>8.8</v>
      </c>
      <c r="M10" s="21">
        <v>8.8</v>
      </c>
      <c r="N10" s="21">
        <v>8.8</v>
      </c>
    </row>
    <row r="11" spans="1:14">
      <c r="D11" s="18">
        <v>46189</v>
      </c>
      <c r="E11" s="6">
        <v>1612405</v>
      </c>
      <c r="F11" s="6" t="s">
        <v>16</v>
      </c>
      <c r="G11" s="6">
        <v>20324364</v>
      </c>
      <c r="H11" s="6" t="s">
        <v>21</v>
      </c>
      <c r="I11" s="6">
        <v>1</v>
      </c>
      <c r="J11" s="19" t="s">
        <v>18</v>
      </c>
      <c r="K11" s="20">
        <v>1</v>
      </c>
      <c r="L11" s="21">
        <v>6.4</v>
      </c>
      <c r="M11" s="21">
        <v>6.4</v>
      </c>
      <c r="N11" s="21">
        <v>6.4</v>
      </c>
    </row>
    <row r="12" spans="1:14">
      <c r="D12" s="18">
        <v>46189</v>
      </c>
      <c r="E12" s="6">
        <v>1612405</v>
      </c>
      <c r="F12" s="6" t="s">
        <v>16</v>
      </c>
      <c r="G12" s="6">
        <v>20324405</v>
      </c>
      <c r="H12" s="6" t="s">
        <v>30</v>
      </c>
      <c r="I12" s="6">
        <v>1</v>
      </c>
      <c r="J12" s="6" t="s">
        <v>20</v>
      </c>
      <c r="K12" s="20">
        <v>1</v>
      </c>
      <c r="L12" s="21">
        <v>8.8</v>
      </c>
      <c r="M12" s="21">
        <v>8.8</v>
      </c>
      <c r="N12" s="21">
        <v>8.8</v>
      </c>
    </row>
    <row r="13" spans="1:14">
      <c r="D13" s="18">
        <v>46191</v>
      </c>
      <c r="E13" s="6">
        <v>1613200</v>
      </c>
      <c r="F13" s="6" t="s">
        <v>16</v>
      </c>
      <c r="G13" s="6">
        <v>20324364</v>
      </c>
      <c r="H13" s="6" t="s">
        <v>21</v>
      </c>
      <c r="I13" s="6">
        <v>2</v>
      </c>
      <c r="J13" s="19" t="s">
        <v>18</v>
      </c>
      <c r="K13" s="20">
        <v>1</v>
      </c>
      <c r="L13" s="21">
        <v>6.4</v>
      </c>
      <c r="M13" s="21">
        <v>6.4</v>
      </c>
      <c r="N13" s="21">
        <v>12.8</v>
      </c>
    </row>
    <row r="14" spans="1:14">
      <c r="D14" s="18">
        <v>46191</v>
      </c>
      <c r="E14" s="6">
        <v>1613200</v>
      </c>
      <c r="F14" s="6" t="s">
        <v>16</v>
      </c>
      <c r="G14" s="6">
        <v>20324691</v>
      </c>
      <c r="H14" s="6" t="s">
        <v>31</v>
      </c>
      <c r="I14" s="6">
        <v>1</v>
      </c>
      <c r="J14" s="6" t="s">
        <v>20</v>
      </c>
      <c r="K14" s="20">
        <v>1</v>
      </c>
      <c r="L14" s="21">
        <v>8.8</v>
      </c>
      <c r="M14" s="21">
        <v>8.8</v>
      </c>
      <c r="N14" s="21">
        <v>8.8</v>
      </c>
    </row>
    <row r="15" spans="1:14">
      <c r="D15" s="18">
        <v>46191</v>
      </c>
      <c r="E15" s="6">
        <v>1613200</v>
      </c>
      <c r="F15" s="6" t="s">
        <v>16</v>
      </c>
      <c r="G15" s="6">
        <v>20324405</v>
      </c>
      <c r="H15" s="6" t="s">
        <v>30</v>
      </c>
      <c r="I15" s="6">
        <v>1</v>
      </c>
      <c r="J15" s="6" t="s">
        <v>20</v>
      </c>
      <c r="K15" s="20">
        <v>1</v>
      </c>
      <c r="L15" s="21">
        <v>8.8</v>
      </c>
      <c r="M15" s="21">
        <v>8.8</v>
      </c>
      <c r="N15" s="21">
        <v>8.8</v>
      </c>
    </row>
    <row r="16" spans="1:14">
      <c r="D16" s="18">
        <v>46191</v>
      </c>
      <c r="E16" s="6">
        <v>1613200</v>
      </c>
      <c r="F16" s="6" t="s">
        <v>16</v>
      </c>
      <c r="G16" s="6">
        <v>20324363</v>
      </c>
      <c r="H16" s="6" t="s">
        <v>25</v>
      </c>
      <c r="I16" s="6">
        <v>1</v>
      </c>
      <c r="J16" s="19" t="s">
        <v>18</v>
      </c>
      <c r="K16" s="20">
        <v>1</v>
      </c>
      <c r="L16" s="21">
        <v>6.4</v>
      </c>
      <c r="M16" s="21">
        <v>6.4</v>
      </c>
      <c r="N16" s="21">
        <v>6.4</v>
      </c>
    </row>
    <row r="17" spans="4:14">
      <c r="D17" s="18">
        <v>46195</v>
      </c>
      <c r="E17" s="6">
        <v>1614180</v>
      </c>
      <c r="F17" s="6" t="s">
        <v>16</v>
      </c>
      <c r="G17" s="6">
        <v>20396682</v>
      </c>
      <c r="H17" s="6" t="s">
        <v>32</v>
      </c>
      <c r="I17" s="6">
        <v>1</v>
      </c>
      <c r="J17" s="19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spans="4:14">
      <c r="D18" s="18">
        <v>46195</v>
      </c>
      <c r="E18" s="6">
        <v>1614180</v>
      </c>
      <c r="F18" s="6" t="s">
        <v>16</v>
      </c>
      <c r="G18" s="6">
        <v>20324364</v>
      </c>
      <c r="H18" s="6" t="s">
        <v>21</v>
      </c>
      <c r="I18" s="6">
        <v>2</v>
      </c>
      <c r="J18" s="19" t="s">
        <v>18</v>
      </c>
      <c r="K18" s="20">
        <v>1</v>
      </c>
      <c r="L18" s="21">
        <v>6.4</v>
      </c>
      <c r="M18" s="21">
        <v>6.4</v>
      </c>
      <c r="N18" s="21">
        <v>12.8</v>
      </c>
    </row>
    <row r="19" spans="4:14">
      <c r="D19" s="18">
        <v>46195</v>
      </c>
      <c r="E19" s="6">
        <v>1614180</v>
      </c>
      <c r="F19" s="6" t="s">
        <v>16</v>
      </c>
      <c r="G19" s="6">
        <v>20324405</v>
      </c>
      <c r="H19" s="6" t="s">
        <v>30</v>
      </c>
      <c r="I19" s="6">
        <v>2</v>
      </c>
      <c r="J19" s="6" t="s">
        <v>20</v>
      </c>
      <c r="K19" s="20">
        <v>1</v>
      </c>
      <c r="L19" s="21">
        <v>8.8</v>
      </c>
      <c r="M19" s="21">
        <v>8.8</v>
      </c>
      <c r="N19" s="21">
        <v>17.6</v>
      </c>
    </row>
    <row r="20" spans="4:14">
      <c r="D20" s="18">
        <v>46197</v>
      </c>
      <c r="E20" s="6">
        <v>1614562</v>
      </c>
      <c r="F20" s="6" t="s">
        <v>16</v>
      </c>
      <c r="G20" s="6">
        <v>20324364</v>
      </c>
      <c r="H20" s="6" t="s">
        <v>21</v>
      </c>
      <c r="I20" s="6">
        <v>3</v>
      </c>
      <c r="J20" s="19" t="s">
        <v>18</v>
      </c>
      <c r="K20" s="20">
        <v>1</v>
      </c>
      <c r="L20" s="21">
        <v>6.4</v>
      </c>
      <c r="M20" s="21">
        <v>6.4</v>
      </c>
      <c r="N20" s="21">
        <v>19.2</v>
      </c>
    </row>
    <row r="21" spans="4:14">
      <c r="D21" s="18">
        <v>46197</v>
      </c>
      <c r="E21" s="6">
        <v>1614562</v>
      </c>
      <c r="F21" s="6" t="s">
        <v>16</v>
      </c>
      <c r="G21" s="6">
        <v>20324405</v>
      </c>
      <c r="H21" s="6" t="s">
        <v>30</v>
      </c>
      <c r="I21" s="6">
        <v>2</v>
      </c>
      <c r="J21" s="6" t="s">
        <v>20</v>
      </c>
      <c r="K21" s="20">
        <v>1</v>
      </c>
      <c r="L21" s="21">
        <v>8.8</v>
      </c>
      <c r="M21" s="21">
        <v>8.8</v>
      </c>
      <c r="N21" s="21">
        <v>17.6</v>
      </c>
    </row>
    <row r="22" spans="4:14">
      <c r="D22" s="18">
        <v>46197</v>
      </c>
      <c r="E22" s="6">
        <v>1614562</v>
      </c>
      <c r="F22" s="6" t="s">
        <v>16</v>
      </c>
      <c r="G22" s="6">
        <v>20324363</v>
      </c>
      <c r="H22" s="6" t="s">
        <v>25</v>
      </c>
      <c r="I22" s="6">
        <v>1</v>
      </c>
      <c r="J22" s="19" t="s">
        <v>18</v>
      </c>
      <c r="K22" s="20">
        <v>1</v>
      </c>
      <c r="L22" s="21">
        <v>6.4</v>
      </c>
      <c r="M22" s="21">
        <v>6.4</v>
      </c>
      <c r="N22" s="21">
        <v>6.4</v>
      </c>
    </row>
  </sheetData>
  <autoFilter xmlns:etc="http://www.wps.cn/officeDocument/2017/etCustomData" ref="A7:N22" etc:filterBottomFollowUsedRange="0">
    <extLst/>
  </autoFilter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1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" customWidth="1"/>
    <col min="11" max="11" width="19.125" customWidth="1"/>
    <col min="12" max="12" width="13.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4" spans="1:14">
      <c r="B4" s="2" t="s">
        <v>1</v>
      </c>
    </row>
    <row r="7" spans="1:14">
      <c r="A7" s="3" t="s">
        <v>2</v>
      </c>
      <c r="B7" s="4" t="s">
        <v>2</v>
      </c>
      <c r="C7" s="5" t="s">
        <v>2</v>
      </c>
      <c r="D7" s="124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33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192</v>
      </c>
      <c r="J8" s="42"/>
      <c r="K8" s="43"/>
      <c r="L8" s="43"/>
      <c r="M8" s="43"/>
      <c r="N8" s="43">
        <v>16641.2</v>
      </c>
    </row>
    <row r="9" spans="1:14">
      <c r="D9" s="13">
        <v>46175</v>
      </c>
      <c r="E9" s="14">
        <v>1608315</v>
      </c>
      <c r="F9" s="14" t="s">
        <v>34</v>
      </c>
      <c r="G9" s="14">
        <v>20391366</v>
      </c>
      <c r="H9" s="14" t="s">
        <v>35</v>
      </c>
      <c r="I9" s="14">
        <v>5</v>
      </c>
      <c r="J9" s="58" t="s">
        <v>28</v>
      </c>
      <c r="K9" s="16">
        <f>M9/L9</f>
        <v>26</v>
      </c>
      <c r="L9" s="17">
        <v>4.4</v>
      </c>
      <c r="M9" s="17">
        <v>114.4</v>
      </c>
      <c r="N9" s="17">
        <v>572</v>
      </c>
    </row>
    <row r="10" spans="1:14">
      <c r="D10" s="18">
        <v>46175</v>
      </c>
      <c r="E10" s="6">
        <v>1608315</v>
      </c>
      <c r="F10" s="6" t="s">
        <v>16</v>
      </c>
      <c r="G10" s="6">
        <v>20324428</v>
      </c>
      <c r="H10" s="6" t="s">
        <v>36</v>
      </c>
      <c r="I10" s="6">
        <v>4</v>
      </c>
      <c r="J10" s="19" t="s">
        <v>18</v>
      </c>
      <c r="K10" s="20">
        <v>1</v>
      </c>
      <c r="L10" s="21">
        <v>6.4</v>
      </c>
      <c r="M10" s="21">
        <v>6.4</v>
      </c>
      <c r="N10" s="21">
        <v>25.6</v>
      </c>
    </row>
    <row r="11" spans="1:14">
      <c r="D11" s="18">
        <v>46175</v>
      </c>
      <c r="E11" s="6">
        <v>1608315</v>
      </c>
      <c r="F11" s="6" t="s">
        <v>16</v>
      </c>
      <c r="G11" s="6">
        <v>20324855</v>
      </c>
      <c r="H11" s="6" t="s">
        <v>37</v>
      </c>
      <c r="I11" s="6">
        <v>1</v>
      </c>
      <c r="J11" s="19" t="s">
        <v>18</v>
      </c>
      <c r="K11" s="20">
        <v>1</v>
      </c>
      <c r="L11" s="21">
        <v>6.4</v>
      </c>
      <c r="M11" s="21">
        <v>6.4</v>
      </c>
      <c r="N11" s="21">
        <v>6.4</v>
      </c>
    </row>
    <row r="12" ht="25.5" spans="1:14">
      <c r="D12" s="18">
        <v>46175</v>
      </c>
      <c r="E12" s="6">
        <v>1608315</v>
      </c>
      <c r="F12" s="6" t="s">
        <v>16</v>
      </c>
      <c r="G12" s="6">
        <v>20326302</v>
      </c>
      <c r="H12" s="6" t="s">
        <v>38</v>
      </c>
      <c r="I12" s="6">
        <v>1</v>
      </c>
      <c r="J12" s="32" t="s">
        <v>28</v>
      </c>
      <c r="K12" s="20">
        <f t="shared" ref="K12:K18" si="0">M12/L12</f>
        <v>126</v>
      </c>
      <c r="L12" s="21">
        <v>4.4</v>
      </c>
      <c r="M12" s="21">
        <v>554.4</v>
      </c>
      <c r="N12" s="21">
        <v>554.4</v>
      </c>
    </row>
    <row r="13" spans="1:14">
      <c r="D13" s="18">
        <v>46175</v>
      </c>
      <c r="E13" s="6">
        <v>1608348</v>
      </c>
      <c r="F13" s="6" t="s">
        <v>16</v>
      </c>
      <c r="G13" s="6">
        <v>20333040</v>
      </c>
      <c r="H13" s="6" t="s">
        <v>39</v>
      </c>
      <c r="I13" s="6">
        <v>1</v>
      </c>
      <c r="J13" s="32" t="s">
        <v>40</v>
      </c>
      <c r="K13" s="20" t="s">
        <v>41</v>
      </c>
      <c r="L13" s="21">
        <v>132</v>
      </c>
      <c r="M13" s="21">
        <v>202.4</v>
      </c>
      <c r="N13" s="21">
        <v>202.4</v>
      </c>
    </row>
    <row r="14" spans="1:14">
      <c r="D14" s="18"/>
      <c r="E14" s="6"/>
      <c r="F14" s="6"/>
      <c r="G14" s="6"/>
      <c r="H14" s="6"/>
      <c r="I14" s="6"/>
      <c r="J14" s="33" t="s">
        <v>42</v>
      </c>
      <c r="K14" s="20" t="s">
        <v>43</v>
      </c>
      <c r="L14" s="21">
        <v>70.4</v>
      </c>
      <c r="M14" s="21"/>
      <c r="N14" s="21"/>
    </row>
    <row r="15" spans="1:14">
      <c r="D15" s="18">
        <v>46176</v>
      </c>
      <c r="E15" s="6">
        <v>1608702</v>
      </c>
      <c r="F15" s="6" t="s">
        <v>34</v>
      </c>
      <c r="G15" s="6">
        <v>20391366</v>
      </c>
      <c r="H15" s="6" t="s">
        <v>35</v>
      </c>
      <c r="I15" s="6">
        <v>3</v>
      </c>
      <c r="J15" s="32" t="s">
        <v>28</v>
      </c>
      <c r="K15" s="20">
        <f t="shared" si="0"/>
        <v>26</v>
      </c>
      <c r="L15" s="21">
        <v>4.4</v>
      </c>
      <c r="M15" s="21">
        <v>114.4</v>
      </c>
      <c r="N15" s="21">
        <v>343.2</v>
      </c>
    </row>
    <row r="16" spans="1:14">
      <c r="D16" s="18">
        <v>46176</v>
      </c>
      <c r="E16" s="6">
        <v>1608702</v>
      </c>
      <c r="F16" s="6" t="s">
        <v>16</v>
      </c>
      <c r="G16" s="6">
        <v>20324428</v>
      </c>
      <c r="H16" s="6" t="s">
        <v>36</v>
      </c>
      <c r="I16" s="6">
        <v>1</v>
      </c>
      <c r="J16" s="19" t="s">
        <v>18</v>
      </c>
      <c r="K16" s="20">
        <v>1</v>
      </c>
      <c r="L16" s="21">
        <v>6.4</v>
      </c>
      <c r="M16" s="21">
        <v>6.4</v>
      </c>
      <c r="N16" s="21">
        <v>6.4</v>
      </c>
    </row>
    <row r="17" ht="25.5" spans="4:14">
      <c r="D17" s="18">
        <v>46176</v>
      </c>
      <c r="E17" s="6">
        <v>1608702</v>
      </c>
      <c r="F17" s="6" t="s">
        <v>16</v>
      </c>
      <c r="G17" s="6">
        <v>20331128</v>
      </c>
      <c r="H17" s="6" t="s">
        <v>44</v>
      </c>
      <c r="I17" s="6">
        <v>1</v>
      </c>
      <c r="J17" s="32" t="s">
        <v>28</v>
      </c>
      <c r="K17" s="20">
        <f t="shared" si="0"/>
        <v>56</v>
      </c>
      <c r="L17" s="21">
        <v>4.4</v>
      </c>
      <c r="M17" s="21">
        <v>246.4</v>
      </c>
      <c r="N17" s="21">
        <v>246.4</v>
      </c>
    </row>
    <row r="18" spans="4:14">
      <c r="D18" s="18">
        <v>46177</v>
      </c>
      <c r="E18" s="6">
        <v>1609073</v>
      </c>
      <c r="F18" s="6" t="s">
        <v>34</v>
      </c>
      <c r="G18" s="6">
        <v>20391366</v>
      </c>
      <c r="H18" s="6" t="s">
        <v>35</v>
      </c>
      <c r="I18" s="6">
        <v>2</v>
      </c>
      <c r="J18" s="32" t="s">
        <v>28</v>
      </c>
      <c r="K18" s="20">
        <f t="shared" si="0"/>
        <v>26</v>
      </c>
      <c r="L18" s="21">
        <v>4.4</v>
      </c>
      <c r="M18" s="21">
        <v>114.4</v>
      </c>
      <c r="N18" s="21">
        <v>228.8</v>
      </c>
    </row>
    <row r="19" spans="4:14">
      <c r="D19" s="18">
        <v>46177</v>
      </c>
      <c r="E19" s="6">
        <v>1609073</v>
      </c>
      <c r="F19" s="6" t="s">
        <v>16</v>
      </c>
      <c r="G19" s="6">
        <v>20324428</v>
      </c>
      <c r="H19" s="6" t="s">
        <v>36</v>
      </c>
      <c r="I19" s="6">
        <v>3</v>
      </c>
      <c r="J19" s="19" t="s">
        <v>18</v>
      </c>
      <c r="K19" s="20">
        <v>1</v>
      </c>
      <c r="L19" s="21">
        <v>6.4</v>
      </c>
      <c r="M19" s="21">
        <v>6.4</v>
      </c>
      <c r="N19" s="21">
        <v>19.2</v>
      </c>
    </row>
    <row r="20" spans="4:14">
      <c r="D20" s="18">
        <v>46177</v>
      </c>
      <c r="E20" s="6">
        <v>1609073</v>
      </c>
      <c r="F20" s="6" t="s">
        <v>16</v>
      </c>
      <c r="G20" s="6">
        <v>20324855</v>
      </c>
      <c r="H20" s="6" t="s">
        <v>37</v>
      </c>
      <c r="I20" s="6">
        <v>1</v>
      </c>
      <c r="J20" s="19" t="s">
        <v>18</v>
      </c>
      <c r="K20" s="20">
        <v>1</v>
      </c>
      <c r="L20" s="21">
        <v>6.4</v>
      </c>
      <c r="M20" s="21">
        <v>6.4</v>
      </c>
      <c r="N20" s="21">
        <v>6.4</v>
      </c>
    </row>
    <row r="21" ht="25.5" spans="4:14">
      <c r="D21" s="18">
        <v>46177</v>
      </c>
      <c r="E21" s="6">
        <v>1609073</v>
      </c>
      <c r="F21" s="6" t="s">
        <v>16</v>
      </c>
      <c r="G21" s="6">
        <v>20335847</v>
      </c>
      <c r="H21" s="6" t="s">
        <v>45</v>
      </c>
      <c r="I21" s="6">
        <v>1</v>
      </c>
      <c r="J21" s="32" t="s">
        <v>28</v>
      </c>
      <c r="K21" s="20">
        <f t="shared" ref="K21:K24" si="1">M21/L21</f>
        <v>46</v>
      </c>
      <c r="L21" s="21">
        <v>4.4</v>
      </c>
      <c r="M21" s="21">
        <v>202.4</v>
      </c>
      <c r="N21" s="21">
        <v>202.4</v>
      </c>
    </row>
    <row r="22" spans="4:14">
      <c r="D22" s="18">
        <v>46178</v>
      </c>
      <c r="E22" s="6">
        <v>1609414</v>
      </c>
      <c r="F22" s="6" t="s">
        <v>34</v>
      </c>
      <c r="G22" s="6">
        <v>20391366</v>
      </c>
      <c r="H22" s="6" t="s">
        <v>35</v>
      </c>
      <c r="I22" s="6">
        <v>4</v>
      </c>
      <c r="J22" s="32" t="s">
        <v>28</v>
      </c>
      <c r="K22" s="20">
        <f t="shared" si="1"/>
        <v>26</v>
      </c>
      <c r="L22" s="21">
        <v>4.4</v>
      </c>
      <c r="M22" s="21">
        <v>114.4</v>
      </c>
      <c r="N22" s="21">
        <v>457.6</v>
      </c>
    </row>
    <row r="23" spans="4:14">
      <c r="D23" s="18">
        <v>46178</v>
      </c>
      <c r="E23" s="6">
        <v>1609414</v>
      </c>
      <c r="F23" s="6" t="s">
        <v>16</v>
      </c>
      <c r="G23" s="6">
        <v>20324428</v>
      </c>
      <c r="H23" s="6" t="s">
        <v>36</v>
      </c>
      <c r="I23" s="6">
        <v>2</v>
      </c>
      <c r="J23" s="19" t="s">
        <v>18</v>
      </c>
      <c r="K23" s="20">
        <v>1</v>
      </c>
      <c r="L23" s="21">
        <v>6.4</v>
      </c>
      <c r="M23" s="21">
        <v>6.4</v>
      </c>
      <c r="N23" s="21">
        <v>12.8</v>
      </c>
    </row>
    <row r="24" ht="25.5" spans="4:14">
      <c r="D24" s="18">
        <v>46178</v>
      </c>
      <c r="E24" s="6">
        <v>1609414</v>
      </c>
      <c r="F24" s="6" t="s">
        <v>16</v>
      </c>
      <c r="G24" s="6">
        <v>20325625</v>
      </c>
      <c r="H24" s="6" t="s">
        <v>46</v>
      </c>
      <c r="I24" s="6">
        <v>1</v>
      </c>
      <c r="J24" s="32" t="s">
        <v>28</v>
      </c>
      <c r="K24" s="20">
        <f t="shared" si="1"/>
        <v>50</v>
      </c>
      <c r="L24" s="21">
        <v>4.4</v>
      </c>
      <c r="M24" s="21">
        <v>220</v>
      </c>
      <c r="N24" s="21">
        <v>220</v>
      </c>
    </row>
    <row r="25" spans="4:14">
      <c r="D25" s="18">
        <v>46179</v>
      </c>
      <c r="E25" s="6">
        <v>1609825</v>
      </c>
      <c r="F25" s="6" t="s">
        <v>16</v>
      </c>
      <c r="G25" s="6">
        <v>20335536</v>
      </c>
      <c r="H25" s="6" t="s">
        <v>47</v>
      </c>
      <c r="I25" s="6">
        <v>1</v>
      </c>
      <c r="J25" s="33" t="s">
        <v>48</v>
      </c>
      <c r="K25" s="20" t="s">
        <v>49</v>
      </c>
      <c r="L25" s="21">
        <v>240</v>
      </c>
      <c r="M25" s="21">
        <v>310.4</v>
      </c>
      <c r="N25" s="21">
        <v>310.4</v>
      </c>
    </row>
    <row r="26" spans="4:14">
      <c r="D26" s="18"/>
      <c r="E26" s="6"/>
      <c r="F26" s="6"/>
      <c r="G26" s="6"/>
      <c r="H26" s="6"/>
      <c r="I26" s="6"/>
      <c r="J26" s="33" t="s">
        <v>42</v>
      </c>
      <c r="K26" s="20" t="s">
        <v>43</v>
      </c>
      <c r="L26" s="21">
        <v>70.4</v>
      </c>
      <c r="M26" s="21"/>
      <c r="N26" s="21"/>
    </row>
    <row r="27" spans="4:14">
      <c r="D27" s="18">
        <v>46179</v>
      </c>
      <c r="E27" s="6">
        <v>1609855</v>
      </c>
      <c r="F27" s="6" t="s">
        <v>34</v>
      </c>
      <c r="G27" s="6">
        <v>20391366</v>
      </c>
      <c r="H27" s="6" t="s">
        <v>35</v>
      </c>
      <c r="I27" s="6">
        <v>4</v>
      </c>
      <c r="J27" s="32" t="s">
        <v>28</v>
      </c>
      <c r="K27" s="20">
        <f>M27/L27</f>
        <v>26</v>
      </c>
      <c r="L27" s="21">
        <v>4.4</v>
      </c>
      <c r="M27" s="21">
        <v>114.4</v>
      </c>
      <c r="N27" s="21">
        <v>457.6</v>
      </c>
    </row>
    <row r="28" spans="4:14">
      <c r="D28" s="18">
        <v>46179</v>
      </c>
      <c r="E28" s="6">
        <v>1609855</v>
      </c>
      <c r="F28" s="6" t="s">
        <v>16</v>
      </c>
      <c r="G28" s="6">
        <v>20324428</v>
      </c>
      <c r="H28" s="6" t="s">
        <v>36</v>
      </c>
      <c r="I28" s="6">
        <v>3</v>
      </c>
      <c r="J28" s="19" t="s">
        <v>18</v>
      </c>
      <c r="K28" s="20">
        <v>1</v>
      </c>
      <c r="L28" s="21">
        <v>6.4</v>
      </c>
      <c r="M28" s="21">
        <v>6.4</v>
      </c>
      <c r="N28" s="21">
        <v>19.2</v>
      </c>
    </row>
    <row r="29" ht="25.5" spans="4:14">
      <c r="D29" s="18">
        <v>46179</v>
      </c>
      <c r="E29" s="6">
        <v>1609855</v>
      </c>
      <c r="F29" s="6" t="s">
        <v>16</v>
      </c>
      <c r="G29" s="6">
        <v>20326260</v>
      </c>
      <c r="H29" s="6" t="s">
        <v>50</v>
      </c>
      <c r="I29" s="6">
        <v>1</v>
      </c>
      <c r="J29" s="32" t="s">
        <v>28</v>
      </c>
      <c r="K29" s="20">
        <f t="shared" ref="K29:K34" si="2">M29/L29</f>
        <v>56</v>
      </c>
      <c r="L29" s="21">
        <v>4.4</v>
      </c>
      <c r="M29" s="21">
        <v>246.4</v>
      </c>
      <c r="N29" s="21">
        <v>246.4</v>
      </c>
    </row>
    <row r="30" spans="4:14">
      <c r="D30" s="18">
        <v>46179</v>
      </c>
      <c r="E30" s="6">
        <v>1609881</v>
      </c>
      <c r="F30" s="6" t="s">
        <v>51</v>
      </c>
      <c r="G30" s="6">
        <v>20324955</v>
      </c>
      <c r="H30" s="6" t="s">
        <v>52</v>
      </c>
      <c r="I30" s="6">
        <v>1</v>
      </c>
      <c r="J30" s="32" t="s">
        <v>53</v>
      </c>
      <c r="K30" s="20">
        <v>1</v>
      </c>
      <c r="L30" s="21">
        <v>2</v>
      </c>
      <c r="M30" s="21">
        <v>2</v>
      </c>
      <c r="N30" s="21">
        <v>2</v>
      </c>
    </row>
    <row r="31" spans="4:14">
      <c r="D31" s="18">
        <v>46182</v>
      </c>
      <c r="E31" s="6">
        <v>1610403</v>
      </c>
      <c r="F31" s="6" t="s">
        <v>34</v>
      </c>
      <c r="G31" s="6">
        <v>20391366</v>
      </c>
      <c r="H31" s="6" t="s">
        <v>35</v>
      </c>
      <c r="I31" s="6">
        <v>4</v>
      </c>
      <c r="J31" s="32" t="s">
        <v>28</v>
      </c>
      <c r="K31" s="20">
        <f t="shared" si="2"/>
        <v>26</v>
      </c>
      <c r="L31" s="21">
        <v>4.4</v>
      </c>
      <c r="M31" s="21">
        <v>114.4</v>
      </c>
      <c r="N31" s="21">
        <v>457.6</v>
      </c>
    </row>
    <row r="32" spans="4:14">
      <c r="D32" s="18">
        <v>46182</v>
      </c>
      <c r="E32" s="6">
        <v>1610403</v>
      </c>
      <c r="F32" s="6" t="s">
        <v>16</v>
      </c>
      <c r="G32" s="6">
        <v>20324428</v>
      </c>
      <c r="H32" s="6" t="s">
        <v>36</v>
      </c>
      <c r="I32" s="6">
        <v>3</v>
      </c>
      <c r="J32" s="19" t="s">
        <v>18</v>
      </c>
      <c r="K32" s="20">
        <v>1</v>
      </c>
      <c r="L32" s="21">
        <v>6.4</v>
      </c>
      <c r="M32" s="21">
        <v>6.4</v>
      </c>
      <c r="N32" s="21">
        <v>19.2</v>
      </c>
    </row>
    <row r="33" ht="25.5" spans="4:14">
      <c r="D33" s="18">
        <v>46182</v>
      </c>
      <c r="E33" s="6">
        <v>1610403</v>
      </c>
      <c r="F33" s="6" t="s">
        <v>16</v>
      </c>
      <c r="G33" s="6">
        <v>20326260</v>
      </c>
      <c r="H33" s="6" t="s">
        <v>54</v>
      </c>
      <c r="I33" s="6">
        <v>1</v>
      </c>
      <c r="J33" s="32" t="s">
        <v>28</v>
      </c>
      <c r="K33" s="20">
        <f t="shared" si="2"/>
        <v>112</v>
      </c>
      <c r="L33" s="21">
        <v>4.4</v>
      </c>
      <c r="M33" s="21">
        <v>492.8</v>
      </c>
      <c r="N33" s="21">
        <v>492.8</v>
      </c>
    </row>
    <row r="34" spans="4:14">
      <c r="D34" s="18">
        <v>46183</v>
      </c>
      <c r="E34" s="6">
        <v>1610839</v>
      </c>
      <c r="F34" s="6" t="s">
        <v>34</v>
      </c>
      <c r="G34" s="6">
        <v>20391366</v>
      </c>
      <c r="H34" s="6" t="s">
        <v>35</v>
      </c>
      <c r="I34" s="6">
        <v>4</v>
      </c>
      <c r="J34" s="32" t="s">
        <v>28</v>
      </c>
      <c r="K34" s="20">
        <f t="shared" si="2"/>
        <v>26</v>
      </c>
      <c r="L34" s="21">
        <v>4.4</v>
      </c>
      <c r="M34" s="21">
        <v>114.4</v>
      </c>
      <c r="N34" s="21">
        <v>457.6</v>
      </c>
    </row>
    <row r="35" spans="4:14">
      <c r="D35" s="18">
        <v>46183</v>
      </c>
      <c r="E35" s="6">
        <v>1610839</v>
      </c>
      <c r="F35" s="6" t="s">
        <v>16</v>
      </c>
      <c r="G35" s="6">
        <v>20324428</v>
      </c>
      <c r="H35" s="6" t="s">
        <v>36</v>
      </c>
      <c r="I35" s="6">
        <v>1</v>
      </c>
      <c r="J35" s="19" t="s">
        <v>18</v>
      </c>
      <c r="K35" s="20">
        <v>1</v>
      </c>
      <c r="L35" s="21">
        <v>6.4</v>
      </c>
      <c r="M35" s="21">
        <v>6.4</v>
      </c>
      <c r="N35" s="21">
        <v>6.4</v>
      </c>
    </row>
    <row r="36" ht="25.5" spans="4:14">
      <c r="D36" s="18">
        <v>46183</v>
      </c>
      <c r="E36" s="6">
        <v>1610839</v>
      </c>
      <c r="F36" s="6" t="s">
        <v>16</v>
      </c>
      <c r="G36" s="6">
        <v>20325627</v>
      </c>
      <c r="H36" s="6" t="s">
        <v>55</v>
      </c>
      <c r="I36" s="6">
        <v>1</v>
      </c>
      <c r="J36" s="32" t="s">
        <v>28</v>
      </c>
      <c r="K36" s="20">
        <f t="shared" ref="K36:K40" si="3">M36/L36</f>
        <v>53</v>
      </c>
      <c r="L36" s="21">
        <v>4.4</v>
      </c>
      <c r="M36" s="21">
        <v>233.2</v>
      </c>
      <c r="N36" s="21">
        <v>233.2</v>
      </c>
    </row>
    <row r="37" spans="4:14">
      <c r="D37" s="18">
        <v>46183</v>
      </c>
      <c r="E37" s="6">
        <v>1610839</v>
      </c>
      <c r="F37" s="6" t="s">
        <v>51</v>
      </c>
      <c r="G37" s="6">
        <v>20324955</v>
      </c>
      <c r="H37" s="6" t="s">
        <v>52</v>
      </c>
      <c r="I37" s="6">
        <v>1</v>
      </c>
      <c r="J37" s="32" t="s">
        <v>53</v>
      </c>
      <c r="K37" s="20">
        <v>1</v>
      </c>
      <c r="L37" s="21">
        <v>2</v>
      </c>
      <c r="M37" s="21">
        <v>2</v>
      </c>
      <c r="N37" s="21">
        <v>2</v>
      </c>
    </row>
    <row r="38" spans="4:14">
      <c r="D38" s="18">
        <v>46184</v>
      </c>
      <c r="E38" s="6">
        <v>1611155</v>
      </c>
      <c r="F38" s="6" t="s">
        <v>34</v>
      </c>
      <c r="G38" s="6">
        <v>20391366</v>
      </c>
      <c r="H38" s="6" t="s">
        <v>35</v>
      </c>
      <c r="I38" s="6">
        <v>3</v>
      </c>
      <c r="J38" s="32" t="s">
        <v>28</v>
      </c>
      <c r="K38" s="20">
        <f t="shared" si="3"/>
        <v>26</v>
      </c>
      <c r="L38" s="21">
        <v>4.4</v>
      </c>
      <c r="M38" s="21">
        <v>114.4</v>
      </c>
      <c r="N38" s="21">
        <v>343.2</v>
      </c>
    </row>
    <row r="39" spans="4:14">
      <c r="D39" s="18">
        <v>46184</v>
      </c>
      <c r="E39" s="6">
        <v>1611155</v>
      </c>
      <c r="F39" s="6" t="s">
        <v>16</v>
      </c>
      <c r="G39" s="6">
        <v>20324428</v>
      </c>
      <c r="H39" s="6" t="s">
        <v>36</v>
      </c>
      <c r="I39" s="6">
        <v>6</v>
      </c>
      <c r="J39" s="19" t="s">
        <v>18</v>
      </c>
      <c r="K39" s="20">
        <v>1</v>
      </c>
      <c r="L39" s="21">
        <v>6.4</v>
      </c>
      <c r="M39" s="21">
        <v>6.4</v>
      </c>
      <c r="N39" s="21">
        <v>38.4</v>
      </c>
    </row>
    <row r="40" ht="25.5" spans="4:14">
      <c r="D40" s="18">
        <v>46184</v>
      </c>
      <c r="E40" s="6">
        <v>1611155</v>
      </c>
      <c r="F40" s="6" t="s">
        <v>16</v>
      </c>
      <c r="G40" s="6">
        <v>20325852</v>
      </c>
      <c r="H40" s="6" t="s">
        <v>56</v>
      </c>
      <c r="I40" s="6">
        <v>1</v>
      </c>
      <c r="J40" s="32" t="s">
        <v>28</v>
      </c>
      <c r="K40" s="20">
        <f t="shared" si="3"/>
        <v>54</v>
      </c>
      <c r="L40" s="21">
        <v>4.4</v>
      </c>
      <c r="M40" s="21">
        <v>237.6</v>
      </c>
      <c r="N40" s="21">
        <v>237.6</v>
      </c>
    </row>
    <row r="41" spans="4:14">
      <c r="D41" s="18">
        <v>46184</v>
      </c>
      <c r="E41" s="6">
        <v>1611213</v>
      </c>
      <c r="F41" s="6" t="s">
        <v>16</v>
      </c>
      <c r="G41" s="6">
        <v>20335536</v>
      </c>
      <c r="H41" s="6" t="s">
        <v>57</v>
      </c>
      <c r="I41" s="6">
        <v>1</v>
      </c>
      <c r="J41" s="33" t="s">
        <v>48</v>
      </c>
      <c r="K41" s="20" t="s">
        <v>49</v>
      </c>
      <c r="L41" s="21">
        <v>240</v>
      </c>
      <c r="M41" s="21">
        <v>328</v>
      </c>
      <c r="N41" s="21">
        <v>328</v>
      </c>
    </row>
    <row r="42" spans="4:14">
      <c r="D42" s="18"/>
      <c r="E42" s="6"/>
      <c r="F42" s="6"/>
      <c r="G42" s="6"/>
      <c r="H42" s="6"/>
      <c r="I42" s="6"/>
      <c r="J42" s="33" t="s">
        <v>42</v>
      </c>
      <c r="K42" s="20" t="s">
        <v>43</v>
      </c>
      <c r="L42" s="21">
        <v>70.4</v>
      </c>
      <c r="M42" s="21"/>
      <c r="N42" s="21"/>
    </row>
    <row r="43" spans="4:14">
      <c r="D43" s="18"/>
      <c r="E43" s="6"/>
      <c r="F43" s="6"/>
      <c r="G43" s="6"/>
      <c r="H43" s="6"/>
      <c r="I43" s="6"/>
      <c r="J43" s="32" t="s">
        <v>58</v>
      </c>
      <c r="K43" s="20">
        <v>1</v>
      </c>
      <c r="L43" s="21">
        <v>17.6</v>
      </c>
      <c r="M43" s="21"/>
      <c r="N43" s="21"/>
    </row>
    <row r="44" spans="4:14">
      <c r="D44" s="18">
        <v>46184</v>
      </c>
      <c r="E44" s="6">
        <v>1611588</v>
      </c>
      <c r="F44" s="6" t="s">
        <v>34</v>
      </c>
      <c r="G44" s="6">
        <v>20391366</v>
      </c>
      <c r="H44" s="6" t="s">
        <v>35</v>
      </c>
      <c r="I44" s="6">
        <v>4</v>
      </c>
      <c r="J44" s="32" t="s">
        <v>28</v>
      </c>
      <c r="K44" s="20">
        <f>M44/L44</f>
        <v>26</v>
      </c>
      <c r="L44" s="21">
        <v>4.4</v>
      </c>
      <c r="M44" s="21">
        <v>114.4</v>
      </c>
      <c r="N44" s="21">
        <v>457.6</v>
      </c>
    </row>
    <row r="45" spans="4:14">
      <c r="D45" s="18">
        <v>46184</v>
      </c>
      <c r="E45" s="6">
        <v>1611588</v>
      </c>
      <c r="F45" s="6" t="s">
        <v>16</v>
      </c>
      <c r="G45" s="6">
        <v>20324428</v>
      </c>
      <c r="H45" s="6" t="s">
        <v>36</v>
      </c>
      <c r="I45" s="6">
        <v>3</v>
      </c>
      <c r="J45" s="19" t="s">
        <v>18</v>
      </c>
      <c r="K45" s="20">
        <v>1</v>
      </c>
      <c r="L45" s="21">
        <v>6.4</v>
      </c>
      <c r="M45" s="21">
        <v>6.4</v>
      </c>
      <c r="N45" s="21">
        <v>19.2</v>
      </c>
    </row>
    <row r="46" ht="25.5" spans="4:14">
      <c r="D46" s="18">
        <v>46184</v>
      </c>
      <c r="E46" s="6">
        <v>1611588</v>
      </c>
      <c r="F46" s="6" t="s">
        <v>16</v>
      </c>
      <c r="G46" s="6">
        <v>20326260</v>
      </c>
      <c r="H46" s="6" t="s">
        <v>59</v>
      </c>
      <c r="I46" s="6">
        <v>1</v>
      </c>
      <c r="J46" s="32" t="s">
        <v>28</v>
      </c>
      <c r="K46" s="20">
        <f t="shared" ref="K46:K50" si="4">M46/L46</f>
        <v>51</v>
      </c>
      <c r="L46" s="21">
        <v>4.4</v>
      </c>
      <c r="M46" s="21">
        <v>224.4</v>
      </c>
      <c r="N46" s="21">
        <v>224.4</v>
      </c>
    </row>
    <row r="47" spans="4:14">
      <c r="D47" s="18">
        <v>46185</v>
      </c>
      <c r="E47" s="6">
        <v>1611886</v>
      </c>
      <c r="F47" s="6" t="s">
        <v>34</v>
      </c>
      <c r="G47" s="6">
        <v>20391366</v>
      </c>
      <c r="H47" s="6" t="s">
        <v>35</v>
      </c>
      <c r="I47" s="6">
        <v>3</v>
      </c>
      <c r="J47" s="32" t="s">
        <v>28</v>
      </c>
      <c r="K47" s="20">
        <f t="shared" si="4"/>
        <v>26</v>
      </c>
      <c r="L47" s="21">
        <v>4.4</v>
      </c>
      <c r="M47" s="21">
        <v>114.4</v>
      </c>
      <c r="N47" s="21">
        <v>343.2</v>
      </c>
    </row>
    <row r="48" spans="4:14">
      <c r="D48" s="18">
        <v>46185</v>
      </c>
      <c r="E48" s="6">
        <v>1611886</v>
      </c>
      <c r="F48" s="6" t="s">
        <v>16</v>
      </c>
      <c r="G48" s="6">
        <v>20324428</v>
      </c>
      <c r="H48" s="6" t="s">
        <v>36</v>
      </c>
      <c r="I48" s="6">
        <v>9</v>
      </c>
      <c r="J48" s="19" t="s">
        <v>18</v>
      </c>
      <c r="K48" s="20">
        <v>1</v>
      </c>
      <c r="L48" s="21">
        <v>6.4</v>
      </c>
      <c r="M48" s="21">
        <v>6.4</v>
      </c>
      <c r="N48" s="21">
        <v>57.6</v>
      </c>
    </row>
    <row r="49" spans="4:14">
      <c r="D49" s="18">
        <v>46185</v>
      </c>
      <c r="E49" s="6">
        <v>1611886</v>
      </c>
      <c r="F49" s="6" t="s">
        <v>16</v>
      </c>
      <c r="G49" s="6">
        <v>20324855</v>
      </c>
      <c r="H49" s="6" t="s">
        <v>37</v>
      </c>
      <c r="I49" s="6">
        <v>1</v>
      </c>
      <c r="J49" s="19" t="s">
        <v>18</v>
      </c>
      <c r="K49" s="20">
        <v>1</v>
      </c>
      <c r="L49" s="21">
        <v>6.4</v>
      </c>
      <c r="M49" s="21">
        <v>6.4</v>
      </c>
      <c r="N49" s="21">
        <v>6.4</v>
      </c>
    </row>
    <row r="50" ht="25.5" spans="4:14">
      <c r="D50" s="18">
        <v>46185</v>
      </c>
      <c r="E50" s="6">
        <v>1611886</v>
      </c>
      <c r="F50" s="6" t="s">
        <v>16</v>
      </c>
      <c r="G50" s="6">
        <v>20325627</v>
      </c>
      <c r="H50" s="6" t="s">
        <v>60</v>
      </c>
      <c r="I50" s="6">
        <v>1</v>
      </c>
      <c r="J50" s="32" t="s">
        <v>28</v>
      </c>
      <c r="K50" s="20">
        <f t="shared" si="4"/>
        <v>52</v>
      </c>
      <c r="L50" s="21">
        <v>4.4</v>
      </c>
      <c r="M50" s="21">
        <v>228.8</v>
      </c>
      <c r="N50" s="21">
        <v>228.8</v>
      </c>
    </row>
    <row r="51" spans="4:14">
      <c r="D51" s="18">
        <v>46185</v>
      </c>
      <c r="E51" s="6">
        <v>1611886</v>
      </c>
      <c r="F51" s="6" t="s">
        <v>51</v>
      </c>
      <c r="G51" s="6">
        <v>20324955</v>
      </c>
      <c r="H51" s="6" t="s">
        <v>52</v>
      </c>
      <c r="I51" s="6">
        <v>1</v>
      </c>
      <c r="J51" s="32" t="s">
        <v>53</v>
      </c>
      <c r="K51" s="20">
        <v>1</v>
      </c>
      <c r="L51" s="21">
        <v>2</v>
      </c>
      <c r="M51" s="21">
        <v>2</v>
      </c>
      <c r="N51" s="21">
        <v>2</v>
      </c>
    </row>
    <row r="52" spans="4:14">
      <c r="D52" s="18">
        <v>46185</v>
      </c>
      <c r="E52" s="6">
        <v>1611938</v>
      </c>
      <c r="F52" s="6" t="s">
        <v>16</v>
      </c>
      <c r="G52" s="6">
        <v>20324967</v>
      </c>
      <c r="H52" s="6" t="s">
        <v>61</v>
      </c>
      <c r="I52" s="6">
        <v>1</v>
      </c>
      <c r="J52" s="32" t="s">
        <v>40</v>
      </c>
      <c r="K52" s="20" t="s">
        <v>41</v>
      </c>
      <c r="L52" s="21">
        <v>132</v>
      </c>
      <c r="M52" s="21">
        <v>220</v>
      </c>
      <c r="N52" s="21">
        <v>220</v>
      </c>
    </row>
    <row r="53" spans="4:14">
      <c r="D53" s="18"/>
      <c r="E53" s="6"/>
      <c r="F53" s="6"/>
      <c r="G53" s="6"/>
      <c r="H53" s="6"/>
      <c r="I53" s="6"/>
      <c r="J53" s="33" t="s">
        <v>42</v>
      </c>
      <c r="K53" s="20" t="s">
        <v>43</v>
      </c>
      <c r="L53" s="21">
        <v>70.4</v>
      </c>
      <c r="M53" s="21"/>
      <c r="N53" s="21"/>
    </row>
    <row r="54" spans="4:14">
      <c r="D54" s="18"/>
      <c r="E54" s="6"/>
      <c r="F54" s="6"/>
      <c r="G54" s="6"/>
      <c r="H54" s="6"/>
      <c r="I54" s="6"/>
      <c r="J54" s="32" t="s">
        <v>58</v>
      </c>
      <c r="K54" s="20">
        <v>1</v>
      </c>
      <c r="L54" s="21">
        <v>17.6</v>
      </c>
      <c r="M54" s="21"/>
      <c r="N54" s="21"/>
    </row>
    <row r="55" spans="4:14">
      <c r="D55" s="18">
        <v>46189</v>
      </c>
      <c r="E55" s="6">
        <v>1612406</v>
      </c>
      <c r="F55" s="6" t="s">
        <v>34</v>
      </c>
      <c r="G55" s="6">
        <v>20391366</v>
      </c>
      <c r="H55" s="6" t="s">
        <v>35</v>
      </c>
      <c r="I55" s="6">
        <v>3</v>
      </c>
      <c r="J55" s="32" t="s">
        <v>28</v>
      </c>
      <c r="K55" s="20">
        <f>M55/L55</f>
        <v>26</v>
      </c>
      <c r="L55" s="21">
        <v>4.4</v>
      </c>
      <c r="M55" s="21">
        <v>114.4</v>
      </c>
      <c r="N55" s="21">
        <v>343.2</v>
      </c>
    </row>
    <row r="56" spans="4:14">
      <c r="D56" s="18">
        <v>46189</v>
      </c>
      <c r="E56" s="6">
        <v>1612406</v>
      </c>
      <c r="F56" s="6" t="s">
        <v>16</v>
      </c>
      <c r="G56" s="6">
        <v>20324428</v>
      </c>
      <c r="H56" s="6" t="s">
        <v>36</v>
      </c>
      <c r="I56" s="6">
        <v>8</v>
      </c>
      <c r="J56" s="19" t="s">
        <v>18</v>
      </c>
      <c r="K56" s="20">
        <v>1</v>
      </c>
      <c r="L56" s="21">
        <v>6.4</v>
      </c>
      <c r="M56" s="21">
        <v>6.4</v>
      </c>
      <c r="N56" s="21">
        <v>51.2</v>
      </c>
    </row>
    <row r="57" spans="4:14">
      <c r="D57" s="18">
        <v>46189</v>
      </c>
      <c r="E57" s="6">
        <v>1612406</v>
      </c>
      <c r="F57" s="6" t="s">
        <v>16</v>
      </c>
      <c r="G57" s="6">
        <v>20324950</v>
      </c>
      <c r="H57" s="6" t="s">
        <v>62</v>
      </c>
      <c r="I57" s="6">
        <v>1</v>
      </c>
      <c r="J57" s="6" t="s">
        <v>20</v>
      </c>
      <c r="K57" s="20">
        <v>1</v>
      </c>
      <c r="L57" s="21">
        <v>8.8</v>
      </c>
      <c r="M57" s="21">
        <v>8.8</v>
      </c>
      <c r="N57" s="21">
        <v>8.8</v>
      </c>
    </row>
    <row r="58" ht="25.5" spans="4:14">
      <c r="D58" s="18">
        <v>46189</v>
      </c>
      <c r="E58" s="6">
        <v>1612406</v>
      </c>
      <c r="F58" s="6" t="s">
        <v>16</v>
      </c>
      <c r="G58" s="6">
        <v>20325625</v>
      </c>
      <c r="H58" s="6" t="s">
        <v>63</v>
      </c>
      <c r="I58" s="6">
        <v>1</v>
      </c>
      <c r="J58" s="32" t="s">
        <v>28</v>
      </c>
      <c r="K58" s="20">
        <f t="shared" ref="K58:K63" si="5">M58/L58</f>
        <v>126</v>
      </c>
      <c r="L58" s="21">
        <v>4.4</v>
      </c>
      <c r="M58" s="21">
        <v>554.4</v>
      </c>
      <c r="N58" s="21">
        <v>554.4</v>
      </c>
    </row>
    <row r="59" spans="4:14">
      <c r="D59" s="18">
        <v>46189</v>
      </c>
      <c r="E59" s="6">
        <v>1612456</v>
      </c>
      <c r="F59" s="6" t="s">
        <v>16</v>
      </c>
      <c r="G59" s="6">
        <v>20324896</v>
      </c>
      <c r="H59" s="6" t="s">
        <v>64</v>
      </c>
      <c r="I59" s="6">
        <v>1</v>
      </c>
      <c r="J59" s="33" t="s">
        <v>48</v>
      </c>
      <c r="K59" s="20" t="s">
        <v>49</v>
      </c>
      <c r="L59" s="21">
        <v>240</v>
      </c>
      <c r="M59" s="21">
        <v>240</v>
      </c>
      <c r="N59" s="21">
        <v>240</v>
      </c>
    </row>
    <row r="60" spans="4:14">
      <c r="D60" s="18">
        <v>46190</v>
      </c>
      <c r="E60" s="6">
        <v>1612785</v>
      </c>
      <c r="F60" s="6" t="s">
        <v>34</v>
      </c>
      <c r="G60" s="6">
        <v>20391366</v>
      </c>
      <c r="H60" s="6" t="s">
        <v>35</v>
      </c>
      <c r="I60" s="6">
        <v>4</v>
      </c>
      <c r="J60" s="32" t="s">
        <v>28</v>
      </c>
      <c r="K60" s="20">
        <f t="shared" si="5"/>
        <v>26</v>
      </c>
      <c r="L60" s="21">
        <v>4.4</v>
      </c>
      <c r="M60" s="21">
        <v>114.4</v>
      </c>
      <c r="N60" s="21">
        <v>457.6</v>
      </c>
    </row>
    <row r="61" spans="4:14">
      <c r="D61" s="18">
        <v>46190</v>
      </c>
      <c r="E61" s="6">
        <v>1612785</v>
      </c>
      <c r="F61" s="6" t="s">
        <v>16</v>
      </c>
      <c r="G61" s="6">
        <v>20324428</v>
      </c>
      <c r="H61" s="6" t="s">
        <v>36</v>
      </c>
      <c r="I61" s="6">
        <v>3</v>
      </c>
      <c r="J61" s="19" t="s">
        <v>18</v>
      </c>
      <c r="K61" s="20">
        <v>1</v>
      </c>
      <c r="L61" s="21">
        <v>6.4</v>
      </c>
      <c r="M61" s="21">
        <v>6.4</v>
      </c>
      <c r="N61" s="21">
        <v>19.2</v>
      </c>
    </row>
    <row r="62" ht="25.5" spans="4:14">
      <c r="D62" s="18">
        <v>46190</v>
      </c>
      <c r="E62" s="6">
        <v>1612785</v>
      </c>
      <c r="F62" s="6" t="s">
        <v>16</v>
      </c>
      <c r="G62" s="6">
        <v>20326260</v>
      </c>
      <c r="H62" s="6" t="s">
        <v>65</v>
      </c>
      <c r="I62" s="6">
        <v>1</v>
      </c>
      <c r="J62" s="32" t="s">
        <v>28</v>
      </c>
      <c r="K62" s="20">
        <f t="shared" si="5"/>
        <v>63</v>
      </c>
      <c r="L62" s="21">
        <v>4.4</v>
      </c>
      <c r="M62" s="21">
        <v>277.2</v>
      </c>
      <c r="N62" s="21">
        <v>277.2</v>
      </c>
    </row>
    <row r="63" spans="4:14">
      <c r="D63" s="18">
        <v>46191</v>
      </c>
      <c r="E63" s="6">
        <v>1613201</v>
      </c>
      <c r="F63" s="6" t="s">
        <v>34</v>
      </c>
      <c r="G63" s="6">
        <v>20391366</v>
      </c>
      <c r="H63" s="6" t="s">
        <v>35</v>
      </c>
      <c r="I63" s="6">
        <v>3</v>
      </c>
      <c r="J63" s="32" t="s">
        <v>28</v>
      </c>
      <c r="K63" s="20">
        <f t="shared" si="5"/>
        <v>26</v>
      </c>
      <c r="L63" s="21">
        <v>4.4</v>
      </c>
      <c r="M63" s="21">
        <v>114.4</v>
      </c>
      <c r="N63" s="21">
        <v>343.2</v>
      </c>
    </row>
    <row r="64" spans="4:14">
      <c r="D64" s="18">
        <v>46191</v>
      </c>
      <c r="E64" s="6">
        <v>1613201</v>
      </c>
      <c r="F64" s="6" t="s">
        <v>16</v>
      </c>
      <c r="G64" s="6">
        <v>20324428</v>
      </c>
      <c r="H64" s="6" t="s">
        <v>36</v>
      </c>
      <c r="I64" s="6">
        <v>2</v>
      </c>
      <c r="J64" s="19" t="s">
        <v>18</v>
      </c>
      <c r="K64" s="20">
        <v>1</v>
      </c>
      <c r="L64" s="21">
        <v>6.4</v>
      </c>
      <c r="M64" s="21">
        <v>6.4</v>
      </c>
      <c r="N64" s="21">
        <v>12.8</v>
      </c>
    </row>
    <row r="65" spans="4:14">
      <c r="D65" s="18">
        <v>46191</v>
      </c>
      <c r="E65" s="6">
        <v>1613201</v>
      </c>
      <c r="F65" s="6" t="s">
        <v>16</v>
      </c>
      <c r="G65" s="6">
        <v>20324855</v>
      </c>
      <c r="H65" s="6" t="s">
        <v>37</v>
      </c>
      <c r="I65" s="6">
        <v>1</v>
      </c>
      <c r="J65" s="19" t="s">
        <v>18</v>
      </c>
      <c r="K65" s="20">
        <v>1</v>
      </c>
      <c r="L65" s="21">
        <v>6.4</v>
      </c>
      <c r="M65" s="21">
        <v>6.4</v>
      </c>
      <c r="N65" s="21">
        <v>6.4</v>
      </c>
    </row>
    <row r="66" ht="25.5" spans="4:14">
      <c r="D66" s="18">
        <v>46191</v>
      </c>
      <c r="E66" s="6">
        <v>1613201</v>
      </c>
      <c r="F66" s="6" t="s">
        <v>16</v>
      </c>
      <c r="G66" s="6">
        <v>20335847</v>
      </c>
      <c r="H66" s="6" t="s">
        <v>66</v>
      </c>
      <c r="I66" s="6">
        <v>1</v>
      </c>
      <c r="J66" s="32" t="s">
        <v>28</v>
      </c>
      <c r="K66" s="20">
        <f t="shared" ref="K66:K71" si="6">M66/L66</f>
        <v>64</v>
      </c>
      <c r="L66" s="21">
        <v>4.4</v>
      </c>
      <c r="M66" s="21">
        <v>281.6</v>
      </c>
      <c r="N66" s="21">
        <v>281.6</v>
      </c>
    </row>
    <row r="67" spans="4:14">
      <c r="D67" s="18">
        <v>46192</v>
      </c>
      <c r="E67" s="6">
        <v>1613590</v>
      </c>
      <c r="F67" s="6" t="s">
        <v>34</v>
      </c>
      <c r="G67" s="6">
        <v>20391366</v>
      </c>
      <c r="H67" s="6" t="s">
        <v>35</v>
      </c>
      <c r="I67" s="6">
        <v>2</v>
      </c>
      <c r="J67" s="32" t="s">
        <v>28</v>
      </c>
      <c r="K67" s="20">
        <f t="shared" si="6"/>
        <v>26</v>
      </c>
      <c r="L67" s="21">
        <v>4.4</v>
      </c>
      <c r="M67" s="21">
        <v>114.4</v>
      </c>
      <c r="N67" s="21">
        <v>228.8</v>
      </c>
    </row>
    <row r="68" spans="4:14">
      <c r="D68" s="18">
        <v>46192</v>
      </c>
      <c r="E68" s="6">
        <v>1613590</v>
      </c>
      <c r="F68" s="6" t="s">
        <v>16</v>
      </c>
      <c r="G68" s="6">
        <v>20324428</v>
      </c>
      <c r="H68" s="6" t="s">
        <v>36</v>
      </c>
      <c r="I68" s="6">
        <v>2</v>
      </c>
      <c r="J68" s="19" t="s">
        <v>18</v>
      </c>
      <c r="K68" s="20">
        <v>1</v>
      </c>
      <c r="L68" s="21">
        <v>6.4</v>
      </c>
      <c r="M68" s="21">
        <v>6.4</v>
      </c>
      <c r="N68" s="21">
        <v>12.8</v>
      </c>
    </row>
    <row r="69" spans="4:14">
      <c r="D69" s="18">
        <v>46192</v>
      </c>
      <c r="E69" s="6">
        <v>1613590</v>
      </c>
      <c r="F69" s="6" t="s">
        <v>16</v>
      </c>
      <c r="G69" s="6">
        <v>20324363</v>
      </c>
      <c r="H69" s="6" t="s">
        <v>25</v>
      </c>
      <c r="I69" s="6">
        <v>1</v>
      </c>
      <c r="J69" s="19" t="s">
        <v>18</v>
      </c>
      <c r="K69" s="20">
        <v>1</v>
      </c>
      <c r="L69" s="21">
        <v>6.4</v>
      </c>
      <c r="M69" s="21">
        <v>6.4</v>
      </c>
      <c r="N69" s="21">
        <v>6.4</v>
      </c>
    </row>
    <row r="70" spans="4:14">
      <c r="D70" s="18">
        <v>46192</v>
      </c>
      <c r="E70" s="6">
        <v>1613590</v>
      </c>
      <c r="F70" s="6" t="s">
        <v>16</v>
      </c>
      <c r="G70" s="6">
        <v>20324485</v>
      </c>
      <c r="H70" s="6" t="s">
        <v>67</v>
      </c>
      <c r="I70" s="6">
        <v>1</v>
      </c>
      <c r="J70" s="19" t="s">
        <v>18</v>
      </c>
      <c r="K70" s="20">
        <v>1</v>
      </c>
      <c r="L70" s="21">
        <v>6.4</v>
      </c>
      <c r="M70" s="21">
        <v>6.4</v>
      </c>
      <c r="N70" s="21">
        <v>6.4</v>
      </c>
    </row>
    <row r="71" ht="25.5" spans="4:14">
      <c r="D71" s="18">
        <v>46192</v>
      </c>
      <c r="E71" s="6">
        <v>1613590</v>
      </c>
      <c r="F71" s="6" t="s">
        <v>16</v>
      </c>
      <c r="G71" s="6">
        <v>20326302</v>
      </c>
      <c r="H71" s="6" t="s">
        <v>68</v>
      </c>
      <c r="I71" s="6">
        <v>1</v>
      </c>
      <c r="J71" s="32" t="s">
        <v>28</v>
      </c>
      <c r="K71" s="20">
        <f t="shared" si="6"/>
        <v>46</v>
      </c>
      <c r="L71" s="21">
        <v>4.4</v>
      </c>
      <c r="M71" s="21">
        <v>202.4</v>
      </c>
      <c r="N71" s="21">
        <v>202.4</v>
      </c>
    </row>
    <row r="72" spans="4:14">
      <c r="D72" s="18">
        <v>46192</v>
      </c>
      <c r="E72" s="6">
        <v>1613590</v>
      </c>
      <c r="F72" s="6" t="s">
        <v>51</v>
      </c>
      <c r="G72" s="6">
        <v>20324955</v>
      </c>
      <c r="H72" s="6" t="s">
        <v>52</v>
      </c>
      <c r="I72" s="6">
        <v>1</v>
      </c>
      <c r="J72" s="32" t="s">
        <v>53</v>
      </c>
      <c r="K72" s="20">
        <v>1</v>
      </c>
      <c r="L72" s="21">
        <v>2</v>
      </c>
      <c r="M72" s="21">
        <v>2</v>
      </c>
      <c r="N72" s="21">
        <v>2</v>
      </c>
    </row>
    <row r="73" spans="4:14">
      <c r="D73" s="18">
        <v>46192</v>
      </c>
      <c r="E73" s="6">
        <v>1613623</v>
      </c>
      <c r="F73" s="6" t="s">
        <v>16</v>
      </c>
      <c r="G73" s="6">
        <v>20335536</v>
      </c>
      <c r="H73" s="6" t="s">
        <v>69</v>
      </c>
      <c r="I73" s="6">
        <v>1</v>
      </c>
      <c r="J73" s="33" t="s">
        <v>48</v>
      </c>
      <c r="K73" s="20" t="s">
        <v>49</v>
      </c>
      <c r="L73" s="21">
        <v>240</v>
      </c>
      <c r="M73" s="21">
        <v>275.2</v>
      </c>
      <c r="N73" s="21">
        <v>275.2</v>
      </c>
    </row>
    <row r="74" spans="4:14">
      <c r="D74" s="18"/>
      <c r="E74" s="6"/>
      <c r="F74" s="6"/>
      <c r="G74" s="6"/>
      <c r="H74" s="6"/>
      <c r="I74" s="6"/>
      <c r="J74" s="32" t="s">
        <v>58</v>
      </c>
      <c r="K74" s="20">
        <v>1</v>
      </c>
      <c r="L74" s="21">
        <v>17.6</v>
      </c>
      <c r="M74" s="21"/>
      <c r="N74" s="21"/>
    </row>
    <row r="75" spans="4:14">
      <c r="D75" s="18"/>
      <c r="E75" s="6"/>
      <c r="F75" s="6"/>
      <c r="G75" s="6"/>
      <c r="H75" s="6"/>
      <c r="I75" s="6"/>
      <c r="J75" s="32" t="s">
        <v>58</v>
      </c>
      <c r="K75" s="20">
        <v>1</v>
      </c>
      <c r="L75" s="21">
        <v>17.6</v>
      </c>
      <c r="M75" s="21"/>
      <c r="N75" s="21"/>
    </row>
    <row r="76" spans="4:14">
      <c r="D76" s="18">
        <v>46195</v>
      </c>
      <c r="E76" s="6">
        <v>1614181</v>
      </c>
      <c r="F76" s="6" t="s">
        <v>34</v>
      </c>
      <c r="G76" s="6">
        <v>20391366</v>
      </c>
      <c r="H76" s="6" t="s">
        <v>35</v>
      </c>
      <c r="I76" s="6">
        <v>6</v>
      </c>
      <c r="J76" s="32" t="s">
        <v>28</v>
      </c>
      <c r="K76" s="20">
        <f>M76/L76</f>
        <v>26</v>
      </c>
      <c r="L76" s="21">
        <v>4.4</v>
      </c>
      <c r="M76" s="21">
        <v>114.4</v>
      </c>
      <c r="N76" s="21">
        <v>686.4</v>
      </c>
    </row>
    <row r="77" spans="4:14">
      <c r="D77" s="18">
        <v>46195</v>
      </c>
      <c r="E77" s="6">
        <v>1614181</v>
      </c>
      <c r="F77" s="6" t="s">
        <v>16</v>
      </c>
      <c r="G77" s="6">
        <v>20324428</v>
      </c>
      <c r="H77" s="6" t="s">
        <v>36</v>
      </c>
      <c r="I77" s="6">
        <v>4</v>
      </c>
      <c r="J77" s="19" t="s">
        <v>18</v>
      </c>
      <c r="K77" s="20">
        <v>1</v>
      </c>
      <c r="L77" s="21">
        <v>6.4</v>
      </c>
      <c r="M77" s="21">
        <v>6.4</v>
      </c>
      <c r="N77" s="21">
        <v>25.6</v>
      </c>
    </row>
    <row r="78" spans="4:14">
      <c r="D78" s="18">
        <v>46195</v>
      </c>
      <c r="E78" s="6">
        <v>1614181</v>
      </c>
      <c r="F78" s="6" t="s">
        <v>16</v>
      </c>
      <c r="G78" s="6">
        <v>20324405</v>
      </c>
      <c r="H78" s="6" t="s">
        <v>30</v>
      </c>
      <c r="I78" s="6">
        <v>2</v>
      </c>
      <c r="J78" s="6" t="s">
        <v>20</v>
      </c>
      <c r="K78" s="20">
        <v>1</v>
      </c>
      <c r="L78" s="21">
        <v>8.8</v>
      </c>
      <c r="M78" s="21">
        <v>8.8</v>
      </c>
      <c r="N78" s="21">
        <v>17.6</v>
      </c>
    </row>
    <row r="79" spans="4:14">
      <c r="D79" s="18">
        <v>46195</v>
      </c>
      <c r="E79" s="6">
        <v>1614181</v>
      </c>
      <c r="F79" s="6" t="s">
        <v>16</v>
      </c>
      <c r="G79" s="6">
        <v>20324363</v>
      </c>
      <c r="H79" s="6" t="s">
        <v>25</v>
      </c>
      <c r="I79" s="6">
        <v>2</v>
      </c>
      <c r="J79" s="19" t="s">
        <v>18</v>
      </c>
      <c r="K79" s="20">
        <v>1</v>
      </c>
      <c r="L79" s="21">
        <v>6.4</v>
      </c>
      <c r="M79" s="21">
        <v>6.4</v>
      </c>
      <c r="N79" s="21">
        <v>12.8</v>
      </c>
    </row>
    <row r="80" spans="4:14">
      <c r="D80" s="18">
        <v>46195</v>
      </c>
      <c r="E80" s="6">
        <v>1614181</v>
      </c>
      <c r="F80" s="6" t="s">
        <v>16</v>
      </c>
      <c r="G80" s="6">
        <v>20324485</v>
      </c>
      <c r="H80" s="6" t="s">
        <v>67</v>
      </c>
      <c r="I80" s="6">
        <v>1</v>
      </c>
      <c r="J80" s="19" t="s">
        <v>18</v>
      </c>
      <c r="K80" s="20">
        <v>1</v>
      </c>
      <c r="L80" s="21">
        <v>6.4</v>
      </c>
      <c r="M80" s="21">
        <v>6.4</v>
      </c>
      <c r="N80" s="21">
        <v>6.4</v>
      </c>
    </row>
    <row r="81" ht="25.5" spans="4:14">
      <c r="D81" s="18">
        <v>46195</v>
      </c>
      <c r="E81" s="6">
        <v>1614181</v>
      </c>
      <c r="F81" s="6" t="s">
        <v>16</v>
      </c>
      <c r="G81" s="6">
        <v>20325627</v>
      </c>
      <c r="H81" s="6" t="s">
        <v>70</v>
      </c>
      <c r="I81" s="6">
        <v>1</v>
      </c>
      <c r="J81" s="32" t="s">
        <v>28</v>
      </c>
      <c r="K81" s="20">
        <f>M81/L81</f>
        <v>153</v>
      </c>
      <c r="L81" s="21">
        <v>4.4</v>
      </c>
      <c r="M81" s="21">
        <v>673.2</v>
      </c>
      <c r="N81" s="21">
        <v>673.2</v>
      </c>
    </row>
    <row r="82" spans="4:14">
      <c r="D82" s="18">
        <v>46196</v>
      </c>
      <c r="E82" s="6">
        <v>1614226</v>
      </c>
      <c r="F82" s="6" t="s">
        <v>16</v>
      </c>
      <c r="G82" s="6">
        <v>20326204</v>
      </c>
      <c r="H82" s="6" t="s">
        <v>71</v>
      </c>
      <c r="I82" s="6">
        <v>1</v>
      </c>
      <c r="J82" s="32" t="s">
        <v>40</v>
      </c>
      <c r="K82" s="20" t="s">
        <v>41</v>
      </c>
      <c r="L82" s="21">
        <v>132</v>
      </c>
      <c r="M82" s="21">
        <v>237.6</v>
      </c>
      <c r="N82" s="21">
        <v>237.6</v>
      </c>
    </row>
    <row r="83" spans="4:14">
      <c r="D83" s="18"/>
      <c r="E83" s="6"/>
      <c r="F83" s="6"/>
      <c r="G83" s="6"/>
      <c r="H83" s="6"/>
      <c r="I83" s="6"/>
      <c r="J83" s="32" t="s">
        <v>42</v>
      </c>
      <c r="K83" s="20" t="s">
        <v>43</v>
      </c>
      <c r="L83" s="21">
        <v>70.4</v>
      </c>
      <c r="M83" s="21"/>
      <c r="N83" s="21"/>
    </row>
    <row r="84" spans="4:14">
      <c r="D84" s="18"/>
      <c r="E84" s="6"/>
      <c r="F84" s="6"/>
      <c r="G84" s="6"/>
      <c r="H84" s="6"/>
      <c r="I84" s="6"/>
      <c r="J84" s="32" t="s">
        <v>58</v>
      </c>
      <c r="K84" s="20">
        <v>1</v>
      </c>
      <c r="L84" s="21">
        <v>17.6</v>
      </c>
      <c r="M84" s="21"/>
      <c r="N84" s="21"/>
    </row>
    <row r="85" spans="4:14">
      <c r="D85" s="18"/>
      <c r="E85" s="6"/>
      <c r="F85" s="6"/>
      <c r="G85" s="6"/>
      <c r="H85" s="6"/>
      <c r="I85" s="6"/>
      <c r="J85" s="32" t="s">
        <v>58</v>
      </c>
      <c r="K85" s="20">
        <v>1</v>
      </c>
      <c r="L85" s="21">
        <v>17.6</v>
      </c>
      <c r="M85" s="21"/>
      <c r="N85" s="21"/>
    </row>
    <row r="86" spans="4:14">
      <c r="D86" s="18">
        <v>46197</v>
      </c>
      <c r="E86" s="6">
        <v>1614542</v>
      </c>
      <c r="F86" s="6" t="s">
        <v>34</v>
      </c>
      <c r="G86" s="6">
        <v>20391366</v>
      </c>
      <c r="H86" s="6" t="s">
        <v>35</v>
      </c>
      <c r="I86" s="6">
        <v>3</v>
      </c>
      <c r="J86" s="32" t="s">
        <v>28</v>
      </c>
      <c r="K86" s="20">
        <f>M86/L86</f>
        <v>26</v>
      </c>
      <c r="L86" s="21">
        <v>4.4</v>
      </c>
      <c r="M86" s="21">
        <v>114.4</v>
      </c>
      <c r="N86" s="21">
        <v>343.2</v>
      </c>
    </row>
    <row r="87" spans="4:14">
      <c r="D87" s="18">
        <v>46197</v>
      </c>
      <c r="E87" s="6">
        <v>1614542</v>
      </c>
      <c r="F87" s="6" t="s">
        <v>16</v>
      </c>
      <c r="G87" s="6">
        <v>20324428</v>
      </c>
      <c r="H87" s="6" t="s">
        <v>36</v>
      </c>
      <c r="I87" s="6">
        <v>3</v>
      </c>
      <c r="J87" s="19" t="s">
        <v>18</v>
      </c>
      <c r="K87" s="20">
        <v>1</v>
      </c>
      <c r="L87" s="21">
        <v>6.4</v>
      </c>
      <c r="M87" s="21">
        <v>6.4</v>
      </c>
      <c r="N87" s="21">
        <v>19.2</v>
      </c>
    </row>
    <row r="88" spans="4:14">
      <c r="D88" s="18">
        <v>46197</v>
      </c>
      <c r="E88" s="6">
        <v>1614542</v>
      </c>
      <c r="F88" s="6" t="s">
        <v>16</v>
      </c>
      <c r="G88" s="6">
        <v>20324405</v>
      </c>
      <c r="H88" s="6" t="s">
        <v>30</v>
      </c>
      <c r="I88" s="6">
        <v>1</v>
      </c>
      <c r="J88" s="6" t="s">
        <v>20</v>
      </c>
      <c r="K88" s="20">
        <v>1</v>
      </c>
      <c r="L88" s="21">
        <v>8.8</v>
      </c>
      <c r="M88" s="21">
        <v>8.8</v>
      </c>
      <c r="N88" s="21">
        <v>8.8</v>
      </c>
    </row>
    <row r="89" ht="25.5" spans="4:14">
      <c r="D89" s="18">
        <v>46197</v>
      </c>
      <c r="E89" s="6">
        <v>1614542</v>
      </c>
      <c r="F89" s="6" t="s">
        <v>16</v>
      </c>
      <c r="G89" s="6">
        <v>20325852</v>
      </c>
      <c r="H89" s="6" t="s">
        <v>72</v>
      </c>
      <c r="I89" s="6">
        <v>1</v>
      </c>
      <c r="J89" s="32" t="s">
        <v>28</v>
      </c>
      <c r="K89" s="20">
        <f t="shared" ref="K89:K94" si="7">M89/L89</f>
        <v>34</v>
      </c>
      <c r="L89" s="21">
        <v>4.4</v>
      </c>
      <c r="M89" s="21">
        <v>149.6</v>
      </c>
      <c r="N89" s="21">
        <v>149.6</v>
      </c>
    </row>
    <row r="90" spans="4:14">
      <c r="D90" s="18">
        <v>46197</v>
      </c>
      <c r="E90" s="6">
        <v>1614542</v>
      </c>
      <c r="F90" s="6" t="s">
        <v>51</v>
      </c>
      <c r="G90" s="6">
        <v>20324955</v>
      </c>
      <c r="H90" s="6" t="s">
        <v>52</v>
      </c>
      <c r="I90" s="6">
        <v>1</v>
      </c>
      <c r="J90" s="32" t="s">
        <v>53</v>
      </c>
      <c r="K90" s="20">
        <v>1</v>
      </c>
      <c r="L90" s="21">
        <v>2</v>
      </c>
      <c r="M90" s="21">
        <v>2</v>
      </c>
      <c r="N90" s="21">
        <v>2</v>
      </c>
    </row>
    <row r="91" spans="4:14">
      <c r="D91" s="18">
        <v>46197</v>
      </c>
      <c r="E91" s="6">
        <v>1614915</v>
      </c>
      <c r="F91" s="6" t="s">
        <v>34</v>
      </c>
      <c r="G91" s="6">
        <v>20391366</v>
      </c>
      <c r="H91" s="6" t="s">
        <v>35</v>
      </c>
      <c r="I91" s="6">
        <v>3</v>
      </c>
      <c r="J91" s="32" t="s">
        <v>28</v>
      </c>
      <c r="K91" s="20">
        <f t="shared" si="7"/>
        <v>26</v>
      </c>
      <c r="L91" s="21">
        <v>4.4</v>
      </c>
      <c r="M91" s="21">
        <v>114.4</v>
      </c>
      <c r="N91" s="21">
        <v>343.2</v>
      </c>
    </row>
    <row r="92" spans="4:14">
      <c r="D92" s="18">
        <v>46197</v>
      </c>
      <c r="E92" s="6">
        <v>1614915</v>
      </c>
      <c r="F92" s="6" t="s">
        <v>16</v>
      </c>
      <c r="G92" s="6">
        <v>20324428</v>
      </c>
      <c r="H92" s="6" t="s">
        <v>36</v>
      </c>
      <c r="I92" s="6">
        <v>4</v>
      </c>
      <c r="J92" s="19" t="s">
        <v>18</v>
      </c>
      <c r="K92" s="20">
        <v>1</v>
      </c>
      <c r="L92" s="21">
        <v>6.4</v>
      </c>
      <c r="M92" s="21">
        <v>6.4</v>
      </c>
      <c r="N92" s="21">
        <v>25.6</v>
      </c>
    </row>
    <row r="93" ht="25.5" spans="4:14">
      <c r="D93" s="18">
        <v>46197</v>
      </c>
      <c r="E93" s="6">
        <v>1614915</v>
      </c>
      <c r="F93" s="6" t="s">
        <v>16</v>
      </c>
      <c r="G93" s="6">
        <v>20326302</v>
      </c>
      <c r="H93" s="6" t="s">
        <v>73</v>
      </c>
      <c r="I93" s="6">
        <v>1</v>
      </c>
      <c r="J93" s="32" t="s">
        <v>28</v>
      </c>
      <c r="K93" s="20">
        <f t="shared" si="7"/>
        <v>39</v>
      </c>
      <c r="L93" s="21">
        <v>4.4</v>
      </c>
      <c r="M93" s="21">
        <v>171.6</v>
      </c>
      <c r="N93" s="21">
        <v>171.6</v>
      </c>
    </row>
    <row r="94" spans="4:14">
      <c r="D94" s="18">
        <v>46198</v>
      </c>
      <c r="E94" s="6">
        <v>1615289</v>
      </c>
      <c r="F94" s="6" t="s">
        <v>34</v>
      </c>
      <c r="G94" s="6">
        <v>20391366</v>
      </c>
      <c r="H94" s="6" t="s">
        <v>35</v>
      </c>
      <c r="I94" s="6">
        <v>2</v>
      </c>
      <c r="J94" s="32" t="s">
        <v>28</v>
      </c>
      <c r="K94" s="20">
        <f t="shared" si="7"/>
        <v>26</v>
      </c>
      <c r="L94" s="21">
        <v>4.4</v>
      </c>
      <c r="M94" s="21">
        <v>114.4</v>
      </c>
      <c r="N94" s="21">
        <v>228.8</v>
      </c>
    </row>
    <row r="95" spans="4:14">
      <c r="D95" s="18">
        <v>46198</v>
      </c>
      <c r="E95" s="6">
        <v>1615289</v>
      </c>
      <c r="F95" s="6" t="s">
        <v>16</v>
      </c>
      <c r="G95" s="6">
        <v>20324428</v>
      </c>
      <c r="H95" s="6" t="s">
        <v>36</v>
      </c>
      <c r="I95" s="6">
        <v>1</v>
      </c>
      <c r="J95" s="19" t="s">
        <v>18</v>
      </c>
      <c r="K95" s="20">
        <v>1</v>
      </c>
      <c r="L95" s="21">
        <v>6.4</v>
      </c>
      <c r="M95" s="21">
        <v>6.4</v>
      </c>
      <c r="N95" s="21">
        <v>6.4</v>
      </c>
    </row>
    <row r="96" spans="4:14">
      <c r="D96" s="18">
        <v>46198</v>
      </c>
      <c r="E96" s="6">
        <v>1615289</v>
      </c>
      <c r="F96" s="6" t="s">
        <v>16</v>
      </c>
      <c r="G96" s="6">
        <v>20324445</v>
      </c>
      <c r="H96" s="6" t="s">
        <v>74</v>
      </c>
      <c r="I96" s="6">
        <v>1</v>
      </c>
      <c r="J96" s="19" t="s">
        <v>18</v>
      </c>
      <c r="K96" s="20">
        <v>1</v>
      </c>
      <c r="L96" s="21">
        <v>6.4</v>
      </c>
      <c r="M96" s="21">
        <v>6.4</v>
      </c>
      <c r="N96" s="21">
        <v>6.4</v>
      </c>
    </row>
    <row r="97" spans="4:14">
      <c r="D97" s="18">
        <v>46198</v>
      </c>
      <c r="E97" s="6">
        <v>1615289</v>
      </c>
      <c r="F97" s="6" t="s">
        <v>16</v>
      </c>
      <c r="G97" s="6">
        <v>20324855</v>
      </c>
      <c r="H97" s="6" t="s">
        <v>37</v>
      </c>
      <c r="I97" s="6">
        <v>1</v>
      </c>
      <c r="J97" s="19" t="s">
        <v>18</v>
      </c>
      <c r="K97" s="20">
        <v>1</v>
      </c>
      <c r="L97" s="21">
        <v>6.4</v>
      </c>
      <c r="M97" s="21">
        <v>6.4</v>
      </c>
      <c r="N97" s="21">
        <v>6.4</v>
      </c>
    </row>
    <row r="98" ht="25.5" spans="4:14">
      <c r="D98" s="18">
        <v>46198</v>
      </c>
      <c r="E98" s="6">
        <v>1615289</v>
      </c>
      <c r="F98" s="6" t="s">
        <v>16</v>
      </c>
      <c r="G98" s="6">
        <v>20325852</v>
      </c>
      <c r="H98" s="6" t="s">
        <v>75</v>
      </c>
      <c r="I98" s="6">
        <v>1</v>
      </c>
      <c r="J98" s="32" t="s">
        <v>28</v>
      </c>
      <c r="K98" s="20">
        <f>M98/L98</f>
        <v>42</v>
      </c>
      <c r="L98" s="21">
        <v>4.4</v>
      </c>
      <c r="M98" s="21">
        <v>184.8</v>
      </c>
      <c r="N98" s="21">
        <v>184.8</v>
      </c>
    </row>
    <row r="99" spans="4:14">
      <c r="D99" s="18">
        <v>46198</v>
      </c>
      <c r="E99" s="6">
        <v>1615289</v>
      </c>
      <c r="F99" s="6" t="s">
        <v>51</v>
      </c>
      <c r="G99" s="6">
        <v>20324955</v>
      </c>
      <c r="H99" s="6" t="s">
        <v>52</v>
      </c>
      <c r="I99" s="6">
        <v>1</v>
      </c>
      <c r="J99" s="32" t="s">
        <v>53</v>
      </c>
      <c r="K99" s="20">
        <v>1</v>
      </c>
      <c r="L99" s="21">
        <v>2</v>
      </c>
      <c r="M99" s="21">
        <v>2</v>
      </c>
      <c r="N99" s="21">
        <v>2</v>
      </c>
    </row>
    <row r="100" spans="4:14">
      <c r="D100" s="18">
        <v>46199</v>
      </c>
      <c r="E100" s="6">
        <v>1615347</v>
      </c>
      <c r="F100" s="6" t="s">
        <v>16</v>
      </c>
      <c r="G100" s="6">
        <v>20324967</v>
      </c>
      <c r="H100" s="6" t="s">
        <v>76</v>
      </c>
      <c r="I100" s="6">
        <v>1</v>
      </c>
      <c r="J100" s="32" t="s">
        <v>40</v>
      </c>
      <c r="K100" s="20" t="s">
        <v>41</v>
      </c>
      <c r="L100" s="21">
        <v>132</v>
      </c>
      <c r="M100" s="21">
        <v>202.4</v>
      </c>
      <c r="N100" s="21">
        <v>202.4</v>
      </c>
    </row>
    <row r="101" spans="4:14">
      <c r="D101" s="18"/>
      <c r="E101" s="6"/>
      <c r="F101" s="6"/>
      <c r="G101" s="6"/>
      <c r="H101" s="6"/>
      <c r="I101" s="6"/>
      <c r="J101" s="32" t="s">
        <v>42</v>
      </c>
      <c r="K101" s="20" t="s">
        <v>43</v>
      </c>
      <c r="L101" s="21">
        <v>70.4</v>
      </c>
      <c r="M101" s="21"/>
      <c r="N101" s="21"/>
    </row>
    <row r="102" spans="4:14">
      <c r="D102" s="18">
        <v>46199</v>
      </c>
      <c r="E102" s="6">
        <v>1615600</v>
      </c>
      <c r="F102" s="6" t="s">
        <v>34</v>
      </c>
      <c r="G102" s="6">
        <v>20391366</v>
      </c>
      <c r="H102" s="6" t="s">
        <v>35</v>
      </c>
      <c r="I102" s="6">
        <v>3</v>
      </c>
      <c r="J102" s="32" t="s">
        <v>28</v>
      </c>
      <c r="K102" s="20">
        <f>M102/L102</f>
        <v>26</v>
      </c>
      <c r="L102" s="21">
        <v>4.4</v>
      </c>
      <c r="M102" s="21">
        <v>114.4</v>
      </c>
      <c r="N102" s="21">
        <v>343.2</v>
      </c>
    </row>
    <row r="103" spans="4:14">
      <c r="D103" s="18">
        <v>46199</v>
      </c>
      <c r="E103" s="6">
        <v>1615600</v>
      </c>
      <c r="F103" s="6" t="s">
        <v>16</v>
      </c>
      <c r="G103" s="6">
        <v>20324428</v>
      </c>
      <c r="H103" s="6" t="s">
        <v>36</v>
      </c>
      <c r="I103" s="6">
        <v>6</v>
      </c>
      <c r="J103" s="19" t="s">
        <v>18</v>
      </c>
      <c r="K103" s="20">
        <v>1</v>
      </c>
      <c r="L103" s="21">
        <v>6.4</v>
      </c>
      <c r="M103" s="21">
        <v>6.4</v>
      </c>
      <c r="N103" s="21">
        <v>38.4</v>
      </c>
    </row>
    <row r="104" ht="25.5" spans="4:14">
      <c r="D104" s="18">
        <v>46199</v>
      </c>
      <c r="E104" s="6">
        <v>1615600</v>
      </c>
      <c r="F104" s="6" t="s">
        <v>16</v>
      </c>
      <c r="G104" s="6">
        <v>20326260</v>
      </c>
      <c r="H104" s="6" t="s">
        <v>77</v>
      </c>
      <c r="I104" s="6">
        <v>1</v>
      </c>
      <c r="J104" s="32" t="s">
        <v>28</v>
      </c>
      <c r="K104" s="20">
        <f t="shared" ref="K104:K109" si="8">M104/L104</f>
        <v>51</v>
      </c>
      <c r="L104" s="21">
        <v>4.4</v>
      </c>
      <c r="M104" s="21">
        <v>224.4</v>
      </c>
      <c r="N104" s="21">
        <v>224.4</v>
      </c>
    </row>
    <row r="105" spans="4:14">
      <c r="D105" s="18">
        <v>46202</v>
      </c>
      <c r="E105" s="6">
        <v>1616119</v>
      </c>
      <c r="F105" s="6" t="s">
        <v>34</v>
      </c>
      <c r="G105" s="6">
        <v>20391366</v>
      </c>
      <c r="H105" s="6" t="s">
        <v>35</v>
      </c>
      <c r="I105" s="6">
        <v>3</v>
      </c>
      <c r="J105" s="32" t="s">
        <v>28</v>
      </c>
      <c r="K105" s="20">
        <f t="shared" si="8"/>
        <v>26</v>
      </c>
      <c r="L105" s="21">
        <v>4.4</v>
      </c>
      <c r="M105" s="21">
        <v>114.4</v>
      </c>
      <c r="N105" s="21">
        <v>343.2</v>
      </c>
    </row>
    <row r="106" spans="4:14">
      <c r="D106" s="18">
        <v>46202</v>
      </c>
      <c r="E106" s="6">
        <v>1616119</v>
      </c>
      <c r="F106" s="6" t="s">
        <v>16</v>
      </c>
      <c r="G106" s="6">
        <v>20324428</v>
      </c>
      <c r="H106" s="6" t="s">
        <v>36</v>
      </c>
      <c r="I106" s="6">
        <v>4</v>
      </c>
      <c r="J106" s="19" t="s">
        <v>18</v>
      </c>
      <c r="K106" s="20">
        <v>1</v>
      </c>
      <c r="L106" s="21">
        <v>6.4</v>
      </c>
      <c r="M106" s="21">
        <v>6.4</v>
      </c>
      <c r="N106" s="21">
        <v>25.6</v>
      </c>
    </row>
    <row r="107" spans="4:14">
      <c r="D107" s="18">
        <v>46202</v>
      </c>
      <c r="E107" s="6">
        <v>1616119</v>
      </c>
      <c r="F107" s="6" t="s">
        <v>16</v>
      </c>
      <c r="G107" s="6">
        <v>20324445</v>
      </c>
      <c r="H107" s="6" t="s">
        <v>74</v>
      </c>
      <c r="I107" s="6">
        <v>1</v>
      </c>
      <c r="J107" s="19" t="s">
        <v>18</v>
      </c>
      <c r="K107" s="20">
        <v>1</v>
      </c>
      <c r="L107" s="21">
        <v>6.4</v>
      </c>
      <c r="M107" s="21">
        <v>6.4</v>
      </c>
      <c r="N107" s="21">
        <v>6.4</v>
      </c>
    </row>
    <row r="108" spans="4:14">
      <c r="D108" s="18">
        <v>46202</v>
      </c>
      <c r="E108" s="6">
        <v>1616119</v>
      </c>
      <c r="F108" s="6" t="s">
        <v>16</v>
      </c>
      <c r="G108" s="6">
        <v>20324855</v>
      </c>
      <c r="H108" s="6" t="s">
        <v>37</v>
      </c>
      <c r="I108" s="6">
        <v>1</v>
      </c>
      <c r="J108" s="19" t="s">
        <v>18</v>
      </c>
      <c r="K108" s="20">
        <v>1</v>
      </c>
      <c r="L108" s="21">
        <v>6.4</v>
      </c>
      <c r="M108" s="21">
        <v>6.4</v>
      </c>
      <c r="N108" s="21">
        <v>6.4</v>
      </c>
    </row>
    <row r="109" ht="25.5" spans="4:14">
      <c r="D109" s="18">
        <v>46202</v>
      </c>
      <c r="E109" s="6">
        <v>1616119</v>
      </c>
      <c r="F109" s="6" t="s">
        <v>16</v>
      </c>
      <c r="G109" s="6">
        <v>20325852</v>
      </c>
      <c r="H109" s="6" t="s">
        <v>78</v>
      </c>
      <c r="I109" s="6">
        <v>1</v>
      </c>
      <c r="J109" s="32" t="s">
        <v>28</v>
      </c>
      <c r="K109" s="20">
        <f t="shared" si="8"/>
        <v>89</v>
      </c>
      <c r="L109" s="21">
        <v>4.4</v>
      </c>
      <c r="M109" s="21">
        <v>391.6</v>
      </c>
      <c r="N109" s="21">
        <v>391.6</v>
      </c>
    </row>
    <row r="110" spans="4:14">
      <c r="D110" s="18">
        <v>46203</v>
      </c>
      <c r="E110" s="6">
        <v>1616170</v>
      </c>
      <c r="F110" s="6" t="s">
        <v>16</v>
      </c>
      <c r="G110" s="6">
        <v>20327039</v>
      </c>
      <c r="H110" s="6" t="s">
        <v>79</v>
      </c>
      <c r="I110" s="6">
        <v>1</v>
      </c>
      <c r="J110" s="33" t="s">
        <v>48</v>
      </c>
      <c r="K110" s="20" t="s">
        <v>49</v>
      </c>
      <c r="L110" s="21">
        <v>240</v>
      </c>
      <c r="M110" s="21">
        <v>257.6</v>
      </c>
      <c r="N110" s="21">
        <v>257.6</v>
      </c>
    </row>
    <row r="111" spans="4:14">
      <c r="D111" s="18"/>
      <c r="E111" s="6"/>
      <c r="F111" s="6"/>
      <c r="G111" s="6"/>
      <c r="H111" s="6"/>
      <c r="I111" s="6"/>
      <c r="J111" s="32" t="s">
        <v>58</v>
      </c>
      <c r="K111" s="20">
        <v>1</v>
      </c>
      <c r="L111" s="21">
        <v>17.6</v>
      </c>
      <c r="M111" s="21"/>
      <c r="N111" s="21"/>
    </row>
  </sheetData>
  <autoFilter xmlns:etc="http://www.wps.cn/officeDocument/2017/etCustomData" ref="A7:N111" etc:filterBottomFollowUsedRange="0">
    <extLst/>
  </autoFilter>
  <mergeCells count="69">
    <mergeCell ref="D8:H8"/>
    <mergeCell ref="C7:C110"/>
    <mergeCell ref="D13:D14"/>
    <mergeCell ref="D25:D26"/>
    <mergeCell ref="D41:D43"/>
    <mergeCell ref="D52:D54"/>
    <mergeCell ref="D73:D75"/>
    <mergeCell ref="D82:D85"/>
    <mergeCell ref="D100:D101"/>
    <mergeCell ref="D110:D111"/>
    <mergeCell ref="E13:E14"/>
    <mergeCell ref="E25:E26"/>
    <mergeCell ref="E41:E43"/>
    <mergeCell ref="E52:E54"/>
    <mergeCell ref="E73:E75"/>
    <mergeCell ref="E82:E85"/>
    <mergeCell ref="E100:E101"/>
    <mergeCell ref="E110:E111"/>
    <mergeCell ref="F13:F14"/>
    <mergeCell ref="F25:F26"/>
    <mergeCell ref="F41:F43"/>
    <mergeCell ref="F52:F54"/>
    <mergeCell ref="F73:F75"/>
    <mergeCell ref="F82:F85"/>
    <mergeCell ref="F100:F101"/>
    <mergeCell ref="F110:F111"/>
    <mergeCell ref="G13:G14"/>
    <mergeCell ref="G25:G26"/>
    <mergeCell ref="G41:G43"/>
    <mergeCell ref="G52:G54"/>
    <mergeCell ref="G73:G75"/>
    <mergeCell ref="G82:G85"/>
    <mergeCell ref="G100:G101"/>
    <mergeCell ref="G110:G111"/>
    <mergeCell ref="H13:H14"/>
    <mergeCell ref="H25:H26"/>
    <mergeCell ref="H41:H43"/>
    <mergeCell ref="H52:H54"/>
    <mergeCell ref="H73:H75"/>
    <mergeCell ref="H82:H85"/>
    <mergeCell ref="H100:H101"/>
    <mergeCell ref="H110:H111"/>
    <mergeCell ref="I13:I14"/>
    <mergeCell ref="I25:I26"/>
    <mergeCell ref="I41:I43"/>
    <mergeCell ref="I52:I54"/>
    <mergeCell ref="I73:I75"/>
    <mergeCell ref="I82:I85"/>
    <mergeCell ref="I100:I101"/>
    <mergeCell ref="I110:I111"/>
    <mergeCell ref="M13:M14"/>
    <mergeCell ref="M25:M26"/>
    <mergeCell ref="M41:M43"/>
    <mergeCell ref="M52:M54"/>
    <mergeCell ref="M73:M75"/>
    <mergeCell ref="M82:M85"/>
    <mergeCell ref="M100:M101"/>
    <mergeCell ref="M110:M111"/>
    <mergeCell ref="N13:N14"/>
    <mergeCell ref="N25:N26"/>
    <mergeCell ref="N41:N43"/>
    <mergeCell ref="N52:N54"/>
    <mergeCell ref="N73:N75"/>
    <mergeCell ref="N82:N85"/>
    <mergeCell ref="N100:N101"/>
    <mergeCell ref="N110:N111"/>
    <mergeCell ref="B4:H5"/>
    <mergeCell ref="C1:H2"/>
    <mergeCell ref="A7:B110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3"/>
  <sheetViews>
    <sheetView showGridLines="0" view="pageBreakPreview" zoomScaleNormal="100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5" customWidth="1"/>
    <col min="11" max="11" width="20" customWidth="1"/>
    <col min="12" max="12" width="13.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80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406</v>
      </c>
      <c r="J8" s="42"/>
      <c r="K8" s="43"/>
      <c r="L8" s="43"/>
      <c r="M8" s="43"/>
      <c r="N8" s="43">
        <v>34809.2</v>
      </c>
    </row>
    <row r="9" spans="1:14">
      <c r="D9" s="13">
        <v>46174</v>
      </c>
      <c r="E9" s="14">
        <v>1608076</v>
      </c>
      <c r="F9" s="14" t="s">
        <v>34</v>
      </c>
      <c r="G9" s="14">
        <v>20391366</v>
      </c>
      <c r="H9" s="14" t="s">
        <v>35</v>
      </c>
      <c r="I9" s="14">
        <v>5</v>
      </c>
      <c r="J9" s="58" t="s">
        <v>28</v>
      </c>
      <c r="K9" s="16">
        <f t="shared" ref="K9:K12" si="0">M9/L9</f>
        <v>26</v>
      </c>
      <c r="L9" s="17">
        <v>4.4</v>
      </c>
      <c r="M9" s="17">
        <v>114.4</v>
      </c>
      <c r="N9" s="17">
        <v>572</v>
      </c>
    </row>
    <row r="10" spans="1:14">
      <c r="D10" s="18">
        <v>46174</v>
      </c>
      <c r="E10" s="6">
        <v>1608076</v>
      </c>
      <c r="F10" s="6" t="s">
        <v>16</v>
      </c>
      <c r="G10" s="6">
        <v>20324855</v>
      </c>
      <c r="H10" s="6" t="s">
        <v>37</v>
      </c>
      <c r="I10" s="6">
        <v>6</v>
      </c>
      <c r="J10" s="19" t="s">
        <v>18</v>
      </c>
      <c r="K10" s="20">
        <v>1</v>
      </c>
      <c r="L10" s="21">
        <v>6.4</v>
      </c>
      <c r="M10" s="21">
        <v>6.4</v>
      </c>
      <c r="N10" s="21">
        <v>38.4</v>
      </c>
    </row>
    <row r="11" ht="25.5" spans="1:14">
      <c r="D11" s="18">
        <v>46174</v>
      </c>
      <c r="E11" s="6">
        <v>1608076</v>
      </c>
      <c r="F11" s="6" t="s">
        <v>16</v>
      </c>
      <c r="G11" s="6">
        <v>20332831</v>
      </c>
      <c r="H11" s="6" t="s">
        <v>81</v>
      </c>
      <c r="I11" s="6">
        <v>1</v>
      </c>
      <c r="J11" s="32" t="s">
        <v>28</v>
      </c>
      <c r="K11" s="20">
        <f t="shared" si="0"/>
        <v>85</v>
      </c>
      <c r="L11" s="21">
        <v>4.4</v>
      </c>
      <c r="M11" s="21">
        <v>374</v>
      </c>
      <c r="N11" s="21">
        <v>374</v>
      </c>
    </row>
    <row r="12" spans="1:14">
      <c r="D12" s="18">
        <v>46175</v>
      </c>
      <c r="E12" s="6">
        <v>1608261</v>
      </c>
      <c r="F12" s="6" t="s">
        <v>34</v>
      </c>
      <c r="G12" s="6">
        <v>20391366</v>
      </c>
      <c r="H12" s="6" t="s">
        <v>35</v>
      </c>
      <c r="I12" s="6">
        <v>3</v>
      </c>
      <c r="J12" s="32" t="s">
        <v>28</v>
      </c>
      <c r="K12" s="20">
        <f t="shared" si="0"/>
        <v>26</v>
      </c>
      <c r="L12" s="21">
        <v>4.4</v>
      </c>
      <c r="M12" s="21">
        <v>114.4</v>
      </c>
      <c r="N12" s="21">
        <v>343.2</v>
      </c>
    </row>
    <row r="13" spans="1:14">
      <c r="D13" s="18">
        <v>46175</v>
      </c>
      <c r="E13" s="6">
        <v>1608261</v>
      </c>
      <c r="F13" s="6" t="s">
        <v>16</v>
      </c>
      <c r="G13" s="6">
        <v>20324855</v>
      </c>
      <c r="H13" s="6" t="s">
        <v>37</v>
      </c>
      <c r="I13" s="6">
        <v>2</v>
      </c>
      <c r="J13" s="19" t="s">
        <v>18</v>
      </c>
      <c r="K13" s="20">
        <v>1</v>
      </c>
      <c r="L13" s="21">
        <v>6.4</v>
      </c>
      <c r="M13" s="21">
        <v>6.4</v>
      </c>
      <c r="N13" s="21">
        <v>12.8</v>
      </c>
    </row>
    <row r="14" ht="25.5" spans="1:14">
      <c r="D14" s="18">
        <v>46175</v>
      </c>
      <c r="E14" s="6">
        <v>1608261</v>
      </c>
      <c r="F14" s="6" t="s">
        <v>16</v>
      </c>
      <c r="G14" s="6">
        <v>20331128</v>
      </c>
      <c r="H14" s="6" t="s">
        <v>82</v>
      </c>
      <c r="I14" s="6">
        <v>1</v>
      </c>
      <c r="J14" s="32" t="s">
        <v>28</v>
      </c>
      <c r="K14" s="20">
        <f>M14/L14</f>
        <v>66</v>
      </c>
      <c r="L14" s="21">
        <v>4.4</v>
      </c>
      <c r="M14" s="21">
        <v>290.4</v>
      </c>
      <c r="N14" s="21">
        <v>290.4</v>
      </c>
    </row>
    <row r="15" spans="1:14">
      <c r="D15" s="18">
        <v>46175</v>
      </c>
      <c r="E15" s="6">
        <v>1608349</v>
      </c>
      <c r="F15" s="6" t="s">
        <v>16</v>
      </c>
      <c r="G15" s="6">
        <v>20332826</v>
      </c>
      <c r="H15" s="6" t="s">
        <v>83</v>
      </c>
      <c r="I15" s="6">
        <v>3</v>
      </c>
      <c r="J15" s="32" t="s">
        <v>42</v>
      </c>
      <c r="K15" s="20" t="s">
        <v>43</v>
      </c>
      <c r="L15" s="21">
        <v>70.4</v>
      </c>
      <c r="M15" s="21">
        <v>70.4</v>
      </c>
      <c r="N15" s="21">
        <v>211.2</v>
      </c>
    </row>
    <row r="16" spans="1:14">
      <c r="D16" s="18">
        <v>46176</v>
      </c>
      <c r="E16" s="6">
        <v>1608703</v>
      </c>
      <c r="F16" s="6" t="s">
        <v>34</v>
      </c>
      <c r="G16" s="6">
        <v>20391366</v>
      </c>
      <c r="H16" s="6" t="s">
        <v>35</v>
      </c>
      <c r="I16" s="6">
        <v>7</v>
      </c>
      <c r="J16" s="32" t="s">
        <v>28</v>
      </c>
      <c r="K16" s="20">
        <f>M16/L16</f>
        <v>26</v>
      </c>
      <c r="L16" s="21">
        <v>4.4</v>
      </c>
      <c r="M16" s="21">
        <v>114.4</v>
      </c>
      <c r="N16" s="21">
        <v>800.8</v>
      </c>
    </row>
    <row r="17" spans="4:14">
      <c r="D17" s="18">
        <v>46176</v>
      </c>
      <c r="E17" s="6">
        <v>1608703</v>
      </c>
      <c r="F17" s="6" t="s">
        <v>16</v>
      </c>
      <c r="G17" s="6">
        <v>20324428</v>
      </c>
      <c r="H17" s="6" t="s">
        <v>36</v>
      </c>
      <c r="I17" s="6">
        <v>2</v>
      </c>
      <c r="J17" s="19" t="s">
        <v>18</v>
      </c>
      <c r="K17" s="20">
        <v>1</v>
      </c>
      <c r="L17" s="21">
        <v>6.4</v>
      </c>
      <c r="M17" s="21">
        <v>6.4</v>
      </c>
      <c r="N17" s="21">
        <v>12.8</v>
      </c>
    </row>
    <row r="18" spans="4:14">
      <c r="D18" s="18">
        <v>46176</v>
      </c>
      <c r="E18" s="6">
        <v>1608703</v>
      </c>
      <c r="F18" s="6" t="s">
        <v>16</v>
      </c>
      <c r="G18" s="6">
        <v>20324445</v>
      </c>
      <c r="H18" s="6" t="s">
        <v>74</v>
      </c>
      <c r="I18" s="6">
        <v>2</v>
      </c>
      <c r="J18" s="19" t="s">
        <v>18</v>
      </c>
      <c r="K18" s="20">
        <v>1</v>
      </c>
      <c r="L18" s="21">
        <v>6.4</v>
      </c>
      <c r="M18" s="21">
        <v>6.4</v>
      </c>
      <c r="N18" s="21">
        <v>12.8</v>
      </c>
    </row>
    <row r="19" spans="4:14">
      <c r="D19" s="18">
        <v>46176</v>
      </c>
      <c r="E19" s="6">
        <v>1608703</v>
      </c>
      <c r="F19" s="6" t="s">
        <v>16</v>
      </c>
      <c r="G19" s="6">
        <v>20324855</v>
      </c>
      <c r="H19" s="6" t="s">
        <v>37</v>
      </c>
      <c r="I19" s="6">
        <v>2</v>
      </c>
      <c r="J19" s="19" t="s">
        <v>18</v>
      </c>
      <c r="K19" s="20">
        <v>1</v>
      </c>
      <c r="L19" s="21">
        <v>6.4</v>
      </c>
      <c r="M19" s="21">
        <v>6.4</v>
      </c>
      <c r="N19" s="21">
        <v>12.8</v>
      </c>
    </row>
    <row r="20" ht="25.5" spans="4:14">
      <c r="D20" s="18">
        <v>46176</v>
      </c>
      <c r="E20" s="6">
        <v>1608703</v>
      </c>
      <c r="F20" s="6" t="s">
        <v>16</v>
      </c>
      <c r="G20" s="6">
        <v>20327669</v>
      </c>
      <c r="H20" s="6" t="s">
        <v>84</v>
      </c>
      <c r="I20" s="6">
        <v>1</v>
      </c>
      <c r="J20" s="32" t="s">
        <v>28</v>
      </c>
      <c r="K20" s="20">
        <f>M20/L20</f>
        <v>124</v>
      </c>
      <c r="L20" s="21">
        <v>4.4</v>
      </c>
      <c r="M20" s="21">
        <v>545.6</v>
      </c>
      <c r="N20" s="21">
        <v>545.6</v>
      </c>
    </row>
    <row r="21" spans="4:14">
      <c r="D21" s="18">
        <v>46176</v>
      </c>
      <c r="E21" s="6">
        <v>1608703</v>
      </c>
      <c r="F21" s="6" t="s">
        <v>51</v>
      </c>
      <c r="G21" s="6">
        <v>20353549</v>
      </c>
      <c r="H21" s="6" t="s">
        <v>85</v>
      </c>
      <c r="I21" s="6">
        <v>1</v>
      </c>
      <c r="J21" s="33" t="s">
        <v>86</v>
      </c>
      <c r="K21" s="20">
        <v>1</v>
      </c>
      <c r="L21" s="21">
        <v>3.2</v>
      </c>
      <c r="M21" s="21">
        <v>3.2</v>
      </c>
      <c r="N21" s="21">
        <v>3.2</v>
      </c>
    </row>
    <row r="22" spans="4:14">
      <c r="D22" s="18">
        <v>46176</v>
      </c>
      <c r="E22" s="6">
        <v>1608746</v>
      </c>
      <c r="F22" s="6" t="s">
        <v>16</v>
      </c>
      <c r="G22" s="6">
        <v>20332826</v>
      </c>
      <c r="H22" s="6" t="s">
        <v>83</v>
      </c>
      <c r="I22" s="6">
        <v>5</v>
      </c>
      <c r="J22" s="32" t="s">
        <v>42</v>
      </c>
      <c r="K22" s="20" t="s">
        <v>43</v>
      </c>
      <c r="L22" s="21">
        <v>70.4</v>
      </c>
      <c r="M22" s="21">
        <v>70.4</v>
      </c>
      <c r="N22" s="21">
        <v>352</v>
      </c>
    </row>
    <row r="23" spans="4:14">
      <c r="D23" s="18">
        <v>46177</v>
      </c>
      <c r="E23" s="6">
        <v>1609074</v>
      </c>
      <c r="F23" s="6" t="s">
        <v>34</v>
      </c>
      <c r="G23" s="6">
        <v>20391366</v>
      </c>
      <c r="H23" s="6" t="s">
        <v>35</v>
      </c>
      <c r="I23" s="6">
        <v>8</v>
      </c>
      <c r="J23" s="32" t="s">
        <v>28</v>
      </c>
      <c r="K23" s="20">
        <f t="shared" ref="K23:K28" si="1">M23/L23</f>
        <v>26</v>
      </c>
      <c r="L23" s="21">
        <v>4.4</v>
      </c>
      <c r="M23" s="21">
        <v>114.4</v>
      </c>
      <c r="N23" s="21">
        <v>915.2</v>
      </c>
    </row>
    <row r="24" spans="4:14">
      <c r="D24" s="18">
        <v>46177</v>
      </c>
      <c r="E24" s="6">
        <v>1609074</v>
      </c>
      <c r="F24" s="6" t="s">
        <v>16</v>
      </c>
      <c r="G24" s="6">
        <v>20324855</v>
      </c>
      <c r="H24" s="6" t="s">
        <v>37</v>
      </c>
      <c r="I24" s="6">
        <v>3</v>
      </c>
      <c r="J24" s="19" t="s">
        <v>18</v>
      </c>
      <c r="K24" s="20">
        <v>1</v>
      </c>
      <c r="L24" s="21">
        <v>6.4</v>
      </c>
      <c r="M24" s="21">
        <v>6.4</v>
      </c>
      <c r="N24" s="21">
        <v>19.2</v>
      </c>
    </row>
    <row r="25" spans="4:14">
      <c r="D25" s="18">
        <v>46177</v>
      </c>
      <c r="E25" s="6">
        <v>1609074</v>
      </c>
      <c r="F25" s="6" t="s">
        <v>16</v>
      </c>
      <c r="G25" s="6">
        <v>20324485</v>
      </c>
      <c r="H25" s="6" t="s">
        <v>67</v>
      </c>
      <c r="I25" s="6">
        <v>1</v>
      </c>
      <c r="J25" s="19" t="s">
        <v>18</v>
      </c>
      <c r="K25" s="20">
        <v>1</v>
      </c>
      <c r="L25" s="21">
        <v>6.4</v>
      </c>
      <c r="M25" s="21">
        <v>6.4</v>
      </c>
      <c r="N25" s="21">
        <v>6.4</v>
      </c>
    </row>
    <row r="26" ht="25.5" spans="4:14">
      <c r="D26" s="18">
        <v>46177</v>
      </c>
      <c r="E26" s="6">
        <v>1609074</v>
      </c>
      <c r="F26" s="6" t="s">
        <v>16</v>
      </c>
      <c r="G26" s="6">
        <v>20337367</v>
      </c>
      <c r="H26" s="6" t="s">
        <v>87</v>
      </c>
      <c r="I26" s="6">
        <v>1</v>
      </c>
      <c r="J26" s="32" t="s">
        <v>28</v>
      </c>
      <c r="K26" s="20">
        <f t="shared" si="1"/>
        <v>118</v>
      </c>
      <c r="L26" s="21">
        <v>4.4</v>
      </c>
      <c r="M26" s="21">
        <v>519.2</v>
      </c>
      <c r="N26" s="21">
        <v>519.2</v>
      </c>
    </row>
    <row r="27" spans="4:14">
      <c r="D27" s="18">
        <v>46177</v>
      </c>
      <c r="E27" s="6">
        <v>1609116</v>
      </c>
      <c r="F27" s="6" t="s">
        <v>16</v>
      </c>
      <c r="G27" s="6">
        <v>20332826</v>
      </c>
      <c r="H27" s="6" t="s">
        <v>83</v>
      </c>
      <c r="I27" s="6">
        <v>5</v>
      </c>
      <c r="J27" s="32" t="s">
        <v>42</v>
      </c>
      <c r="K27" s="20" t="s">
        <v>43</v>
      </c>
      <c r="L27" s="21">
        <v>70.4</v>
      </c>
      <c r="M27" s="21">
        <v>70.4</v>
      </c>
      <c r="N27" s="21">
        <v>352</v>
      </c>
    </row>
    <row r="28" spans="4:14">
      <c r="D28" s="18">
        <v>46178</v>
      </c>
      <c r="E28" s="6">
        <v>1609415</v>
      </c>
      <c r="F28" s="6" t="s">
        <v>34</v>
      </c>
      <c r="G28" s="6">
        <v>20391366</v>
      </c>
      <c r="H28" s="6" t="s">
        <v>35</v>
      </c>
      <c r="I28" s="6">
        <v>5</v>
      </c>
      <c r="J28" s="32" t="s">
        <v>28</v>
      </c>
      <c r="K28" s="20">
        <f t="shared" si="1"/>
        <v>26</v>
      </c>
      <c r="L28" s="21">
        <v>4.4</v>
      </c>
      <c r="M28" s="21">
        <v>114.4</v>
      </c>
      <c r="N28" s="21">
        <v>572</v>
      </c>
    </row>
    <row r="29" spans="4:14">
      <c r="D29" s="18">
        <v>46178</v>
      </c>
      <c r="E29" s="6">
        <v>1609415</v>
      </c>
      <c r="F29" s="6" t="s">
        <v>16</v>
      </c>
      <c r="G29" s="6">
        <v>20324855</v>
      </c>
      <c r="H29" s="6" t="s">
        <v>37</v>
      </c>
      <c r="I29" s="6">
        <v>5</v>
      </c>
      <c r="J29" s="19" t="s">
        <v>18</v>
      </c>
      <c r="K29" s="20">
        <v>1</v>
      </c>
      <c r="L29" s="21">
        <v>6.4</v>
      </c>
      <c r="M29" s="21">
        <v>6.4</v>
      </c>
      <c r="N29" s="21">
        <v>32</v>
      </c>
    </row>
    <row r="30" ht="25.5" spans="4:14">
      <c r="D30" s="18">
        <v>46178</v>
      </c>
      <c r="E30" s="6">
        <v>1609415</v>
      </c>
      <c r="F30" s="6" t="s">
        <v>16</v>
      </c>
      <c r="G30" s="6">
        <v>20342863</v>
      </c>
      <c r="H30" s="6" t="s">
        <v>88</v>
      </c>
      <c r="I30" s="6">
        <v>1</v>
      </c>
      <c r="J30" s="32" t="s">
        <v>28</v>
      </c>
      <c r="K30" s="20">
        <f t="shared" ref="K30:K35" si="2">M30/L30</f>
        <v>90</v>
      </c>
      <c r="L30" s="21">
        <v>4.4</v>
      </c>
      <c r="M30" s="21">
        <v>396</v>
      </c>
      <c r="N30" s="21">
        <v>396</v>
      </c>
    </row>
    <row r="31" spans="4:14">
      <c r="D31" s="18">
        <v>46179</v>
      </c>
      <c r="E31" s="6">
        <v>1609814</v>
      </c>
      <c r="F31" s="6" t="s">
        <v>34</v>
      </c>
      <c r="G31" s="6">
        <v>20391366</v>
      </c>
      <c r="H31" s="6" t="s">
        <v>35</v>
      </c>
      <c r="I31" s="6">
        <v>6</v>
      </c>
      <c r="J31" s="32" t="s">
        <v>28</v>
      </c>
      <c r="K31" s="20">
        <f t="shared" si="2"/>
        <v>26</v>
      </c>
      <c r="L31" s="21">
        <v>4.4</v>
      </c>
      <c r="M31" s="21">
        <v>114.4</v>
      </c>
      <c r="N31" s="21">
        <v>686.4</v>
      </c>
    </row>
    <row r="32" spans="4:14">
      <c r="D32" s="18">
        <v>46179</v>
      </c>
      <c r="E32" s="6">
        <v>1609814</v>
      </c>
      <c r="F32" s="6" t="s">
        <v>16</v>
      </c>
      <c r="G32" s="6">
        <v>20324855</v>
      </c>
      <c r="H32" s="6" t="s">
        <v>37</v>
      </c>
      <c r="I32" s="6">
        <v>4</v>
      </c>
      <c r="J32" s="19" t="s">
        <v>18</v>
      </c>
      <c r="K32" s="20">
        <v>1</v>
      </c>
      <c r="L32" s="21">
        <v>6.4</v>
      </c>
      <c r="M32" s="21">
        <v>6.4</v>
      </c>
      <c r="N32" s="21">
        <v>25.6</v>
      </c>
    </row>
    <row r="33" spans="4:14">
      <c r="D33" s="18">
        <v>46179</v>
      </c>
      <c r="E33" s="6">
        <v>1609814</v>
      </c>
      <c r="F33" s="6" t="s">
        <v>51</v>
      </c>
      <c r="G33" s="6">
        <v>20353549</v>
      </c>
      <c r="H33" s="6" t="s">
        <v>85</v>
      </c>
      <c r="I33" s="6">
        <v>1</v>
      </c>
      <c r="J33" s="33" t="s">
        <v>86</v>
      </c>
      <c r="K33" s="20">
        <v>1</v>
      </c>
      <c r="L33" s="21">
        <v>3.2</v>
      </c>
      <c r="M33" s="21">
        <v>3.2</v>
      </c>
      <c r="N33" s="21">
        <v>3.2</v>
      </c>
    </row>
    <row r="34" spans="4:14">
      <c r="D34" s="18">
        <v>46179</v>
      </c>
      <c r="E34" s="6">
        <v>1609826</v>
      </c>
      <c r="F34" s="6" t="s">
        <v>16</v>
      </c>
      <c r="G34" s="6">
        <v>20332826</v>
      </c>
      <c r="H34" s="6" t="s">
        <v>83</v>
      </c>
      <c r="I34" s="6">
        <v>6</v>
      </c>
      <c r="J34" s="32" t="s">
        <v>42</v>
      </c>
      <c r="K34" s="20" t="s">
        <v>43</v>
      </c>
      <c r="L34" s="21">
        <v>70.4</v>
      </c>
      <c r="M34" s="21">
        <v>70.4</v>
      </c>
      <c r="N34" s="21">
        <v>422.4</v>
      </c>
    </row>
    <row r="35" ht="25.5" spans="4:14">
      <c r="D35" s="18">
        <v>46179</v>
      </c>
      <c r="E35" s="6">
        <v>1609856</v>
      </c>
      <c r="F35" s="6" t="s">
        <v>16</v>
      </c>
      <c r="G35" s="6">
        <v>20337367</v>
      </c>
      <c r="H35" s="6" t="s">
        <v>89</v>
      </c>
      <c r="I35" s="6">
        <v>1</v>
      </c>
      <c r="J35" s="32" t="s">
        <v>28</v>
      </c>
      <c r="K35" s="20">
        <f t="shared" si="2"/>
        <v>96</v>
      </c>
      <c r="L35" s="21">
        <v>4.4</v>
      </c>
      <c r="M35" s="21">
        <v>422.4</v>
      </c>
      <c r="N35" s="21">
        <v>422.4</v>
      </c>
    </row>
    <row r="36" spans="4:14">
      <c r="D36" s="18">
        <v>46180</v>
      </c>
      <c r="E36" s="6">
        <v>1610053</v>
      </c>
      <c r="F36" s="6" t="s">
        <v>16</v>
      </c>
      <c r="G36" s="6">
        <v>20332826</v>
      </c>
      <c r="H36" s="6" t="s">
        <v>83</v>
      </c>
      <c r="I36" s="6">
        <v>4</v>
      </c>
      <c r="J36" s="32" t="s">
        <v>42</v>
      </c>
      <c r="K36" s="20" t="s">
        <v>43</v>
      </c>
      <c r="L36" s="21">
        <v>70.4</v>
      </c>
      <c r="M36" s="21">
        <v>70.4</v>
      </c>
      <c r="N36" s="21">
        <v>281.6</v>
      </c>
    </row>
    <row r="37" spans="4:14">
      <c r="D37" s="18">
        <v>46180</v>
      </c>
      <c r="E37" s="6">
        <v>1610060</v>
      </c>
      <c r="F37" s="6" t="s">
        <v>34</v>
      </c>
      <c r="G37" s="6">
        <v>20391366</v>
      </c>
      <c r="H37" s="6" t="s">
        <v>35</v>
      </c>
      <c r="I37" s="6">
        <v>4</v>
      </c>
      <c r="J37" s="32" t="s">
        <v>28</v>
      </c>
      <c r="K37" s="20">
        <f t="shared" ref="K37:K40" si="3">M37/L37</f>
        <v>26</v>
      </c>
      <c r="L37" s="21">
        <v>4.4</v>
      </c>
      <c r="M37" s="21">
        <v>114.4</v>
      </c>
      <c r="N37" s="21">
        <v>457.6</v>
      </c>
    </row>
    <row r="38" ht="25.5" spans="4:14">
      <c r="D38" s="18">
        <v>46180</v>
      </c>
      <c r="E38" s="6">
        <v>1610060</v>
      </c>
      <c r="F38" s="6" t="s">
        <v>16</v>
      </c>
      <c r="G38" s="6">
        <v>20337367</v>
      </c>
      <c r="H38" s="6" t="s">
        <v>90</v>
      </c>
      <c r="I38" s="6">
        <v>1</v>
      </c>
      <c r="J38" s="32" t="s">
        <v>28</v>
      </c>
      <c r="K38" s="20">
        <f t="shared" si="3"/>
        <v>118</v>
      </c>
      <c r="L38" s="21">
        <v>4.4</v>
      </c>
      <c r="M38" s="21">
        <v>519.2</v>
      </c>
      <c r="N38" s="21">
        <v>519.2</v>
      </c>
    </row>
    <row r="39" spans="4:14">
      <c r="D39" s="18">
        <v>46180</v>
      </c>
      <c r="E39" s="6">
        <v>1610064</v>
      </c>
      <c r="F39" s="6" t="s">
        <v>16</v>
      </c>
      <c r="G39" s="6">
        <v>20324855</v>
      </c>
      <c r="H39" s="6" t="s">
        <v>37</v>
      </c>
      <c r="I39" s="6">
        <v>5</v>
      </c>
      <c r="J39" s="19" t="s">
        <v>18</v>
      </c>
      <c r="K39" s="20">
        <v>1</v>
      </c>
      <c r="L39" s="21">
        <v>6.4</v>
      </c>
      <c r="M39" s="21">
        <v>6.4</v>
      </c>
      <c r="N39" s="21">
        <v>32</v>
      </c>
    </row>
    <row r="40" spans="4:14">
      <c r="D40" s="18">
        <v>46181</v>
      </c>
      <c r="E40" s="6">
        <v>1610177</v>
      </c>
      <c r="F40" s="6" t="s">
        <v>34</v>
      </c>
      <c r="G40" s="6">
        <v>20391366</v>
      </c>
      <c r="H40" s="6" t="s">
        <v>35</v>
      </c>
      <c r="I40" s="6">
        <v>3</v>
      </c>
      <c r="J40" s="32" t="s">
        <v>28</v>
      </c>
      <c r="K40" s="20">
        <f t="shared" si="3"/>
        <v>26</v>
      </c>
      <c r="L40" s="21">
        <v>4.4</v>
      </c>
      <c r="M40" s="21">
        <v>114.4</v>
      </c>
      <c r="N40" s="21">
        <v>343.2</v>
      </c>
    </row>
    <row r="41" spans="4:14">
      <c r="D41" s="18">
        <v>46181</v>
      </c>
      <c r="E41" s="6">
        <v>1610177</v>
      </c>
      <c r="F41" s="6" t="s">
        <v>16</v>
      </c>
      <c r="G41" s="6">
        <v>20324855</v>
      </c>
      <c r="H41" s="6" t="s">
        <v>37</v>
      </c>
      <c r="I41" s="6">
        <v>3</v>
      </c>
      <c r="J41" s="19" t="s">
        <v>18</v>
      </c>
      <c r="K41" s="20">
        <v>1</v>
      </c>
      <c r="L41" s="21">
        <v>6.4</v>
      </c>
      <c r="M41" s="21">
        <v>6.4</v>
      </c>
      <c r="N41" s="21">
        <v>19.2</v>
      </c>
    </row>
    <row r="42" ht="25.5" spans="4:14">
      <c r="D42" s="18">
        <v>46181</v>
      </c>
      <c r="E42" s="6">
        <v>1610177</v>
      </c>
      <c r="F42" s="6" t="s">
        <v>16</v>
      </c>
      <c r="G42" s="6">
        <v>20335080</v>
      </c>
      <c r="H42" s="6" t="s">
        <v>91</v>
      </c>
      <c r="I42" s="6">
        <v>1</v>
      </c>
      <c r="J42" s="32" t="s">
        <v>28</v>
      </c>
      <c r="K42" s="20">
        <f t="shared" ref="K42:K47" si="4">M42/L42</f>
        <v>77</v>
      </c>
      <c r="L42" s="21">
        <v>4.4</v>
      </c>
      <c r="M42" s="21">
        <v>338.8</v>
      </c>
      <c r="N42" s="21">
        <v>338.8</v>
      </c>
    </row>
    <row r="43" spans="4:14">
      <c r="D43" s="18">
        <v>46182</v>
      </c>
      <c r="E43" s="6">
        <v>1610404</v>
      </c>
      <c r="F43" s="6" t="s">
        <v>34</v>
      </c>
      <c r="G43" s="6">
        <v>20391366</v>
      </c>
      <c r="H43" s="6" t="s">
        <v>35</v>
      </c>
      <c r="I43" s="6">
        <v>4</v>
      </c>
      <c r="J43" s="32" t="s">
        <v>28</v>
      </c>
      <c r="K43" s="20">
        <f t="shared" si="4"/>
        <v>26</v>
      </c>
      <c r="L43" s="21">
        <v>4.4</v>
      </c>
      <c r="M43" s="21">
        <v>114.4</v>
      </c>
      <c r="N43" s="21">
        <v>457.6</v>
      </c>
    </row>
    <row r="44" spans="4:14">
      <c r="D44" s="18">
        <v>46182</v>
      </c>
      <c r="E44" s="6">
        <v>1610404</v>
      </c>
      <c r="F44" s="6" t="s">
        <v>16</v>
      </c>
      <c r="G44" s="6">
        <v>20324445</v>
      </c>
      <c r="H44" s="6" t="s">
        <v>74</v>
      </c>
      <c r="I44" s="6">
        <v>1</v>
      </c>
      <c r="J44" s="19" t="s">
        <v>18</v>
      </c>
      <c r="K44" s="20">
        <v>1</v>
      </c>
      <c r="L44" s="21">
        <v>6.4</v>
      </c>
      <c r="M44" s="21">
        <v>6.4</v>
      </c>
      <c r="N44" s="21">
        <v>6.4</v>
      </c>
    </row>
    <row r="45" spans="4:14">
      <c r="D45" s="18">
        <v>46182</v>
      </c>
      <c r="E45" s="6">
        <v>1610404</v>
      </c>
      <c r="F45" s="6" t="s">
        <v>16</v>
      </c>
      <c r="G45" s="6">
        <v>20324855</v>
      </c>
      <c r="H45" s="6" t="s">
        <v>37</v>
      </c>
      <c r="I45" s="6">
        <v>6</v>
      </c>
      <c r="J45" s="19" t="s">
        <v>18</v>
      </c>
      <c r="K45" s="20">
        <v>1</v>
      </c>
      <c r="L45" s="21">
        <v>6.4</v>
      </c>
      <c r="M45" s="21">
        <v>6.4</v>
      </c>
      <c r="N45" s="21">
        <v>38.4</v>
      </c>
    </row>
    <row r="46" spans="4:14">
      <c r="D46" s="18">
        <v>46182</v>
      </c>
      <c r="E46" s="6">
        <v>1610404</v>
      </c>
      <c r="F46" s="6" t="s">
        <v>16</v>
      </c>
      <c r="G46" s="6">
        <v>20324485</v>
      </c>
      <c r="H46" s="6" t="s">
        <v>67</v>
      </c>
      <c r="I46" s="6">
        <v>2</v>
      </c>
      <c r="J46" s="19" t="s">
        <v>18</v>
      </c>
      <c r="K46" s="20">
        <v>1</v>
      </c>
      <c r="L46" s="21">
        <v>6.4</v>
      </c>
      <c r="M46" s="21">
        <v>6.4</v>
      </c>
      <c r="N46" s="21">
        <v>12.8</v>
      </c>
    </row>
    <row r="47" ht="25.5" spans="4:14">
      <c r="D47" s="18">
        <v>46182</v>
      </c>
      <c r="E47" s="6">
        <v>1610404</v>
      </c>
      <c r="F47" s="6" t="s">
        <v>16</v>
      </c>
      <c r="G47" s="6">
        <v>20327669</v>
      </c>
      <c r="H47" s="6" t="s">
        <v>92</v>
      </c>
      <c r="I47" s="6">
        <v>1</v>
      </c>
      <c r="J47" s="32" t="s">
        <v>28</v>
      </c>
      <c r="K47" s="20">
        <f t="shared" si="4"/>
        <v>79</v>
      </c>
      <c r="L47" s="21">
        <v>4.4</v>
      </c>
      <c r="M47" s="21">
        <v>347.6</v>
      </c>
      <c r="N47" s="21">
        <v>347.6</v>
      </c>
    </row>
    <row r="48" spans="4:14">
      <c r="D48" s="18">
        <v>46182</v>
      </c>
      <c r="E48" s="6">
        <v>1610469</v>
      </c>
      <c r="F48" s="6" t="s">
        <v>16</v>
      </c>
      <c r="G48" s="6">
        <v>20332826</v>
      </c>
      <c r="H48" s="6" t="s">
        <v>83</v>
      </c>
      <c r="I48" s="6">
        <v>5</v>
      </c>
      <c r="J48" s="32" t="s">
        <v>42</v>
      </c>
      <c r="K48" s="20" t="s">
        <v>43</v>
      </c>
      <c r="L48" s="21">
        <v>70.4</v>
      </c>
      <c r="M48" s="21">
        <v>70.4</v>
      </c>
      <c r="N48" s="21">
        <v>352</v>
      </c>
    </row>
    <row r="49" spans="4:14">
      <c r="D49" s="18">
        <v>46183</v>
      </c>
      <c r="E49" s="6">
        <v>1610840</v>
      </c>
      <c r="F49" s="6" t="s">
        <v>34</v>
      </c>
      <c r="G49" s="6">
        <v>20391366</v>
      </c>
      <c r="H49" s="6" t="s">
        <v>35</v>
      </c>
      <c r="I49" s="6">
        <v>6</v>
      </c>
      <c r="J49" s="32" t="s">
        <v>28</v>
      </c>
      <c r="K49" s="20">
        <f t="shared" ref="K49:K52" si="5">M49/L49</f>
        <v>26</v>
      </c>
      <c r="L49" s="21">
        <v>4.4</v>
      </c>
      <c r="M49" s="21">
        <v>114.4</v>
      </c>
      <c r="N49" s="21">
        <v>686.4</v>
      </c>
    </row>
    <row r="50" spans="4:14">
      <c r="D50" s="18">
        <v>46183</v>
      </c>
      <c r="E50" s="6">
        <v>1610840</v>
      </c>
      <c r="F50" s="6" t="s">
        <v>16</v>
      </c>
      <c r="G50" s="6">
        <v>20324855</v>
      </c>
      <c r="H50" s="6" t="s">
        <v>37</v>
      </c>
      <c r="I50" s="6">
        <v>2</v>
      </c>
      <c r="J50" s="19" t="s">
        <v>18</v>
      </c>
      <c r="K50" s="20">
        <v>1</v>
      </c>
      <c r="L50" s="21">
        <v>6.4</v>
      </c>
      <c r="M50" s="21">
        <v>6.4</v>
      </c>
      <c r="N50" s="21">
        <v>12.8</v>
      </c>
    </row>
    <row r="51" ht="25.5" spans="4:14">
      <c r="D51" s="18">
        <v>46183</v>
      </c>
      <c r="E51" s="6">
        <v>1610840</v>
      </c>
      <c r="F51" s="6" t="s">
        <v>16</v>
      </c>
      <c r="G51" s="6">
        <v>20327669</v>
      </c>
      <c r="H51" s="6" t="s">
        <v>93</v>
      </c>
      <c r="I51" s="6">
        <v>1</v>
      </c>
      <c r="J51" s="32" t="s">
        <v>28</v>
      </c>
      <c r="K51" s="20">
        <f t="shared" si="5"/>
        <v>104</v>
      </c>
      <c r="L51" s="21">
        <v>4.4</v>
      </c>
      <c r="M51" s="21">
        <v>457.6</v>
      </c>
      <c r="N51" s="21">
        <v>457.6</v>
      </c>
    </row>
    <row r="52" spans="4:14">
      <c r="D52" s="18">
        <v>46184</v>
      </c>
      <c r="E52" s="6">
        <v>1611156</v>
      </c>
      <c r="F52" s="6" t="s">
        <v>34</v>
      </c>
      <c r="G52" s="6">
        <v>20391366</v>
      </c>
      <c r="H52" s="6" t="s">
        <v>35</v>
      </c>
      <c r="I52" s="6">
        <v>7</v>
      </c>
      <c r="J52" s="32" t="s">
        <v>28</v>
      </c>
      <c r="K52" s="20">
        <f t="shared" si="5"/>
        <v>26</v>
      </c>
      <c r="L52" s="21">
        <v>4.4</v>
      </c>
      <c r="M52" s="21">
        <v>114.4</v>
      </c>
      <c r="N52" s="21">
        <v>800.8</v>
      </c>
    </row>
    <row r="53" spans="4:14">
      <c r="D53" s="18">
        <v>46184</v>
      </c>
      <c r="E53" s="6">
        <v>1611156</v>
      </c>
      <c r="F53" s="6" t="s">
        <v>16</v>
      </c>
      <c r="G53" s="6">
        <v>20350636</v>
      </c>
      <c r="H53" s="6" t="s">
        <v>94</v>
      </c>
      <c r="I53" s="6">
        <v>1</v>
      </c>
      <c r="J53" s="19" t="s">
        <v>18</v>
      </c>
      <c r="K53" s="20">
        <v>1</v>
      </c>
      <c r="L53" s="21">
        <v>6.4</v>
      </c>
      <c r="M53" s="21">
        <v>6.4</v>
      </c>
      <c r="N53" s="21">
        <v>6.4</v>
      </c>
    </row>
    <row r="54" spans="4:14">
      <c r="D54" s="18">
        <v>46184</v>
      </c>
      <c r="E54" s="6">
        <v>1611156</v>
      </c>
      <c r="F54" s="6" t="s">
        <v>16</v>
      </c>
      <c r="G54" s="6">
        <v>20324485</v>
      </c>
      <c r="H54" s="6" t="s">
        <v>67</v>
      </c>
      <c r="I54" s="6">
        <v>1</v>
      </c>
      <c r="J54" s="19" t="s">
        <v>18</v>
      </c>
      <c r="K54" s="20">
        <v>1</v>
      </c>
      <c r="L54" s="21">
        <v>6.4</v>
      </c>
      <c r="M54" s="21">
        <v>6.4</v>
      </c>
      <c r="N54" s="21">
        <v>6.4</v>
      </c>
    </row>
    <row r="55" ht="25.5" spans="4:14">
      <c r="D55" s="18">
        <v>46184</v>
      </c>
      <c r="E55" s="6">
        <v>1611156</v>
      </c>
      <c r="F55" s="6" t="s">
        <v>16</v>
      </c>
      <c r="G55" s="6">
        <v>20342863</v>
      </c>
      <c r="H55" s="6" t="s">
        <v>95</v>
      </c>
      <c r="I55" s="6">
        <v>1</v>
      </c>
      <c r="J55" s="32" t="s">
        <v>28</v>
      </c>
      <c r="K55" s="20">
        <f t="shared" ref="K55:K59" si="6">M55/L55</f>
        <v>128</v>
      </c>
      <c r="L55" s="21">
        <v>4.4</v>
      </c>
      <c r="M55" s="21">
        <v>563.2</v>
      </c>
      <c r="N55" s="21">
        <v>563.2</v>
      </c>
    </row>
    <row r="56" spans="4:14">
      <c r="D56" s="18">
        <v>46184</v>
      </c>
      <c r="E56" s="6">
        <v>1611214</v>
      </c>
      <c r="F56" s="6" t="s">
        <v>16</v>
      </c>
      <c r="G56" s="6">
        <v>20332826</v>
      </c>
      <c r="H56" s="6" t="s">
        <v>83</v>
      </c>
      <c r="I56" s="6">
        <v>7</v>
      </c>
      <c r="J56" s="32" t="s">
        <v>42</v>
      </c>
      <c r="K56" s="20" t="s">
        <v>43</v>
      </c>
      <c r="L56" s="21">
        <v>70.4</v>
      </c>
      <c r="M56" s="21">
        <v>70.4</v>
      </c>
      <c r="N56" s="21">
        <v>492.8</v>
      </c>
    </row>
    <row r="57" spans="4:14">
      <c r="D57" s="18">
        <v>46184</v>
      </c>
      <c r="E57" s="6">
        <v>1611589</v>
      </c>
      <c r="F57" s="6" t="s">
        <v>34</v>
      </c>
      <c r="G57" s="6">
        <v>20391366</v>
      </c>
      <c r="H57" s="6" t="s">
        <v>35</v>
      </c>
      <c r="I57" s="6">
        <v>4</v>
      </c>
      <c r="J57" s="32" t="s">
        <v>28</v>
      </c>
      <c r="K57" s="20">
        <f t="shared" si="6"/>
        <v>26</v>
      </c>
      <c r="L57" s="21">
        <v>4.4</v>
      </c>
      <c r="M57" s="21">
        <v>114.4</v>
      </c>
      <c r="N57" s="21">
        <v>457.6</v>
      </c>
    </row>
    <row r="58" spans="4:14">
      <c r="D58" s="18">
        <v>46184</v>
      </c>
      <c r="E58" s="6">
        <v>1611589</v>
      </c>
      <c r="F58" s="6" t="s">
        <v>16</v>
      </c>
      <c r="G58" s="6">
        <v>20324855</v>
      </c>
      <c r="H58" s="6" t="s">
        <v>37</v>
      </c>
      <c r="I58" s="6">
        <v>3</v>
      </c>
      <c r="J58" s="19" t="s">
        <v>18</v>
      </c>
      <c r="K58" s="20">
        <v>1</v>
      </c>
      <c r="L58" s="21">
        <v>6.4</v>
      </c>
      <c r="M58" s="21">
        <v>6.4</v>
      </c>
      <c r="N58" s="21">
        <v>19.2</v>
      </c>
    </row>
    <row r="59" ht="25.5" spans="4:14">
      <c r="D59" s="18">
        <v>46184</v>
      </c>
      <c r="E59" s="6">
        <v>1611589</v>
      </c>
      <c r="F59" s="6" t="s">
        <v>16</v>
      </c>
      <c r="G59" s="6">
        <v>20370849</v>
      </c>
      <c r="H59" s="6" t="s">
        <v>96</v>
      </c>
      <c r="I59" s="6">
        <v>1</v>
      </c>
      <c r="J59" s="32" t="s">
        <v>28</v>
      </c>
      <c r="K59" s="20">
        <f t="shared" si="6"/>
        <v>80</v>
      </c>
      <c r="L59" s="21">
        <v>4.4</v>
      </c>
      <c r="M59" s="21">
        <v>352</v>
      </c>
      <c r="N59" s="21">
        <v>352</v>
      </c>
    </row>
    <row r="60" spans="4:14">
      <c r="D60" s="18">
        <v>46185</v>
      </c>
      <c r="E60" s="6">
        <v>1611627</v>
      </c>
      <c r="F60" s="6" t="s">
        <v>16</v>
      </c>
      <c r="G60" s="6">
        <v>20332826</v>
      </c>
      <c r="H60" s="6" t="s">
        <v>83</v>
      </c>
      <c r="I60" s="6">
        <v>3</v>
      </c>
      <c r="J60" s="32" t="s">
        <v>42</v>
      </c>
      <c r="K60" s="20" t="s">
        <v>43</v>
      </c>
      <c r="L60" s="21">
        <v>70.4</v>
      </c>
      <c r="M60" s="21">
        <v>70.4</v>
      </c>
      <c r="N60" s="21">
        <v>211.2</v>
      </c>
    </row>
    <row r="61" spans="4:14">
      <c r="D61" s="18">
        <v>46185</v>
      </c>
      <c r="E61" s="6">
        <v>1611887</v>
      </c>
      <c r="F61" s="6" t="s">
        <v>34</v>
      </c>
      <c r="G61" s="6">
        <v>20391366</v>
      </c>
      <c r="H61" s="6" t="s">
        <v>35</v>
      </c>
      <c r="I61" s="6">
        <v>6</v>
      </c>
      <c r="J61" s="32" t="s">
        <v>28</v>
      </c>
      <c r="K61" s="20">
        <f>M61/L61</f>
        <v>26</v>
      </c>
      <c r="L61" s="21">
        <v>4.4</v>
      </c>
      <c r="M61" s="21">
        <v>114.4</v>
      </c>
      <c r="N61" s="21">
        <v>686.4</v>
      </c>
    </row>
    <row r="62" spans="4:14">
      <c r="D62" s="18">
        <v>46185</v>
      </c>
      <c r="E62" s="6">
        <v>1611887</v>
      </c>
      <c r="F62" s="6" t="s">
        <v>16</v>
      </c>
      <c r="G62" s="6">
        <v>20424843</v>
      </c>
      <c r="H62" s="6" t="s">
        <v>97</v>
      </c>
      <c r="I62" s="6">
        <v>1</v>
      </c>
      <c r="J62" s="6" t="s">
        <v>20</v>
      </c>
      <c r="K62" s="20">
        <v>1</v>
      </c>
      <c r="L62" s="21">
        <v>8.8</v>
      </c>
      <c r="M62" s="21">
        <v>8.8</v>
      </c>
      <c r="N62" s="21">
        <v>8.8</v>
      </c>
    </row>
    <row r="63" spans="4:14">
      <c r="D63" s="18">
        <v>46185</v>
      </c>
      <c r="E63" s="6">
        <v>1611887</v>
      </c>
      <c r="F63" s="6" t="s">
        <v>16</v>
      </c>
      <c r="G63" s="6">
        <v>20324855</v>
      </c>
      <c r="H63" s="6" t="s">
        <v>37</v>
      </c>
      <c r="I63" s="6">
        <v>3</v>
      </c>
      <c r="J63" s="19" t="s">
        <v>18</v>
      </c>
      <c r="K63" s="20">
        <v>1</v>
      </c>
      <c r="L63" s="21">
        <v>6.4</v>
      </c>
      <c r="M63" s="21">
        <v>6.4</v>
      </c>
      <c r="N63" s="21">
        <v>19.2</v>
      </c>
    </row>
    <row r="64" spans="4:14">
      <c r="D64" s="18">
        <v>46185</v>
      </c>
      <c r="E64" s="6">
        <v>1611887</v>
      </c>
      <c r="F64" s="6" t="s">
        <v>16</v>
      </c>
      <c r="G64" s="6">
        <v>20350636</v>
      </c>
      <c r="H64" s="6" t="s">
        <v>94</v>
      </c>
      <c r="I64" s="6">
        <v>1</v>
      </c>
      <c r="J64" s="19" t="s">
        <v>18</v>
      </c>
      <c r="K64" s="20">
        <v>1</v>
      </c>
      <c r="L64" s="21">
        <v>6.4</v>
      </c>
      <c r="M64" s="21">
        <v>6.4</v>
      </c>
      <c r="N64" s="21">
        <v>6.4</v>
      </c>
    </row>
    <row r="65" spans="4:14">
      <c r="D65" s="18">
        <v>46185</v>
      </c>
      <c r="E65" s="6">
        <v>1611887</v>
      </c>
      <c r="F65" s="6" t="s">
        <v>16</v>
      </c>
      <c r="G65" s="6">
        <v>20324485</v>
      </c>
      <c r="H65" s="6" t="s">
        <v>67</v>
      </c>
      <c r="I65" s="6">
        <v>1</v>
      </c>
      <c r="J65" s="19" t="s">
        <v>18</v>
      </c>
      <c r="K65" s="20">
        <v>1</v>
      </c>
      <c r="L65" s="21">
        <v>6.4</v>
      </c>
      <c r="M65" s="21">
        <v>6.4</v>
      </c>
      <c r="N65" s="21">
        <v>6.4</v>
      </c>
    </row>
    <row r="66" ht="25.5" spans="4:14">
      <c r="D66" s="18">
        <v>46185</v>
      </c>
      <c r="E66" s="6">
        <v>1611887</v>
      </c>
      <c r="F66" s="6" t="s">
        <v>16</v>
      </c>
      <c r="G66" s="6">
        <v>20370849</v>
      </c>
      <c r="H66" s="6" t="s">
        <v>98</v>
      </c>
      <c r="I66" s="6">
        <v>1</v>
      </c>
      <c r="J66" s="32" t="s">
        <v>28</v>
      </c>
      <c r="K66" s="20">
        <f t="shared" ref="K66:K72" si="7">M66/L66</f>
        <v>124</v>
      </c>
      <c r="L66" s="21">
        <v>4.4</v>
      </c>
      <c r="M66" s="21">
        <v>545.6</v>
      </c>
      <c r="N66" s="21">
        <v>545.6</v>
      </c>
    </row>
    <row r="67" spans="4:14">
      <c r="D67" s="18">
        <v>46185</v>
      </c>
      <c r="E67" s="6">
        <v>1611887</v>
      </c>
      <c r="F67" s="6" t="s">
        <v>51</v>
      </c>
      <c r="G67" s="6">
        <v>20353549</v>
      </c>
      <c r="H67" s="6" t="s">
        <v>85</v>
      </c>
      <c r="I67" s="6">
        <v>1</v>
      </c>
      <c r="J67" s="33" t="s">
        <v>86</v>
      </c>
      <c r="K67" s="20">
        <v>1</v>
      </c>
      <c r="L67" s="21">
        <v>3.2</v>
      </c>
      <c r="M67" s="21">
        <v>3.2</v>
      </c>
      <c r="N67" s="21">
        <v>3.2</v>
      </c>
    </row>
    <row r="68" spans="4:14">
      <c r="D68" s="18">
        <v>46185</v>
      </c>
      <c r="E68" s="6">
        <v>1611939</v>
      </c>
      <c r="F68" s="6" t="s">
        <v>16</v>
      </c>
      <c r="G68" s="6">
        <v>20332826</v>
      </c>
      <c r="H68" s="6" t="s">
        <v>83</v>
      </c>
      <c r="I68" s="6">
        <v>3</v>
      </c>
      <c r="J68" s="32" t="s">
        <v>42</v>
      </c>
      <c r="K68" s="20" t="s">
        <v>43</v>
      </c>
      <c r="L68" s="21">
        <v>70.4</v>
      </c>
      <c r="M68" s="21">
        <v>70.4</v>
      </c>
      <c r="N68" s="21">
        <v>211.2</v>
      </c>
    </row>
    <row r="69" spans="4:14">
      <c r="D69" s="18">
        <v>46185</v>
      </c>
      <c r="E69" s="6">
        <v>1611939</v>
      </c>
      <c r="F69" s="6" t="s">
        <v>16</v>
      </c>
      <c r="G69" s="6">
        <v>20325056</v>
      </c>
      <c r="H69" s="6" t="s">
        <v>99</v>
      </c>
      <c r="I69" s="6">
        <v>1</v>
      </c>
      <c r="J69" s="32" t="s">
        <v>100</v>
      </c>
      <c r="K69" s="20">
        <v>1</v>
      </c>
      <c r="L69" s="21">
        <f>30*0.8</f>
        <v>24</v>
      </c>
      <c r="M69" s="21">
        <v>24</v>
      </c>
      <c r="N69" s="21">
        <v>24</v>
      </c>
    </row>
    <row r="70" spans="4:14">
      <c r="D70" s="18">
        <v>46187</v>
      </c>
      <c r="E70" s="6">
        <v>1612090</v>
      </c>
      <c r="F70" s="6" t="s">
        <v>34</v>
      </c>
      <c r="G70" s="6">
        <v>20391366</v>
      </c>
      <c r="H70" s="6" t="s">
        <v>35</v>
      </c>
      <c r="I70" s="6">
        <v>5</v>
      </c>
      <c r="J70" s="32" t="s">
        <v>28</v>
      </c>
      <c r="K70" s="20">
        <f t="shared" si="7"/>
        <v>26</v>
      </c>
      <c r="L70" s="21">
        <v>4.4</v>
      </c>
      <c r="M70" s="21">
        <v>114.4</v>
      </c>
      <c r="N70" s="21">
        <v>572</v>
      </c>
    </row>
    <row r="71" ht="25.5" spans="4:14">
      <c r="D71" s="18">
        <v>46187</v>
      </c>
      <c r="E71" s="6">
        <v>1612090</v>
      </c>
      <c r="F71" s="6" t="s">
        <v>16</v>
      </c>
      <c r="G71" s="6">
        <v>20327669</v>
      </c>
      <c r="H71" s="6" t="s">
        <v>101</v>
      </c>
      <c r="I71" s="6">
        <v>1</v>
      </c>
      <c r="J71" s="32" t="s">
        <v>28</v>
      </c>
      <c r="K71" s="20">
        <f t="shared" si="7"/>
        <v>110</v>
      </c>
      <c r="L71" s="21">
        <v>4.4</v>
      </c>
      <c r="M71" s="21">
        <v>484</v>
      </c>
      <c r="N71" s="21">
        <v>484</v>
      </c>
    </row>
    <row r="72" spans="4:14">
      <c r="D72" s="18">
        <v>46188</v>
      </c>
      <c r="E72" s="6">
        <v>1612194</v>
      </c>
      <c r="F72" s="6" t="s">
        <v>34</v>
      </c>
      <c r="G72" s="6">
        <v>20391366</v>
      </c>
      <c r="H72" s="6" t="s">
        <v>35</v>
      </c>
      <c r="I72" s="6">
        <v>2</v>
      </c>
      <c r="J72" s="32" t="s">
        <v>28</v>
      </c>
      <c r="K72" s="20">
        <f t="shared" si="7"/>
        <v>26</v>
      </c>
      <c r="L72" s="21">
        <v>4.4</v>
      </c>
      <c r="M72" s="21">
        <v>114.4</v>
      </c>
      <c r="N72" s="21">
        <v>228.8</v>
      </c>
    </row>
    <row r="73" spans="4:14">
      <c r="D73" s="18">
        <v>46188</v>
      </c>
      <c r="E73" s="6">
        <v>1612194</v>
      </c>
      <c r="F73" s="6" t="s">
        <v>16</v>
      </c>
      <c r="G73" s="6">
        <v>20324428</v>
      </c>
      <c r="H73" s="6" t="s">
        <v>36</v>
      </c>
      <c r="I73" s="6">
        <v>1</v>
      </c>
      <c r="J73" s="19" t="s">
        <v>18</v>
      </c>
      <c r="K73" s="20">
        <v>1</v>
      </c>
      <c r="L73" s="21">
        <v>6.4</v>
      </c>
      <c r="M73" s="21">
        <v>6.4</v>
      </c>
      <c r="N73" s="21">
        <v>6.4</v>
      </c>
    </row>
    <row r="74" spans="4:14">
      <c r="D74" s="18">
        <v>46188</v>
      </c>
      <c r="E74" s="6">
        <v>1612194</v>
      </c>
      <c r="F74" s="6" t="s">
        <v>16</v>
      </c>
      <c r="G74" s="6">
        <v>20324445</v>
      </c>
      <c r="H74" s="6" t="s">
        <v>74</v>
      </c>
      <c r="I74" s="6">
        <v>1</v>
      </c>
      <c r="J74" s="19" t="s">
        <v>18</v>
      </c>
      <c r="K74" s="20">
        <v>1</v>
      </c>
      <c r="L74" s="21">
        <v>6.4</v>
      </c>
      <c r="M74" s="21">
        <v>6.4</v>
      </c>
      <c r="N74" s="21">
        <v>6.4</v>
      </c>
    </row>
    <row r="75" spans="4:14">
      <c r="D75" s="18">
        <v>46188</v>
      </c>
      <c r="E75" s="6">
        <v>1612194</v>
      </c>
      <c r="F75" s="6" t="s">
        <v>16</v>
      </c>
      <c r="G75" s="6">
        <v>20324855</v>
      </c>
      <c r="H75" s="6" t="s">
        <v>37</v>
      </c>
      <c r="I75" s="6">
        <v>12</v>
      </c>
      <c r="J75" s="19" t="s">
        <v>18</v>
      </c>
      <c r="K75" s="20">
        <v>1</v>
      </c>
      <c r="L75" s="21">
        <v>6.4</v>
      </c>
      <c r="M75" s="21">
        <v>6.4</v>
      </c>
      <c r="N75" s="21">
        <v>76.8</v>
      </c>
    </row>
    <row r="76" spans="4:14">
      <c r="D76" s="18">
        <v>46188</v>
      </c>
      <c r="E76" s="6">
        <v>1612194</v>
      </c>
      <c r="F76" s="6" t="s">
        <v>16</v>
      </c>
      <c r="G76" s="6">
        <v>20324485</v>
      </c>
      <c r="H76" s="6" t="s">
        <v>67</v>
      </c>
      <c r="I76" s="6">
        <v>2</v>
      </c>
      <c r="J76" s="19" t="s">
        <v>18</v>
      </c>
      <c r="K76" s="20">
        <v>1</v>
      </c>
      <c r="L76" s="21">
        <v>6.4</v>
      </c>
      <c r="M76" s="21">
        <v>6.4</v>
      </c>
      <c r="N76" s="21">
        <v>12.8</v>
      </c>
    </row>
    <row r="77" spans="4:14">
      <c r="D77" s="18">
        <v>46188</v>
      </c>
      <c r="E77" s="6">
        <v>1612194</v>
      </c>
      <c r="F77" s="6" t="s">
        <v>16</v>
      </c>
      <c r="G77" s="6">
        <v>20332826</v>
      </c>
      <c r="H77" s="6" t="s">
        <v>83</v>
      </c>
      <c r="I77" s="6">
        <v>5</v>
      </c>
      <c r="J77" s="32" t="s">
        <v>42</v>
      </c>
      <c r="K77" s="20" t="s">
        <v>43</v>
      </c>
      <c r="L77" s="21">
        <v>70.4</v>
      </c>
      <c r="M77" s="21">
        <v>70.4</v>
      </c>
      <c r="N77" s="21">
        <v>352</v>
      </c>
    </row>
    <row r="78" ht="25.5" spans="4:14">
      <c r="D78" s="18">
        <v>46188</v>
      </c>
      <c r="E78" s="6">
        <v>1612194</v>
      </c>
      <c r="F78" s="6" t="s">
        <v>16</v>
      </c>
      <c r="G78" s="6">
        <v>20337367</v>
      </c>
      <c r="H78" s="6" t="s">
        <v>102</v>
      </c>
      <c r="I78" s="6">
        <v>1</v>
      </c>
      <c r="J78" s="32" t="s">
        <v>28</v>
      </c>
      <c r="K78" s="20">
        <f t="shared" ref="K78:K83" si="8">M78/L78</f>
        <v>56</v>
      </c>
      <c r="L78" s="21">
        <v>4.4</v>
      </c>
      <c r="M78" s="21">
        <v>246.4</v>
      </c>
      <c r="N78" s="21">
        <v>246.4</v>
      </c>
    </row>
    <row r="79" spans="4:14">
      <c r="D79" s="18">
        <v>46189</v>
      </c>
      <c r="E79" s="6">
        <v>1612407</v>
      </c>
      <c r="F79" s="6" t="s">
        <v>34</v>
      </c>
      <c r="G79" s="6">
        <v>20391366</v>
      </c>
      <c r="H79" s="6" t="s">
        <v>35</v>
      </c>
      <c r="I79" s="6">
        <v>4</v>
      </c>
      <c r="J79" s="32" t="s">
        <v>28</v>
      </c>
      <c r="K79" s="20">
        <f t="shared" si="8"/>
        <v>26</v>
      </c>
      <c r="L79" s="21">
        <v>4.4</v>
      </c>
      <c r="M79" s="21">
        <v>114.4</v>
      </c>
      <c r="N79" s="21">
        <v>457.6</v>
      </c>
    </row>
    <row r="80" spans="4:14">
      <c r="D80" s="18">
        <v>46189</v>
      </c>
      <c r="E80" s="6">
        <v>1612407</v>
      </c>
      <c r="F80" s="6" t="s">
        <v>16</v>
      </c>
      <c r="G80" s="6">
        <v>20324428</v>
      </c>
      <c r="H80" s="6" t="s">
        <v>36</v>
      </c>
      <c r="I80" s="6">
        <v>2</v>
      </c>
      <c r="J80" s="19" t="s">
        <v>18</v>
      </c>
      <c r="K80" s="20">
        <v>1</v>
      </c>
      <c r="L80" s="21">
        <v>6.4</v>
      </c>
      <c r="M80" s="21">
        <v>6.4</v>
      </c>
      <c r="N80" s="21">
        <v>12.8</v>
      </c>
    </row>
    <row r="81" spans="4:14">
      <c r="D81" s="18">
        <v>46189</v>
      </c>
      <c r="E81" s="6">
        <v>1612407</v>
      </c>
      <c r="F81" s="6" t="s">
        <v>16</v>
      </c>
      <c r="G81" s="6">
        <v>20324445</v>
      </c>
      <c r="H81" s="6" t="s">
        <v>74</v>
      </c>
      <c r="I81" s="6">
        <v>2</v>
      </c>
      <c r="J81" s="19" t="s">
        <v>18</v>
      </c>
      <c r="K81" s="20">
        <v>1</v>
      </c>
      <c r="L81" s="21">
        <v>6.4</v>
      </c>
      <c r="M81" s="21">
        <v>6.4</v>
      </c>
      <c r="N81" s="21">
        <v>12.8</v>
      </c>
    </row>
    <row r="82" spans="4:14">
      <c r="D82" s="18">
        <v>46189</v>
      </c>
      <c r="E82" s="6">
        <v>1612407</v>
      </c>
      <c r="F82" s="6" t="s">
        <v>16</v>
      </c>
      <c r="G82" s="6">
        <v>20324855</v>
      </c>
      <c r="H82" s="6" t="s">
        <v>37</v>
      </c>
      <c r="I82" s="6">
        <v>3</v>
      </c>
      <c r="J82" s="19" t="s">
        <v>18</v>
      </c>
      <c r="K82" s="20">
        <v>1</v>
      </c>
      <c r="L82" s="21">
        <v>6.4</v>
      </c>
      <c r="M82" s="21">
        <v>6.4</v>
      </c>
      <c r="N82" s="21">
        <v>19.2</v>
      </c>
    </row>
    <row r="83" ht="25.5" spans="4:14">
      <c r="D83" s="18">
        <v>46189</v>
      </c>
      <c r="E83" s="6">
        <v>1612407</v>
      </c>
      <c r="F83" s="6" t="s">
        <v>16</v>
      </c>
      <c r="G83" s="6">
        <v>20327669</v>
      </c>
      <c r="H83" s="6" t="s">
        <v>103</v>
      </c>
      <c r="I83" s="6">
        <v>1</v>
      </c>
      <c r="J83" s="32" t="s">
        <v>28</v>
      </c>
      <c r="K83" s="20">
        <f t="shared" si="8"/>
        <v>67</v>
      </c>
      <c r="L83" s="21">
        <v>4.4</v>
      </c>
      <c r="M83" s="21">
        <v>294.8</v>
      </c>
      <c r="N83" s="21">
        <v>294.8</v>
      </c>
    </row>
    <row r="84" spans="4:14">
      <c r="D84" s="18">
        <v>46189</v>
      </c>
      <c r="E84" s="6">
        <v>1612457</v>
      </c>
      <c r="F84" s="6" t="s">
        <v>16</v>
      </c>
      <c r="G84" s="6">
        <v>20332826</v>
      </c>
      <c r="H84" s="6" t="s">
        <v>83</v>
      </c>
      <c r="I84" s="6">
        <v>2</v>
      </c>
      <c r="J84" s="32" t="s">
        <v>42</v>
      </c>
      <c r="K84" s="20" t="s">
        <v>43</v>
      </c>
      <c r="L84" s="21">
        <v>70.4</v>
      </c>
      <c r="M84" s="21">
        <v>70.4</v>
      </c>
      <c r="N84" s="21">
        <v>140.8</v>
      </c>
    </row>
    <row r="85" spans="4:14">
      <c r="D85" s="18">
        <v>46190</v>
      </c>
      <c r="E85" s="6">
        <v>1612786</v>
      </c>
      <c r="F85" s="6" t="s">
        <v>34</v>
      </c>
      <c r="G85" s="6">
        <v>20391366</v>
      </c>
      <c r="H85" s="6" t="s">
        <v>35</v>
      </c>
      <c r="I85" s="6">
        <v>7</v>
      </c>
      <c r="J85" s="32" t="s">
        <v>28</v>
      </c>
      <c r="K85" s="20">
        <f t="shared" ref="K85:K90" si="9">M85/L85</f>
        <v>26</v>
      </c>
      <c r="L85" s="21">
        <v>4.4</v>
      </c>
      <c r="M85" s="21">
        <v>114.4</v>
      </c>
      <c r="N85" s="21">
        <v>800.8</v>
      </c>
    </row>
    <row r="86" spans="4:14">
      <c r="D86" s="18">
        <v>46190</v>
      </c>
      <c r="E86" s="6">
        <v>1612786</v>
      </c>
      <c r="F86" s="6" t="s">
        <v>16</v>
      </c>
      <c r="G86" s="6">
        <v>20324840</v>
      </c>
      <c r="H86" s="6" t="s">
        <v>104</v>
      </c>
      <c r="I86" s="6">
        <v>1</v>
      </c>
      <c r="J86" s="19" t="s">
        <v>18</v>
      </c>
      <c r="K86" s="20">
        <v>1</v>
      </c>
      <c r="L86" s="21">
        <v>6.4</v>
      </c>
      <c r="M86" s="21">
        <v>6.4</v>
      </c>
      <c r="N86" s="21">
        <v>6.4</v>
      </c>
    </row>
    <row r="87" spans="4:14">
      <c r="D87" s="18">
        <v>46190</v>
      </c>
      <c r="E87" s="6">
        <v>1612786</v>
      </c>
      <c r="F87" s="6" t="s">
        <v>16</v>
      </c>
      <c r="G87" s="6">
        <v>20324485</v>
      </c>
      <c r="H87" s="6" t="s">
        <v>67</v>
      </c>
      <c r="I87" s="6">
        <v>1</v>
      </c>
      <c r="J87" s="19" t="s">
        <v>18</v>
      </c>
      <c r="K87" s="20">
        <v>1</v>
      </c>
      <c r="L87" s="21">
        <v>6.4</v>
      </c>
      <c r="M87" s="21">
        <v>6.4</v>
      </c>
      <c r="N87" s="21">
        <v>6.4</v>
      </c>
    </row>
    <row r="88" ht="25.5" spans="4:14">
      <c r="D88" s="18">
        <v>46190</v>
      </c>
      <c r="E88" s="6">
        <v>1612786</v>
      </c>
      <c r="F88" s="6" t="s">
        <v>16</v>
      </c>
      <c r="G88" s="6">
        <v>20335080</v>
      </c>
      <c r="H88" s="6" t="s">
        <v>105</v>
      </c>
      <c r="I88" s="6">
        <v>1</v>
      </c>
      <c r="J88" s="32" t="s">
        <v>28</v>
      </c>
      <c r="K88" s="20">
        <f t="shared" si="9"/>
        <v>75</v>
      </c>
      <c r="L88" s="21">
        <v>4.4</v>
      </c>
      <c r="M88" s="21">
        <v>330</v>
      </c>
      <c r="N88" s="21">
        <v>330</v>
      </c>
    </row>
    <row r="89" spans="4:14">
      <c r="D89" s="18">
        <v>46190</v>
      </c>
      <c r="E89" s="6">
        <v>1612855</v>
      </c>
      <c r="F89" s="6" t="s">
        <v>16</v>
      </c>
      <c r="G89" s="6">
        <v>20332826</v>
      </c>
      <c r="H89" s="6" t="s">
        <v>83</v>
      </c>
      <c r="I89" s="6">
        <v>4</v>
      </c>
      <c r="J89" s="32" t="s">
        <v>42</v>
      </c>
      <c r="K89" s="20" t="s">
        <v>43</v>
      </c>
      <c r="L89" s="21">
        <v>70.4</v>
      </c>
      <c r="M89" s="21">
        <v>70.4</v>
      </c>
      <c r="N89" s="21">
        <v>281.6</v>
      </c>
    </row>
    <row r="90" spans="4:14">
      <c r="D90" s="18">
        <v>46191</v>
      </c>
      <c r="E90" s="6">
        <v>1613202</v>
      </c>
      <c r="F90" s="6" t="s">
        <v>34</v>
      </c>
      <c r="G90" s="6">
        <v>20391366</v>
      </c>
      <c r="H90" s="6" t="s">
        <v>35</v>
      </c>
      <c r="I90" s="6">
        <v>6</v>
      </c>
      <c r="J90" s="32" t="s">
        <v>28</v>
      </c>
      <c r="K90" s="20">
        <f t="shared" si="9"/>
        <v>26</v>
      </c>
      <c r="L90" s="21">
        <v>4.4</v>
      </c>
      <c r="M90" s="21">
        <v>114.4</v>
      </c>
      <c r="N90" s="21">
        <v>686.4</v>
      </c>
    </row>
    <row r="91" spans="4:14">
      <c r="D91" s="18">
        <v>46191</v>
      </c>
      <c r="E91" s="6">
        <v>1613202</v>
      </c>
      <c r="F91" s="6" t="s">
        <v>16</v>
      </c>
      <c r="G91" s="6">
        <v>20324855</v>
      </c>
      <c r="H91" s="6" t="s">
        <v>37</v>
      </c>
      <c r="I91" s="6">
        <v>15</v>
      </c>
      <c r="J91" s="19" t="s">
        <v>18</v>
      </c>
      <c r="K91" s="20">
        <v>1</v>
      </c>
      <c r="L91" s="21">
        <v>6.4</v>
      </c>
      <c r="M91" s="21">
        <v>6.4</v>
      </c>
      <c r="N91" s="21">
        <v>96</v>
      </c>
    </row>
    <row r="92" spans="4:14">
      <c r="D92" s="18">
        <v>46191</v>
      </c>
      <c r="E92" s="6">
        <v>1613202</v>
      </c>
      <c r="F92" s="6" t="s">
        <v>16</v>
      </c>
      <c r="G92" s="6">
        <v>20324485</v>
      </c>
      <c r="H92" s="6" t="s">
        <v>67</v>
      </c>
      <c r="I92" s="6">
        <v>2</v>
      </c>
      <c r="J92" s="19" t="s">
        <v>18</v>
      </c>
      <c r="K92" s="20">
        <v>1</v>
      </c>
      <c r="L92" s="21">
        <v>6.4</v>
      </c>
      <c r="M92" s="21">
        <v>6.4</v>
      </c>
      <c r="N92" s="21">
        <v>12.8</v>
      </c>
    </row>
    <row r="93" ht="25.5" spans="4:14">
      <c r="D93" s="18">
        <v>46191</v>
      </c>
      <c r="E93" s="6">
        <v>1613202</v>
      </c>
      <c r="F93" s="6" t="s">
        <v>16</v>
      </c>
      <c r="G93" s="6">
        <v>20335080</v>
      </c>
      <c r="H93" s="6" t="s">
        <v>106</v>
      </c>
      <c r="I93" s="6">
        <v>1</v>
      </c>
      <c r="J93" s="32" t="s">
        <v>28</v>
      </c>
      <c r="K93" s="20">
        <f>M93/L93</f>
        <v>119</v>
      </c>
      <c r="L93" s="21">
        <v>4.4</v>
      </c>
      <c r="M93" s="21">
        <v>523.6</v>
      </c>
      <c r="N93" s="21">
        <v>523.6</v>
      </c>
    </row>
    <row r="94" spans="4:14">
      <c r="D94" s="18">
        <v>46191</v>
      </c>
      <c r="E94" s="6">
        <v>1613251</v>
      </c>
      <c r="F94" s="6" t="s">
        <v>16</v>
      </c>
      <c r="G94" s="6">
        <v>20325056</v>
      </c>
      <c r="H94" s="6" t="s">
        <v>99</v>
      </c>
      <c r="I94" s="6">
        <v>1</v>
      </c>
      <c r="J94" s="32" t="s">
        <v>100</v>
      </c>
      <c r="K94" s="20">
        <v>1</v>
      </c>
      <c r="L94" s="21">
        <f>30*0.8</f>
        <v>24</v>
      </c>
      <c r="M94" s="21">
        <v>24</v>
      </c>
      <c r="N94" s="21">
        <v>24</v>
      </c>
    </row>
    <row r="95" spans="4:14">
      <c r="D95" s="18">
        <v>46191</v>
      </c>
      <c r="E95" s="6">
        <v>1613544</v>
      </c>
      <c r="F95" s="6" t="s">
        <v>34</v>
      </c>
      <c r="G95" s="6">
        <v>20391366</v>
      </c>
      <c r="H95" s="6" t="s">
        <v>35</v>
      </c>
      <c r="I95" s="6">
        <v>6</v>
      </c>
      <c r="J95" s="32" t="s">
        <v>28</v>
      </c>
      <c r="K95" s="20">
        <f>M95/L95</f>
        <v>26</v>
      </c>
      <c r="L95" s="21">
        <v>4.4</v>
      </c>
      <c r="M95" s="21">
        <v>114.4</v>
      </c>
      <c r="N95" s="21">
        <v>686.4</v>
      </c>
    </row>
    <row r="96" spans="4:14">
      <c r="D96" s="18">
        <v>46191</v>
      </c>
      <c r="E96" s="6">
        <v>1613544</v>
      </c>
      <c r="F96" s="6" t="s">
        <v>16</v>
      </c>
      <c r="G96" s="6">
        <v>20324428</v>
      </c>
      <c r="H96" s="6" t="s">
        <v>36</v>
      </c>
      <c r="I96" s="6">
        <v>1</v>
      </c>
      <c r="J96" s="19" t="s">
        <v>18</v>
      </c>
      <c r="K96" s="20">
        <v>1</v>
      </c>
      <c r="L96" s="21">
        <v>6.4</v>
      </c>
      <c r="M96" s="21">
        <v>6.4</v>
      </c>
      <c r="N96" s="21">
        <v>6.4</v>
      </c>
    </row>
    <row r="97" spans="4:14">
      <c r="D97" s="18">
        <v>46191</v>
      </c>
      <c r="E97" s="6">
        <v>1613544</v>
      </c>
      <c r="F97" s="6" t="s">
        <v>16</v>
      </c>
      <c r="G97" s="6">
        <v>20324447</v>
      </c>
      <c r="H97" s="6" t="s">
        <v>107</v>
      </c>
      <c r="I97" s="6">
        <v>1</v>
      </c>
      <c r="J97" s="19" t="s">
        <v>18</v>
      </c>
      <c r="K97" s="20">
        <v>1</v>
      </c>
      <c r="L97" s="21">
        <v>6.4</v>
      </c>
      <c r="M97" s="21">
        <v>6.4</v>
      </c>
      <c r="N97" s="21">
        <v>6.4</v>
      </c>
    </row>
    <row r="98" spans="4:14">
      <c r="D98" s="18">
        <v>46191</v>
      </c>
      <c r="E98" s="6">
        <v>1613544</v>
      </c>
      <c r="F98" s="6" t="s">
        <v>16</v>
      </c>
      <c r="G98" s="6">
        <v>20324445</v>
      </c>
      <c r="H98" s="6" t="s">
        <v>74</v>
      </c>
      <c r="I98" s="6">
        <v>1</v>
      </c>
      <c r="J98" s="19" t="s">
        <v>18</v>
      </c>
      <c r="K98" s="20">
        <v>1</v>
      </c>
      <c r="L98" s="21">
        <v>6.4</v>
      </c>
      <c r="M98" s="21">
        <v>6.4</v>
      </c>
      <c r="N98" s="21">
        <v>6.4</v>
      </c>
    </row>
    <row r="99" spans="4:14">
      <c r="D99" s="18">
        <v>46191</v>
      </c>
      <c r="E99" s="6">
        <v>1613544</v>
      </c>
      <c r="F99" s="6" t="s">
        <v>16</v>
      </c>
      <c r="G99" s="6">
        <v>20324855</v>
      </c>
      <c r="H99" s="6" t="s">
        <v>37</v>
      </c>
      <c r="I99" s="6">
        <v>1</v>
      </c>
      <c r="J99" s="19" t="s">
        <v>18</v>
      </c>
      <c r="K99" s="20">
        <v>1</v>
      </c>
      <c r="L99" s="21">
        <v>6.4</v>
      </c>
      <c r="M99" s="21">
        <v>6.4</v>
      </c>
      <c r="N99" s="21">
        <v>6.4</v>
      </c>
    </row>
    <row r="100" ht="25.5" spans="4:14">
      <c r="D100" s="18">
        <v>46191</v>
      </c>
      <c r="E100" s="6">
        <v>1613544</v>
      </c>
      <c r="F100" s="6" t="s">
        <v>16</v>
      </c>
      <c r="G100" s="6">
        <v>20370849</v>
      </c>
      <c r="H100" s="6" t="s">
        <v>108</v>
      </c>
      <c r="I100" s="6">
        <v>1</v>
      </c>
      <c r="J100" s="32" t="s">
        <v>28</v>
      </c>
      <c r="K100" s="20">
        <f>M100/L100</f>
        <v>70</v>
      </c>
      <c r="L100" s="21">
        <v>4.4</v>
      </c>
      <c r="M100" s="21">
        <v>308</v>
      </c>
      <c r="N100" s="21">
        <v>308</v>
      </c>
    </row>
    <row r="101" spans="4:14">
      <c r="D101" s="18">
        <v>46191</v>
      </c>
      <c r="E101" s="6">
        <v>1613544</v>
      </c>
      <c r="F101" s="6" t="s">
        <v>51</v>
      </c>
      <c r="G101" s="6">
        <v>20353549</v>
      </c>
      <c r="H101" s="6" t="s">
        <v>85</v>
      </c>
      <c r="I101" s="6">
        <v>2</v>
      </c>
      <c r="J101" s="33" t="s">
        <v>86</v>
      </c>
      <c r="K101" s="20">
        <v>1</v>
      </c>
      <c r="L101" s="21">
        <v>3.2</v>
      </c>
      <c r="M101" s="21">
        <v>3.2</v>
      </c>
      <c r="N101" s="21">
        <v>6.4</v>
      </c>
    </row>
    <row r="102" spans="4:14">
      <c r="D102" s="18">
        <v>46192</v>
      </c>
      <c r="E102" s="6">
        <v>1613624</v>
      </c>
      <c r="F102" s="6" t="s">
        <v>16</v>
      </c>
      <c r="G102" s="6">
        <v>20332826</v>
      </c>
      <c r="H102" s="6" t="s">
        <v>83</v>
      </c>
      <c r="I102" s="6">
        <v>8</v>
      </c>
      <c r="J102" s="32" t="s">
        <v>42</v>
      </c>
      <c r="K102" s="20" t="s">
        <v>43</v>
      </c>
      <c r="L102" s="21">
        <v>70.4</v>
      </c>
      <c r="M102" s="21">
        <v>70.4</v>
      </c>
      <c r="N102" s="21">
        <v>563.2</v>
      </c>
    </row>
    <row r="103" spans="4:14">
      <c r="D103" s="18">
        <v>46194</v>
      </c>
      <c r="E103" s="6">
        <v>1613828</v>
      </c>
      <c r="F103" s="6" t="s">
        <v>16</v>
      </c>
      <c r="G103" s="6">
        <v>20332826</v>
      </c>
      <c r="H103" s="6" t="s">
        <v>83</v>
      </c>
      <c r="I103" s="6">
        <v>5</v>
      </c>
      <c r="J103" s="32" t="s">
        <v>42</v>
      </c>
      <c r="K103" s="20" t="s">
        <v>43</v>
      </c>
      <c r="L103" s="21">
        <v>70.4</v>
      </c>
      <c r="M103" s="21">
        <v>70.4</v>
      </c>
      <c r="N103" s="21">
        <v>352</v>
      </c>
    </row>
    <row r="104" spans="4:14">
      <c r="D104" s="18">
        <v>46194</v>
      </c>
      <c r="E104" s="6">
        <v>1613840</v>
      </c>
      <c r="F104" s="6" t="s">
        <v>34</v>
      </c>
      <c r="G104" s="6">
        <v>20391366</v>
      </c>
      <c r="H104" s="6" t="s">
        <v>35</v>
      </c>
      <c r="I104" s="6">
        <v>6</v>
      </c>
      <c r="J104" s="32" t="s">
        <v>28</v>
      </c>
      <c r="K104" s="20">
        <f t="shared" ref="K104:K107" si="10">M104/L104</f>
        <v>26</v>
      </c>
      <c r="L104" s="21">
        <v>4.4</v>
      </c>
      <c r="M104" s="21">
        <v>114.4</v>
      </c>
      <c r="N104" s="21">
        <v>686.4</v>
      </c>
    </row>
    <row r="105" spans="4:14">
      <c r="D105" s="18">
        <v>46194</v>
      </c>
      <c r="E105" s="6">
        <v>1613840</v>
      </c>
      <c r="F105" s="6" t="s">
        <v>16</v>
      </c>
      <c r="G105" s="6">
        <v>20324855</v>
      </c>
      <c r="H105" s="6" t="s">
        <v>37</v>
      </c>
      <c r="I105" s="6">
        <v>3</v>
      </c>
      <c r="J105" s="19" t="s">
        <v>18</v>
      </c>
      <c r="K105" s="20">
        <v>1</v>
      </c>
      <c r="L105" s="21">
        <v>6.4</v>
      </c>
      <c r="M105" s="21">
        <v>6.4</v>
      </c>
      <c r="N105" s="21">
        <v>19.2</v>
      </c>
    </row>
    <row r="106" ht="25.5" spans="4:14">
      <c r="D106" s="18">
        <v>46194</v>
      </c>
      <c r="E106" s="6">
        <v>1613840</v>
      </c>
      <c r="F106" s="6" t="s">
        <v>16</v>
      </c>
      <c r="G106" s="6">
        <v>20327669</v>
      </c>
      <c r="H106" s="6" t="s">
        <v>109</v>
      </c>
      <c r="I106" s="6">
        <v>1</v>
      </c>
      <c r="J106" s="32" t="s">
        <v>28</v>
      </c>
      <c r="K106" s="20">
        <f t="shared" si="10"/>
        <v>141</v>
      </c>
      <c r="L106" s="21">
        <v>4.4</v>
      </c>
      <c r="M106" s="21">
        <v>620.4</v>
      </c>
      <c r="N106" s="21">
        <v>620.4</v>
      </c>
    </row>
    <row r="107" spans="4:14">
      <c r="D107" s="18">
        <v>46195</v>
      </c>
      <c r="E107" s="6">
        <v>1613939</v>
      </c>
      <c r="F107" s="6" t="s">
        <v>34</v>
      </c>
      <c r="G107" s="6">
        <v>20391366</v>
      </c>
      <c r="H107" s="6" t="s">
        <v>35</v>
      </c>
      <c r="I107" s="6">
        <v>1</v>
      </c>
      <c r="J107" s="32" t="s">
        <v>28</v>
      </c>
      <c r="K107" s="20">
        <f t="shared" si="10"/>
        <v>26</v>
      </c>
      <c r="L107" s="21">
        <v>4.4</v>
      </c>
      <c r="M107" s="21">
        <v>114.4</v>
      </c>
      <c r="N107" s="21">
        <v>114.4</v>
      </c>
    </row>
    <row r="108" spans="4:14">
      <c r="D108" s="18">
        <v>46195</v>
      </c>
      <c r="E108" s="6">
        <v>1613939</v>
      </c>
      <c r="F108" s="6" t="s">
        <v>16</v>
      </c>
      <c r="G108" s="6">
        <v>20332826</v>
      </c>
      <c r="H108" s="6" t="s">
        <v>83</v>
      </c>
      <c r="I108" s="6">
        <v>3</v>
      </c>
      <c r="J108" s="32" t="s">
        <v>42</v>
      </c>
      <c r="K108" s="20" t="s">
        <v>43</v>
      </c>
      <c r="L108" s="21">
        <v>70.4</v>
      </c>
      <c r="M108" s="21">
        <v>70.4</v>
      </c>
      <c r="N108" s="21">
        <v>211.2</v>
      </c>
    </row>
    <row r="109" ht="25.5" spans="4:14">
      <c r="D109" s="18">
        <v>46195</v>
      </c>
      <c r="E109" s="6">
        <v>1613939</v>
      </c>
      <c r="F109" s="6" t="s">
        <v>16</v>
      </c>
      <c r="G109" s="6">
        <v>20337368</v>
      </c>
      <c r="H109" s="6" t="s">
        <v>110</v>
      </c>
      <c r="I109" s="6">
        <v>1</v>
      </c>
      <c r="J109" s="32" t="s">
        <v>28</v>
      </c>
      <c r="K109" s="20">
        <f t="shared" ref="K109:K113" si="11">M109/L109</f>
        <v>69</v>
      </c>
      <c r="L109" s="21">
        <v>4.4</v>
      </c>
      <c r="M109" s="21">
        <v>303.6</v>
      </c>
      <c r="N109" s="21">
        <v>303.6</v>
      </c>
    </row>
    <row r="110" spans="4:14">
      <c r="D110" s="18">
        <v>46195</v>
      </c>
      <c r="E110" s="6">
        <v>1614182</v>
      </c>
      <c r="F110" s="6" t="s">
        <v>34</v>
      </c>
      <c r="G110" s="6">
        <v>20391366</v>
      </c>
      <c r="H110" s="6" t="s">
        <v>35</v>
      </c>
      <c r="I110" s="6">
        <v>4</v>
      </c>
      <c r="J110" s="32" t="s">
        <v>28</v>
      </c>
      <c r="K110" s="20">
        <f t="shared" si="11"/>
        <v>26</v>
      </c>
      <c r="L110" s="21">
        <v>4.4</v>
      </c>
      <c r="M110" s="21">
        <v>114.4</v>
      </c>
      <c r="N110" s="21">
        <v>457.6</v>
      </c>
    </row>
    <row r="111" spans="4:14">
      <c r="D111" s="18">
        <v>46195</v>
      </c>
      <c r="E111" s="6">
        <v>1614182</v>
      </c>
      <c r="F111" s="6" t="s">
        <v>16</v>
      </c>
      <c r="G111" s="6">
        <v>20324855</v>
      </c>
      <c r="H111" s="6" t="s">
        <v>37</v>
      </c>
      <c r="I111" s="6">
        <v>8</v>
      </c>
      <c r="J111" s="19" t="s">
        <v>18</v>
      </c>
      <c r="K111" s="20">
        <v>1</v>
      </c>
      <c r="L111" s="21">
        <v>6.4</v>
      </c>
      <c r="M111" s="21">
        <v>6.4</v>
      </c>
      <c r="N111" s="21">
        <v>51.2</v>
      </c>
    </row>
    <row r="112" ht="25.5" spans="4:14">
      <c r="D112" s="18">
        <v>46195</v>
      </c>
      <c r="E112" s="6">
        <v>1614182</v>
      </c>
      <c r="F112" s="6" t="s">
        <v>16</v>
      </c>
      <c r="G112" s="6">
        <v>20327669</v>
      </c>
      <c r="H112" s="6" t="s">
        <v>111</v>
      </c>
      <c r="I112" s="6">
        <v>1</v>
      </c>
      <c r="J112" s="32" t="s">
        <v>28</v>
      </c>
      <c r="K112" s="20">
        <f t="shared" si="11"/>
        <v>68</v>
      </c>
      <c r="L112" s="21">
        <v>4.4</v>
      </c>
      <c r="M112" s="21">
        <v>299.2</v>
      </c>
      <c r="N112" s="21">
        <v>299.2</v>
      </c>
    </row>
    <row r="113" spans="4:14">
      <c r="D113" s="18">
        <v>46197</v>
      </c>
      <c r="E113" s="6">
        <v>1614543</v>
      </c>
      <c r="F113" s="6" t="s">
        <v>34</v>
      </c>
      <c r="G113" s="6">
        <v>20391366</v>
      </c>
      <c r="H113" s="6" t="s">
        <v>35</v>
      </c>
      <c r="I113" s="6">
        <v>6</v>
      </c>
      <c r="J113" s="32" t="s">
        <v>28</v>
      </c>
      <c r="K113" s="20">
        <f t="shared" si="11"/>
        <v>26</v>
      </c>
      <c r="L113" s="21">
        <v>4.4</v>
      </c>
      <c r="M113" s="21">
        <v>114.4</v>
      </c>
      <c r="N113" s="21">
        <v>686.4</v>
      </c>
    </row>
    <row r="114" spans="4:14">
      <c r="D114" s="18">
        <v>46197</v>
      </c>
      <c r="E114" s="6">
        <v>1614543</v>
      </c>
      <c r="F114" s="6" t="s">
        <v>16</v>
      </c>
      <c r="G114" s="6">
        <v>20324428</v>
      </c>
      <c r="H114" s="6" t="s">
        <v>36</v>
      </c>
      <c r="I114" s="6">
        <v>1</v>
      </c>
      <c r="J114" s="19" t="s">
        <v>18</v>
      </c>
      <c r="K114" s="20">
        <v>1</v>
      </c>
      <c r="L114" s="21">
        <v>6.4</v>
      </c>
      <c r="M114" s="21">
        <v>6.4</v>
      </c>
      <c r="N114" s="21">
        <v>6.4</v>
      </c>
    </row>
    <row r="115" spans="4:14">
      <c r="D115" s="18">
        <v>46197</v>
      </c>
      <c r="E115" s="6">
        <v>1614543</v>
      </c>
      <c r="F115" s="6" t="s">
        <v>16</v>
      </c>
      <c r="G115" s="6">
        <v>20324445</v>
      </c>
      <c r="H115" s="6" t="s">
        <v>74</v>
      </c>
      <c r="I115" s="6">
        <v>1</v>
      </c>
      <c r="J115" s="19" t="s">
        <v>18</v>
      </c>
      <c r="K115" s="20">
        <v>1</v>
      </c>
      <c r="L115" s="21">
        <v>6.4</v>
      </c>
      <c r="M115" s="21">
        <v>6.4</v>
      </c>
      <c r="N115" s="21">
        <v>6.4</v>
      </c>
    </row>
    <row r="116" spans="4:14">
      <c r="D116" s="18">
        <v>46197</v>
      </c>
      <c r="E116" s="6">
        <v>1614543</v>
      </c>
      <c r="F116" s="6" t="s">
        <v>16</v>
      </c>
      <c r="G116" s="6">
        <v>20324370</v>
      </c>
      <c r="H116" s="6" t="s">
        <v>112</v>
      </c>
      <c r="I116" s="6">
        <v>1</v>
      </c>
      <c r="J116" s="19" t="s">
        <v>18</v>
      </c>
      <c r="K116" s="20">
        <v>1</v>
      </c>
      <c r="L116" s="21">
        <v>6.4</v>
      </c>
      <c r="M116" s="21">
        <v>6.4</v>
      </c>
      <c r="N116" s="21">
        <v>6.4</v>
      </c>
    </row>
    <row r="117" spans="4:14">
      <c r="D117" s="18">
        <v>46197</v>
      </c>
      <c r="E117" s="6">
        <v>1614543</v>
      </c>
      <c r="F117" s="6" t="s">
        <v>16</v>
      </c>
      <c r="G117" s="6">
        <v>20324855</v>
      </c>
      <c r="H117" s="6" t="s">
        <v>37</v>
      </c>
      <c r="I117" s="6">
        <v>7</v>
      </c>
      <c r="J117" s="19" t="s">
        <v>18</v>
      </c>
      <c r="K117" s="20">
        <v>1</v>
      </c>
      <c r="L117" s="21">
        <v>6.4</v>
      </c>
      <c r="M117" s="21">
        <v>6.4</v>
      </c>
      <c r="N117" s="21">
        <v>44.8</v>
      </c>
    </row>
    <row r="118" ht="25.5" spans="4:14">
      <c r="D118" s="18">
        <v>46197</v>
      </c>
      <c r="E118" s="6">
        <v>1614543</v>
      </c>
      <c r="F118" s="6" t="s">
        <v>16</v>
      </c>
      <c r="G118" s="6">
        <v>20337368</v>
      </c>
      <c r="H118" s="6" t="s">
        <v>113</v>
      </c>
      <c r="I118" s="6">
        <v>1</v>
      </c>
      <c r="J118" s="32" t="s">
        <v>28</v>
      </c>
      <c r="K118" s="20">
        <f t="shared" ref="K118:K122" si="12">M118/L118</f>
        <v>100</v>
      </c>
      <c r="L118" s="21">
        <v>4.4</v>
      </c>
      <c r="M118" s="21">
        <v>440</v>
      </c>
      <c r="N118" s="21">
        <v>440</v>
      </c>
    </row>
    <row r="119" spans="4:14">
      <c r="D119" s="18">
        <v>46197</v>
      </c>
      <c r="E119" s="6">
        <v>1614601</v>
      </c>
      <c r="F119" s="6" t="s">
        <v>16</v>
      </c>
      <c r="G119" s="6">
        <v>20332826</v>
      </c>
      <c r="H119" s="6" t="s">
        <v>83</v>
      </c>
      <c r="I119" s="6">
        <v>4</v>
      </c>
      <c r="J119" s="32" t="s">
        <v>42</v>
      </c>
      <c r="K119" s="20" t="s">
        <v>43</v>
      </c>
      <c r="L119" s="21">
        <v>70.4</v>
      </c>
      <c r="M119" s="21">
        <v>70.4</v>
      </c>
      <c r="N119" s="21">
        <v>281.6</v>
      </c>
    </row>
    <row r="120" spans="4:14">
      <c r="D120" s="18">
        <v>46197</v>
      </c>
      <c r="E120" s="6">
        <v>1614916</v>
      </c>
      <c r="F120" s="6" t="s">
        <v>34</v>
      </c>
      <c r="G120" s="6">
        <v>20391366</v>
      </c>
      <c r="H120" s="6" t="s">
        <v>35</v>
      </c>
      <c r="I120" s="6">
        <v>7</v>
      </c>
      <c r="J120" s="32" t="s">
        <v>28</v>
      </c>
      <c r="K120" s="20">
        <f t="shared" si="12"/>
        <v>26</v>
      </c>
      <c r="L120" s="21">
        <v>4.4</v>
      </c>
      <c r="M120" s="21">
        <v>114.4</v>
      </c>
      <c r="N120" s="21">
        <v>800.8</v>
      </c>
    </row>
    <row r="121" spans="4:14">
      <c r="D121" s="18">
        <v>46197</v>
      </c>
      <c r="E121" s="6">
        <v>1614916</v>
      </c>
      <c r="F121" s="6" t="s">
        <v>16</v>
      </c>
      <c r="G121" s="6">
        <v>20324855</v>
      </c>
      <c r="H121" s="6" t="s">
        <v>37</v>
      </c>
      <c r="I121" s="6">
        <v>5</v>
      </c>
      <c r="J121" s="19" t="s">
        <v>18</v>
      </c>
      <c r="K121" s="20">
        <v>1</v>
      </c>
      <c r="L121" s="21">
        <v>6.4</v>
      </c>
      <c r="M121" s="21">
        <v>6.4</v>
      </c>
      <c r="N121" s="21">
        <v>32</v>
      </c>
    </row>
    <row r="122" ht="25.5" spans="4:14">
      <c r="D122" s="18">
        <v>46197</v>
      </c>
      <c r="E122" s="6">
        <v>1614916</v>
      </c>
      <c r="F122" s="6" t="s">
        <v>16</v>
      </c>
      <c r="G122" s="6">
        <v>20337368</v>
      </c>
      <c r="H122" s="6" t="s">
        <v>114</v>
      </c>
      <c r="I122" s="6">
        <v>1</v>
      </c>
      <c r="J122" s="32" t="s">
        <v>28</v>
      </c>
      <c r="K122" s="20">
        <f t="shared" si="12"/>
        <v>99</v>
      </c>
      <c r="L122" s="21">
        <v>4.4</v>
      </c>
      <c r="M122" s="21">
        <v>435.6</v>
      </c>
      <c r="N122" s="21">
        <v>435.6</v>
      </c>
    </row>
    <row r="123" spans="4:14">
      <c r="D123" s="18">
        <v>46198</v>
      </c>
      <c r="E123" s="6">
        <v>1614981</v>
      </c>
      <c r="F123" s="6" t="s">
        <v>16</v>
      </c>
      <c r="G123" s="6">
        <v>20332826</v>
      </c>
      <c r="H123" s="6" t="s">
        <v>83</v>
      </c>
      <c r="I123" s="6">
        <v>5</v>
      </c>
      <c r="J123" s="32" t="s">
        <v>42</v>
      </c>
      <c r="K123" s="20" t="s">
        <v>43</v>
      </c>
      <c r="L123" s="21">
        <v>70.4</v>
      </c>
      <c r="M123" s="21">
        <v>70.4</v>
      </c>
      <c r="N123" s="21">
        <v>352</v>
      </c>
    </row>
    <row r="124" spans="4:14">
      <c r="D124" s="18">
        <v>46198</v>
      </c>
      <c r="E124" s="6">
        <v>1615290</v>
      </c>
      <c r="F124" s="6" t="s">
        <v>34</v>
      </c>
      <c r="G124" s="6">
        <v>20391366</v>
      </c>
      <c r="H124" s="6" t="s">
        <v>35</v>
      </c>
      <c r="I124" s="6">
        <v>4</v>
      </c>
      <c r="J124" s="32" t="s">
        <v>28</v>
      </c>
      <c r="K124" s="20">
        <f t="shared" ref="K124:K127" si="13">M124/L124</f>
        <v>26</v>
      </c>
      <c r="L124" s="21">
        <v>4.4</v>
      </c>
      <c r="M124" s="21">
        <v>114.4</v>
      </c>
      <c r="N124" s="21">
        <v>457.6</v>
      </c>
    </row>
    <row r="125" spans="4:14">
      <c r="D125" s="18">
        <v>46198</v>
      </c>
      <c r="E125" s="6">
        <v>1615290</v>
      </c>
      <c r="F125" s="6" t="s">
        <v>16</v>
      </c>
      <c r="G125" s="6">
        <v>20324855</v>
      </c>
      <c r="H125" s="6" t="s">
        <v>37</v>
      </c>
      <c r="I125" s="6">
        <v>2</v>
      </c>
      <c r="J125" s="19" t="s">
        <v>18</v>
      </c>
      <c r="K125" s="20">
        <v>1</v>
      </c>
      <c r="L125" s="21">
        <v>6.4</v>
      </c>
      <c r="M125" s="21">
        <v>6.4</v>
      </c>
      <c r="N125" s="21">
        <v>12.8</v>
      </c>
    </row>
    <row r="126" ht="25.5" spans="4:14">
      <c r="D126" s="18">
        <v>46198</v>
      </c>
      <c r="E126" s="6">
        <v>1615290</v>
      </c>
      <c r="F126" s="6" t="s">
        <v>16</v>
      </c>
      <c r="G126" s="6">
        <v>20337368</v>
      </c>
      <c r="H126" s="6" t="s">
        <v>115</v>
      </c>
      <c r="I126" s="6">
        <v>1</v>
      </c>
      <c r="J126" s="32" t="s">
        <v>28</v>
      </c>
      <c r="K126" s="20">
        <f t="shared" si="13"/>
        <v>85</v>
      </c>
      <c r="L126" s="21">
        <v>4.4</v>
      </c>
      <c r="M126" s="21">
        <v>374</v>
      </c>
      <c r="N126" s="21">
        <v>374</v>
      </c>
    </row>
    <row r="127" spans="4:14">
      <c r="D127" s="18">
        <v>46199</v>
      </c>
      <c r="E127" s="6">
        <v>1615601</v>
      </c>
      <c r="F127" s="6" t="s">
        <v>34</v>
      </c>
      <c r="G127" s="6">
        <v>20391366</v>
      </c>
      <c r="H127" s="6" t="s">
        <v>35</v>
      </c>
      <c r="I127" s="6">
        <v>5</v>
      </c>
      <c r="J127" s="32" t="s">
        <v>28</v>
      </c>
      <c r="K127" s="20">
        <f t="shared" si="13"/>
        <v>26</v>
      </c>
      <c r="L127" s="21">
        <v>4.4</v>
      </c>
      <c r="M127" s="21">
        <v>114.4</v>
      </c>
      <c r="N127" s="21">
        <v>572</v>
      </c>
    </row>
    <row r="128" spans="4:14">
      <c r="D128" s="18">
        <v>46199</v>
      </c>
      <c r="E128" s="6">
        <v>1615601</v>
      </c>
      <c r="F128" s="6" t="s">
        <v>16</v>
      </c>
      <c r="G128" s="6">
        <v>20324428</v>
      </c>
      <c r="H128" s="6" t="s">
        <v>36</v>
      </c>
      <c r="I128" s="6">
        <v>1</v>
      </c>
      <c r="J128" s="19" t="s">
        <v>18</v>
      </c>
      <c r="K128" s="20">
        <v>1</v>
      </c>
      <c r="L128" s="21">
        <v>6.4</v>
      </c>
      <c r="M128" s="21">
        <v>6.4</v>
      </c>
      <c r="N128" s="21">
        <v>6.4</v>
      </c>
    </row>
    <row r="129" spans="4:14">
      <c r="D129" s="18">
        <v>46199</v>
      </c>
      <c r="E129" s="6">
        <v>1615601</v>
      </c>
      <c r="F129" s="6" t="s">
        <v>16</v>
      </c>
      <c r="G129" s="6">
        <v>20324445</v>
      </c>
      <c r="H129" s="6" t="s">
        <v>74</v>
      </c>
      <c r="I129" s="6">
        <v>1</v>
      </c>
      <c r="J129" s="19" t="s">
        <v>18</v>
      </c>
      <c r="K129" s="20">
        <v>1</v>
      </c>
      <c r="L129" s="21">
        <v>6.4</v>
      </c>
      <c r="M129" s="21">
        <v>6.4</v>
      </c>
      <c r="N129" s="21">
        <v>6.4</v>
      </c>
    </row>
    <row r="130" spans="4:14">
      <c r="D130" s="18">
        <v>46199</v>
      </c>
      <c r="E130" s="6">
        <v>1615601</v>
      </c>
      <c r="F130" s="6" t="s">
        <v>16</v>
      </c>
      <c r="G130" s="6">
        <v>20324855</v>
      </c>
      <c r="H130" s="6" t="s">
        <v>37</v>
      </c>
      <c r="I130" s="6">
        <v>1</v>
      </c>
      <c r="J130" s="19" t="s">
        <v>18</v>
      </c>
      <c r="K130" s="20">
        <v>1</v>
      </c>
      <c r="L130" s="21">
        <v>6.4</v>
      </c>
      <c r="M130" s="21">
        <v>6.4</v>
      </c>
      <c r="N130" s="21">
        <v>6.4</v>
      </c>
    </row>
    <row r="131" spans="4:14">
      <c r="D131" s="18">
        <v>46199</v>
      </c>
      <c r="E131" s="6">
        <v>1615601</v>
      </c>
      <c r="F131" s="6" t="s">
        <v>16</v>
      </c>
      <c r="G131" s="6">
        <v>20324950</v>
      </c>
      <c r="H131" s="6" t="s">
        <v>62</v>
      </c>
      <c r="I131" s="6">
        <v>1</v>
      </c>
      <c r="J131" s="6" t="s">
        <v>20</v>
      </c>
      <c r="K131" s="20">
        <v>1</v>
      </c>
      <c r="L131" s="21">
        <v>8.8</v>
      </c>
      <c r="M131" s="21">
        <v>8.8</v>
      </c>
      <c r="N131" s="21">
        <v>8.8</v>
      </c>
    </row>
    <row r="132" spans="4:14">
      <c r="D132" s="18">
        <v>46199</v>
      </c>
      <c r="E132" s="6">
        <v>1615601</v>
      </c>
      <c r="F132" s="6" t="s">
        <v>16</v>
      </c>
      <c r="G132" s="6">
        <v>20324485</v>
      </c>
      <c r="H132" s="6" t="s">
        <v>67</v>
      </c>
      <c r="I132" s="6">
        <v>1</v>
      </c>
      <c r="J132" s="19" t="s">
        <v>18</v>
      </c>
      <c r="K132" s="20">
        <v>1</v>
      </c>
      <c r="L132" s="21">
        <v>6.4</v>
      </c>
      <c r="M132" s="21">
        <v>6.4</v>
      </c>
      <c r="N132" s="21">
        <v>6.4</v>
      </c>
    </row>
    <row r="133" ht="25.5" spans="4:14">
      <c r="D133" s="18">
        <v>46199</v>
      </c>
      <c r="E133" s="6">
        <v>1615601</v>
      </c>
      <c r="F133" s="6" t="s">
        <v>16</v>
      </c>
      <c r="G133" s="6">
        <v>20335080</v>
      </c>
      <c r="H133" s="6" t="s">
        <v>116</v>
      </c>
      <c r="I133" s="6">
        <v>1</v>
      </c>
      <c r="J133" s="32" t="s">
        <v>28</v>
      </c>
      <c r="K133" s="20">
        <f t="shared" ref="K133:K137" si="14">M133/L133</f>
        <v>76</v>
      </c>
      <c r="L133" s="21">
        <v>4.4</v>
      </c>
      <c r="M133" s="21">
        <v>334.4</v>
      </c>
      <c r="N133" s="21">
        <v>334.4</v>
      </c>
    </row>
    <row r="134" spans="4:14">
      <c r="D134" s="18">
        <v>46200</v>
      </c>
      <c r="E134" s="6">
        <v>1615638</v>
      </c>
      <c r="F134" s="6" t="s">
        <v>16</v>
      </c>
      <c r="G134" s="6">
        <v>20332826</v>
      </c>
      <c r="H134" s="6" t="s">
        <v>83</v>
      </c>
      <c r="I134" s="6">
        <v>5</v>
      </c>
      <c r="J134" s="32" t="s">
        <v>42</v>
      </c>
      <c r="K134" s="20" t="s">
        <v>43</v>
      </c>
      <c r="L134" s="21">
        <v>70.4</v>
      </c>
      <c r="M134" s="21">
        <v>70.4</v>
      </c>
      <c r="N134" s="21">
        <v>352</v>
      </c>
    </row>
    <row r="135" spans="4:14">
      <c r="D135" s="18">
        <v>46201</v>
      </c>
      <c r="E135" s="6">
        <v>1615808</v>
      </c>
      <c r="F135" s="6" t="s">
        <v>34</v>
      </c>
      <c r="G135" s="6">
        <v>20391366</v>
      </c>
      <c r="H135" s="6" t="s">
        <v>35</v>
      </c>
      <c r="I135" s="6">
        <v>3</v>
      </c>
      <c r="J135" s="32" t="s">
        <v>28</v>
      </c>
      <c r="K135" s="20">
        <f t="shared" si="14"/>
        <v>26</v>
      </c>
      <c r="L135" s="21">
        <v>4.4</v>
      </c>
      <c r="M135" s="21">
        <v>114.4</v>
      </c>
      <c r="N135" s="21">
        <v>343.2</v>
      </c>
    </row>
    <row r="136" spans="4:14">
      <c r="D136" s="18">
        <v>46201</v>
      </c>
      <c r="E136" s="6">
        <v>1615808</v>
      </c>
      <c r="F136" s="6" t="s">
        <v>16</v>
      </c>
      <c r="G136" s="6">
        <v>20324855</v>
      </c>
      <c r="H136" s="6" t="s">
        <v>37</v>
      </c>
      <c r="I136" s="6">
        <v>4</v>
      </c>
      <c r="J136" s="19" t="s">
        <v>18</v>
      </c>
      <c r="K136" s="20">
        <v>1</v>
      </c>
      <c r="L136" s="21">
        <v>6.4</v>
      </c>
      <c r="M136" s="21">
        <v>6.4</v>
      </c>
      <c r="N136" s="21">
        <v>25.6</v>
      </c>
    </row>
    <row r="137" ht="25.5" spans="4:14">
      <c r="D137" s="18">
        <v>46201</v>
      </c>
      <c r="E137" s="6">
        <v>1615808</v>
      </c>
      <c r="F137" s="6" t="s">
        <v>16</v>
      </c>
      <c r="G137" s="6">
        <v>20327307</v>
      </c>
      <c r="H137" s="6" t="s">
        <v>117</v>
      </c>
      <c r="I137" s="6">
        <v>1</v>
      </c>
      <c r="J137" s="32" t="s">
        <v>28</v>
      </c>
      <c r="K137" s="20">
        <f t="shared" si="14"/>
        <v>80</v>
      </c>
      <c r="L137" s="21">
        <v>4.4</v>
      </c>
      <c r="M137" s="21">
        <v>352</v>
      </c>
      <c r="N137" s="21">
        <v>352</v>
      </c>
    </row>
    <row r="138" spans="4:14">
      <c r="D138" s="18">
        <v>46202</v>
      </c>
      <c r="E138" s="6">
        <v>1615882</v>
      </c>
      <c r="F138" s="6" t="s">
        <v>16</v>
      </c>
      <c r="G138" s="6">
        <v>20332826</v>
      </c>
      <c r="H138" s="6" t="s">
        <v>83</v>
      </c>
      <c r="I138" s="6">
        <v>6</v>
      </c>
      <c r="J138" s="32" t="s">
        <v>42</v>
      </c>
      <c r="K138" s="20" t="s">
        <v>43</v>
      </c>
      <c r="L138" s="21">
        <v>70.4</v>
      </c>
      <c r="M138" s="21">
        <v>70.4</v>
      </c>
      <c r="N138" s="21">
        <v>422.4</v>
      </c>
    </row>
    <row r="139" spans="4:14">
      <c r="D139" s="18">
        <v>46202</v>
      </c>
      <c r="E139" s="6">
        <v>1615911</v>
      </c>
      <c r="F139" s="6" t="s">
        <v>34</v>
      </c>
      <c r="G139" s="6">
        <v>20391366</v>
      </c>
      <c r="H139" s="6" t="s">
        <v>35</v>
      </c>
      <c r="I139" s="6">
        <v>2</v>
      </c>
      <c r="J139" s="32" t="s">
        <v>28</v>
      </c>
      <c r="K139" s="20">
        <f t="shared" ref="K139:K143" si="15">M139/L139</f>
        <v>26</v>
      </c>
      <c r="L139" s="21">
        <v>4.4</v>
      </c>
      <c r="M139" s="21">
        <v>114.4</v>
      </c>
      <c r="N139" s="21">
        <v>228.8</v>
      </c>
    </row>
    <row r="140" spans="4:14">
      <c r="D140" s="18">
        <v>46202</v>
      </c>
      <c r="E140" s="6">
        <v>1615911</v>
      </c>
      <c r="F140" s="6" t="s">
        <v>16</v>
      </c>
      <c r="G140" s="6">
        <v>20324855</v>
      </c>
      <c r="H140" s="6" t="s">
        <v>37</v>
      </c>
      <c r="I140" s="6">
        <v>2</v>
      </c>
      <c r="J140" s="19" t="s">
        <v>18</v>
      </c>
      <c r="K140" s="20">
        <v>1</v>
      </c>
      <c r="L140" s="21">
        <v>6.4</v>
      </c>
      <c r="M140" s="21">
        <v>6.4</v>
      </c>
      <c r="N140" s="21">
        <v>12.8</v>
      </c>
    </row>
    <row r="141" ht="25.5" spans="4:14">
      <c r="D141" s="18">
        <v>46202</v>
      </c>
      <c r="E141" s="6">
        <v>1615911</v>
      </c>
      <c r="F141" s="6" t="s">
        <v>16</v>
      </c>
      <c r="G141" s="6">
        <v>20327307</v>
      </c>
      <c r="H141" s="6" t="s">
        <v>118</v>
      </c>
      <c r="I141" s="6">
        <v>1</v>
      </c>
      <c r="J141" s="32" t="s">
        <v>28</v>
      </c>
      <c r="K141" s="20">
        <f t="shared" si="15"/>
        <v>71</v>
      </c>
      <c r="L141" s="21">
        <v>4.4</v>
      </c>
      <c r="M141" s="21">
        <v>312.4</v>
      </c>
      <c r="N141" s="21">
        <v>312.4</v>
      </c>
    </row>
    <row r="142" spans="4:14">
      <c r="D142" s="18">
        <v>46202</v>
      </c>
      <c r="E142" s="6">
        <v>1616118</v>
      </c>
      <c r="F142" s="6" t="s">
        <v>34</v>
      </c>
      <c r="G142" s="6">
        <v>20391366</v>
      </c>
      <c r="H142" s="6" t="s">
        <v>35</v>
      </c>
      <c r="I142" s="6">
        <v>4</v>
      </c>
      <c r="J142" s="32" t="s">
        <v>28</v>
      </c>
      <c r="K142" s="20">
        <f t="shared" si="15"/>
        <v>26</v>
      </c>
      <c r="L142" s="21">
        <v>4.4</v>
      </c>
      <c r="M142" s="21">
        <v>114.4</v>
      </c>
      <c r="N142" s="21">
        <v>457.6</v>
      </c>
    </row>
    <row r="143" ht="25.5" spans="4:14">
      <c r="D143" s="18">
        <v>46202</v>
      </c>
      <c r="E143" s="6">
        <v>1616118</v>
      </c>
      <c r="F143" s="6" t="s">
        <v>16</v>
      </c>
      <c r="G143" s="6">
        <v>20327307</v>
      </c>
      <c r="H143" s="6" t="s">
        <v>119</v>
      </c>
      <c r="I143" s="6">
        <v>1</v>
      </c>
      <c r="J143" s="32" t="s">
        <v>28</v>
      </c>
      <c r="K143" s="20">
        <f t="shared" si="15"/>
        <v>66</v>
      </c>
      <c r="L143" s="21">
        <v>4.4</v>
      </c>
      <c r="M143" s="21">
        <v>290.4</v>
      </c>
      <c r="N143" s="21">
        <v>290.4</v>
      </c>
    </row>
  </sheetData>
  <autoFilter xmlns:etc="http://www.wps.cn/officeDocument/2017/etCustomData" ref="A7:N143" etc:filterBottomFollowUsedRange="0">
    <extLst/>
  </autoFilter>
  <mergeCells count="5">
    <mergeCell ref="D8:H8"/>
    <mergeCell ref="C7:C143"/>
    <mergeCell ref="B4:H5"/>
    <mergeCell ref="A7:B143"/>
    <mergeCell ref="C1:H2"/>
  </mergeCells>
  <pageMargins left="0.25" right="0.25" top="0.75" bottom="0.75" header="0.298611111111111" footer="0.298611111111111"/>
  <pageSetup paperSize="9" scale="8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7"/>
  <sheetViews>
    <sheetView showGridLines="0" view="pageBreakPreview" zoomScaleNormal="100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5" customWidth="1"/>
    <col min="11" max="11" width="19.125" customWidth="1"/>
    <col min="12" max="12" width="13.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120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136</v>
      </c>
      <c r="J8" s="42"/>
      <c r="K8" s="43"/>
      <c r="L8" s="43"/>
      <c r="M8" s="43"/>
      <c r="N8" s="43">
        <v>3450</v>
      </c>
    </row>
    <row r="9" spans="1:14">
      <c r="D9" s="13">
        <v>46176</v>
      </c>
      <c r="E9" s="14">
        <v>1608704</v>
      </c>
      <c r="F9" s="14" t="s">
        <v>16</v>
      </c>
      <c r="G9" s="14">
        <v>20324364</v>
      </c>
      <c r="H9" s="14" t="s">
        <v>21</v>
      </c>
      <c r="I9" s="14">
        <v>2</v>
      </c>
      <c r="J9" s="15" t="s">
        <v>18</v>
      </c>
      <c r="K9" s="16">
        <v>1</v>
      </c>
      <c r="L9" s="17">
        <v>6.4</v>
      </c>
      <c r="M9" s="17">
        <v>6.4</v>
      </c>
      <c r="N9" s="17">
        <v>12.8</v>
      </c>
    </row>
    <row r="10" spans="1:14">
      <c r="D10" s="18">
        <v>46176</v>
      </c>
      <c r="E10" s="6">
        <v>1608704</v>
      </c>
      <c r="F10" s="6" t="s">
        <v>16</v>
      </c>
      <c r="G10" s="6">
        <v>20324691</v>
      </c>
      <c r="H10" s="6" t="s">
        <v>31</v>
      </c>
      <c r="I10" s="6">
        <v>2</v>
      </c>
      <c r="J10" s="6" t="s">
        <v>20</v>
      </c>
      <c r="K10" s="20">
        <v>1</v>
      </c>
      <c r="L10" s="21">
        <v>8.8</v>
      </c>
      <c r="M10" s="21">
        <v>8.8</v>
      </c>
      <c r="N10" s="21">
        <v>17.6</v>
      </c>
    </row>
    <row r="11" spans="1:14">
      <c r="D11" s="18">
        <v>46176</v>
      </c>
      <c r="E11" s="6">
        <v>1608704</v>
      </c>
      <c r="F11" s="6" t="s">
        <v>16</v>
      </c>
      <c r="G11" s="6">
        <v>20324403</v>
      </c>
      <c r="H11" s="6" t="s">
        <v>121</v>
      </c>
      <c r="I11" s="6">
        <v>2</v>
      </c>
      <c r="J11" s="19" t="s">
        <v>18</v>
      </c>
      <c r="K11" s="20">
        <v>1</v>
      </c>
      <c r="L11" s="21">
        <v>6.4</v>
      </c>
      <c r="M11" s="21">
        <v>6.4</v>
      </c>
      <c r="N11" s="21">
        <v>12.8</v>
      </c>
    </row>
    <row r="12" spans="1:14">
      <c r="D12" s="18">
        <v>46176</v>
      </c>
      <c r="E12" s="6">
        <v>1608704</v>
      </c>
      <c r="F12" s="6" t="s">
        <v>16</v>
      </c>
      <c r="G12" s="6">
        <v>20324533</v>
      </c>
      <c r="H12" s="6" t="s">
        <v>122</v>
      </c>
      <c r="I12" s="6">
        <v>1</v>
      </c>
      <c r="J12" s="19" t="s">
        <v>18</v>
      </c>
      <c r="K12" s="20">
        <v>1</v>
      </c>
      <c r="L12" s="21">
        <v>6.4</v>
      </c>
      <c r="M12" s="21">
        <v>6.4</v>
      </c>
      <c r="N12" s="21">
        <v>6.4</v>
      </c>
    </row>
    <row r="13" spans="1:14">
      <c r="D13" s="18">
        <v>46176</v>
      </c>
      <c r="E13" s="6">
        <v>1608704</v>
      </c>
      <c r="F13" s="6" t="s">
        <v>16</v>
      </c>
      <c r="G13" s="6">
        <v>20406576</v>
      </c>
      <c r="H13" s="6" t="s">
        <v>123</v>
      </c>
      <c r="I13" s="6">
        <v>3</v>
      </c>
      <c r="J13" s="6" t="s">
        <v>124</v>
      </c>
      <c r="K13" s="20">
        <f>M13/L13</f>
        <v>3</v>
      </c>
      <c r="L13" s="21">
        <v>4.4</v>
      </c>
      <c r="M13" s="21">
        <v>13.2</v>
      </c>
      <c r="N13" s="21">
        <v>39.6</v>
      </c>
    </row>
    <row r="14" spans="1:14">
      <c r="D14" s="18">
        <v>46176</v>
      </c>
      <c r="E14" s="6">
        <v>1608704</v>
      </c>
      <c r="F14" s="6" t="s">
        <v>16</v>
      </c>
      <c r="G14" s="6">
        <v>20324402</v>
      </c>
      <c r="H14" s="6" t="s">
        <v>24</v>
      </c>
      <c r="I14" s="6">
        <v>1</v>
      </c>
      <c r="J14" s="6" t="s">
        <v>20</v>
      </c>
      <c r="K14" s="20">
        <v>1</v>
      </c>
      <c r="L14" s="21">
        <v>8.8</v>
      </c>
      <c r="M14" s="21">
        <v>8.8</v>
      </c>
      <c r="N14" s="21">
        <v>8.8</v>
      </c>
    </row>
    <row r="15" spans="1:14">
      <c r="D15" s="18">
        <v>46176</v>
      </c>
      <c r="E15" s="6">
        <v>1608704</v>
      </c>
      <c r="F15" s="6" t="s">
        <v>26</v>
      </c>
      <c r="G15" s="6">
        <v>20324494</v>
      </c>
      <c r="H15" s="6" t="s">
        <v>125</v>
      </c>
      <c r="I15" s="6">
        <v>4</v>
      </c>
      <c r="J15" s="32" t="s">
        <v>28</v>
      </c>
      <c r="K15" s="20">
        <f t="shared" ref="K15:K21" si="0">M15/L15</f>
        <v>11</v>
      </c>
      <c r="L15" s="21">
        <v>4.4</v>
      </c>
      <c r="M15" s="21">
        <v>48.4</v>
      </c>
      <c r="N15" s="21">
        <v>193.6</v>
      </c>
    </row>
    <row r="16" spans="1:14">
      <c r="D16" s="18">
        <v>46176</v>
      </c>
      <c r="E16" s="6">
        <v>1608704</v>
      </c>
      <c r="F16" s="6" t="s">
        <v>26</v>
      </c>
      <c r="G16" s="6">
        <v>20324492</v>
      </c>
      <c r="H16" s="6" t="s">
        <v>126</v>
      </c>
      <c r="I16" s="6">
        <v>2</v>
      </c>
      <c r="J16" s="32" t="s">
        <v>28</v>
      </c>
      <c r="K16" s="20">
        <f t="shared" si="0"/>
        <v>3</v>
      </c>
      <c r="L16" s="21">
        <v>4.4</v>
      </c>
      <c r="M16" s="21">
        <v>13.2</v>
      </c>
      <c r="N16" s="21">
        <v>26.4</v>
      </c>
    </row>
    <row r="17" spans="4:14">
      <c r="D17" s="18">
        <v>46176</v>
      </c>
      <c r="E17" s="6">
        <v>1608704</v>
      </c>
      <c r="F17" s="6" t="s">
        <v>16</v>
      </c>
      <c r="G17" s="6">
        <v>20324717</v>
      </c>
      <c r="H17" s="6" t="s">
        <v>127</v>
      </c>
      <c r="I17" s="6">
        <v>1</v>
      </c>
      <c r="J17" s="32" t="s">
        <v>28</v>
      </c>
      <c r="K17" s="20">
        <f t="shared" si="0"/>
        <v>3</v>
      </c>
      <c r="L17" s="21">
        <v>4.4</v>
      </c>
      <c r="M17" s="21">
        <v>13.2</v>
      </c>
      <c r="N17" s="21">
        <v>13.2</v>
      </c>
    </row>
    <row r="18" spans="4:14">
      <c r="D18" s="18">
        <v>46176</v>
      </c>
      <c r="E18" s="6">
        <v>1608710</v>
      </c>
      <c r="F18" s="6" t="s">
        <v>16</v>
      </c>
      <c r="G18" s="6">
        <v>20392072</v>
      </c>
      <c r="H18" s="6" t="s">
        <v>128</v>
      </c>
      <c r="I18" s="6">
        <v>1</v>
      </c>
      <c r="J18" s="6" t="s">
        <v>20</v>
      </c>
      <c r="K18" s="20">
        <v>1</v>
      </c>
      <c r="L18" s="21">
        <v>8.8</v>
      </c>
      <c r="M18" s="21">
        <v>13.2</v>
      </c>
      <c r="N18" s="21">
        <v>13.2</v>
      </c>
    </row>
    <row r="19" spans="4:14">
      <c r="D19" s="18"/>
      <c r="E19" s="6"/>
      <c r="F19" s="6"/>
      <c r="G19" s="6"/>
      <c r="H19" s="6"/>
      <c r="I19" s="6"/>
      <c r="J19" s="6" t="s">
        <v>124</v>
      </c>
      <c r="K19" s="20">
        <v>1</v>
      </c>
      <c r="L19" s="21">
        <v>4.4</v>
      </c>
      <c r="M19" s="21"/>
      <c r="N19" s="21"/>
    </row>
    <row r="20" spans="4:14">
      <c r="D20" s="18">
        <v>46178</v>
      </c>
      <c r="E20" s="6">
        <v>1609409</v>
      </c>
      <c r="F20" s="6" t="s">
        <v>26</v>
      </c>
      <c r="G20" s="6">
        <v>20324495</v>
      </c>
      <c r="H20" s="6" t="s">
        <v>129</v>
      </c>
      <c r="I20" s="6">
        <v>1</v>
      </c>
      <c r="J20" s="32" t="s">
        <v>28</v>
      </c>
      <c r="K20" s="20">
        <f t="shared" si="0"/>
        <v>13</v>
      </c>
      <c r="L20" s="21">
        <v>4.4</v>
      </c>
      <c r="M20" s="21">
        <v>57.2</v>
      </c>
      <c r="N20" s="21">
        <v>57.2</v>
      </c>
    </row>
    <row r="21" spans="4:14">
      <c r="D21" s="18">
        <v>46178</v>
      </c>
      <c r="E21" s="6">
        <v>1609409</v>
      </c>
      <c r="F21" s="6" t="s">
        <v>26</v>
      </c>
      <c r="G21" s="6">
        <v>20324493</v>
      </c>
      <c r="H21" s="6" t="s">
        <v>130</v>
      </c>
      <c r="I21" s="6">
        <v>1</v>
      </c>
      <c r="J21" s="32" t="s">
        <v>28</v>
      </c>
      <c r="K21" s="20">
        <f t="shared" si="0"/>
        <v>15</v>
      </c>
      <c r="L21" s="21">
        <v>4.4</v>
      </c>
      <c r="M21" s="21">
        <v>66</v>
      </c>
      <c r="N21" s="21">
        <v>66</v>
      </c>
    </row>
    <row r="22" spans="4:14">
      <c r="D22" s="18">
        <v>46178</v>
      </c>
      <c r="E22" s="6">
        <v>1609409</v>
      </c>
      <c r="F22" s="6" t="s">
        <v>16</v>
      </c>
      <c r="G22" s="6">
        <v>20324717</v>
      </c>
      <c r="H22" s="6" t="s">
        <v>127</v>
      </c>
      <c r="I22" s="6">
        <v>1</v>
      </c>
      <c r="J22" s="32" t="s">
        <v>28</v>
      </c>
      <c r="K22" s="20">
        <f t="shared" ref="K22:K29" si="1">M22/L22</f>
        <v>3</v>
      </c>
      <c r="L22" s="21">
        <v>4.4</v>
      </c>
      <c r="M22" s="21">
        <v>13.2</v>
      </c>
      <c r="N22" s="21">
        <v>13.2</v>
      </c>
    </row>
    <row r="23" spans="4:14">
      <c r="D23" s="18">
        <v>46182</v>
      </c>
      <c r="E23" s="6">
        <v>1610405</v>
      </c>
      <c r="F23" s="6" t="s">
        <v>16</v>
      </c>
      <c r="G23" s="6">
        <v>20324364</v>
      </c>
      <c r="H23" s="6" t="s">
        <v>21</v>
      </c>
      <c r="I23" s="6">
        <v>2</v>
      </c>
      <c r="J23" s="19" t="s">
        <v>18</v>
      </c>
      <c r="K23" s="20">
        <v>1</v>
      </c>
      <c r="L23" s="21">
        <v>6.4</v>
      </c>
      <c r="M23" s="21">
        <v>6.4</v>
      </c>
      <c r="N23" s="21">
        <v>12.8</v>
      </c>
    </row>
    <row r="24" spans="4:14">
      <c r="D24" s="18">
        <v>46182</v>
      </c>
      <c r="E24" s="6">
        <v>1610405</v>
      </c>
      <c r="F24" s="6" t="s">
        <v>16</v>
      </c>
      <c r="G24" s="6">
        <v>20324691</v>
      </c>
      <c r="H24" s="6" t="s">
        <v>31</v>
      </c>
      <c r="I24" s="6">
        <v>1</v>
      </c>
      <c r="J24" s="6" t="s">
        <v>20</v>
      </c>
      <c r="K24" s="20">
        <v>1</v>
      </c>
      <c r="L24" s="21">
        <v>8.8</v>
      </c>
      <c r="M24" s="21">
        <v>8.8</v>
      </c>
      <c r="N24" s="21">
        <v>8.8</v>
      </c>
    </row>
    <row r="25" spans="4:14">
      <c r="D25" s="18">
        <v>46182</v>
      </c>
      <c r="E25" s="6">
        <v>1610405</v>
      </c>
      <c r="F25" s="6" t="s">
        <v>16</v>
      </c>
      <c r="G25" s="6">
        <v>20406576</v>
      </c>
      <c r="H25" s="6" t="s">
        <v>123</v>
      </c>
      <c r="I25" s="6">
        <v>2</v>
      </c>
      <c r="J25" s="6" t="s">
        <v>124</v>
      </c>
      <c r="K25" s="20">
        <f t="shared" si="1"/>
        <v>3</v>
      </c>
      <c r="L25" s="21">
        <v>4.4</v>
      </c>
      <c r="M25" s="21">
        <v>13.2</v>
      </c>
      <c r="N25" s="21">
        <v>26.4</v>
      </c>
    </row>
    <row r="26" spans="4:14">
      <c r="D26" s="18">
        <v>46182</v>
      </c>
      <c r="E26" s="6">
        <v>1610405</v>
      </c>
      <c r="F26" s="6" t="s">
        <v>16</v>
      </c>
      <c r="G26" s="6">
        <v>20348523</v>
      </c>
      <c r="H26" s="6" t="s">
        <v>131</v>
      </c>
      <c r="I26" s="6">
        <v>1</v>
      </c>
      <c r="J26" s="6" t="s">
        <v>20</v>
      </c>
      <c r="K26" s="20">
        <v>1</v>
      </c>
      <c r="L26" s="21">
        <v>8.8</v>
      </c>
      <c r="M26" s="21">
        <v>8.8</v>
      </c>
      <c r="N26" s="21">
        <v>8.8</v>
      </c>
    </row>
    <row r="27" spans="4:14">
      <c r="D27" s="18">
        <v>46182</v>
      </c>
      <c r="E27" s="6">
        <v>1610405</v>
      </c>
      <c r="F27" s="6" t="s">
        <v>26</v>
      </c>
      <c r="G27" s="6">
        <v>20324495</v>
      </c>
      <c r="H27" s="6" t="s">
        <v>129</v>
      </c>
      <c r="I27" s="6">
        <v>1</v>
      </c>
      <c r="J27" s="32" t="s">
        <v>28</v>
      </c>
      <c r="K27" s="20">
        <f t="shared" si="1"/>
        <v>13</v>
      </c>
      <c r="L27" s="21">
        <v>4.4</v>
      </c>
      <c r="M27" s="21">
        <v>57.2</v>
      </c>
      <c r="N27" s="21">
        <v>57.2</v>
      </c>
    </row>
    <row r="28" spans="4:14">
      <c r="D28" s="18">
        <v>46182</v>
      </c>
      <c r="E28" s="6">
        <v>1610405</v>
      </c>
      <c r="F28" s="6" t="s">
        <v>26</v>
      </c>
      <c r="G28" s="6">
        <v>20324494</v>
      </c>
      <c r="H28" s="6" t="s">
        <v>125</v>
      </c>
      <c r="I28" s="6">
        <v>3</v>
      </c>
      <c r="J28" s="32" t="s">
        <v>28</v>
      </c>
      <c r="K28" s="20">
        <f t="shared" si="1"/>
        <v>11</v>
      </c>
      <c r="L28" s="21">
        <v>4.4</v>
      </c>
      <c r="M28" s="21">
        <v>48.4</v>
      </c>
      <c r="N28" s="21">
        <v>145.2</v>
      </c>
    </row>
    <row r="29" spans="4:14">
      <c r="D29" s="18">
        <v>46182</v>
      </c>
      <c r="E29" s="6">
        <v>1610405</v>
      </c>
      <c r="F29" s="6" t="s">
        <v>26</v>
      </c>
      <c r="G29" s="6">
        <v>20324493</v>
      </c>
      <c r="H29" s="6" t="s">
        <v>130</v>
      </c>
      <c r="I29" s="6">
        <v>2</v>
      </c>
      <c r="J29" s="32" t="s">
        <v>28</v>
      </c>
      <c r="K29" s="20">
        <f t="shared" si="1"/>
        <v>15</v>
      </c>
      <c r="L29" s="21">
        <v>4.4</v>
      </c>
      <c r="M29" s="21">
        <v>66</v>
      </c>
      <c r="N29" s="21">
        <v>132</v>
      </c>
    </row>
    <row r="30" spans="4:14">
      <c r="D30" s="18">
        <v>46182</v>
      </c>
      <c r="E30" s="6">
        <v>1610405</v>
      </c>
      <c r="F30" s="6" t="s">
        <v>26</v>
      </c>
      <c r="G30" s="6">
        <v>20324492</v>
      </c>
      <c r="H30" s="6" t="s">
        <v>126</v>
      </c>
      <c r="I30" s="6">
        <v>1</v>
      </c>
      <c r="J30" s="32" t="s">
        <v>28</v>
      </c>
      <c r="K30" s="20">
        <f t="shared" ref="K30:K37" si="2">M30/L30</f>
        <v>3</v>
      </c>
      <c r="L30" s="21">
        <v>4.4</v>
      </c>
      <c r="M30" s="21">
        <v>13.2</v>
      </c>
      <c r="N30" s="21">
        <v>13.2</v>
      </c>
    </row>
    <row r="31" spans="4:14">
      <c r="D31" s="18">
        <v>46182</v>
      </c>
      <c r="E31" s="6">
        <v>1610405</v>
      </c>
      <c r="F31" s="6" t="s">
        <v>16</v>
      </c>
      <c r="G31" s="6">
        <v>20324717</v>
      </c>
      <c r="H31" s="6" t="s">
        <v>127</v>
      </c>
      <c r="I31" s="6">
        <v>1</v>
      </c>
      <c r="J31" s="32" t="s">
        <v>28</v>
      </c>
      <c r="K31" s="20">
        <f t="shared" si="2"/>
        <v>3</v>
      </c>
      <c r="L31" s="21">
        <v>4.4</v>
      </c>
      <c r="M31" s="21">
        <v>13.2</v>
      </c>
      <c r="N31" s="21">
        <v>13.2</v>
      </c>
    </row>
    <row r="32" spans="4:14">
      <c r="D32" s="18">
        <v>46183</v>
      </c>
      <c r="E32" s="6">
        <v>1610841</v>
      </c>
      <c r="F32" s="6" t="s">
        <v>16</v>
      </c>
      <c r="G32" s="6">
        <v>20324364</v>
      </c>
      <c r="H32" s="6" t="s">
        <v>21</v>
      </c>
      <c r="I32" s="6">
        <v>3</v>
      </c>
      <c r="J32" s="19" t="s">
        <v>18</v>
      </c>
      <c r="K32" s="20">
        <v>1</v>
      </c>
      <c r="L32" s="21">
        <v>6.4</v>
      </c>
      <c r="M32" s="21">
        <v>6.4</v>
      </c>
      <c r="N32" s="21">
        <v>19.2</v>
      </c>
    </row>
    <row r="33" spans="4:14">
      <c r="D33" s="18">
        <v>46183</v>
      </c>
      <c r="E33" s="6">
        <v>1610841</v>
      </c>
      <c r="F33" s="6" t="s">
        <v>16</v>
      </c>
      <c r="G33" s="6">
        <v>20324691</v>
      </c>
      <c r="H33" s="6" t="s">
        <v>31</v>
      </c>
      <c r="I33" s="6">
        <v>1</v>
      </c>
      <c r="J33" s="6" t="s">
        <v>20</v>
      </c>
      <c r="K33" s="20">
        <v>1</v>
      </c>
      <c r="L33" s="21">
        <v>8.8</v>
      </c>
      <c r="M33" s="21">
        <v>8.8</v>
      </c>
      <c r="N33" s="21">
        <v>8.8</v>
      </c>
    </row>
    <row r="34" spans="4:14">
      <c r="D34" s="18">
        <v>46183</v>
      </c>
      <c r="E34" s="6">
        <v>1610841</v>
      </c>
      <c r="F34" s="6" t="s">
        <v>26</v>
      </c>
      <c r="G34" s="6">
        <v>20324494</v>
      </c>
      <c r="H34" s="6" t="s">
        <v>125</v>
      </c>
      <c r="I34" s="6">
        <v>2</v>
      </c>
      <c r="J34" s="32" t="s">
        <v>28</v>
      </c>
      <c r="K34" s="20">
        <f t="shared" si="2"/>
        <v>11</v>
      </c>
      <c r="L34" s="21">
        <v>4.4</v>
      </c>
      <c r="M34" s="21">
        <v>48.4</v>
      </c>
      <c r="N34" s="21">
        <v>96.8</v>
      </c>
    </row>
    <row r="35" spans="4:14">
      <c r="D35" s="18">
        <v>46183</v>
      </c>
      <c r="E35" s="6">
        <v>1610841</v>
      </c>
      <c r="F35" s="6" t="s">
        <v>26</v>
      </c>
      <c r="G35" s="6">
        <v>20324493</v>
      </c>
      <c r="H35" s="6" t="s">
        <v>130</v>
      </c>
      <c r="I35" s="6">
        <v>1</v>
      </c>
      <c r="J35" s="32" t="s">
        <v>28</v>
      </c>
      <c r="K35" s="20">
        <f t="shared" si="2"/>
        <v>15</v>
      </c>
      <c r="L35" s="21">
        <v>4.4</v>
      </c>
      <c r="M35" s="21">
        <v>66</v>
      </c>
      <c r="N35" s="21">
        <v>66</v>
      </c>
    </row>
    <row r="36" spans="4:14">
      <c r="D36" s="18">
        <v>46183</v>
      </c>
      <c r="E36" s="6">
        <v>1610841</v>
      </c>
      <c r="F36" s="6" t="s">
        <v>26</v>
      </c>
      <c r="G36" s="6">
        <v>20324492</v>
      </c>
      <c r="H36" s="6" t="s">
        <v>126</v>
      </c>
      <c r="I36" s="6">
        <v>1</v>
      </c>
      <c r="J36" s="32" t="s">
        <v>28</v>
      </c>
      <c r="K36" s="20">
        <f t="shared" si="2"/>
        <v>3</v>
      </c>
      <c r="L36" s="21">
        <v>4.4</v>
      </c>
      <c r="M36" s="21">
        <v>13.2</v>
      </c>
      <c r="N36" s="21">
        <v>13.2</v>
      </c>
    </row>
    <row r="37" spans="4:14">
      <c r="D37" s="18">
        <v>46183</v>
      </c>
      <c r="E37" s="6">
        <v>1610841</v>
      </c>
      <c r="F37" s="6" t="s">
        <v>16</v>
      </c>
      <c r="G37" s="6">
        <v>20324717</v>
      </c>
      <c r="H37" s="6" t="s">
        <v>127</v>
      </c>
      <c r="I37" s="6">
        <v>1</v>
      </c>
      <c r="J37" s="32" t="s">
        <v>28</v>
      </c>
      <c r="K37" s="20">
        <f t="shared" si="2"/>
        <v>3</v>
      </c>
      <c r="L37" s="21">
        <v>4.4</v>
      </c>
      <c r="M37" s="21">
        <v>13.2</v>
      </c>
      <c r="N37" s="21">
        <v>13.2</v>
      </c>
    </row>
    <row r="38" spans="4:14">
      <c r="D38" s="18">
        <v>46185</v>
      </c>
      <c r="E38" s="6">
        <v>1611888</v>
      </c>
      <c r="F38" s="6" t="s">
        <v>16</v>
      </c>
      <c r="G38" s="6">
        <v>20324364</v>
      </c>
      <c r="H38" s="6" t="s">
        <v>21</v>
      </c>
      <c r="I38" s="6">
        <v>2</v>
      </c>
      <c r="J38" s="19" t="s">
        <v>18</v>
      </c>
      <c r="K38" s="20">
        <v>1</v>
      </c>
      <c r="L38" s="21">
        <v>6.4</v>
      </c>
      <c r="M38" s="21">
        <v>6.4</v>
      </c>
      <c r="N38" s="21">
        <v>12.8</v>
      </c>
    </row>
    <row r="39" spans="4:14">
      <c r="D39" s="18">
        <v>46185</v>
      </c>
      <c r="E39" s="6">
        <v>1611888</v>
      </c>
      <c r="F39" s="6" t="s">
        <v>16</v>
      </c>
      <c r="G39" s="6">
        <v>20324691</v>
      </c>
      <c r="H39" s="6" t="s">
        <v>31</v>
      </c>
      <c r="I39" s="6">
        <v>2</v>
      </c>
      <c r="J39" s="6" t="s">
        <v>20</v>
      </c>
      <c r="K39" s="20">
        <v>1</v>
      </c>
      <c r="L39" s="21">
        <v>8.8</v>
      </c>
      <c r="M39" s="21">
        <v>8.8</v>
      </c>
      <c r="N39" s="21">
        <v>17.6</v>
      </c>
    </row>
    <row r="40" spans="4:14">
      <c r="D40" s="18">
        <v>46185</v>
      </c>
      <c r="E40" s="6">
        <v>1611888</v>
      </c>
      <c r="F40" s="6" t="s">
        <v>16</v>
      </c>
      <c r="G40" s="6">
        <v>20324403</v>
      </c>
      <c r="H40" s="6" t="s">
        <v>121</v>
      </c>
      <c r="I40" s="6">
        <v>1</v>
      </c>
      <c r="J40" s="19" t="s">
        <v>18</v>
      </c>
      <c r="K40" s="20">
        <v>1</v>
      </c>
      <c r="L40" s="21">
        <v>6.4</v>
      </c>
      <c r="M40" s="21">
        <v>6.4</v>
      </c>
      <c r="N40" s="21">
        <v>6.4</v>
      </c>
    </row>
    <row r="41" spans="4:14">
      <c r="D41" s="18">
        <v>46185</v>
      </c>
      <c r="E41" s="6">
        <v>1611888</v>
      </c>
      <c r="F41" s="6" t="s">
        <v>16</v>
      </c>
      <c r="G41" s="6">
        <v>20366999</v>
      </c>
      <c r="H41" s="6" t="s">
        <v>132</v>
      </c>
      <c r="I41" s="6">
        <v>1</v>
      </c>
      <c r="J41" s="6" t="s">
        <v>20</v>
      </c>
      <c r="K41" s="20">
        <v>1</v>
      </c>
      <c r="L41" s="21">
        <v>8.8</v>
      </c>
      <c r="M41" s="21">
        <v>8.8</v>
      </c>
      <c r="N41" s="21">
        <v>8.8</v>
      </c>
    </row>
    <row r="42" spans="4:14">
      <c r="D42" s="18">
        <v>46185</v>
      </c>
      <c r="E42" s="6">
        <v>1611888</v>
      </c>
      <c r="F42" s="6" t="s">
        <v>16</v>
      </c>
      <c r="G42" s="6">
        <v>20324402</v>
      </c>
      <c r="H42" s="6" t="s">
        <v>24</v>
      </c>
      <c r="I42" s="6">
        <v>1</v>
      </c>
      <c r="J42" s="6" t="s">
        <v>20</v>
      </c>
      <c r="K42" s="20">
        <v>1</v>
      </c>
      <c r="L42" s="21">
        <v>8.8</v>
      </c>
      <c r="M42" s="21">
        <v>8.8</v>
      </c>
      <c r="N42" s="21">
        <v>8.8</v>
      </c>
    </row>
    <row r="43" spans="4:14">
      <c r="D43" s="18">
        <v>46185</v>
      </c>
      <c r="E43" s="6">
        <v>1611888</v>
      </c>
      <c r="F43" s="6" t="s">
        <v>26</v>
      </c>
      <c r="G43" s="6">
        <v>20324495</v>
      </c>
      <c r="H43" s="6" t="s">
        <v>129</v>
      </c>
      <c r="I43" s="6">
        <v>1</v>
      </c>
      <c r="J43" s="32" t="s">
        <v>28</v>
      </c>
      <c r="K43" s="20">
        <f t="shared" ref="K43:K47" si="3">M43/L43</f>
        <v>13</v>
      </c>
      <c r="L43" s="21">
        <v>4.4</v>
      </c>
      <c r="M43" s="21">
        <v>57.2</v>
      </c>
      <c r="N43" s="21">
        <v>57.2</v>
      </c>
    </row>
    <row r="44" spans="4:14">
      <c r="D44" s="18">
        <v>46185</v>
      </c>
      <c r="E44" s="6">
        <v>1611888</v>
      </c>
      <c r="F44" s="6" t="s">
        <v>26</v>
      </c>
      <c r="G44" s="6">
        <v>20324494</v>
      </c>
      <c r="H44" s="6" t="s">
        <v>125</v>
      </c>
      <c r="I44" s="6">
        <v>3</v>
      </c>
      <c r="J44" s="32" t="s">
        <v>28</v>
      </c>
      <c r="K44" s="20">
        <f t="shared" si="3"/>
        <v>11</v>
      </c>
      <c r="L44" s="21">
        <v>4.4</v>
      </c>
      <c r="M44" s="21">
        <v>48.4</v>
      </c>
      <c r="N44" s="21">
        <v>145.2</v>
      </c>
    </row>
    <row r="45" spans="4:14">
      <c r="D45" s="18">
        <v>46185</v>
      </c>
      <c r="E45" s="6">
        <v>1611888</v>
      </c>
      <c r="F45" s="6" t="s">
        <v>26</v>
      </c>
      <c r="G45" s="6">
        <v>20324493</v>
      </c>
      <c r="H45" s="6" t="s">
        <v>130</v>
      </c>
      <c r="I45" s="6">
        <v>1</v>
      </c>
      <c r="J45" s="32" t="s">
        <v>28</v>
      </c>
      <c r="K45" s="20">
        <f t="shared" si="3"/>
        <v>15</v>
      </c>
      <c r="L45" s="21">
        <v>4.4</v>
      </c>
      <c r="M45" s="21">
        <v>66</v>
      </c>
      <c r="N45" s="21">
        <v>66</v>
      </c>
    </row>
    <row r="46" spans="4:14">
      <c r="D46" s="18">
        <v>46185</v>
      </c>
      <c r="E46" s="6">
        <v>1611888</v>
      </c>
      <c r="F46" s="6" t="s">
        <v>26</v>
      </c>
      <c r="G46" s="6">
        <v>20324492</v>
      </c>
      <c r="H46" s="6" t="s">
        <v>126</v>
      </c>
      <c r="I46" s="6">
        <v>1</v>
      </c>
      <c r="J46" s="32" t="s">
        <v>28</v>
      </c>
      <c r="K46" s="20">
        <f t="shared" si="3"/>
        <v>3</v>
      </c>
      <c r="L46" s="21">
        <v>4.4</v>
      </c>
      <c r="M46" s="21">
        <v>13.2</v>
      </c>
      <c r="N46" s="21">
        <v>13.2</v>
      </c>
    </row>
    <row r="47" spans="4:14">
      <c r="D47" s="18">
        <v>46185</v>
      </c>
      <c r="E47" s="6">
        <v>1611888</v>
      </c>
      <c r="F47" s="6" t="s">
        <v>16</v>
      </c>
      <c r="G47" s="6">
        <v>20324717</v>
      </c>
      <c r="H47" s="6" t="s">
        <v>127</v>
      </c>
      <c r="I47" s="6">
        <v>1</v>
      </c>
      <c r="J47" s="32" t="s">
        <v>28</v>
      </c>
      <c r="K47" s="20">
        <f t="shared" si="3"/>
        <v>3</v>
      </c>
      <c r="L47" s="21">
        <v>4.4</v>
      </c>
      <c r="M47" s="21">
        <v>13.2</v>
      </c>
      <c r="N47" s="21">
        <v>13.2</v>
      </c>
    </row>
    <row r="48" spans="4:14">
      <c r="D48" s="18">
        <v>46190</v>
      </c>
      <c r="E48" s="6">
        <v>1612800</v>
      </c>
      <c r="F48" s="6" t="s">
        <v>16</v>
      </c>
      <c r="G48" s="6">
        <v>20324382</v>
      </c>
      <c r="H48" s="6" t="s">
        <v>17</v>
      </c>
      <c r="I48" s="6">
        <v>3</v>
      </c>
      <c r="J48" s="19" t="s">
        <v>18</v>
      </c>
      <c r="K48" s="20">
        <v>1</v>
      </c>
      <c r="L48" s="21">
        <v>6.4</v>
      </c>
      <c r="M48" s="21">
        <v>6.4</v>
      </c>
      <c r="N48" s="21">
        <v>19.2</v>
      </c>
    </row>
    <row r="49" spans="4:14">
      <c r="D49" s="18">
        <v>46190</v>
      </c>
      <c r="E49" s="6">
        <v>1612800</v>
      </c>
      <c r="F49" s="6" t="s">
        <v>16</v>
      </c>
      <c r="G49" s="6">
        <v>20324364</v>
      </c>
      <c r="H49" s="6" t="s">
        <v>21</v>
      </c>
      <c r="I49" s="6">
        <v>1</v>
      </c>
      <c r="J49" s="19" t="s">
        <v>18</v>
      </c>
      <c r="K49" s="20">
        <v>1</v>
      </c>
      <c r="L49" s="21">
        <v>6.4</v>
      </c>
      <c r="M49" s="21">
        <v>6.4</v>
      </c>
      <c r="N49" s="21">
        <v>6.4</v>
      </c>
    </row>
    <row r="50" spans="4:14">
      <c r="D50" s="18">
        <v>46190</v>
      </c>
      <c r="E50" s="6">
        <v>1612800</v>
      </c>
      <c r="F50" s="6" t="s">
        <v>16</v>
      </c>
      <c r="G50" s="6">
        <v>20324691</v>
      </c>
      <c r="H50" s="6" t="s">
        <v>31</v>
      </c>
      <c r="I50" s="6">
        <v>1</v>
      </c>
      <c r="J50" s="6" t="s">
        <v>20</v>
      </c>
      <c r="K50" s="20">
        <v>1</v>
      </c>
      <c r="L50" s="21">
        <v>8.8</v>
      </c>
      <c r="M50" s="21">
        <v>8.8</v>
      </c>
      <c r="N50" s="21">
        <v>8.8</v>
      </c>
    </row>
    <row r="51" spans="4:14">
      <c r="D51" s="18">
        <v>46190</v>
      </c>
      <c r="E51" s="6">
        <v>1612800</v>
      </c>
      <c r="F51" s="6" t="s">
        <v>16</v>
      </c>
      <c r="G51" s="6">
        <v>20324403</v>
      </c>
      <c r="H51" s="6" t="s">
        <v>121</v>
      </c>
      <c r="I51" s="6">
        <v>1</v>
      </c>
      <c r="J51" s="19" t="s">
        <v>18</v>
      </c>
      <c r="K51" s="20">
        <v>1</v>
      </c>
      <c r="L51" s="21">
        <v>6.4</v>
      </c>
      <c r="M51" s="21">
        <v>6.4</v>
      </c>
      <c r="N51" s="21">
        <v>6.4</v>
      </c>
    </row>
    <row r="52" spans="4:14">
      <c r="D52" s="18">
        <v>46190</v>
      </c>
      <c r="E52" s="6">
        <v>1612800</v>
      </c>
      <c r="F52" s="6" t="s">
        <v>16</v>
      </c>
      <c r="G52" s="6">
        <v>20406576</v>
      </c>
      <c r="H52" s="6" t="s">
        <v>123</v>
      </c>
      <c r="I52" s="6">
        <v>4</v>
      </c>
      <c r="J52" s="6" t="s">
        <v>124</v>
      </c>
      <c r="K52" s="20">
        <f t="shared" ref="K52:K57" si="4">M52/L52</f>
        <v>3</v>
      </c>
      <c r="L52" s="21">
        <v>4.4</v>
      </c>
      <c r="M52" s="21">
        <v>13.2</v>
      </c>
      <c r="N52" s="21">
        <v>52.8</v>
      </c>
    </row>
    <row r="53" spans="4:14">
      <c r="D53" s="18">
        <v>46190</v>
      </c>
      <c r="E53" s="6">
        <v>1612800</v>
      </c>
      <c r="F53" s="6" t="s">
        <v>16</v>
      </c>
      <c r="G53" s="6">
        <v>20324402</v>
      </c>
      <c r="H53" s="6" t="s">
        <v>24</v>
      </c>
      <c r="I53" s="6">
        <v>2</v>
      </c>
      <c r="J53" s="6" t="s">
        <v>20</v>
      </c>
      <c r="K53" s="20">
        <v>1</v>
      </c>
      <c r="L53" s="21">
        <v>8.8</v>
      </c>
      <c r="M53" s="21">
        <v>8.8</v>
      </c>
      <c r="N53" s="21">
        <v>17.6</v>
      </c>
    </row>
    <row r="54" spans="4:14">
      <c r="D54" s="18">
        <v>46190</v>
      </c>
      <c r="E54" s="6">
        <v>1612800</v>
      </c>
      <c r="F54" s="6" t="s">
        <v>26</v>
      </c>
      <c r="G54" s="6">
        <v>20324494</v>
      </c>
      <c r="H54" s="6" t="s">
        <v>125</v>
      </c>
      <c r="I54" s="6">
        <v>3</v>
      </c>
      <c r="J54" s="32" t="s">
        <v>28</v>
      </c>
      <c r="K54" s="20">
        <f t="shared" si="4"/>
        <v>11</v>
      </c>
      <c r="L54" s="21">
        <v>4.4</v>
      </c>
      <c r="M54" s="21">
        <v>48.4</v>
      </c>
      <c r="N54" s="21">
        <v>145.2</v>
      </c>
    </row>
    <row r="55" spans="4:14">
      <c r="D55" s="18">
        <v>46190</v>
      </c>
      <c r="E55" s="6">
        <v>1612800</v>
      </c>
      <c r="F55" s="6" t="s">
        <v>26</v>
      </c>
      <c r="G55" s="6">
        <v>20324493</v>
      </c>
      <c r="H55" s="6" t="s">
        <v>130</v>
      </c>
      <c r="I55" s="6">
        <v>5</v>
      </c>
      <c r="J55" s="32" t="s">
        <v>28</v>
      </c>
      <c r="K55" s="20">
        <f t="shared" si="4"/>
        <v>15</v>
      </c>
      <c r="L55" s="21">
        <v>4.4</v>
      </c>
      <c r="M55" s="21">
        <v>66</v>
      </c>
      <c r="N55" s="21">
        <v>330</v>
      </c>
    </row>
    <row r="56" spans="4:14">
      <c r="D56" s="18">
        <v>46190</v>
      </c>
      <c r="E56" s="6">
        <v>1612800</v>
      </c>
      <c r="F56" s="6" t="s">
        <v>26</v>
      </c>
      <c r="G56" s="6">
        <v>20324492</v>
      </c>
      <c r="H56" s="6" t="s">
        <v>126</v>
      </c>
      <c r="I56" s="6">
        <v>1</v>
      </c>
      <c r="J56" s="32" t="s">
        <v>28</v>
      </c>
      <c r="K56" s="20">
        <f t="shared" si="4"/>
        <v>3</v>
      </c>
      <c r="L56" s="21">
        <v>4.4</v>
      </c>
      <c r="M56" s="21">
        <v>13.2</v>
      </c>
      <c r="N56" s="21">
        <v>13.2</v>
      </c>
    </row>
    <row r="57" spans="4:14">
      <c r="D57" s="18">
        <v>46190</v>
      </c>
      <c r="E57" s="6">
        <v>1612800</v>
      </c>
      <c r="F57" s="6" t="s">
        <v>16</v>
      </c>
      <c r="G57" s="6">
        <v>20324717</v>
      </c>
      <c r="H57" s="6" t="s">
        <v>127</v>
      </c>
      <c r="I57" s="6">
        <v>1</v>
      </c>
      <c r="J57" s="32" t="s">
        <v>28</v>
      </c>
      <c r="K57" s="20">
        <f t="shared" si="4"/>
        <v>3</v>
      </c>
      <c r="L57" s="21">
        <v>4.4</v>
      </c>
      <c r="M57" s="21">
        <v>13.2</v>
      </c>
      <c r="N57" s="21">
        <v>13.2</v>
      </c>
    </row>
    <row r="58" spans="4:14">
      <c r="D58" s="18">
        <v>46192</v>
      </c>
      <c r="E58" s="6">
        <v>1613591</v>
      </c>
      <c r="F58" s="6" t="s">
        <v>16</v>
      </c>
      <c r="G58" s="6">
        <v>20324428</v>
      </c>
      <c r="H58" s="6" t="s">
        <v>36</v>
      </c>
      <c r="I58" s="6">
        <v>1</v>
      </c>
      <c r="J58" s="19" t="s">
        <v>18</v>
      </c>
      <c r="K58" s="20">
        <v>1</v>
      </c>
      <c r="L58" s="21">
        <v>6.4</v>
      </c>
      <c r="M58" s="21">
        <v>6.4</v>
      </c>
      <c r="N58" s="21">
        <v>6.4</v>
      </c>
    </row>
    <row r="59" spans="4:14">
      <c r="D59" s="18">
        <v>46192</v>
      </c>
      <c r="E59" s="6">
        <v>1613591</v>
      </c>
      <c r="F59" s="6" t="s">
        <v>16</v>
      </c>
      <c r="G59" s="6">
        <v>20324691</v>
      </c>
      <c r="H59" s="6" t="s">
        <v>31</v>
      </c>
      <c r="I59" s="6">
        <v>2</v>
      </c>
      <c r="J59" s="6" t="s">
        <v>20</v>
      </c>
      <c r="K59" s="20">
        <v>1</v>
      </c>
      <c r="L59" s="21">
        <v>8.8</v>
      </c>
      <c r="M59" s="21">
        <v>8.8</v>
      </c>
      <c r="N59" s="21">
        <v>17.6</v>
      </c>
    </row>
    <row r="60" spans="4:14">
      <c r="D60" s="18">
        <v>46192</v>
      </c>
      <c r="E60" s="6">
        <v>1613591</v>
      </c>
      <c r="F60" s="6" t="s">
        <v>16</v>
      </c>
      <c r="G60" s="6">
        <v>20324403</v>
      </c>
      <c r="H60" s="6" t="s">
        <v>121</v>
      </c>
      <c r="I60" s="6">
        <v>1</v>
      </c>
      <c r="J60" s="19" t="s">
        <v>18</v>
      </c>
      <c r="K60" s="20">
        <v>1</v>
      </c>
      <c r="L60" s="21">
        <v>6.4</v>
      </c>
      <c r="M60" s="21">
        <v>6.4</v>
      </c>
      <c r="N60" s="21">
        <v>6.4</v>
      </c>
    </row>
    <row r="61" spans="4:14">
      <c r="D61" s="18">
        <v>46192</v>
      </c>
      <c r="E61" s="6">
        <v>1613591</v>
      </c>
      <c r="F61" s="6" t="s">
        <v>16</v>
      </c>
      <c r="G61" s="6">
        <v>20324533</v>
      </c>
      <c r="H61" s="6" t="s">
        <v>122</v>
      </c>
      <c r="I61" s="6">
        <v>1</v>
      </c>
      <c r="J61" s="19" t="s">
        <v>18</v>
      </c>
      <c r="K61" s="20">
        <v>1</v>
      </c>
      <c r="L61" s="21">
        <v>6.4</v>
      </c>
      <c r="M61" s="21">
        <v>6.4</v>
      </c>
      <c r="N61" s="21">
        <v>6.4</v>
      </c>
    </row>
    <row r="62" spans="4:14">
      <c r="D62" s="18">
        <v>46192</v>
      </c>
      <c r="E62" s="6">
        <v>1613591</v>
      </c>
      <c r="F62" s="6" t="s">
        <v>16</v>
      </c>
      <c r="G62" s="6">
        <v>20324402</v>
      </c>
      <c r="H62" s="6" t="s">
        <v>24</v>
      </c>
      <c r="I62" s="6">
        <v>1</v>
      </c>
      <c r="J62" s="6" t="s">
        <v>20</v>
      </c>
      <c r="K62" s="20">
        <v>1</v>
      </c>
      <c r="L62" s="21">
        <v>8.8</v>
      </c>
      <c r="M62" s="21">
        <v>8.8</v>
      </c>
      <c r="N62" s="21">
        <v>8.8</v>
      </c>
    </row>
    <row r="63" spans="4:14">
      <c r="D63" s="18">
        <v>46192</v>
      </c>
      <c r="E63" s="6">
        <v>1613591</v>
      </c>
      <c r="F63" s="6" t="s">
        <v>26</v>
      </c>
      <c r="G63" s="6">
        <v>20324494</v>
      </c>
      <c r="H63" s="6" t="s">
        <v>125</v>
      </c>
      <c r="I63" s="6">
        <v>3</v>
      </c>
      <c r="J63" s="32" t="s">
        <v>28</v>
      </c>
      <c r="K63" s="20">
        <f t="shared" ref="K63:K67" si="5">M63/L63</f>
        <v>11</v>
      </c>
      <c r="L63" s="21">
        <v>4.4</v>
      </c>
      <c r="M63" s="21">
        <v>48.4</v>
      </c>
      <c r="N63" s="21">
        <v>145.2</v>
      </c>
    </row>
    <row r="64" spans="4:14">
      <c r="D64" s="18">
        <v>46192</v>
      </c>
      <c r="E64" s="6">
        <v>1613591</v>
      </c>
      <c r="F64" s="6" t="s">
        <v>26</v>
      </c>
      <c r="G64" s="6">
        <v>20324493</v>
      </c>
      <c r="H64" s="6" t="s">
        <v>130</v>
      </c>
      <c r="I64" s="6">
        <v>2</v>
      </c>
      <c r="J64" s="32" t="s">
        <v>28</v>
      </c>
      <c r="K64" s="20">
        <f t="shared" si="5"/>
        <v>15</v>
      </c>
      <c r="L64" s="21">
        <v>4.4</v>
      </c>
      <c r="M64" s="21">
        <v>66</v>
      </c>
      <c r="N64" s="21">
        <v>132</v>
      </c>
    </row>
    <row r="65" spans="4:14">
      <c r="D65" s="18">
        <v>46192</v>
      </c>
      <c r="E65" s="6">
        <v>1613591</v>
      </c>
      <c r="F65" s="6" t="s">
        <v>26</v>
      </c>
      <c r="G65" s="6">
        <v>20324492</v>
      </c>
      <c r="H65" s="6" t="s">
        <v>126</v>
      </c>
      <c r="I65" s="6">
        <v>3</v>
      </c>
      <c r="J65" s="32" t="s">
        <v>28</v>
      </c>
      <c r="K65" s="20">
        <f t="shared" si="5"/>
        <v>3</v>
      </c>
      <c r="L65" s="21">
        <v>4.4</v>
      </c>
      <c r="M65" s="21">
        <v>13.2</v>
      </c>
      <c r="N65" s="21">
        <v>39.6</v>
      </c>
    </row>
    <row r="66" spans="4:14">
      <c r="D66" s="18">
        <v>46192</v>
      </c>
      <c r="E66" s="6">
        <v>1613591</v>
      </c>
      <c r="F66" s="6" t="s">
        <v>16</v>
      </c>
      <c r="G66" s="6">
        <v>20324717</v>
      </c>
      <c r="H66" s="6" t="s">
        <v>127</v>
      </c>
      <c r="I66" s="6">
        <v>1</v>
      </c>
      <c r="J66" s="32" t="s">
        <v>28</v>
      </c>
      <c r="K66" s="20">
        <f t="shared" si="5"/>
        <v>3</v>
      </c>
      <c r="L66" s="21">
        <v>4.4</v>
      </c>
      <c r="M66" s="21">
        <v>13.2</v>
      </c>
      <c r="N66" s="21">
        <v>13.2</v>
      </c>
    </row>
    <row r="67" spans="4:14">
      <c r="D67" s="18">
        <v>46195</v>
      </c>
      <c r="E67" s="6">
        <v>1614183</v>
      </c>
      <c r="F67" s="6" t="s">
        <v>26</v>
      </c>
      <c r="G67" s="6">
        <v>20324493</v>
      </c>
      <c r="H67" s="6" t="s">
        <v>130</v>
      </c>
      <c r="I67" s="6">
        <v>1</v>
      </c>
      <c r="J67" s="32" t="s">
        <v>28</v>
      </c>
      <c r="K67" s="20">
        <f t="shared" si="5"/>
        <v>15</v>
      </c>
      <c r="L67" s="21">
        <v>4.4</v>
      </c>
      <c r="M67" s="21">
        <v>66</v>
      </c>
      <c r="N67" s="21">
        <v>66</v>
      </c>
    </row>
    <row r="68" spans="4:14">
      <c r="D68" s="18">
        <v>46197</v>
      </c>
      <c r="E68" s="6">
        <v>1614544</v>
      </c>
      <c r="F68" s="6" t="s">
        <v>16</v>
      </c>
      <c r="G68" s="6">
        <v>20324364</v>
      </c>
      <c r="H68" s="6" t="s">
        <v>21</v>
      </c>
      <c r="I68" s="6">
        <v>4</v>
      </c>
      <c r="J68" s="19" t="s">
        <v>18</v>
      </c>
      <c r="K68" s="20">
        <v>1</v>
      </c>
      <c r="L68" s="21">
        <v>6.4</v>
      </c>
      <c r="M68" s="21">
        <v>6.4</v>
      </c>
      <c r="N68" s="21">
        <v>25.6</v>
      </c>
    </row>
    <row r="69" spans="4:14">
      <c r="D69" s="18">
        <v>46197</v>
      </c>
      <c r="E69" s="6">
        <v>1614544</v>
      </c>
      <c r="F69" s="6" t="s">
        <v>16</v>
      </c>
      <c r="G69" s="6">
        <v>20324691</v>
      </c>
      <c r="H69" s="6" t="s">
        <v>31</v>
      </c>
      <c r="I69" s="6">
        <v>1</v>
      </c>
      <c r="J69" s="6" t="s">
        <v>20</v>
      </c>
      <c r="K69" s="20">
        <v>1</v>
      </c>
      <c r="L69" s="21">
        <v>8.8</v>
      </c>
      <c r="M69" s="21">
        <v>8.8</v>
      </c>
      <c r="N69" s="21">
        <v>8.8</v>
      </c>
    </row>
    <row r="70" spans="4:14">
      <c r="D70" s="18">
        <v>46197</v>
      </c>
      <c r="E70" s="6">
        <v>1614544</v>
      </c>
      <c r="F70" s="6" t="s">
        <v>16</v>
      </c>
      <c r="G70" s="6">
        <v>20324403</v>
      </c>
      <c r="H70" s="6" t="s">
        <v>121</v>
      </c>
      <c r="I70" s="6">
        <v>2</v>
      </c>
      <c r="J70" s="19" t="s">
        <v>18</v>
      </c>
      <c r="K70" s="20">
        <v>1</v>
      </c>
      <c r="L70" s="21">
        <v>6.4</v>
      </c>
      <c r="M70" s="21">
        <v>6.4</v>
      </c>
      <c r="N70" s="21">
        <v>12.8</v>
      </c>
    </row>
    <row r="71" spans="4:14">
      <c r="D71" s="18">
        <v>46197</v>
      </c>
      <c r="E71" s="6">
        <v>1614544</v>
      </c>
      <c r="F71" s="6" t="s">
        <v>16</v>
      </c>
      <c r="G71" s="6">
        <v>20366999</v>
      </c>
      <c r="H71" s="6" t="s">
        <v>132</v>
      </c>
      <c r="I71" s="6">
        <v>1</v>
      </c>
      <c r="J71" s="6" t="s">
        <v>20</v>
      </c>
      <c r="K71" s="20">
        <v>1</v>
      </c>
      <c r="L71" s="21">
        <v>8.8</v>
      </c>
      <c r="M71" s="21">
        <v>8.8</v>
      </c>
      <c r="N71" s="21">
        <v>8.8</v>
      </c>
    </row>
    <row r="72" spans="4:14">
      <c r="D72" s="18">
        <v>46197</v>
      </c>
      <c r="E72" s="6">
        <v>1614544</v>
      </c>
      <c r="F72" s="6" t="s">
        <v>16</v>
      </c>
      <c r="G72" s="6">
        <v>20324533</v>
      </c>
      <c r="H72" s="6" t="s">
        <v>122</v>
      </c>
      <c r="I72" s="6">
        <v>2</v>
      </c>
      <c r="J72" s="19" t="s">
        <v>18</v>
      </c>
      <c r="K72" s="20">
        <v>1</v>
      </c>
      <c r="L72" s="21">
        <v>6.4</v>
      </c>
      <c r="M72" s="21">
        <v>6.4</v>
      </c>
      <c r="N72" s="21">
        <v>12.8</v>
      </c>
    </row>
    <row r="73" spans="4:14">
      <c r="D73" s="18">
        <v>46197</v>
      </c>
      <c r="E73" s="6">
        <v>1614544</v>
      </c>
      <c r="F73" s="6" t="s">
        <v>16</v>
      </c>
      <c r="G73" s="6">
        <v>20367557</v>
      </c>
      <c r="H73" s="6" t="s">
        <v>128</v>
      </c>
      <c r="I73" s="6">
        <v>1</v>
      </c>
      <c r="J73" s="6" t="s">
        <v>20</v>
      </c>
      <c r="K73" s="20">
        <v>1</v>
      </c>
      <c r="L73" s="21">
        <v>8.8</v>
      </c>
      <c r="M73" s="21">
        <v>13.2</v>
      </c>
      <c r="N73" s="21">
        <v>13.2</v>
      </c>
    </row>
    <row r="74" spans="4:14">
      <c r="D74" s="18"/>
      <c r="E74" s="6"/>
      <c r="F74" s="6"/>
      <c r="G74" s="6"/>
      <c r="H74" s="6"/>
      <c r="I74" s="6"/>
      <c r="J74" s="6" t="s">
        <v>124</v>
      </c>
      <c r="K74" s="20">
        <v>1</v>
      </c>
      <c r="L74" s="21">
        <v>4.4</v>
      </c>
      <c r="M74" s="21"/>
      <c r="N74" s="21"/>
    </row>
    <row r="75" spans="4:14">
      <c r="D75" s="18">
        <v>46197</v>
      </c>
      <c r="E75" s="6">
        <v>1614544</v>
      </c>
      <c r="F75" s="6" t="s">
        <v>16</v>
      </c>
      <c r="G75" s="6">
        <v>20406576</v>
      </c>
      <c r="H75" s="6" t="s">
        <v>123</v>
      </c>
      <c r="I75" s="6">
        <v>5</v>
      </c>
      <c r="J75" s="6" t="s">
        <v>124</v>
      </c>
      <c r="K75" s="20">
        <f t="shared" ref="K75:K80" si="6">M75/L75</f>
        <v>3</v>
      </c>
      <c r="L75" s="21">
        <v>4.4</v>
      </c>
      <c r="M75" s="21">
        <v>13.2</v>
      </c>
      <c r="N75" s="21">
        <v>66</v>
      </c>
    </row>
    <row r="76" spans="4:14">
      <c r="D76" s="18">
        <v>46197</v>
      </c>
      <c r="E76" s="6">
        <v>1614544</v>
      </c>
      <c r="F76" s="6" t="s">
        <v>16</v>
      </c>
      <c r="G76" s="6">
        <v>20348523</v>
      </c>
      <c r="H76" s="6" t="s">
        <v>131</v>
      </c>
      <c r="I76" s="6">
        <v>1</v>
      </c>
      <c r="J76" s="6" t="s">
        <v>20</v>
      </c>
      <c r="K76" s="20">
        <v>1</v>
      </c>
      <c r="L76" s="21">
        <v>8.8</v>
      </c>
      <c r="M76" s="21">
        <v>8.8</v>
      </c>
      <c r="N76" s="21">
        <v>8.8</v>
      </c>
    </row>
    <row r="77" spans="4:14">
      <c r="D77" s="18">
        <v>46197</v>
      </c>
      <c r="E77" s="6">
        <v>1614544</v>
      </c>
      <c r="F77" s="6" t="s">
        <v>26</v>
      </c>
      <c r="G77" s="6">
        <v>20324494</v>
      </c>
      <c r="H77" s="6" t="s">
        <v>125</v>
      </c>
      <c r="I77" s="6">
        <v>3</v>
      </c>
      <c r="J77" s="32" t="s">
        <v>28</v>
      </c>
      <c r="K77" s="20">
        <f t="shared" si="6"/>
        <v>11</v>
      </c>
      <c r="L77" s="21">
        <v>4.4</v>
      </c>
      <c r="M77" s="21">
        <v>48.4</v>
      </c>
      <c r="N77" s="21">
        <v>145.2</v>
      </c>
    </row>
    <row r="78" spans="4:14">
      <c r="D78" s="18">
        <v>46197</v>
      </c>
      <c r="E78" s="6">
        <v>1614544</v>
      </c>
      <c r="F78" s="6" t="s">
        <v>26</v>
      </c>
      <c r="G78" s="6">
        <v>20324493</v>
      </c>
      <c r="H78" s="6" t="s">
        <v>130</v>
      </c>
      <c r="I78" s="6">
        <v>2</v>
      </c>
      <c r="J78" s="32" t="s">
        <v>28</v>
      </c>
      <c r="K78" s="20">
        <f t="shared" si="6"/>
        <v>15</v>
      </c>
      <c r="L78" s="21">
        <v>4.4</v>
      </c>
      <c r="M78" s="21">
        <v>66</v>
      </c>
      <c r="N78" s="21">
        <v>132</v>
      </c>
    </row>
    <row r="79" spans="4:14">
      <c r="D79" s="18">
        <v>46197</v>
      </c>
      <c r="E79" s="6">
        <v>1614544</v>
      </c>
      <c r="F79" s="6" t="s">
        <v>26</v>
      </c>
      <c r="G79" s="6">
        <v>20324492</v>
      </c>
      <c r="H79" s="6" t="s">
        <v>126</v>
      </c>
      <c r="I79" s="6">
        <v>3</v>
      </c>
      <c r="J79" s="32" t="s">
        <v>28</v>
      </c>
      <c r="K79" s="20">
        <f t="shared" si="6"/>
        <v>3</v>
      </c>
      <c r="L79" s="21">
        <v>4.4</v>
      </c>
      <c r="M79" s="21">
        <v>13.2</v>
      </c>
      <c r="N79" s="21">
        <v>39.6</v>
      </c>
    </row>
    <row r="80" spans="4:14">
      <c r="D80" s="18">
        <v>46197</v>
      </c>
      <c r="E80" s="6">
        <v>1614544</v>
      </c>
      <c r="F80" s="6" t="s">
        <v>16</v>
      </c>
      <c r="G80" s="6">
        <v>20324717</v>
      </c>
      <c r="H80" s="6" t="s">
        <v>127</v>
      </c>
      <c r="I80" s="6">
        <v>1</v>
      </c>
      <c r="J80" s="32" t="s">
        <v>28</v>
      </c>
      <c r="K80" s="20">
        <f t="shared" si="6"/>
        <v>3</v>
      </c>
      <c r="L80" s="21">
        <v>4.4</v>
      </c>
      <c r="M80" s="21">
        <v>13.2</v>
      </c>
      <c r="N80" s="21">
        <v>13.2</v>
      </c>
    </row>
    <row r="81" spans="4:14">
      <c r="D81" s="18">
        <v>46199</v>
      </c>
      <c r="E81" s="6">
        <v>1615602</v>
      </c>
      <c r="F81" s="6" t="s">
        <v>16</v>
      </c>
      <c r="G81" s="6">
        <v>20324364</v>
      </c>
      <c r="H81" s="6" t="s">
        <v>21</v>
      </c>
      <c r="I81" s="6">
        <v>1</v>
      </c>
      <c r="J81" s="19" t="s">
        <v>18</v>
      </c>
      <c r="K81" s="20">
        <v>1</v>
      </c>
      <c r="L81" s="21">
        <v>6.4</v>
      </c>
      <c r="M81" s="21">
        <v>6.4</v>
      </c>
      <c r="N81" s="21">
        <v>6.4</v>
      </c>
    </row>
    <row r="82" spans="4:14">
      <c r="D82" s="18">
        <v>46199</v>
      </c>
      <c r="E82" s="6">
        <v>1615602</v>
      </c>
      <c r="F82" s="6" t="s">
        <v>16</v>
      </c>
      <c r="G82" s="6">
        <v>20324691</v>
      </c>
      <c r="H82" s="6" t="s">
        <v>31</v>
      </c>
      <c r="I82" s="6">
        <v>2</v>
      </c>
      <c r="J82" s="6" t="s">
        <v>20</v>
      </c>
      <c r="K82" s="20">
        <v>1</v>
      </c>
      <c r="L82" s="21">
        <v>8.8</v>
      </c>
      <c r="M82" s="21">
        <v>8.8</v>
      </c>
      <c r="N82" s="21">
        <v>17.6</v>
      </c>
    </row>
    <row r="83" spans="4:14">
      <c r="D83" s="18">
        <v>46199</v>
      </c>
      <c r="E83" s="6">
        <v>1615602</v>
      </c>
      <c r="F83" s="6" t="s">
        <v>16</v>
      </c>
      <c r="G83" s="6">
        <v>20366999</v>
      </c>
      <c r="H83" s="6" t="s">
        <v>132</v>
      </c>
      <c r="I83" s="6">
        <v>1</v>
      </c>
      <c r="J83" s="6" t="s">
        <v>20</v>
      </c>
      <c r="K83" s="20">
        <v>1</v>
      </c>
      <c r="L83" s="21">
        <v>8.8</v>
      </c>
      <c r="M83" s="21">
        <v>8.8</v>
      </c>
      <c r="N83" s="21">
        <v>8.8</v>
      </c>
    </row>
    <row r="84" spans="4:14">
      <c r="D84" s="18">
        <v>46199</v>
      </c>
      <c r="E84" s="6">
        <v>1615602</v>
      </c>
      <c r="F84" s="6" t="s">
        <v>16</v>
      </c>
      <c r="G84" s="6">
        <v>20324533</v>
      </c>
      <c r="H84" s="6" t="s">
        <v>122</v>
      </c>
      <c r="I84" s="6">
        <v>1</v>
      </c>
      <c r="J84" s="19" t="s">
        <v>18</v>
      </c>
      <c r="K84" s="20">
        <v>1</v>
      </c>
      <c r="L84" s="21">
        <v>6.4</v>
      </c>
      <c r="M84" s="21">
        <v>6.4</v>
      </c>
      <c r="N84" s="21">
        <v>6.4</v>
      </c>
    </row>
    <row r="85" spans="4:14">
      <c r="D85" s="18">
        <v>46199</v>
      </c>
      <c r="E85" s="6">
        <v>1615602</v>
      </c>
      <c r="F85" s="6" t="s">
        <v>26</v>
      </c>
      <c r="G85" s="6">
        <v>20324494</v>
      </c>
      <c r="H85" s="6" t="s">
        <v>125</v>
      </c>
      <c r="I85" s="6">
        <v>1</v>
      </c>
      <c r="J85" s="32" t="s">
        <v>28</v>
      </c>
      <c r="K85" s="20">
        <f>M85/L85</f>
        <v>11</v>
      </c>
      <c r="L85" s="21">
        <v>4.4</v>
      </c>
      <c r="M85" s="21">
        <v>48.4</v>
      </c>
      <c r="N85" s="21">
        <v>48.4</v>
      </c>
    </row>
    <row r="86" spans="4:14">
      <c r="D86" s="18">
        <v>46199</v>
      </c>
      <c r="E86" s="6">
        <v>1615602</v>
      </c>
      <c r="F86" s="6" t="s">
        <v>26</v>
      </c>
      <c r="G86" s="6">
        <v>20324493</v>
      </c>
      <c r="H86" s="6" t="s">
        <v>130</v>
      </c>
      <c r="I86" s="6">
        <v>5</v>
      </c>
      <c r="J86" s="32" t="s">
        <v>28</v>
      </c>
      <c r="K86" s="20">
        <f>M86/L86</f>
        <v>15</v>
      </c>
      <c r="L86" s="21">
        <v>4.4</v>
      </c>
      <c r="M86" s="21">
        <v>66</v>
      </c>
      <c r="N86" s="21">
        <v>330</v>
      </c>
    </row>
    <row r="87" spans="4:14">
      <c r="D87" s="18">
        <v>46199</v>
      </c>
      <c r="E87" s="6">
        <v>1615602</v>
      </c>
      <c r="F87" s="6" t="s">
        <v>26</v>
      </c>
      <c r="G87" s="6">
        <v>20324492</v>
      </c>
      <c r="H87" s="6" t="s">
        <v>126</v>
      </c>
      <c r="I87" s="6">
        <v>2</v>
      </c>
      <c r="J87" s="32" t="s">
        <v>28</v>
      </c>
      <c r="K87" s="20">
        <f>M87/L87</f>
        <v>3</v>
      </c>
      <c r="L87" s="21">
        <v>4.4</v>
      </c>
      <c r="M87" s="21">
        <v>13.2</v>
      </c>
      <c r="N87" s="21">
        <v>26.4</v>
      </c>
    </row>
  </sheetData>
  <autoFilter xmlns:etc="http://www.wps.cn/officeDocument/2017/etCustomData" ref="A7:N87" etc:filterBottomFollowUsedRange="0">
    <extLst/>
  </autoFilter>
  <mergeCells count="21">
    <mergeCell ref="D8:H8"/>
    <mergeCell ref="C7:C87"/>
    <mergeCell ref="D18:D19"/>
    <mergeCell ref="D73:D74"/>
    <mergeCell ref="E18:E19"/>
    <mergeCell ref="E73:E74"/>
    <mergeCell ref="F18:F19"/>
    <mergeCell ref="F73:F74"/>
    <mergeCell ref="G18:G19"/>
    <mergeCell ref="G73:G74"/>
    <mergeCell ref="H18:H19"/>
    <mergeCell ref="H73:H74"/>
    <mergeCell ref="I18:I19"/>
    <mergeCell ref="I73:I74"/>
    <mergeCell ref="M18:M19"/>
    <mergeCell ref="M73:M74"/>
    <mergeCell ref="N18:N19"/>
    <mergeCell ref="N73:N74"/>
    <mergeCell ref="B4:H5"/>
    <mergeCell ref="C1:H2"/>
    <mergeCell ref="A7:B87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showGridLines="0" view="pageBreakPreview" zoomScaleNormal="100" topLeftCell="C1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5" customWidth="1"/>
    <col min="11" max="11" width="19.125" customWidth="1"/>
    <col min="12" max="12" width="13.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133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27</v>
      </c>
      <c r="J8" s="42"/>
      <c r="K8" s="43"/>
      <c r="L8" s="43"/>
      <c r="M8" s="43"/>
      <c r="N8" s="43">
        <v>774.4</v>
      </c>
    </row>
    <row r="9" spans="1:14">
      <c r="D9" s="13">
        <v>46176</v>
      </c>
      <c r="E9" s="14">
        <v>1608705</v>
      </c>
      <c r="F9" s="14" t="s">
        <v>16</v>
      </c>
      <c r="G9" s="14">
        <v>20373787</v>
      </c>
      <c r="H9" s="14" t="s">
        <v>134</v>
      </c>
      <c r="I9" s="14">
        <v>1</v>
      </c>
      <c r="J9" s="14" t="s">
        <v>124</v>
      </c>
      <c r="K9" s="16">
        <f>M9/L9</f>
        <v>5</v>
      </c>
      <c r="L9" s="17">
        <v>4.4</v>
      </c>
      <c r="M9" s="17">
        <v>22</v>
      </c>
      <c r="N9" s="17">
        <v>22</v>
      </c>
    </row>
    <row r="10" spans="1:14">
      <c r="D10" s="18">
        <v>46176</v>
      </c>
      <c r="E10" s="6">
        <v>1608705</v>
      </c>
      <c r="F10" s="6" t="s">
        <v>16</v>
      </c>
      <c r="G10" s="6">
        <v>20386348</v>
      </c>
      <c r="H10" s="6" t="s">
        <v>135</v>
      </c>
      <c r="I10" s="6">
        <v>3</v>
      </c>
      <c r="J10" s="32" t="s">
        <v>28</v>
      </c>
      <c r="K10" s="20">
        <f t="shared" ref="K10:K13" si="0">M10/L10</f>
        <v>6</v>
      </c>
      <c r="L10" s="21">
        <v>4.4</v>
      </c>
      <c r="M10" s="21">
        <v>26.4</v>
      </c>
      <c r="N10" s="21">
        <v>79.2</v>
      </c>
    </row>
    <row r="11" spans="1:14">
      <c r="D11" s="18">
        <v>46178</v>
      </c>
      <c r="E11" s="6">
        <v>1609410</v>
      </c>
      <c r="F11" s="6" t="s">
        <v>16</v>
      </c>
      <c r="G11" s="6">
        <v>20369835</v>
      </c>
      <c r="H11" s="6" t="s">
        <v>136</v>
      </c>
      <c r="I11" s="6">
        <v>1</v>
      </c>
      <c r="J11" s="32" t="s">
        <v>28</v>
      </c>
      <c r="K11" s="20">
        <f t="shared" si="0"/>
        <v>7</v>
      </c>
      <c r="L11" s="21">
        <v>4.4</v>
      </c>
      <c r="M11" s="21">
        <v>30.8</v>
      </c>
      <c r="N11" s="21">
        <v>30.8</v>
      </c>
    </row>
    <row r="12" spans="1:14">
      <c r="D12" s="18">
        <v>46178</v>
      </c>
      <c r="E12" s="6">
        <v>1609410</v>
      </c>
      <c r="F12" s="6" t="s">
        <v>16</v>
      </c>
      <c r="G12" s="6">
        <v>20374357</v>
      </c>
      <c r="H12" s="6" t="s">
        <v>137</v>
      </c>
      <c r="I12" s="6">
        <v>1</v>
      </c>
      <c r="J12" s="32" t="s">
        <v>28</v>
      </c>
      <c r="K12" s="20">
        <f t="shared" si="0"/>
        <v>8</v>
      </c>
      <c r="L12" s="21">
        <v>4.4</v>
      </c>
      <c r="M12" s="21">
        <v>35.2</v>
      </c>
      <c r="N12" s="21">
        <v>35.2</v>
      </c>
    </row>
    <row r="13" spans="1:14">
      <c r="D13" s="18">
        <v>46183</v>
      </c>
      <c r="E13" s="6">
        <v>1610842</v>
      </c>
      <c r="F13" s="6" t="s">
        <v>16</v>
      </c>
      <c r="G13" s="6">
        <v>20373787</v>
      </c>
      <c r="H13" s="6" t="s">
        <v>134</v>
      </c>
      <c r="I13" s="6">
        <v>1</v>
      </c>
      <c r="J13" s="6" t="s">
        <v>124</v>
      </c>
      <c r="K13" s="20">
        <f t="shared" si="0"/>
        <v>5</v>
      </c>
      <c r="L13" s="21">
        <v>4.4</v>
      </c>
      <c r="M13" s="21">
        <v>22</v>
      </c>
      <c r="N13" s="21">
        <v>22</v>
      </c>
    </row>
    <row r="14" spans="1:14">
      <c r="D14" s="18">
        <v>46183</v>
      </c>
      <c r="E14" s="6">
        <v>1610842</v>
      </c>
      <c r="F14" s="6" t="s">
        <v>16</v>
      </c>
      <c r="G14" s="6">
        <v>20386348</v>
      </c>
      <c r="H14" s="6" t="s">
        <v>135</v>
      </c>
      <c r="I14" s="6">
        <v>2</v>
      </c>
      <c r="J14" s="32" t="s">
        <v>28</v>
      </c>
      <c r="K14" s="20">
        <f t="shared" ref="K14:K24" si="1">M14/L14</f>
        <v>6</v>
      </c>
      <c r="L14" s="21">
        <v>4.4</v>
      </c>
      <c r="M14" s="21">
        <v>26.4</v>
      </c>
      <c r="N14" s="21">
        <v>52.8</v>
      </c>
    </row>
    <row r="15" spans="1:14">
      <c r="D15" s="18">
        <v>46184</v>
      </c>
      <c r="E15" s="6">
        <v>1611534</v>
      </c>
      <c r="F15" s="6" t="s">
        <v>16</v>
      </c>
      <c r="G15" s="6">
        <v>20386348</v>
      </c>
      <c r="H15" s="6" t="s">
        <v>135</v>
      </c>
      <c r="I15" s="6">
        <v>2</v>
      </c>
      <c r="J15" s="32" t="s">
        <v>28</v>
      </c>
      <c r="K15" s="20">
        <f t="shared" si="1"/>
        <v>6</v>
      </c>
      <c r="L15" s="21">
        <v>4.4</v>
      </c>
      <c r="M15" s="21">
        <v>26.4</v>
      </c>
      <c r="N15" s="21">
        <v>52.8</v>
      </c>
    </row>
    <row r="16" spans="1:14">
      <c r="D16" s="18">
        <v>46190</v>
      </c>
      <c r="E16" s="6">
        <v>1612801</v>
      </c>
      <c r="F16" s="6" t="s">
        <v>16</v>
      </c>
      <c r="G16" s="6">
        <v>20386348</v>
      </c>
      <c r="H16" s="6" t="s">
        <v>135</v>
      </c>
      <c r="I16" s="6">
        <v>2</v>
      </c>
      <c r="J16" s="32" t="s">
        <v>28</v>
      </c>
      <c r="K16" s="20">
        <f t="shared" si="1"/>
        <v>6</v>
      </c>
      <c r="L16" s="21">
        <v>4.4</v>
      </c>
      <c r="M16" s="21">
        <v>26.4</v>
      </c>
      <c r="N16" s="21">
        <v>52.8</v>
      </c>
    </row>
    <row r="17" spans="4:14">
      <c r="D17" s="18">
        <v>46190</v>
      </c>
      <c r="E17" s="6">
        <v>1612801</v>
      </c>
      <c r="F17" s="6" t="s">
        <v>16</v>
      </c>
      <c r="G17" s="6">
        <v>20369835</v>
      </c>
      <c r="H17" s="6" t="s">
        <v>136</v>
      </c>
      <c r="I17" s="6">
        <v>1</v>
      </c>
      <c r="J17" s="32" t="s">
        <v>28</v>
      </c>
      <c r="K17" s="20">
        <f t="shared" si="1"/>
        <v>7</v>
      </c>
      <c r="L17" s="21">
        <v>4.4</v>
      </c>
      <c r="M17" s="21">
        <v>30.8</v>
      </c>
      <c r="N17" s="21">
        <v>30.8</v>
      </c>
    </row>
    <row r="18" spans="4:14">
      <c r="D18" s="18">
        <v>46192</v>
      </c>
      <c r="E18" s="6">
        <v>1613592</v>
      </c>
      <c r="F18" s="6" t="s">
        <v>16</v>
      </c>
      <c r="G18" s="6">
        <v>20369835</v>
      </c>
      <c r="H18" s="6" t="s">
        <v>136</v>
      </c>
      <c r="I18" s="6">
        <v>2</v>
      </c>
      <c r="J18" s="32" t="s">
        <v>28</v>
      </c>
      <c r="K18" s="20">
        <f t="shared" si="1"/>
        <v>7</v>
      </c>
      <c r="L18" s="21">
        <v>4.4</v>
      </c>
      <c r="M18" s="21">
        <v>30.8</v>
      </c>
      <c r="N18" s="21">
        <v>61.6</v>
      </c>
    </row>
    <row r="19" spans="4:14">
      <c r="D19" s="18">
        <v>46192</v>
      </c>
      <c r="E19" s="6">
        <v>1613592</v>
      </c>
      <c r="F19" s="6" t="s">
        <v>16</v>
      </c>
      <c r="G19" s="6">
        <v>20374357</v>
      </c>
      <c r="H19" s="6" t="s">
        <v>137</v>
      </c>
      <c r="I19" s="6">
        <v>1</v>
      </c>
      <c r="J19" s="32" t="s">
        <v>28</v>
      </c>
      <c r="K19" s="20">
        <f t="shared" si="1"/>
        <v>8</v>
      </c>
      <c r="L19" s="21">
        <v>4.4</v>
      </c>
      <c r="M19" s="21">
        <v>35.2</v>
      </c>
      <c r="N19" s="21">
        <v>35.2</v>
      </c>
    </row>
    <row r="20" spans="4:14">
      <c r="D20" s="18">
        <v>46197</v>
      </c>
      <c r="E20" s="6">
        <v>1614917</v>
      </c>
      <c r="F20" s="6" t="s">
        <v>16</v>
      </c>
      <c r="G20" s="6">
        <v>20369835</v>
      </c>
      <c r="H20" s="6" t="s">
        <v>136</v>
      </c>
      <c r="I20" s="6">
        <v>4</v>
      </c>
      <c r="J20" s="32" t="s">
        <v>28</v>
      </c>
      <c r="K20" s="20">
        <f t="shared" si="1"/>
        <v>7</v>
      </c>
      <c r="L20" s="21">
        <v>4.4</v>
      </c>
      <c r="M20" s="21">
        <v>30.8</v>
      </c>
      <c r="N20" s="21">
        <v>123.2</v>
      </c>
    </row>
    <row r="21" spans="4:14">
      <c r="D21" s="18">
        <v>46198</v>
      </c>
      <c r="E21" s="6">
        <v>1615291</v>
      </c>
      <c r="F21" s="6" t="s">
        <v>16</v>
      </c>
      <c r="G21" s="6">
        <v>20386348</v>
      </c>
      <c r="H21" s="6" t="s">
        <v>135</v>
      </c>
      <c r="I21" s="6">
        <v>1</v>
      </c>
      <c r="J21" s="32" t="s">
        <v>28</v>
      </c>
      <c r="K21" s="20">
        <f t="shared" si="1"/>
        <v>6</v>
      </c>
      <c r="L21" s="21">
        <v>4.4</v>
      </c>
      <c r="M21" s="21">
        <v>26.4</v>
      </c>
      <c r="N21" s="21">
        <v>26.4</v>
      </c>
    </row>
    <row r="22" spans="4:14">
      <c r="D22" s="18">
        <v>46198</v>
      </c>
      <c r="E22" s="6">
        <v>1615291</v>
      </c>
      <c r="F22" s="6" t="s">
        <v>16</v>
      </c>
      <c r="G22" s="6">
        <v>20369835</v>
      </c>
      <c r="H22" s="6" t="s">
        <v>136</v>
      </c>
      <c r="I22" s="6">
        <v>1</v>
      </c>
      <c r="J22" s="32" t="s">
        <v>28</v>
      </c>
      <c r="K22" s="20">
        <f t="shared" si="1"/>
        <v>7</v>
      </c>
      <c r="L22" s="21">
        <v>4.4</v>
      </c>
      <c r="M22" s="21">
        <v>30.8</v>
      </c>
      <c r="N22" s="21">
        <v>30.8</v>
      </c>
    </row>
    <row r="23" spans="4:14">
      <c r="D23" s="18">
        <v>46202</v>
      </c>
      <c r="E23" s="6">
        <v>1616120</v>
      </c>
      <c r="F23" s="6" t="s">
        <v>16</v>
      </c>
      <c r="G23" s="6">
        <v>20386348</v>
      </c>
      <c r="H23" s="6" t="s">
        <v>135</v>
      </c>
      <c r="I23" s="6">
        <v>1</v>
      </c>
      <c r="J23" s="32" t="s">
        <v>28</v>
      </c>
      <c r="K23" s="20">
        <f t="shared" si="1"/>
        <v>6</v>
      </c>
      <c r="L23" s="21">
        <v>4.4</v>
      </c>
      <c r="M23" s="21">
        <v>26.4</v>
      </c>
      <c r="N23" s="21">
        <v>26.4</v>
      </c>
    </row>
    <row r="24" spans="4:14">
      <c r="D24" s="18">
        <v>46202</v>
      </c>
      <c r="E24" s="6">
        <v>1616120</v>
      </c>
      <c r="F24" s="6" t="s">
        <v>16</v>
      </c>
      <c r="G24" s="6">
        <v>20369835</v>
      </c>
      <c r="H24" s="6" t="s">
        <v>136</v>
      </c>
      <c r="I24" s="6">
        <v>3</v>
      </c>
      <c r="J24" s="32" t="s">
        <v>28</v>
      </c>
      <c r="K24" s="20">
        <f t="shared" si="1"/>
        <v>7</v>
      </c>
      <c r="L24" s="21">
        <v>4.4</v>
      </c>
      <c r="M24" s="21">
        <v>30.8</v>
      </c>
      <c r="N24" s="21">
        <v>92.4</v>
      </c>
    </row>
    <row r="25" ht="0.05" customHeight="1"/>
  </sheetData>
  <autoFilter xmlns:etc="http://www.wps.cn/officeDocument/2017/etCustomData" ref="A7:N24" etc:filterBottomFollowUsedRange="0">
    <extLst/>
  </autoFilter>
  <mergeCells count="5">
    <mergeCell ref="D8:H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showGridLines="0" view="pageBreakPreview" zoomScaleNormal="100" topLeftCell="C1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5" customWidth="1"/>
    <col min="11" max="11" width="19.125" customWidth="1"/>
    <col min="12" max="12" width="13.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138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32</v>
      </c>
      <c r="J8" s="42"/>
      <c r="K8" s="43"/>
      <c r="L8" s="43"/>
      <c r="M8" s="43"/>
      <c r="N8" s="43">
        <v>458</v>
      </c>
    </row>
    <row r="9" spans="1:14">
      <c r="D9" s="13">
        <v>46178</v>
      </c>
      <c r="E9" s="14">
        <v>1609411</v>
      </c>
      <c r="F9" s="14" t="s">
        <v>16</v>
      </c>
      <c r="G9" s="14">
        <v>20324401</v>
      </c>
      <c r="H9" s="14" t="s">
        <v>22</v>
      </c>
      <c r="I9" s="14">
        <v>1</v>
      </c>
      <c r="J9" s="122" t="s">
        <v>23</v>
      </c>
      <c r="K9" s="16">
        <v>1</v>
      </c>
      <c r="L9" s="17">
        <v>12.8</v>
      </c>
      <c r="M9" s="17">
        <v>12.8</v>
      </c>
      <c r="N9" s="17">
        <v>12.8</v>
      </c>
    </row>
    <row r="10" spans="1:14">
      <c r="D10" s="18">
        <v>46178</v>
      </c>
      <c r="E10" s="6">
        <v>1609411</v>
      </c>
      <c r="F10" s="6" t="s">
        <v>16</v>
      </c>
      <c r="G10" s="6">
        <v>20324369</v>
      </c>
      <c r="H10" s="6" t="s">
        <v>139</v>
      </c>
      <c r="I10" s="6">
        <v>1</v>
      </c>
      <c r="J10" s="32" t="s">
        <v>28</v>
      </c>
      <c r="K10" s="20">
        <f t="shared" ref="K10:K15" si="0">M10/L10</f>
        <v>3</v>
      </c>
      <c r="L10" s="21">
        <v>4.4</v>
      </c>
      <c r="M10" s="21">
        <v>13.2</v>
      </c>
      <c r="N10" s="21">
        <v>13.2</v>
      </c>
    </row>
    <row r="11" spans="1:14">
      <c r="D11" s="18">
        <v>46178</v>
      </c>
      <c r="E11" s="6">
        <v>1609411</v>
      </c>
      <c r="F11" s="6" t="s">
        <v>16</v>
      </c>
      <c r="G11" s="6">
        <v>20324626</v>
      </c>
      <c r="H11" s="6" t="s">
        <v>140</v>
      </c>
      <c r="I11" s="6">
        <v>5</v>
      </c>
      <c r="J11" s="32" t="s">
        <v>28</v>
      </c>
      <c r="K11" s="20">
        <f t="shared" si="0"/>
        <v>4</v>
      </c>
      <c r="L11" s="21">
        <v>4.4</v>
      </c>
      <c r="M11" s="21">
        <v>17.6</v>
      </c>
      <c r="N11" s="21">
        <v>88</v>
      </c>
    </row>
    <row r="12" spans="1:14">
      <c r="D12" s="18">
        <v>46182</v>
      </c>
      <c r="E12" s="6">
        <v>1610406</v>
      </c>
      <c r="F12" s="6" t="s">
        <v>16</v>
      </c>
      <c r="G12" s="6">
        <v>20330459</v>
      </c>
      <c r="H12" s="6" t="s">
        <v>141</v>
      </c>
      <c r="I12" s="6">
        <v>2</v>
      </c>
      <c r="J12" s="19" t="s">
        <v>18</v>
      </c>
      <c r="K12" s="20">
        <v>1</v>
      </c>
      <c r="L12" s="21">
        <v>6.4</v>
      </c>
      <c r="M12" s="21">
        <v>6.4</v>
      </c>
      <c r="N12" s="21">
        <v>12.8</v>
      </c>
    </row>
    <row r="13" spans="1:14">
      <c r="D13" s="18">
        <v>46182</v>
      </c>
      <c r="E13" s="6">
        <v>1610406</v>
      </c>
      <c r="F13" s="6" t="s">
        <v>16</v>
      </c>
      <c r="G13" s="6">
        <v>20324427</v>
      </c>
      <c r="H13" s="6" t="s">
        <v>19</v>
      </c>
      <c r="I13" s="6">
        <v>1</v>
      </c>
      <c r="J13" s="6" t="s">
        <v>20</v>
      </c>
      <c r="K13" s="20">
        <v>1</v>
      </c>
      <c r="L13" s="21">
        <v>8.8</v>
      </c>
      <c r="M13" s="21">
        <v>8.8</v>
      </c>
      <c r="N13" s="21">
        <v>8.8</v>
      </c>
    </row>
    <row r="14" spans="1:14">
      <c r="D14" s="18">
        <v>46182</v>
      </c>
      <c r="E14" s="6">
        <v>1610406</v>
      </c>
      <c r="F14" s="6" t="s">
        <v>16</v>
      </c>
      <c r="G14" s="6">
        <v>20324626</v>
      </c>
      <c r="H14" s="6" t="s">
        <v>140</v>
      </c>
      <c r="I14" s="6">
        <v>4</v>
      </c>
      <c r="J14" s="32" t="s">
        <v>28</v>
      </c>
      <c r="K14" s="20">
        <f t="shared" si="0"/>
        <v>4</v>
      </c>
      <c r="L14" s="21">
        <v>4.4</v>
      </c>
      <c r="M14" s="21">
        <v>17.6</v>
      </c>
      <c r="N14" s="21">
        <v>70.4</v>
      </c>
    </row>
    <row r="15" spans="1:14">
      <c r="D15" s="18">
        <v>46184</v>
      </c>
      <c r="E15" s="6">
        <v>1611535</v>
      </c>
      <c r="F15" s="6" t="s">
        <v>16</v>
      </c>
      <c r="G15" s="6">
        <v>20324626</v>
      </c>
      <c r="H15" s="6" t="s">
        <v>140</v>
      </c>
      <c r="I15" s="6">
        <v>5</v>
      </c>
      <c r="J15" s="32" t="s">
        <v>28</v>
      </c>
      <c r="K15" s="20">
        <f t="shared" si="0"/>
        <v>4</v>
      </c>
      <c r="L15" s="21">
        <v>4.4</v>
      </c>
      <c r="M15" s="21">
        <v>17.6</v>
      </c>
      <c r="N15" s="21">
        <v>88</v>
      </c>
    </row>
    <row r="16" spans="1:14">
      <c r="D16" s="18">
        <v>46191</v>
      </c>
      <c r="E16" s="6">
        <v>1613204</v>
      </c>
      <c r="F16" s="6" t="s">
        <v>16</v>
      </c>
      <c r="G16" s="6">
        <v>20324691</v>
      </c>
      <c r="H16" s="6" t="s">
        <v>31</v>
      </c>
      <c r="I16" s="6">
        <v>1</v>
      </c>
      <c r="J16" s="6" t="s">
        <v>20</v>
      </c>
      <c r="K16" s="20">
        <v>1</v>
      </c>
      <c r="L16" s="21">
        <v>8.8</v>
      </c>
      <c r="M16" s="21">
        <v>8.8</v>
      </c>
      <c r="N16" s="21">
        <v>8.8</v>
      </c>
    </row>
    <row r="17" spans="4:14">
      <c r="D17" s="18">
        <v>46191</v>
      </c>
      <c r="E17" s="6">
        <v>1613204</v>
      </c>
      <c r="F17" s="6" t="s">
        <v>16</v>
      </c>
      <c r="G17" s="6">
        <v>20324533</v>
      </c>
      <c r="H17" s="6" t="s">
        <v>122</v>
      </c>
      <c r="I17" s="6">
        <v>1</v>
      </c>
      <c r="J17" s="19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spans="4:14">
      <c r="D18" s="18">
        <v>46191</v>
      </c>
      <c r="E18" s="6">
        <v>1613204</v>
      </c>
      <c r="F18" s="6" t="s">
        <v>16</v>
      </c>
      <c r="G18" s="6">
        <v>20324626</v>
      </c>
      <c r="H18" s="6" t="s">
        <v>140</v>
      </c>
      <c r="I18" s="6">
        <v>4</v>
      </c>
      <c r="J18" s="32" t="s">
        <v>28</v>
      </c>
      <c r="K18" s="20">
        <f>M18/L18</f>
        <v>4</v>
      </c>
      <c r="L18" s="21">
        <v>4.4</v>
      </c>
      <c r="M18" s="21">
        <v>17.6</v>
      </c>
      <c r="N18" s="21">
        <v>70.4</v>
      </c>
    </row>
    <row r="19" spans="4:14">
      <c r="D19" s="18">
        <v>46199</v>
      </c>
      <c r="E19" s="6">
        <v>1615603</v>
      </c>
      <c r="F19" s="6" t="s">
        <v>16</v>
      </c>
      <c r="G19" s="6">
        <v>20330459</v>
      </c>
      <c r="H19" s="6" t="s">
        <v>141</v>
      </c>
      <c r="I19" s="6">
        <v>1</v>
      </c>
      <c r="J19" s="19" t="s">
        <v>18</v>
      </c>
      <c r="K19" s="20">
        <v>1</v>
      </c>
      <c r="L19" s="21">
        <v>6.4</v>
      </c>
      <c r="M19" s="21">
        <v>6.4</v>
      </c>
      <c r="N19" s="21">
        <v>6.4</v>
      </c>
    </row>
    <row r="20" spans="4:14">
      <c r="D20" s="18">
        <v>46199</v>
      </c>
      <c r="E20" s="6">
        <v>1615603</v>
      </c>
      <c r="F20" s="6" t="s">
        <v>16</v>
      </c>
      <c r="G20" s="6">
        <v>20324533</v>
      </c>
      <c r="H20" s="6" t="s">
        <v>122</v>
      </c>
      <c r="I20" s="6">
        <v>3</v>
      </c>
      <c r="J20" s="19" t="s">
        <v>18</v>
      </c>
      <c r="K20" s="20">
        <v>1</v>
      </c>
      <c r="L20" s="21">
        <v>6.4</v>
      </c>
      <c r="M20" s="21">
        <v>6.4</v>
      </c>
      <c r="N20" s="21">
        <v>19.2</v>
      </c>
    </row>
    <row r="21" spans="4:14">
      <c r="D21" s="18">
        <v>46199</v>
      </c>
      <c r="E21" s="6">
        <v>1615603</v>
      </c>
      <c r="F21" s="6" t="s">
        <v>16</v>
      </c>
      <c r="G21" s="6">
        <v>20324626</v>
      </c>
      <c r="H21" s="6" t="s">
        <v>140</v>
      </c>
      <c r="I21" s="6">
        <v>3</v>
      </c>
      <c r="J21" s="32" t="s">
        <v>28</v>
      </c>
      <c r="K21" s="20">
        <f>M21/L21</f>
        <v>4</v>
      </c>
      <c r="L21" s="21">
        <v>4.4</v>
      </c>
      <c r="M21" s="21">
        <v>17.6</v>
      </c>
      <c r="N21" s="21">
        <v>52.8</v>
      </c>
    </row>
    <row r="22" ht="0.05" customHeight="1"/>
  </sheetData>
  <autoFilter xmlns:etc="http://www.wps.cn/officeDocument/2017/etCustomData" ref="A7:N21" etc:filterBottomFollowUsedRange="0">
    <extLst/>
  </autoFilter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2.375" customWidth="1"/>
    <col min="11" max="11" width="19.125" customWidth="1"/>
    <col min="12" max="12" width="13.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142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146</v>
      </c>
      <c r="J8" s="42"/>
      <c r="K8" s="43"/>
      <c r="L8" s="43"/>
      <c r="M8" s="43"/>
      <c r="N8" s="43">
        <v>2800.8</v>
      </c>
    </row>
    <row r="9" spans="1:14">
      <c r="D9" s="13">
        <v>46178</v>
      </c>
      <c r="E9" s="14">
        <v>1609412</v>
      </c>
      <c r="F9" s="14" t="s">
        <v>16</v>
      </c>
      <c r="G9" s="14">
        <v>20324364</v>
      </c>
      <c r="H9" s="14" t="s">
        <v>21</v>
      </c>
      <c r="I9" s="14">
        <v>1</v>
      </c>
      <c r="J9" s="15" t="s">
        <v>18</v>
      </c>
      <c r="K9" s="16">
        <v>1</v>
      </c>
      <c r="L9" s="17">
        <v>6.4</v>
      </c>
      <c r="M9" s="17">
        <v>6.4</v>
      </c>
      <c r="N9" s="17">
        <v>6.4</v>
      </c>
    </row>
    <row r="10" spans="1:14">
      <c r="D10" s="18">
        <v>46178</v>
      </c>
      <c r="E10" s="6">
        <v>1609412</v>
      </c>
      <c r="F10" s="6" t="s">
        <v>16</v>
      </c>
      <c r="G10" s="6">
        <v>20324533</v>
      </c>
      <c r="H10" s="6" t="s">
        <v>122</v>
      </c>
      <c r="I10" s="6">
        <v>5</v>
      </c>
      <c r="J10" s="19" t="s">
        <v>18</v>
      </c>
      <c r="K10" s="20">
        <v>1</v>
      </c>
      <c r="L10" s="21">
        <v>6.4</v>
      </c>
      <c r="M10" s="21">
        <v>6.4</v>
      </c>
      <c r="N10" s="21">
        <v>32</v>
      </c>
    </row>
    <row r="11" spans="1:14">
      <c r="D11" s="18">
        <v>46178</v>
      </c>
      <c r="E11" s="6">
        <v>1609412</v>
      </c>
      <c r="F11" s="6" t="s">
        <v>16</v>
      </c>
      <c r="G11" s="6">
        <v>20324402</v>
      </c>
      <c r="H11" s="6" t="s">
        <v>24</v>
      </c>
      <c r="I11" s="6">
        <v>2</v>
      </c>
      <c r="J11" s="6" t="s">
        <v>20</v>
      </c>
      <c r="K11" s="20">
        <v>1</v>
      </c>
      <c r="L11" s="21">
        <v>8.8</v>
      </c>
      <c r="M11" s="21">
        <v>8.8</v>
      </c>
      <c r="N11" s="21">
        <v>17.6</v>
      </c>
    </row>
    <row r="12" spans="1:14">
      <c r="D12" s="18">
        <v>46178</v>
      </c>
      <c r="E12" s="6">
        <v>1609412</v>
      </c>
      <c r="F12" s="6" t="s">
        <v>26</v>
      </c>
      <c r="G12" s="6">
        <v>20324431</v>
      </c>
      <c r="H12" s="6" t="s">
        <v>130</v>
      </c>
      <c r="I12" s="6">
        <v>4</v>
      </c>
      <c r="J12" s="32" t="s">
        <v>28</v>
      </c>
      <c r="K12" s="20">
        <f>M12/L12</f>
        <v>24</v>
      </c>
      <c r="L12" s="21">
        <v>4.4</v>
      </c>
      <c r="M12" s="21">
        <v>105.6</v>
      </c>
      <c r="N12" s="21">
        <v>422.4</v>
      </c>
    </row>
    <row r="13" spans="1:14">
      <c r="D13" s="18">
        <v>46178</v>
      </c>
      <c r="E13" s="6">
        <v>1609412</v>
      </c>
      <c r="F13" s="6" t="s">
        <v>51</v>
      </c>
      <c r="G13" s="6">
        <v>20367827</v>
      </c>
      <c r="H13" s="6" t="s">
        <v>143</v>
      </c>
      <c r="I13" s="6">
        <v>80</v>
      </c>
      <c r="J13" s="32" t="s">
        <v>53</v>
      </c>
      <c r="K13" s="20">
        <v>1</v>
      </c>
      <c r="L13" s="21">
        <v>2</v>
      </c>
      <c r="M13" s="21">
        <v>2</v>
      </c>
      <c r="N13" s="21">
        <v>160</v>
      </c>
    </row>
    <row r="14" spans="1:14">
      <c r="D14" s="18">
        <v>46179</v>
      </c>
      <c r="E14" s="6">
        <v>1609857</v>
      </c>
      <c r="F14" s="6" t="s">
        <v>16</v>
      </c>
      <c r="G14" s="6">
        <v>20324364</v>
      </c>
      <c r="H14" s="6" t="s">
        <v>21</v>
      </c>
      <c r="I14" s="6">
        <v>1</v>
      </c>
      <c r="J14" s="19" t="s">
        <v>18</v>
      </c>
      <c r="K14" s="20">
        <v>1</v>
      </c>
      <c r="L14" s="21">
        <v>6.4</v>
      </c>
      <c r="M14" s="21">
        <v>6.4</v>
      </c>
      <c r="N14" s="21">
        <v>6.4</v>
      </c>
    </row>
    <row r="15" spans="1:14">
      <c r="D15" s="18">
        <v>46179</v>
      </c>
      <c r="E15" s="6">
        <v>1609857</v>
      </c>
      <c r="F15" s="6" t="s">
        <v>16</v>
      </c>
      <c r="G15" s="6">
        <v>20324402</v>
      </c>
      <c r="H15" s="6" t="s">
        <v>24</v>
      </c>
      <c r="I15" s="6">
        <v>2</v>
      </c>
      <c r="J15" s="6" t="s">
        <v>20</v>
      </c>
      <c r="K15" s="20">
        <v>1</v>
      </c>
      <c r="L15" s="21">
        <v>8.8</v>
      </c>
      <c r="M15" s="21">
        <v>8.8</v>
      </c>
      <c r="N15" s="21">
        <v>17.6</v>
      </c>
    </row>
    <row r="16" spans="1:14">
      <c r="D16" s="18">
        <v>46179</v>
      </c>
      <c r="E16" s="6">
        <v>1609857</v>
      </c>
      <c r="F16" s="6" t="s">
        <v>26</v>
      </c>
      <c r="G16" s="6">
        <v>20324431</v>
      </c>
      <c r="H16" s="6" t="s">
        <v>130</v>
      </c>
      <c r="I16" s="6">
        <v>3</v>
      </c>
      <c r="J16" s="32" t="s">
        <v>28</v>
      </c>
      <c r="K16" s="20">
        <f>M16/L16</f>
        <v>24</v>
      </c>
      <c r="L16" s="21">
        <v>4.4</v>
      </c>
      <c r="M16" s="21">
        <v>105.6</v>
      </c>
      <c r="N16" s="21">
        <v>316.8</v>
      </c>
    </row>
    <row r="17" spans="4:14">
      <c r="D17" s="18">
        <v>46183</v>
      </c>
      <c r="E17" s="6">
        <v>1610843</v>
      </c>
      <c r="F17" s="6" t="s">
        <v>16</v>
      </c>
      <c r="G17" s="6">
        <v>20324533</v>
      </c>
      <c r="H17" s="6" t="s">
        <v>122</v>
      </c>
      <c r="I17" s="6">
        <v>4</v>
      </c>
      <c r="J17" s="19" t="s">
        <v>18</v>
      </c>
      <c r="K17" s="20">
        <v>1</v>
      </c>
      <c r="L17" s="21">
        <v>6.4</v>
      </c>
      <c r="M17" s="21">
        <v>6.4</v>
      </c>
      <c r="N17" s="21">
        <v>25.6</v>
      </c>
    </row>
    <row r="18" spans="4:14">
      <c r="D18" s="18">
        <v>46183</v>
      </c>
      <c r="E18" s="6">
        <v>1610843</v>
      </c>
      <c r="F18" s="6" t="s">
        <v>16</v>
      </c>
      <c r="G18" s="6">
        <v>20324402</v>
      </c>
      <c r="H18" s="6" t="s">
        <v>24</v>
      </c>
      <c r="I18" s="6">
        <v>2</v>
      </c>
      <c r="J18" s="6" t="s">
        <v>20</v>
      </c>
      <c r="K18" s="20">
        <v>1</v>
      </c>
      <c r="L18" s="21">
        <v>8.8</v>
      </c>
      <c r="M18" s="21">
        <v>8.8</v>
      </c>
      <c r="N18" s="21">
        <v>17.6</v>
      </c>
    </row>
    <row r="19" spans="4:14">
      <c r="D19" s="18">
        <v>46183</v>
      </c>
      <c r="E19" s="6">
        <v>1610843</v>
      </c>
      <c r="F19" s="6" t="s">
        <v>26</v>
      </c>
      <c r="G19" s="6">
        <v>20324431</v>
      </c>
      <c r="H19" s="6" t="s">
        <v>130</v>
      </c>
      <c r="I19" s="6">
        <v>3</v>
      </c>
      <c r="J19" s="32" t="s">
        <v>28</v>
      </c>
      <c r="K19" s="20">
        <f>M19/L19</f>
        <v>24</v>
      </c>
      <c r="L19" s="21">
        <v>4.4</v>
      </c>
      <c r="M19" s="21">
        <v>105.6</v>
      </c>
      <c r="N19" s="21">
        <v>316.8</v>
      </c>
    </row>
    <row r="20" spans="4:14">
      <c r="D20" s="18">
        <v>46185</v>
      </c>
      <c r="E20" s="6">
        <v>1611889</v>
      </c>
      <c r="F20" s="6" t="s">
        <v>16</v>
      </c>
      <c r="G20" s="6">
        <v>20324419</v>
      </c>
      <c r="H20" s="6" t="s">
        <v>144</v>
      </c>
      <c r="I20" s="6">
        <v>1</v>
      </c>
      <c r="J20" s="19" t="s">
        <v>18</v>
      </c>
      <c r="K20" s="20">
        <v>1</v>
      </c>
      <c r="L20" s="21">
        <v>6.4</v>
      </c>
      <c r="M20" s="21">
        <v>6.4</v>
      </c>
      <c r="N20" s="21">
        <v>6.4</v>
      </c>
    </row>
    <row r="21" spans="4:14">
      <c r="D21" s="18">
        <v>46185</v>
      </c>
      <c r="E21" s="6">
        <v>1611889</v>
      </c>
      <c r="F21" s="6" t="s">
        <v>16</v>
      </c>
      <c r="G21" s="6">
        <v>20324364</v>
      </c>
      <c r="H21" s="6" t="s">
        <v>21</v>
      </c>
      <c r="I21" s="6">
        <v>1</v>
      </c>
      <c r="J21" s="19" t="s">
        <v>18</v>
      </c>
      <c r="K21" s="20">
        <v>1</v>
      </c>
      <c r="L21" s="21">
        <v>6.4</v>
      </c>
      <c r="M21" s="21">
        <v>6.4</v>
      </c>
      <c r="N21" s="21">
        <v>6.4</v>
      </c>
    </row>
    <row r="22" spans="4:14">
      <c r="D22" s="18">
        <v>46185</v>
      </c>
      <c r="E22" s="6">
        <v>1611889</v>
      </c>
      <c r="F22" s="6" t="s">
        <v>16</v>
      </c>
      <c r="G22" s="6">
        <v>20324533</v>
      </c>
      <c r="H22" s="6" t="s">
        <v>122</v>
      </c>
      <c r="I22" s="6">
        <v>3</v>
      </c>
      <c r="J22" s="19" t="s">
        <v>18</v>
      </c>
      <c r="K22" s="20">
        <v>1</v>
      </c>
      <c r="L22" s="21">
        <v>6.4</v>
      </c>
      <c r="M22" s="21">
        <v>6.4</v>
      </c>
      <c r="N22" s="21">
        <v>19.2</v>
      </c>
    </row>
    <row r="23" spans="4:14">
      <c r="D23" s="18">
        <v>46185</v>
      </c>
      <c r="E23" s="6">
        <v>1611889</v>
      </c>
      <c r="F23" s="6" t="s">
        <v>16</v>
      </c>
      <c r="G23" s="6">
        <v>20324363</v>
      </c>
      <c r="H23" s="6" t="s">
        <v>25</v>
      </c>
      <c r="I23" s="6">
        <v>2</v>
      </c>
      <c r="J23" s="19" t="s">
        <v>18</v>
      </c>
      <c r="K23" s="20">
        <v>1</v>
      </c>
      <c r="L23" s="21">
        <v>6.4</v>
      </c>
      <c r="M23" s="21">
        <v>6.4</v>
      </c>
      <c r="N23" s="21">
        <v>12.8</v>
      </c>
    </row>
    <row r="24" spans="4:14">
      <c r="D24" s="18">
        <v>46185</v>
      </c>
      <c r="E24" s="6">
        <v>1611889</v>
      </c>
      <c r="F24" s="6" t="s">
        <v>26</v>
      </c>
      <c r="G24" s="6">
        <v>20324433</v>
      </c>
      <c r="H24" s="6" t="s">
        <v>129</v>
      </c>
      <c r="I24" s="6">
        <v>1</v>
      </c>
      <c r="J24" s="32" t="s">
        <v>28</v>
      </c>
      <c r="K24" s="20">
        <f t="shared" ref="K24:K26" si="0">M24/L24</f>
        <v>14</v>
      </c>
      <c r="L24" s="21">
        <v>4.4</v>
      </c>
      <c r="M24" s="21">
        <v>61.6</v>
      </c>
      <c r="N24" s="21">
        <v>61.6</v>
      </c>
    </row>
    <row r="25" spans="4:14">
      <c r="D25" s="18">
        <v>46185</v>
      </c>
      <c r="E25" s="6">
        <v>1611889</v>
      </c>
      <c r="F25" s="6" t="s">
        <v>26</v>
      </c>
      <c r="G25" s="6">
        <v>20324431</v>
      </c>
      <c r="H25" s="6" t="s">
        <v>130</v>
      </c>
      <c r="I25" s="6">
        <v>1</v>
      </c>
      <c r="J25" s="32" t="s">
        <v>28</v>
      </c>
      <c r="K25" s="20">
        <f t="shared" si="0"/>
        <v>24</v>
      </c>
      <c r="L25" s="21">
        <v>4.4</v>
      </c>
      <c r="M25" s="21">
        <v>105.6</v>
      </c>
      <c r="N25" s="21">
        <v>105.6</v>
      </c>
    </row>
    <row r="26" spans="4:14">
      <c r="D26" s="18">
        <v>46185</v>
      </c>
      <c r="E26" s="6">
        <v>1611889</v>
      </c>
      <c r="F26" s="6" t="s">
        <v>16</v>
      </c>
      <c r="G26" s="6">
        <v>20330052</v>
      </c>
      <c r="H26" s="6" t="s">
        <v>145</v>
      </c>
      <c r="I26" s="6">
        <v>1</v>
      </c>
      <c r="J26" s="32" t="s">
        <v>28</v>
      </c>
      <c r="K26" s="20">
        <f t="shared" si="0"/>
        <v>8</v>
      </c>
      <c r="L26" s="21">
        <v>4.4</v>
      </c>
      <c r="M26" s="21">
        <v>35.2</v>
      </c>
      <c r="N26" s="21">
        <v>35.2</v>
      </c>
    </row>
    <row r="27" spans="4:14">
      <c r="D27" s="18">
        <v>46190</v>
      </c>
      <c r="E27" s="6">
        <v>1612787</v>
      </c>
      <c r="F27" s="6" t="s">
        <v>16</v>
      </c>
      <c r="G27" s="6">
        <v>20324533</v>
      </c>
      <c r="H27" s="6" t="s">
        <v>122</v>
      </c>
      <c r="I27" s="6">
        <v>3</v>
      </c>
      <c r="J27" s="19" t="s">
        <v>18</v>
      </c>
      <c r="K27" s="20">
        <v>1</v>
      </c>
      <c r="L27" s="21">
        <v>6.4</v>
      </c>
      <c r="M27" s="21">
        <v>6.4</v>
      </c>
      <c r="N27" s="21">
        <v>19.2</v>
      </c>
    </row>
    <row r="28" spans="4:14">
      <c r="D28" s="18">
        <v>46190</v>
      </c>
      <c r="E28" s="6">
        <v>1612787</v>
      </c>
      <c r="F28" s="6" t="s">
        <v>16</v>
      </c>
      <c r="G28" s="6">
        <v>20324402</v>
      </c>
      <c r="H28" s="6" t="s">
        <v>24</v>
      </c>
      <c r="I28" s="6">
        <v>2</v>
      </c>
      <c r="J28" s="6" t="s">
        <v>20</v>
      </c>
      <c r="K28" s="20">
        <v>1</v>
      </c>
      <c r="L28" s="21">
        <v>8.8</v>
      </c>
      <c r="M28" s="21">
        <v>8.8</v>
      </c>
      <c r="N28" s="21">
        <v>17.6</v>
      </c>
    </row>
    <row r="29" spans="4:14">
      <c r="D29" s="18">
        <v>46190</v>
      </c>
      <c r="E29" s="6">
        <v>1612787</v>
      </c>
      <c r="F29" s="6" t="s">
        <v>16</v>
      </c>
      <c r="G29" s="6">
        <v>20324363</v>
      </c>
      <c r="H29" s="6" t="s">
        <v>25</v>
      </c>
      <c r="I29" s="6">
        <v>1</v>
      </c>
      <c r="J29" s="19" t="s">
        <v>18</v>
      </c>
      <c r="K29" s="20">
        <v>1</v>
      </c>
      <c r="L29" s="21">
        <v>6.4</v>
      </c>
      <c r="M29" s="21">
        <v>6.4</v>
      </c>
      <c r="N29" s="21">
        <v>6.4</v>
      </c>
    </row>
    <row r="30" spans="4:14">
      <c r="D30" s="18">
        <v>46190</v>
      </c>
      <c r="E30" s="6">
        <v>1612787</v>
      </c>
      <c r="F30" s="6" t="s">
        <v>26</v>
      </c>
      <c r="G30" s="6">
        <v>20324431</v>
      </c>
      <c r="H30" s="6" t="s">
        <v>130</v>
      </c>
      <c r="I30" s="6">
        <v>3</v>
      </c>
      <c r="J30" s="32" t="s">
        <v>28</v>
      </c>
      <c r="K30" s="20">
        <f t="shared" ref="K30:K35" si="1">M30/L30</f>
        <v>24</v>
      </c>
      <c r="L30" s="21">
        <v>4.4</v>
      </c>
      <c r="M30" s="21">
        <v>105.6</v>
      </c>
      <c r="N30" s="21">
        <v>316.8</v>
      </c>
    </row>
    <row r="31" spans="4:14">
      <c r="D31" s="18">
        <v>46191</v>
      </c>
      <c r="E31" s="6">
        <v>1613545</v>
      </c>
      <c r="F31" s="6" t="s">
        <v>16</v>
      </c>
      <c r="G31" s="6">
        <v>20324364</v>
      </c>
      <c r="H31" s="6" t="s">
        <v>21</v>
      </c>
      <c r="I31" s="6">
        <v>1</v>
      </c>
      <c r="J31" s="19" t="s">
        <v>18</v>
      </c>
      <c r="K31" s="20">
        <v>1</v>
      </c>
      <c r="L31" s="21">
        <v>6.4</v>
      </c>
      <c r="M31" s="21">
        <v>6.4</v>
      </c>
      <c r="N31" s="21">
        <v>6.4</v>
      </c>
    </row>
    <row r="32" spans="4:14">
      <c r="D32" s="18">
        <v>46191</v>
      </c>
      <c r="E32" s="6">
        <v>1613545</v>
      </c>
      <c r="F32" s="6" t="s">
        <v>16</v>
      </c>
      <c r="G32" s="6">
        <v>20324533</v>
      </c>
      <c r="H32" s="6" t="s">
        <v>122</v>
      </c>
      <c r="I32" s="6">
        <v>1</v>
      </c>
      <c r="J32" s="19" t="s">
        <v>18</v>
      </c>
      <c r="K32" s="20">
        <v>1</v>
      </c>
      <c r="L32" s="21">
        <v>6.4</v>
      </c>
      <c r="M32" s="21">
        <v>6.4</v>
      </c>
      <c r="N32" s="21">
        <v>6.4</v>
      </c>
    </row>
    <row r="33" spans="4:14">
      <c r="D33" s="18">
        <v>46191</v>
      </c>
      <c r="E33" s="6">
        <v>1613545</v>
      </c>
      <c r="F33" s="6" t="s">
        <v>16</v>
      </c>
      <c r="G33" s="6">
        <v>20324402</v>
      </c>
      <c r="H33" s="6" t="s">
        <v>24</v>
      </c>
      <c r="I33" s="6">
        <v>1</v>
      </c>
      <c r="J33" s="6" t="s">
        <v>20</v>
      </c>
      <c r="K33" s="20">
        <v>1</v>
      </c>
      <c r="L33" s="21">
        <v>8.8</v>
      </c>
      <c r="M33" s="21">
        <v>8.8</v>
      </c>
      <c r="N33" s="21">
        <v>8.8</v>
      </c>
    </row>
    <row r="34" spans="4:14">
      <c r="D34" s="18">
        <v>46191</v>
      </c>
      <c r="E34" s="6">
        <v>1613545</v>
      </c>
      <c r="F34" s="6" t="s">
        <v>26</v>
      </c>
      <c r="G34" s="6">
        <v>20359097</v>
      </c>
      <c r="H34" s="6" t="s">
        <v>146</v>
      </c>
      <c r="I34" s="6">
        <v>1</v>
      </c>
      <c r="J34" s="32" t="s">
        <v>28</v>
      </c>
      <c r="K34" s="20">
        <f t="shared" si="1"/>
        <v>4</v>
      </c>
      <c r="L34" s="21">
        <v>4.4</v>
      </c>
      <c r="M34" s="21">
        <v>17.6</v>
      </c>
      <c r="N34" s="21">
        <v>17.6</v>
      </c>
    </row>
    <row r="35" spans="4:14">
      <c r="D35" s="18">
        <v>46191</v>
      </c>
      <c r="E35" s="6">
        <v>1613545</v>
      </c>
      <c r="F35" s="6" t="s">
        <v>26</v>
      </c>
      <c r="G35" s="6">
        <v>20324431</v>
      </c>
      <c r="H35" s="6" t="s">
        <v>130</v>
      </c>
      <c r="I35" s="6">
        <v>3</v>
      </c>
      <c r="J35" s="32" t="s">
        <v>28</v>
      </c>
      <c r="K35" s="20">
        <f t="shared" si="1"/>
        <v>24</v>
      </c>
      <c r="L35" s="21">
        <v>4.4</v>
      </c>
      <c r="M35" s="21">
        <v>105.6</v>
      </c>
      <c r="N35" s="21">
        <v>316.8</v>
      </c>
    </row>
    <row r="36" spans="4:14">
      <c r="D36" s="18">
        <v>46197</v>
      </c>
      <c r="E36" s="6">
        <v>1614918</v>
      </c>
      <c r="F36" s="6" t="s">
        <v>16</v>
      </c>
      <c r="G36" s="6">
        <v>20324364</v>
      </c>
      <c r="H36" s="6" t="s">
        <v>21</v>
      </c>
      <c r="I36" s="6">
        <v>1</v>
      </c>
      <c r="J36" s="19" t="s">
        <v>18</v>
      </c>
      <c r="K36" s="20">
        <v>1</v>
      </c>
      <c r="L36" s="21">
        <v>6.4</v>
      </c>
      <c r="M36" s="21">
        <v>6.4</v>
      </c>
      <c r="N36" s="21">
        <v>6.4</v>
      </c>
    </row>
    <row r="37" spans="4:14">
      <c r="D37" s="18">
        <v>46197</v>
      </c>
      <c r="E37" s="6">
        <v>1614918</v>
      </c>
      <c r="F37" s="6" t="s">
        <v>16</v>
      </c>
      <c r="G37" s="6">
        <v>20324557</v>
      </c>
      <c r="H37" s="6" t="s">
        <v>147</v>
      </c>
      <c r="I37" s="6">
        <v>1</v>
      </c>
      <c r="J37" s="19" t="s">
        <v>18</v>
      </c>
      <c r="K37" s="20">
        <v>1</v>
      </c>
      <c r="L37" s="21">
        <v>6.4</v>
      </c>
      <c r="M37" s="21">
        <v>6.4</v>
      </c>
      <c r="N37" s="21">
        <v>6.4</v>
      </c>
    </row>
    <row r="38" spans="4:14">
      <c r="D38" s="18">
        <v>46197</v>
      </c>
      <c r="E38" s="6">
        <v>1614918</v>
      </c>
      <c r="F38" s="6" t="s">
        <v>16</v>
      </c>
      <c r="G38" s="6">
        <v>20324405</v>
      </c>
      <c r="H38" s="6" t="s">
        <v>30</v>
      </c>
      <c r="I38" s="6">
        <v>1</v>
      </c>
      <c r="J38" s="6" t="s">
        <v>20</v>
      </c>
      <c r="K38" s="20">
        <v>1</v>
      </c>
      <c r="L38" s="21">
        <v>8.8</v>
      </c>
      <c r="M38" s="21">
        <v>8.8</v>
      </c>
      <c r="N38" s="21">
        <v>8.8</v>
      </c>
    </row>
    <row r="39" spans="4:14">
      <c r="D39" s="18">
        <v>46197</v>
      </c>
      <c r="E39" s="6">
        <v>1614918</v>
      </c>
      <c r="F39" s="6" t="s">
        <v>16</v>
      </c>
      <c r="G39" s="6">
        <v>20324533</v>
      </c>
      <c r="H39" s="6" t="s">
        <v>122</v>
      </c>
      <c r="I39" s="6">
        <v>2</v>
      </c>
      <c r="J39" s="19" t="s">
        <v>18</v>
      </c>
      <c r="K39" s="20">
        <v>1</v>
      </c>
      <c r="L39" s="21">
        <v>6.4</v>
      </c>
      <c r="M39" s="21">
        <v>6.4</v>
      </c>
      <c r="N39" s="21">
        <v>12.8</v>
      </c>
    </row>
    <row r="40" spans="4:14">
      <c r="D40" s="18">
        <v>46197</v>
      </c>
      <c r="E40" s="6">
        <v>1614918</v>
      </c>
      <c r="F40" s="6" t="s">
        <v>16</v>
      </c>
      <c r="G40" s="6">
        <v>20324559</v>
      </c>
      <c r="H40" s="6" t="s">
        <v>148</v>
      </c>
      <c r="I40" s="6">
        <v>1</v>
      </c>
      <c r="J40" s="6" t="s">
        <v>20</v>
      </c>
      <c r="K40" s="20">
        <v>1</v>
      </c>
      <c r="L40" s="21">
        <v>8.8</v>
      </c>
      <c r="M40" s="21">
        <v>8.8</v>
      </c>
      <c r="N40" s="21">
        <v>8.8</v>
      </c>
    </row>
    <row r="41" spans="4:14">
      <c r="D41" s="18">
        <v>46197</v>
      </c>
      <c r="E41" s="6">
        <v>1614918</v>
      </c>
      <c r="F41" s="6" t="s">
        <v>16</v>
      </c>
      <c r="G41" s="6">
        <v>20324363</v>
      </c>
      <c r="H41" s="6" t="s">
        <v>25</v>
      </c>
      <c r="I41" s="6">
        <v>1</v>
      </c>
      <c r="J41" s="19" t="s">
        <v>18</v>
      </c>
      <c r="K41" s="20">
        <v>1</v>
      </c>
      <c r="L41" s="21">
        <v>6.4</v>
      </c>
      <c r="M41" s="21">
        <v>6.4</v>
      </c>
      <c r="N41" s="21">
        <v>6.4</v>
      </c>
    </row>
    <row r="42" spans="4:14">
      <c r="D42" s="18">
        <v>46197</v>
      </c>
      <c r="E42" s="6">
        <v>1614918</v>
      </c>
      <c r="F42" s="6" t="s">
        <v>26</v>
      </c>
      <c r="G42" s="6">
        <v>20359097</v>
      </c>
      <c r="H42" s="6" t="s">
        <v>146</v>
      </c>
      <c r="I42" s="6">
        <v>1</v>
      </c>
      <c r="J42" s="32" t="s">
        <v>28</v>
      </c>
      <c r="K42" s="20">
        <f t="shared" ref="K42:K45" si="2">M42/L42</f>
        <v>4</v>
      </c>
      <c r="L42" s="21">
        <v>4.4</v>
      </c>
      <c r="M42" s="21">
        <v>17.6</v>
      </c>
      <c r="N42" s="21">
        <v>17.6</v>
      </c>
    </row>
    <row r="43" spans="4:14">
      <c r="D43" s="18">
        <v>46197</v>
      </c>
      <c r="E43" s="6">
        <v>1614918</v>
      </c>
      <c r="F43" s="6" t="s">
        <v>26</v>
      </c>
      <c r="G43" s="6">
        <v>20324431</v>
      </c>
      <c r="H43" s="6" t="s">
        <v>130</v>
      </c>
      <c r="I43" s="6">
        <v>2</v>
      </c>
      <c r="J43" s="32" t="s">
        <v>28</v>
      </c>
      <c r="K43" s="20">
        <f t="shared" si="2"/>
        <v>24</v>
      </c>
      <c r="L43" s="21">
        <v>4.4</v>
      </c>
      <c r="M43" s="21">
        <v>105.6</v>
      </c>
      <c r="N43" s="21">
        <v>211.2</v>
      </c>
    </row>
    <row r="44" spans="4:14">
      <c r="D44" s="18">
        <v>46199</v>
      </c>
      <c r="E44" s="6">
        <v>1615571</v>
      </c>
      <c r="F44" s="6" t="s">
        <v>16</v>
      </c>
      <c r="G44" s="6">
        <v>20324402</v>
      </c>
      <c r="H44" s="6" t="s">
        <v>24</v>
      </c>
      <c r="I44" s="6">
        <v>1</v>
      </c>
      <c r="J44" s="6" t="s">
        <v>20</v>
      </c>
      <c r="K44" s="20">
        <v>1</v>
      </c>
      <c r="L44" s="21">
        <v>8.8</v>
      </c>
      <c r="M44" s="21">
        <v>8.8</v>
      </c>
      <c r="N44" s="21">
        <v>8.8</v>
      </c>
    </row>
    <row r="45" spans="4:14">
      <c r="D45" s="18">
        <v>46199</v>
      </c>
      <c r="E45" s="6">
        <v>1615571</v>
      </c>
      <c r="F45" s="6" t="s">
        <v>26</v>
      </c>
      <c r="G45" s="6">
        <v>20324431</v>
      </c>
      <c r="H45" s="6" t="s">
        <v>130</v>
      </c>
      <c r="I45" s="6">
        <v>2</v>
      </c>
      <c r="J45" s="32" t="s">
        <v>28</v>
      </c>
      <c r="K45" s="20">
        <f t="shared" si="2"/>
        <v>24</v>
      </c>
      <c r="L45" s="21">
        <v>4.4</v>
      </c>
      <c r="M45" s="21">
        <v>105.6</v>
      </c>
      <c r="N45" s="21">
        <v>211.2</v>
      </c>
    </row>
  </sheetData>
  <autoFilter xmlns:etc="http://www.wps.cn/officeDocument/2017/etCustomData" ref="A7:N45" etc:filterBottomFollowUsedRange="0">
    <extLst/>
  </autoFilter>
  <mergeCells count="5">
    <mergeCell ref="D8:H8"/>
    <mergeCell ref="C7:C45"/>
    <mergeCell ref="B4:H5"/>
    <mergeCell ref="A7:B45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75" customWidth="1"/>
    <col min="12" max="12" width="13.875" customWidth="1"/>
    <col min="13" max="13" width="12.2083333333333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149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36</v>
      </c>
      <c r="J8" s="42"/>
      <c r="K8" s="43"/>
      <c r="L8" s="43"/>
      <c r="M8" s="43"/>
      <c r="N8" s="43">
        <v>1882.4</v>
      </c>
    </row>
    <row r="9" spans="1:14">
      <c r="D9" s="13">
        <v>46176</v>
      </c>
      <c r="E9" s="14">
        <v>1608656</v>
      </c>
      <c r="F9" s="14" t="s">
        <v>16</v>
      </c>
      <c r="G9" s="14">
        <v>20324691</v>
      </c>
      <c r="H9" s="14" t="s">
        <v>31</v>
      </c>
      <c r="I9" s="14">
        <v>1</v>
      </c>
      <c r="J9" s="14" t="s">
        <v>20</v>
      </c>
      <c r="K9" s="16">
        <v>1</v>
      </c>
      <c r="L9" s="17">
        <v>8.8</v>
      </c>
      <c r="M9" s="17">
        <v>8.8</v>
      </c>
      <c r="N9" s="17">
        <v>8.8</v>
      </c>
    </row>
    <row r="10" spans="1:14">
      <c r="D10" s="18">
        <v>46176</v>
      </c>
      <c r="E10" s="6">
        <v>1608656</v>
      </c>
      <c r="F10" s="6" t="s">
        <v>16</v>
      </c>
      <c r="G10" s="6">
        <v>20324533</v>
      </c>
      <c r="H10" s="6" t="s">
        <v>122</v>
      </c>
      <c r="I10" s="6">
        <v>7</v>
      </c>
      <c r="J10" s="19" t="s">
        <v>18</v>
      </c>
      <c r="K10" s="20">
        <v>1</v>
      </c>
      <c r="L10" s="21">
        <v>6.4</v>
      </c>
      <c r="M10" s="21">
        <v>6.4</v>
      </c>
      <c r="N10" s="21">
        <v>44.8</v>
      </c>
    </row>
    <row r="11" spans="1:14">
      <c r="D11" s="18">
        <v>46176</v>
      </c>
      <c r="E11" s="6">
        <v>1608656</v>
      </c>
      <c r="F11" s="6" t="s">
        <v>26</v>
      </c>
      <c r="G11" s="6">
        <v>20324431</v>
      </c>
      <c r="H11" s="6" t="s">
        <v>130</v>
      </c>
      <c r="I11" s="6">
        <v>10</v>
      </c>
      <c r="J11" s="32" t="s">
        <v>28</v>
      </c>
      <c r="K11" s="20">
        <f>M11/L11</f>
        <v>24</v>
      </c>
      <c r="L11" s="21">
        <v>4.4</v>
      </c>
      <c r="M11" s="21">
        <v>105.6</v>
      </c>
      <c r="N11" s="21">
        <v>1056</v>
      </c>
    </row>
    <row r="12" spans="1:14">
      <c r="D12" s="18">
        <v>46176</v>
      </c>
      <c r="E12" s="6">
        <v>1608656</v>
      </c>
      <c r="F12" s="6" t="s">
        <v>26</v>
      </c>
      <c r="G12" s="6">
        <v>20324453</v>
      </c>
      <c r="H12" s="6" t="s">
        <v>150</v>
      </c>
      <c r="I12" s="6">
        <v>1</v>
      </c>
      <c r="J12" s="32" t="s">
        <v>28</v>
      </c>
      <c r="K12" s="20">
        <f>M12/L12</f>
        <v>8</v>
      </c>
      <c r="L12" s="21">
        <v>4.4</v>
      </c>
      <c r="M12" s="21">
        <v>35.2</v>
      </c>
      <c r="N12" s="21">
        <v>35.2</v>
      </c>
    </row>
    <row r="13" spans="1:14">
      <c r="D13" s="18">
        <v>46191</v>
      </c>
      <c r="E13" s="6">
        <v>1613205</v>
      </c>
      <c r="F13" s="6" t="s">
        <v>16</v>
      </c>
      <c r="G13" s="6">
        <v>20330459</v>
      </c>
      <c r="H13" s="6" t="s">
        <v>141</v>
      </c>
      <c r="I13" s="6">
        <v>1</v>
      </c>
      <c r="J13" s="19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18">
        <v>46191</v>
      </c>
      <c r="E14" s="6">
        <v>1613205</v>
      </c>
      <c r="F14" s="6" t="s">
        <v>16</v>
      </c>
      <c r="G14" s="6">
        <v>20324364</v>
      </c>
      <c r="H14" s="6" t="s">
        <v>21</v>
      </c>
      <c r="I14" s="6">
        <v>2</v>
      </c>
      <c r="J14" s="19" t="s">
        <v>18</v>
      </c>
      <c r="K14" s="20">
        <v>1</v>
      </c>
      <c r="L14" s="21">
        <v>6.4</v>
      </c>
      <c r="M14" s="21">
        <v>6.4</v>
      </c>
      <c r="N14" s="21">
        <v>12.8</v>
      </c>
    </row>
    <row r="15" spans="1:14">
      <c r="D15" s="18">
        <v>46191</v>
      </c>
      <c r="E15" s="6">
        <v>1613205</v>
      </c>
      <c r="F15" s="6" t="s">
        <v>16</v>
      </c>
      <c r="G15" s="6">
        <v>20324533</v>
      </c>
      <c r="H15" s="6" t="s">
        <v>122</v>
      </c>
      <c r="I15" s="6">
        <v>4</v>
      </c>
      <c r="J15" s="19" t="s">
        <v>18</v>
      </c>
      <c r="K15" s="20">
        <v>1</v>
      </c>
      <c r="L15" s="21">
        <v>6.4</v>
      </c>
      <c r="M15" s="21">
        <v>6.4</v>
      </c>
      <c r="N15" s="21">
        <v>25.6</v>
      </c>
    </row>
    <row r="16" spans="1:14">
      <c r="D16" s="18">
        <v>46191</v>
      </c>
      <c r="E16" s="6">
        <v>1613205</v>
      </c>
      <c r="F16" s="6" t="s">
        <v>16</v>
      </c>
      <c r="G16" s="6">
        <v>20324425</v>
      </c>
      <c r="H16" s="6" t="s">
        <v>151</v>
      </c>
      <c r="I16" s="6">
        <v>2</v>
      </c>
      <c r="J16" s="6" t="s">
        <v>20</v>
      </c>
      <c r="K16" s="20">
        <v>1</v>
      </c>
      <c r="L16" s="21">
        <v>8.8</v>
      </c>
      <c r="M16" s="21">
        <v>8.8</v>
      </c>
      <c r="N16" s="21">
        <v>17.6</v>
      </c>
    </row>
    <row r="17" spans="4:14">
      <c r="D17" s="18">
        <v>46191</v>
      </c>
      <c r="E17" s="6">
        <v>1613205</v>
      </c>
      <c r="F17" s="6" t="s">
        <v>16</v>
      </c>
      <c r="G17" s="6">
        <v>20324363</v>
      </c>
      <c r="H17" s="6" t="s">
        <v>25</v>
      </c>
      <c r="I17" s="6">
        <v>1</v>
      </c>
      <c r="J17" s="19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spans="4:14">
      <c r="D18" s="18">
        <v>46191</v>
      </c>
      <c r="E18" s="6">
        <v>1613205</v>
      </c>
      <c r="F18" s="6" t="s">
        <v>26</v>
      </c>
      <c r="G18" s="6">
        <v>20324431</v>
      </c>
      <c r="H18" s="6" t="s">
        <v>130</v>
      </c>
      <c r="I18" s="6">
        <v>6</v>
      </c>
      <c r="J18" s="32" t="s">
        <v>28</v>
      </c>
      <c r="K18" s="20">
        <f>M18/L18</f>
        <v>24</v>
      </c>
      <c r="L18" s="21">
        <v>4.4</v>
      </c>
      <c r="M18" s="21">
        <v>105.6</v>
      </c>
      <c r="N18" s="21">
        <v>633.6</v>
      </c>
    </row>
    <row r="19" spans="4:14">
      <c r="D19" s="18">
        <v>46191</v>
      </c>
      <c r="E19" s="6">
        <v>1613205</v>
      </c>
      <c r="F19" s="6" t="s">
        <v>26</v>
      </c>
      <c r="G19" s="6">
        <v>20324453</v>
      </c>
      <c r="H19" s="6" t="s">
        <v>150</v>
      </c>
      <c r="I19" s="6">
        <v>1</v>
      </c>
      <c r="J19" s="32" t="s">
        <v>28</v>
      </c>
      <c r="K19" s="20">
        <f>M19/L19</f>
        <v>8</v>
      </c>
      <c r="L19" s="21">
        <v>4.4</v>
      </c>
      <c r="M19" s="21">
        <v>35.2</v>
      </c>
      <c r="N19" s="21">
        <v>35.2</v>
      </c>
    </row>
  </sheetData>
  <autoFilter xmlns:etc="http://www.wps.cn/officeDocument/2017/etCustomData" ref="A7:N19" etc:filterBottomFollowUsedRange="0">
    <extLst/>
  </autoFilter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1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34"/>
    </sheetView>
  </sheetViews>
  <sheetFormatPr defaultColWidth="9" defaultRowHeight="13.5"/>
  <cols>
    <col min="1" max="2" width="0.225" customWidth="1"/>
    <col min="3" max="3" width="0.433333333333333" customWidth="1"/>
    <col min="4" max="4" width="12.125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2.625" customWidth="1"/>
    <col min="10" max="11" width="19.75" customWidth="1"/>
    <col min="12" max="12" width="13.875" customWidth="1"/>
    <col min="13" max="13" width="12.2083333333333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152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238</v>
      </c>
      <c r="J8" s="42"/>
      <c r="K8" s="43"/>
      <c r="L8" s="43"/>
      <c r="M8" s="43"/>
      <c r="N8" s="43">
        <f>11975.2-114.4</f>
        <v>11860.8</v>
      </c>
    </row>
    <row r="9" spans="1:14">
      <c r="D9" s="13">
        <v>46175</v>
      </c>
      <c r="E9" s="14">
        <v>1608262</v>
      </c>
      <c r="F9" s="14" t="s">
        <v>16</v>
      </c>
      <c r="G9" s="14">
        <v>20324366</v>
      </c>
      <c r="H9" s="14" t="s">
        <v>153</v>
      </c>
      <c r="I9" s="14">
        <v>1</v>
      </c>
      <c r="J9" s="122" t="s">
        <v>23</v>
      </c>
      <c r="K9" s="16">
        <v>1</v>
      </c>
      <c r="L9" s="17">
        <v>12.8</v>
      </c>
      <c r="M9" s="17">
        <v>12.8</v>
      </c>
      <c r="N9" s="17">
        <v>12.8</v>
      </c>
    </row>
    <row r="10" spans="1:14">
      <c r="D10" s="18">
        <v>46175</v>
      </c>
      <c r="E10" s="6">
        <v>1608262</v>
      </c>
      <c r="F10" s="6" t="s">
        <v>16</v>
      </c>
      <c r="G10" s="6">
        <v>20324364</v>
      </c>
      <c r="H10" s="6" t="s">
        <v>21</v>
      </c>
      <c r="I10" s="6">
        <v>2</v>
      </c>
      <c r="J10" s="19" t="s">
        <v>18</v>
      </c>
      <c r="K10" s="20">
        <v>1</v>
      </c>
      <c r="L10" s="21">
        <v>6.4</v>
      </c>
      <c r="M10" s="21">
        <v>6.4</v>
      </c>
      <c r="N10" s="21">
        <v>12.8</v>
      </c>
    </row>
    <row r="11" spans="1:14">
      <c r="D11" s="18">
        <v>46175</v>
      </c>
      <c r="E11" s="6">
        <v>1608262</v>
      </c>
      <c r="F11" s="6" t="s">
        <v>16</v>
      </c>
      <c r="G11" s="6">
        <v>20324533</v>
      </c>
      <c r="H11" s="6" t="s">
        <v>122</v>
      </c>
      <c r="I11" s="6">
        <v>1</v>
      </c>
      <c r="J11" s="19" t="s">
        <v>18</v>
      </c>
      <c r="K11" s="20">
        <v>1</v>
      </c>
      <c r="L11" s="21">
        <v>6.4</v>
      </c>
      <c r="M11" s="21">
        <v>6.4</v>
      </c>
      <c r="N11" s="21">
        <v>6.4</v>
      </c>
    </row>
    <row r="12" spans="1:14">
      <c r="D12" s="18">
        <v>46175</v>
      </c>
      <c r="E12" s="6">
        <v>1608262</v>
      </c>
      <c r="F12" s="6" t="s">
        <v>16</v>
      </c>
      <c r="G12" s="6">
        <v>20324367</v>
      </c>
      <c r="H12" s="6" t="s">
        <v>154</v>
      </c>
      <c r="I12" s="6">
        <v>1</v>
      </c>
      <c r="J12" s="19" t="s">
        <v>18</v>
      </c>
      <c r="K12" s="20">
        <v>1</v>
      </c>
      <c r="L12" s="21">
        <v>6.4</v>
      </c>
      <c r="M12" s="21">
        <v>6.4</v>
      </c>
      <c r="N12" s="21">
        <v>6.4</v>
      </c>
    </row>
    <row r="13" spans="1:14">
      <c r="D13" s="18">
        <v>46175</v>
      </c>
      <c r="E13" s="6">
        <v>1608262</v>
      </c>
      <c r="F13" s="6" t="s">
        <v>16</v>
      </c>
      <c r="G13" s="6">
        <v>20324363</v>
      </c>
      <c r="H13" s="6" t="s">
        <v>25</v>
      </c>
      <c r="I13" s="6">
        <v>2</v>
      </c>
      <c r="J13" s="19" t="s">
        <v>18</v>
      </c>
      <c r="K13" s="20">
        <v>1</v>
      </c>
      <c r="L13" s="21">
        <v>6.4</v>
      </c>
      <c r="M13" s="21">
        <v>6.4</v>
      </c>
      <c r="N13" s="21">
        <v>12.8</v>
      </c>
    </row>
    <row r="14" spans="1:14">
      <c r="D14" s="18">
        <v>46175</v>
      </c>
      <c r="E14" s="6">
        <v>1608262</v>
      </c>
      <c r="F14" s="6" t="s">
        <v>26</v>
      </c>
      <c r="G14" s="6">
        <v>20324360</v>
      </c>
      <c r="H14" s="6" t="s">
        <v>155</v>
      </c>
      <c r="I14" s="6">
        <v>1</v>
      </c>
      <c r="J14" s="32" t="s">
        <v>28</v>
      </c>
      <c r="K14" s="20">
        <f t="shared" ref="K14:K17" si="0">M14/L14</f>
        <v>16</v>
      </c>
      <c r="L14" s="21">
        <v>4.4</v>
      </c>
      <c r="M14" s="21">
        <v>70.4</v>
      </c>
      <c r="N14" s="21">
        <v>70.4</v>
      </c>
    </row>
    <row r="15" spans="1:14">
      <c r="D15" s="18">
        <v>46175</v>
      </c>
      <c r="E15" s="6">
        <v>1608262</v>
      </c>
      <c r="F15" s="6" t="s">
        <v>16</v>
      </c>
      <c r="G15" s="6">
        <v>20325181</v>
      </c>
      <c r="H15" s="6" t="s">
        <v>156</v>
      </c>
      <c r="I15" s="6">
        <v>1</v>
      </c>
      <c r="J15" s="32" t="s">
        <v>28</v>
      </c>
      <c r="K15" s="20">
        <f t="shared" si="0"/>
        <v>49</v>
      </c>
      <c r="L15" s="21">
        <v>4.4</v>
      </c>
      <c r="M15" s="21">
        <v>215.6</v>
      </c>
      <c r="N15" s="21">
        <v>215.6</v>
      </c>
    </row>
    <row r="16" spans="1:14">
      <c r="D16" s="18">
        <v>46175</v>
      </c>
      <c r="E16" s="6">
        <v>1608262</v>
      </c>
      <c r="F16" s="6" t="s">
        <v>16</v>
      </c>
      <c r="G16" s="6">
        <v>20328818</v>
      </c>
      <c r="H16" s="6" t="s">
        <v>157</v>
      </c>
      <c r="I16" s="6">
        <v>2</v>
      </c>
      <c r="J16" s="32" t="s">
        <v>28</v>
      </c>
      <c r="K16" s="20">
        <f t="shared" si="0"/>
        <v>51</v>
      </c>
      <c r="L16" s="21">
        <v>4.4</v>
      </c>
      <c r="M16" s="21">
        <v>224.4</v>
      </c>
      <c r="N16" s="21">
        <v>448.8</v>
      </c>
    </row>
    <row r="17" spans="4:14">
      <c r="D17" s="18">
        <v>46177</v>
      </c>
      <c r="E17" s="6">
        <v>1609075</v>
      </c>
      <c r="F17" s="6" t="s">
        <v>16</v>
      </c>
      <c r="G17" s="6">
        <v>20324366</v>
      </c>
      <c r="H17" s="6" t="s">
        <v>153</v>
      </c>
      <c r="I17" s="6">
        <v>2</v>
      </c>
      <c r="J17" s="123" t="s">
        <v>23</v>
      </c>
      <c r="K17" s="20">
        <v>1</v>
      </c>
      <c r="L17" s="21">
        <v>12.8</v>
      </c>
      <c r="M17" s="21">
        <v>12.8</v>
      </c>
      <c r="N17" s="21">
        <v>25.6</v>
      </c>
    </row>
    <row r="18" spans="4:14">
      <c r="D18" s="18">
        <v>46177</v>
      </c>
      <c r="E18" s="6">
        <v>1609075</v>
      </c>
      <c r="F18" s="6" t="s">
        <v>16</v>
      </c>
      <c r="G18" s="6">
        <v>20324364</v>
      </c>
      <c r="H18" s="6" t="s">
        <v>21</v>
      </c>
      <c r="I18" s="6">
        <v>1</v>
      </c>
      <c r="J18" s="19" t="s">
        <v>18</v>
      </c>
      <c r="K18" s="20">
        <v>1</v>
      </c>
      <c r="L18" s="21">
        <v>6.4</v>
      </c>
      <c r="M18" s="21">
        <v>6.4</v>
      </c>
      <c r="N18" s="21">
        <v>6.4</v>
      </c>
    </row>
    <row r="19" spans="4:14">
      <c r="D19" s="18">
        <v>46177</v>
      </c>
      <c r="E19" s="6">
        <v>1609075</v>
      </c>
      <c r="F19" s="6" t="s">
        <v>16</v>
      </c>
      <c r="G19" s="6">
        <v>20324533</v>
      </c>
      <c r="H19" s="6" t="s">
        <v>122</v>
      </c>
      <c r="I19" s="6">
        <v>2</v>
      </c>
      <c r="J19" s="19" t="s">
        <v>18</v>
      </c>
      <c r="K19" s="20">
        <v>1</v>
      </c>
      <c r="L19" s="21">
        <v>6.4</v>
      </c>
      <c r="M19" s="21">
        <v>6.4</v>
      </c>
      <c r="N19" s="21">
        <v>12.8</v>
      </c>
    </row>
    <row r="20" spans="4:14">
      <c r="D20" s="18">
        <v>46177</v>
      </c>
      <c r="E20" s="6">
        <v>1609075</v>
      </c>
      <c r="F20" s="6" t="s">
        <v>16</v>
      </c>
      <c r="G20" s="6">
        <v>20324363</v>
      </c>
      <c r="H20" s="6" t="s">
        <v>25</v>
      </c>
      <c r="I20" s="6">
        <v>1</v>
      </c>
      <c r="J20" s="19" t="s">
        <v>18</v>
      </c>
      <c r="K20" s="20">
        <v>1</v>
      </c>
      <c r="L20" s="21">
        <v>6.4</v>
      </c>
      <c r="M20" s="21">
        <v>6.4</v>
      </c>
      <c r="N20" s="21">
        <v>6.4</v>
      </c>
    </row>
    <row r="21" spans="4:14">
      <c r="D21" s="18">
        <v>46177</v>
      </c>
      <c r="E21" s="6">
        <v>1609075</v>
      </c>
      <c r="F21" s="6" t="s">
        <v>26</v>
      </c>
      <c r="G21" s="6">
        <v>20324360</v>
      </c>
      <c r="H21" s="6" t="s">
        <v>155</v>
      </c>
      <c r="I21" s="6">
        <v>2</v>
      </c>
      <c r="J21" s="32" t="s">
        <v>28</v>
      </c>
      <c r="K21" s="20">
        <f t="shared" ref="K21:K24" si="1">M21/L21</f>
        <v>16</v>
      </c>
      <c r="L21" s="21">
        <v>4.4</v>
      </c>
      <c r="M21" s="21">
        <v>70.4</v>
      </c>
      <c r="N21" s="21">
        <v>140.8</v>
      </c>
    </row>
    <row r="22" spans="4:14">
      <c r="D22" s="18">
        <v>46177</v>
      </c>
      <c r="E22" s="6">
        <v>1609075</v>
      </c>
      <c r="F22" s="6" t="s">
        <v>16</v>
      </c>
      <c r="G22" s="6">
        <v>20328818</v>
      </c>
      <c r="H22" s="6" t="s">
        <v>157</v>
      </c>
      <c r="I22" s="6">
        <v>1</v>
      </c>
      <c r="J22" s="32" t="s">
        <v>28</v>
      </c>
      <c r="K22" s="20">
        <f t="shared" si="1"/>
        <v>51</v>
      </c>
      <c r="L22" s="21">
        <v>4.4</v>
      </c>
      <c r="M22" s="21">
        <v>224.4</v>
      </c>
      <c r="N22" s="21">
        <v>224.4</v>
      </c>
    </row>
    <row r="23" spans="4:14">
      <c r="D23" s="18">
        <v>46178</v>
      </c>
      <c r="E23" s="6">
        <v>1609413</v>
      </c>
      <c r="F23" s="6" t="s">
        <v>16</v>
      </c>
      <c r="G23" s="6">
        <v>20324370</v>
      </c>
      <c r="H23" s="6" t="s">
        <v>112</v>
      </c>
      <c r="I23" s="6">
        <v>1</v>
      </c>
      <c r="J23" s="19" t="s">
        <v>18</v>
      </c>
      <c r="K23" s="20">
        <v>1</v>
      </c>
      <c r="L23" s="21">
        <v>6.4</v>
      </c>
      <c r="M23" s="21">
        <v>6.4</v>
      </c>
      <c r="N23" s="21">
        <v>6.4</v>
      </c>
    </row>
    <row r="24" spans="4:14">
      <c r="D24" s="18">
        <v>46178</v>
      </c>
      <c r="E24" s="6">
        <v>1609413</v>
      </c>
      <c r="F24" s="6" t="s">
        <v>16</v>
      </c>
      <c r="G24" s="6">
        <v>20324366</v>
      </c>
      <c r="H24" s="6" t="s">
        <v>153</v>
      </c>
      <c r="I24" s="6">
        <v>2</v>
      </c>
      <c r="J24" s="123" t="s">
        <v>23</v>
      </c>
      <c r="K24" s="20">
        <v>1</v>
      </c>
      <c r="L24" s="21">
        <v>12.8</v>
      </c>
      <c r="M24" s="21">
        <v>12.8</v>
      </c>
      <c r="N24" s="21">
        <v>25.6</v>
      </c>
    </row>
    <row r="25" spans="4:14">
      <c r="D25" s="18">
        <v>46178</v>
      </c>
      <c r="E25" s="6">
        <v>1609413</v>
      </c>
      <c r="F25" s="6" t="s">
        <v>16</v>
      </c>
      <c r="G25" s="6">
        <v>20324364</v>
      </c>
      <c r="H25" s="6" t="s">
        <v>21</v>
      </c>
      <c r="I25" s="6">
        <v>1</v>
      </c>
      <c r="J25" s="19" t="s">
        <v>18</v>
      </c>
      <c r="K25" s="20">
        <v>1</v>
      </c>
      <c r="L25" s="21">
        <v>6.4</v>
      </c>
      <c r="M25" s="21">
        <v>6.4</v>
      </c>
      <c r="N25" s="21">
        <v>6.4</v>
      </c>
    </row>
    <row r="26" spans="4:14">
      <c r="D26" s="18">
        <v>46178</v>
      </c>
      <c r="E26" s="6">
        <v>1609413</v>
      </c>
      <c r="F26" s="6" t="s">
        <v>16</v>
      </c>
      <c r="G26" s="6">
        <v>20324533</v>
      </c>
      <c r="H26" s="6" t="s">
        <v>122</v>
      </c>
      <c r="I26" s="6">
        <v>2</v>
      </c>
      <c r="J26" s="19" t="s">
        <v>18</v>
      </c>
      <c r="K26" s="20">
        <v>1</v>
      </c>
      <c r="L26" s="21">
        <v>6.4</v>
      </c>
      <c r="M26" s="21">
        <v>6.4</v>
      </c>
      <c r="N26" s="21">
        <v>12.8</v>
      </c>
    </row>
    <row r="27" spans="4:14">
      <c r="D27" s="18">
        <v>46178</v>
      </c>
      <c r="E27" s="6">
        <v>1609413</v>
      </c>
      <c r="F27" s="6" t="s">
        <v>16</v>
      </c>
      <c r="G27" s="6">
        <v>20324363</v>
      </c>
      <c r="H27" s="6" t="s">
        <v>25</v>
      </c>
      <c r="I27" s="6">
        <v>1</v>
      </c>
      <c r="J27" s="19" t="s">
        <v>18</v>
      </c>
      <c r="K27" s="20">
        <v>1</v>
      </c>
      <c r="L27" s="21">
        <v>6.4</v>
      </c>
      <c r="M27" s="21">
        <v>6.4</v>
      </c>
      <c r="N27" s="21">
        <v>6.4</v>
      </c>
    </row>
    <row r="28" spans="4:14">
      <c r="D28" s="18">
        <v>46178</v>
      </c>
      <c r="E28" s="6">
        <v>1609413</v>
      </c>
      <c r="F28" s="6" t="s">
        <v>26</v>
      </c>
      <c r="G28" s="6">
        <v>20324360</v>
      </c>
      <c r="H28" s="6" t="s">
        <v>155</v>
      </c>
      <c r="I28" s="6">
        <v>2</v>
      </c>
      <c r="J28" s="32" t="s">
        <v>28</v>
      </c>
      <c r="K28" s="20">
        <f t="shared" ref="K28:K30" si="2">M28/L28</f>
        <v>16</v>
      </c>
      <c r="L28" s="21">
        <v>4.4</v>
      </c>
      <c r="M28" s="21">
        <v>70.4</v>
      </c>
      <c r="N28" s="21">
        <v>140.8</v>
      </c>
    </row>
    <row r="29" spans="4:14">
      <c r="D29" s="18">
        <v>46178</v>
      </c>
      <c r="E29" s="6">
        <v>1609413</v>
      </c>
      <c r="F29" s="6" t="s">
        <v>16</v>
      </c>
      <c r="G29" s="6">
        <v>20328818</v>
      </c>
      <c r="H29" s="6" t="s">
        <v>157</v>
      </c>
      <c r="I29" s="6">
        <v>1</v>
      </c>
      <c r="J29" s="32" t="s">
        <v>28</v>
      </c>
      <c r="K29" s="20">
        <f t="shared" si="2"/>
        <v>51</v>
      </c>
      <c r="L29" s="21">
        <v>4.4</v>
      </c>
      <c r="M29" s="21">
        <v>224.4</v>
      </c>
      <c r="N29" s="21">
        <v>224.4</v>
      </c>
    </row>
    <row r="30" spans="4:14">
      <c r="D30" s="18">
        <v>46179</v>
      </c>
      <c r="E30" s="6">
        <v>1609858</v>
      </c>
      <c r="F30" s="6" t="s">
        <v>16</v>
      </c>
      <c r="G30" s="6">
        <v>20324366</v>
      </c>
      <c r="H30" s="6" t="s">
        <v>153</v>
      </c>
      <c r="I30" s="6">
        <v>6</v>
      </c>
      <c r="J30" s="123" t="s">
        <v>23</v>
      </c>
      <c r="K30" s="20">
        <v>1</v>
      </c>
      <c r="L30" s="21">
        <v>12.8</v>
      </c>
      <c r="M30" s="21">
        <v>12.8</v>
      </c>
      <c r="N30" s="21">
        <v>76.8</v>
      </c>
    </row>
    <row r="31" spans="4:14">
      <c r="D31" s="18">
        <v>46179</v>
      </c>
      <c r="E31" s="6">
        <v>1609858</v>
      </c>
      <c r="F31" s="6" t="s">
        <v>16</v>
      </c>
      <c r="G31" s="6">
        <v>20324533</v>
      </c>
      <c r="H31" s="6" t="s">
        <v>122</v>
      </c>
      <c r="I31" s="6">
        <v>6</v>
      </c>
      <c r="J31" s="19" t="s">
        <v>18</v>
      </c>
      <c r="K31" s="20">
        <v>1</v>
      </c>
      <c r="L31" s="21">
        <v>6.4</v>
      </c>
      <c r="M31" s="21">
        <v>6.4</v>
      </c>
      <c r="N31" s="21">
        <v>38.4</v>
      </c>
    </row>
    <row r="32" spans="4:14">
      <c r="D32" s="18">
        <v>46179</v>
      </c>
      <c r="E32" s="6">
        <v>1609858</v>
      </c>
      <c r="F32" s="6" t="s">
        <v>16</v>
      </c>
      <c r="G32" s="6">
        <v>20324367</v>
      </c>
      <c r="H32" s="6" t="s">
        <v>154</v>
      </c>
      <c r="I32" s="6">
        <v>1</v>
      </c>
      <c r="J32" s="19" t="s">
        <v>18</v>
      </c>
      <c r="K32" s="20">
        <v>1</v>
      </c>
      <c r="L32" s="21">
        <v>6.4</v>
      </c>
      <c r="M32" s="21">
        <v>6.4</v>
      </c>
      <c r="N32" s="21">
        <v>6.4</v>
      </c>
    </row>
    <row r="33" spans="4:14">
      <c r="D33" s="18">
        <v>46179</v>
      </c>
      <c r="E33" s="6">
        <v>1609858</v>
      </c>
      <c r="F33" s="6" t="s">
        <v>26</v>
      </c>
      <c r="G33" s="6">
        <v>20324360</v>
      </c>
      <c r="H33" s="6" t="s">
        <v>155</v>
      </c>
      <c r="I33" s="6">
        <v>6</v>
      </c>
      <c r="J33" s="32" t="s">
        <v>28</v>
      </c>
      <c r="K33" s="20">
        <f>M33/L33</f>
        <v>16</v>
      </c>
      <c r="L33" s="21">
        <v>4.4</v>
      </c>
      <c r="M33" s="21">
        <v>70.4</v>
      </c>
      <c r="N33" s="21">
        <v>422.4</v>
      </c>
    </row>
    <row r="34" spans="4:14">
      <c r="D34" s="18">
        <v>46179</v>
      </c>
      <c r="E34" s="6">
        <v>1609858</v>
      </c>
      <c r="F34" s="6" t="s">
        <v>16</v>
      </c>
      <c r="G34" s="6">
        <v>20328818</v>
      </c>
      <c r="H34" s="6" t="s">
        <v>157</v>
      </c>
      <c r="I34" s="6">
        <v>1</v>
      </c>
      <c r="J34" s="32" t="s">
        <v>28</v>
      </c>
      <c r="K34" s="20">
        <f>M34/L34</f>
        <v>51</v>
      </c>
      <c r="L34" s="21">
        <v>4.4</v>
      </c>
      <c r="M34" s="21">
        <v>224.4</v>
      </c>
      <c r="N34" s="21">
        <v>224.4</v>
      </c>
    </row>
    <row r="35" spans="4:14">
      <c r="D35" s="18">
        <v>46182</v>
      </c>
      <c r="E35" s="6">
        <v>1610407</v>
      </c>
      <c r="F35" s="6" t="s">
        <v>16</v>
      </c>
      <c r="G35" s="6">
        <v>20324364</v>
      </c>
      <c r="H35" s="6" t="s">
        <v>21</v>
      </c>
      <c r="I35" s="6">
        <v>2</v>
      </c>
      <c r="J35" s="19" t="s">
        <v>18</v>
      </c>
      <c r="K35" s="20">
        <v>1</v>
      </c>
      <c r="L35" s="21">
        <v>6.4</v>
      </c>
      <c r="M35" s="21">
        <v>6.4</v>
      </c>
      <c r="N35" s="21">
        <v>12.8</v>
      </c>
    </row>
    <row r="36" spans="4:14">
      <c r="D36" s="18">
        <v>46182</v>
      </c>
      <c r="E36" s="6">
        <v>1610407</v>
      </c>
      <c r="F36" s="6" t="s">
        <v>16</v>
      </c>
      <c r="G36" s="6">
        <v>20324363</v>
      </c>
      <c r="H36" s="6" t="s">
        <v>25</v>
      </c>
      <c r="I36" s="6">
        <v>1</v>
      </c>
      <c r="J36" s="19" t="s">
        <v>18</v>
      </c>
      <c r="K36" s="20">
        <v>1</v>
      </c>
      <c r="L36" s="21">
        <v>6.4</v>
      </c>
      <c r="M36" s="21">
        <v>6.4</v>
      </c>
      <c r="N36" s="21">
        <v>6.4</v>
      </c>
    </row>
    <row r="37" spans="4:14">
      <c r="D37" s="18">
        <v>46182</v>
      </c>
      <c r="E37" s="6">
        <v>1610407</v>
      </c>
      <c r="F37" s="6" t="s">
        <v>16</v>
      </c>
      <c r="G37" s="6">
        <v>20328818</v>
      </c>
      <c r="H37" s="6" t="s">
        <v>157</v>
      </c>
      <c r="I37" s="6">
        <v>3</v>
      </c>
      <c r="J37" s="32" t="s">
        <v>28</v>
      </c>
      <c r="K37" s="20">
        <f>M37/L37</f>
        <v>51</v>
      </c>
      <c r="L37" s="21">
        <v>4.4</v>
      </c>
      <c r="M37" s="21">
        <v>224.4</v>
      </c>
      <c r="N37" s="21">
        <v>673.2</v>
      </c>
    </row>
    <row r="38" spans="4:14">
      <c r="D38" s="18">
        <v>46183</v>
      </c>
      <c r="E38" s="6">
        <v>1610844</v>
      </c>
      <c r="F38" s="6" t="s">
        <v>16</v>
      </c>
      <c r="G38" s="6">
        <v>20324366</v>
      </c>
      <c r="H38" s="6" t="s">
        <v>153</v>
      </c>
      <c r="I38" s="6">
        <v>3</v>
      </c>
      <c r="J38" s="123" t="s">
        <v>23</v>
      </c>
      <c r="K38" s="20">
        <v>1</v>
      </c>
      <c r="L38" s="21">
        <v>12.8</v>
      </c>
      <c r="M38" s="21">
        <v>12.8</v>
      </c>
      <c r="N38" s="21">
        <v>38.4</v>
      </c>
    </row>
    <row r="39" spans="4:14">
      <c r="D39" s="18">
        <v>46183</v>
      </c>
      <c r="E39" s="6">
        <v>1610844</v>
      </c>
      <c r="F39" s="6" t="s">
        <v>16</v>
      </c>
      <c r="G39" s="6">
        <v>20324533</v>
      </c>
      <c r="H39" s="6" t="s">
        <v>122</v>
      </c>
      <c r="I39" s="6">
        <v>3</v>
      </c>
      <c r="J39" s="19" t="s">
        <v>18</v>
      </c>
      <c r="K39" s="20">
        <v>1</v>
      </c>
      <c r="L39" s="21">
        <v>6.4</v>
      </c>
      <c r="M39" s="21">
        <v>6.4</v>
      </c>
      <c r="N39" s="21">
        <v>19.2</v>
      </c>
    </row>
    <row r="40" spans="4:14">
      <c r="D40" s="18">
        <v>46183</v>
      </c>
      <c r="E40" s="6">
        <v>1610844</v>
      </c>
      <c r="F40" s="6" t="s">
        <v>26</v>
      </c>
      <c r="G40" s="6">
        <v>20324360</v>
      </c>
      <c r="H40" s="6" t="s">
        <v>155</v>
      </c>
      <c r="I40" s="6">
        <v>3</v>
      </c>
      <c r="J40" s="32" t="s">
        <v>28</v>
      </c>
      <c r="K40" s="20">
        <f t="shared" ref="K40:K42" si="3">M40/L40</f>
        <v>16</v>
      </c>
      <c r="L40" s="21">
        <v>4.4</v>
      </c>
      <c r="M40" s="21">
        <v>70.4</v>
      </c>
      <c r="N40" s="21">
        <v>211.2</v>
      </c>
    </row>
    <row r="41" spans="4:14">
      <c r="D41" s="18">
        <v>46183</v>
      </c>
      <c r="E41" s="6">
        <v>1610844</v>
      </c>
      <c r="F41" s="6" t="s">
        <v>16</v>
      </c>
      <c r="G41" s="6">
        <v>20328818</v>
      </c>
      <c r="H41" s="6" t="s">
        <v>157</v>
      </c>
      <c r="I41" s="6">
        <v>1</v>
      </c>
      <c r="J41" s="32" t="s">
        <v>28</v>
      </c>
      <c r="K41" s="20">
        <f t="shared" si="3"/>
        <v>51</v>
      </c>
      <c r="L41" s="21">
        <v>4.4</v>
      </c>
      <c r="M41" s="21">
        <v>224.4</v>
      </c>
      <c r="N41" s="21">
        <v>224.4</v>
      </c>
    </row>
    <row r="42" spans="4:14">
      <c r="D42" s="18">
        <v>46184</v>
      </c>
      <c r="E42" s="6">
        <v>1611157</v>
      </c>
      <c r="F42" s="6" t="s">
        <v>16</v>
      </c>
      <c r="G42" s="6">
        <v>20324366</v>
      </c>
      <c r="H42" s="6" t="s">
        <v>153</v>
      </c>
      <c r="I42" s="6">
        <v>3</v>
      </c>
      <c r="J42" s="123" t="s">
        <v>23</v>
      </c>
      <c r="K42" s="20">
        <v>1</v>
      </c>
      <c r="L42" s="21">
        <v>12.8</v>
      </c>
      <c r="M42" s="21">
        <v>12.8</v>
      </c>
      <c r="N42" s="21">
        <v>38.4</v>
      </c>
    </row>
    <row r="43" spans="4:14">
      <c r="D43" s="18">
        <v>46184</v>
      </c>
      <c r="E43" s="6">
        <v>1611157</v>
      </c>
      <c r="F43" s="6" t="s">
        <v>16</v>
      </c>
      <c r="G43" s="6">
        <v>20324533</v>
      </c>
      <c r="H43" s="6" t="s">
        <v>122</v>
      </c>
      <c r="I43" s="6">
        <v>3</v>
      </c>
      <c r="J43" s="19" t="s">
        <v>18</v>
      </c>
      <c r="K43" s="20">
        <v>1</v>
      </c>
      <c r="L43" s="21">
        <v>6.4</v>
      </c>
      <c r="M43" s="21">
        <v>6.4</v>
      </c>
      <c r="N43" s="21">
        <v>19.2</v>
      </c>
    </row>
    <row r="44" spans="4:14">
      <c r="D44" s="18">
        <v>46184</v>
      </c>
      <c r="E44" s="6">
        <v>1611157</v>
      </c>
      <c r="F44" s="6" t="s">
        <v>26</v>
      </c>
      <c r="G44" s="6">
        <v>20324360</v>
      </c>
      <c r="H44" s="6" t="s">
        <v>155</v>
      </c>
      <c r="I44" s="6">
        <v>3</v>
      </c>
      <c r="J44" s="32" t="s">
        <v>28</v>
      </c>
      <c r="K44" s="20">
        <f>M44/L44</f>
        <v>16</v>
      </c>
      <c r="L44" s="21">
        <v>4.4</v>
      </c>
      <c r="M44" s="21">
        <v>70.4</v>
      </c>
      <c r="N44" s="21">
        <v>211.2</v>
      </c>
    </row>
    <row r="45" spans="4:14">
      <c r="D45" s="18">
        <v>46184</v>
      </c>
      <c r="E45" s="6">
        <v>1611157</v>
      </c>
      <c r="F45" s="6" t="s">
        <v>16</v>
      </c>
      <c r="G45" s="6">
        <v>20328818</v>
      </c>
      <c r="H45" s="6" t="s">
        <v>157</v>
      </c>
      <c r="I45" s="6">
        <v>1</v>
      </c>
      <c r="J45" s="32" t="s">
        <v>28</v>
      </c>
      <c r="K45" s="20">
        <f>M45/L45</f>
        <v>51</v>
      </c>
      <c r="L45" s="21">
        <v>4.4</v>
      </c>
      <c r="M45" s="21">
        <v>224.4</v>
      </c>
      <c r="N45" s="21">
        <v>224.4</v>
      </c>
    </row>
    <row r="46" spans="4:14">
      <c r="D46" s="18">
        <v>46184</v>
      </c>
      <c r="E46" s="6">
        <v>1611536</v>
      </c>
      <c r="F46" s="6" t="s">
        <v>16</v>
      </c>
      <c r="G46" s="6">
        <v>20324413</v>
      </c>
      <c r="H46" s="6" t="s">
        <v>158</v>
      </c>
      <c r="I46" s="6">
        <v>1</v>
      </c>
      <c r="J46" s="19" t="s">
        <v>18</v>
      </c>
      <c r="K46" s="20">
        <v>1</v>
      </c>
      <c r="L46" s="21">
        <v>6.4</v>
      </c>
      <c r="M46" s="21">
        <v>6.4</v>
      </c>
      <c r="N46" s="21">
        <v>6.4</v>
      </c>
    </row>
    <row r="47" spans="4:14">
      <c r="D47" s="18">
        <v>46184</v>
      </c>
      <c r="E47" s="6">
        <v>1611536</v>
      </c>
      <c r="F47" s="6" t="s">
        <v>16</v>
      </c>
      <c r="G47" s="6">
        <v>20324382</v>
      </c>
      <c r="H47" s="6" t="s">
        <v>17</v>
      </c>
      <c r="I47" s="6">
        <v>3</v>
      </c>
      <c r="J47" s="19" t="s">
        <v>18</v>
      </c>
      <c r="K47" s="20">
        <v>1</v>
      </c>
      <c r="L47" s="21">
        <v>6.4</v>
      </c>
      <c r="M47" s="21">
        <v>6.4</v>
      </c>
      <c r="N47" s="21">
        <v>19.2</v>
      </c>
    </row>
    <row r="48" spans="4:14">
      <c r="D48" s="18">
        <v>46184</v>
      </c>
      <c r="E48" s="6">
        <v>1611536</v>
      </c>
      <c r="F48" s="6" t="s">
        <v>16</v>
      </c>
      <c r="G48" s="6">
        <v>20324419</v>
      </c>
      <c r="H48" s="6" t="s">
        <v>144</v>
      </c>
      <c r="I48" s="6">
        <v>1</v>
      </c>
      <c r="J48" s="19" t="s">
        <v>18</v>
      </c>
      <c r="K48" s="20">
        <v>1</v>
      </c>
      <c r="L48" s="21">
        <v>6.4</v>
      </c>
      <c r="M48" s="21">
        <v>6.4</v>
      </c>
      <c r="N48" s="21">
        <v>6.4</v>
      </c>
    </row>
    <row r="49" spans="4:14">
      <c r="D49" s="18">
        <v>46184</v>
      </c>
      <c r="E49" s="6">
        <v>1611536</v>
      </c>
      <c r="F49" s="6" t="s">
        <v>16</v>
      </c>
      <c r="G49" s="6">
        <v>20324366</v>
      </c>
      <c r="H49" s="6" t="s">
        <v>153</v>
      </c>
      <c r="I49" s="6">
        <v>3</v>
      </c>
      <c r="J49" s="123" t="s">
        <v>23</v>
      </c>
      <c r="K49" s="20">
        <v>1</v>
      </c>
      <c r="L49" s="21">
        <v>12.8</v>
      </c>
      <c r="M49" s="21">
        <v>12.8</v>
      </c>
      <c r="N49" s="21">
        <v>38.4</v>
      </c>
    </row>
    <row r="50" spans="4:14">
      <c r="D50" s="18">
        <v>46184</v>
      </c>
      <c r="E50" s="6">
        <v>1611536</v>
      </c>
      <c r="F50" s="6" t="s">
        <v>16</v>
      </c>
      <c r="G50" s="6">
        <v>20324364</v>
      </c>
      <c r="H50" s="6" t="s">
        <v>21</v>
      </c>
      <c r="I50" s="6">
        <v>2</v>
      </c>
      <c r="J50" s="19" t="s">
        <v>18</v>
      </c>
      <c r="K50" s="20">
        <v>1</v>
      </c>
      <c r="L50" s="21">
        <v>6.4</v>
      </c>
      <c r="M50" s="21">
        <v>6.4</v>
      </c>
      <c r="N50" s="21">
        <v>12.8</v>
      </c>
    </row>
    <row r="51" spans="4:14">
      <c r="D51" s="18">
        <v>46184</v>
      </c>
      <c r="E51" s="6">
        <v>1611536</v>
      </c>
      <c r="F51" s="6" t="s">
        <v>16</v>
      </c>
      <c r="G51" s="6">
        <v>20324363</v>
      </c>
      <c r="H51" s="6" t="s">
        <v>25</v>
      </c>
      <c r="I51" s="6">
        <v>1</v>
      </c>
      <c r="J51" s="19" t="s">
        <v>18</v>
      </c>
      <c r="K51" s="20">
        <v>1</v>
      </c>
      <c r="L51" s="21">
        <v>6.4</v>
      </c>
      <c r="M51" s="21">
        <v>6.4</v>
      </c>
      <c r="N51" s="21">
        <v>6.4</v>
      </c>
    </row>
    <row r="52" spans="4:14">
      <c r="D52" s="18">
        <v>46184</v>
      </c>
      <c r="E52" s="6">
        <v>1611536</v>
      </c>
      <c r="F52" s="6" t="s">
        <v>26</v>
      </c>
      <c r="G52" s="6">
        <v>20324360</v>
      </c>
      <c r="H52" s="6" t="s">
        <v>155</v>
      </c>
      <c r="I52" s="6">
        <v>4</v>
      </c>
      <c r="J52" s="32" t="s">
        <v>28</v>
      </c>
      <c r="K52" s="20">
        <f t="shared" ref="K52:K55" si="4">M52/L52</f>
        <v>16</v>
      </c>
      <c r="L52" s="21">
        <v>4.4</v>
      </c>
      <c r="M52" s="21">
        <v>70.4</v>
      </c>
      <c r="N52" s="21">
        <v>281.6</v>
      </c>
    </row>
    <row r="53" spans="4:14">
      <c r="D53" s="18">
        <v>46184</v>
      </c>
      <c r="E53" s="6">
        <v>1611536</v>
      </c>
      <c r="F53" s="6" t="s">
        <v>16</v>
      </c>
      <c r="G53" s="6">
        <v>20328818</v>
      </c>
      <c r="H53" s="6" t="s">
        <v>157</v>
      </c>
      <c r="I53" s="6">
        <v>1</v>
      </c>
      <c r="J53" s="32" t="s">
        <v>28</v>
      </c>
      <c r="K53" s="20">
        <f t="shared" si="4"/>
        <v>51</v>
      </c>
      <c r="L53" s="21">
        <v>4.4</v>
      </c>
      <c r="M53" s="21">
        <v>224.4</v>
      </c>
      <c r="N53" s="21">
        <v>224.4</v>
      </c>
    </row>
    <row r="54" spans="4:14">
      <c r="D54" s="18">
        <v>46184</v>
      </c>
      <c r="E54" s="6">
        <v>1611536</v>
      </c>
      <c r="F54" s="6" t="s">
        <v>51</v>
      </c>
      <c r="G54" s="6">
        <v>20353548</v>
      </c>
      <c r="H54" s="6" t="s">
        <v>159</v>
      </c>
      <c r="I54" s="6">
        <v>1</v>
      </c>
      <c r="J54" s="33" t="s">
        <v>86</v>
      </c>
      <c r="K54" s="20">
        <v>1</v>
      </c>
      <c r="L54" s="21">
        <v>3.2</v>
      </c>
      <c r="M54" s="21">
        <v>3.2</v>
      </c>
      <c r="N54" s="21">
        <v>3.2</v>
      </c>
    </row>
    <row r="55" spans="4:14">
      <c r="D55" s="18">
        <v>46185</v>
      </c>
      <c r="E55" s="6">
        <v>1611890</v>
      </c>
      <c r="F55" s="6" t="s">
        <v>16</v>
      </c>
      <c r="G55" s="6">
        <v>20324366</v>
      </c>
      <c r="H55" s="6" t="s">
        <v>153</v>
      </c>
      <c r="I55" s="6">
        <v>1</v>
      </c>
      <c r="J55" s="123" t="s">
        <v>23</v>
      </c>
      <c r="K55" s="20">
        <v>1</v>
      </c>
      <c r="L55" s="21">
        <v>12.8</v>
      </c>
      <c r="M55" s="21">
        <v>12.8</v>
      </c>
      <c r="N55" s="21">
        <v>12.8</v>
      </c>
    </row>
    <row r="56" spans="4:14">
      <c r="D56" s="18">
        <v>46185</v>
      </c>
      <c r="E56" s="6">
        <v>1611890</v>
      </c>
      <c r="F56" s="6" t="s">
        <v>16</v>
      </c>
      <c r="G56" s="6">
        <v>20324557</v>
      </c>
      <c r="H56" s="6" t="s">
        <v>147</v>
      </c>
      <c r="I56" s="6">
        <v>1</v>
      </c>
      <c r="J56" s="19" t="s">
        <v>18</v>
      </c>
      <c r="K56" s="20">
        <v>1</v>
      </c>
      <c r="L56" s="21">
        <v>6.4</v>
      </c>
      <c r="M56" s="21">
        <v>6.4</v>
      </c>
      <c r="N56" s="21">
        <v>6.4</v>
      </c>
    </row>
    <row r="57" spans="4:14">
      <c r="D57" s="18">
        <v>46185</v>
      </c>
      <c r="E57" s="6">
        <v>1611890</v>
      </c>
      <c r="F57" s="6" t="s">
        <v>16</v>
      </c>
      <c r="G57" s="6">
        <v>20324533</v>
      </c>
      <c r="H57" s="6" t="s">
        <v>122</v>
      </c>
      <c r="I57" s="6">
        <v>1</v>
      </c>
      <c r="J57" s="19" t="s">
        <v>18</v>
      </c>
      <c r="K57" s="20">
        <v>1</v>
      </c>
      <c r="L57" s="21">
        <v>6.4</v>
      </c>
      <c r="M57" s="21">
        <v>6.4</v>
      </c>
      <c r="N57" s="21">
        <v>6.4</v>
      </c>
    </row>
    <row r="58" spans="4:14">
      <c r="D58" s="18">
        <v>46185</v>
      </c>
      <c r="E58" s="6">
        <v>1611890</v>
      </c>
      <c r="F58" s="6" t="s">
        <v>16</v>
      </c>
      <c r="G58" s="6">
        <v>20324559</v>
      </c>
      <c r="H58" s="6" t="s">
        <v>148</v>
      </c>
      <c r="I58" s="6">
        <v>1</v>
      </c>
      <c r="J58" s="6" t="s">
        <v>20</v>
      </c>
      <c r="K58" s="20">
        <v>1</v>
      </c>
      <c r="L58" s="21">
        <v>8.8</v>
      </c>
      <c r="M58" s="21">
        <v>8.8</v>
      </c>
      <c r="N58" s="21">
        <v>8.8</v>
      </c>
    </row>
    <row r="59" spans="4:14">
      <c r="D59" s="18">
        <v>46185</v>
      </c>
      <c r="E59" s="6">
        <v>1611890</v>
      </c>
      <c r="F59" s="6" t="s">
        <v>16</v>
      </c>
      <c r="G59" s="6">
        <v>20324938</v>
      </c>
      <c r="H59" s="6" t="s">
        <v>160</v>
      </c>
      <c r="I59" s="6">
        <v>1</v>
      </c>
      <c r="J59" s="6" t="s">
        <v>20</v>
      </c>
      <c r="K59" s="20">
        <v>1</v>
      </c>
      <c r="L59" s="21">
        <v>8.8</v>
      </c>
      <c r="M59" s="21">
        <v>8.8</v>
      </c>
      <c r="N59" s="21">
        <v>8.8</v>
      </c>
    </row>
    <row r="60" spans="4:14">
      <c r="D60" s="18">
        <v>46185</v>
      </c>
      <c r="E60" s="6">
        <v>1611890</v>
      </c>
      <c r="F60" s="6" t="s">
        <v>26</v>
      </c>
      <c r="G60" s="6">
        <v>20324360</v>
      </c>
      <c r="H60" s="6" t="s">
        <v>155</v>
      </c>
      <c r="I60" s="6">
        <v>1</v>
      </c>
      <c r="J60" s="32" t="s">
        <v>28</v>
      </c>
      <c r="K60" s="20">
        <f t="shared" ref="K60:K62" si="5">M60/L60</f>
        <v>16</v>
      </c>
      <c r="L60" s="21">
        <v>4.4</v>
      </c>
      <c r="M60" s="21">
        <v>70.4</v>
      </c>
      <c r="N60" s="21">
        <v>70.4</v>
      </c>
    </row>
    <row r="61" spans="4:14">
      <c r="D61" s="18">
        <v>46185</v>
      </c>
      <c r="E61" s="6">
        <v>1611890</v>
      </c>
      <c r="F61" s="6" t="s">
        <v>16</v>
      </c>
      <c r="G61" s="6">
        <v>20336870</v>
      </c>
      <c r="H61" s="6" t="s">
        <v>161</v>
      </c>
      <c r="I61" s="6">
        <v>1</v>
      </c>
      <c r="J61" s="32" t="s">
        <v>28</v>
      </c>
      <c r="K61" s="20">
        <f t="shared" si="5"/>
        <v>41</v>
      </c>
      <c r="L61" s="21">
        <v>4.4</v>
      </c>
      <c r="M61" s="21">
        <v>180.4</v>
      </c>
      <c r="N61" s="21">
        <v>180.4</v>
      </c>
    </row>
    <row r="62" spans="4:14">
      <c r="D62" s="18">
        <v>46185</v>
      </c>
      <c r="E62" s="6">
        <v>1611890</v>
      </c>
      <c r="F62" s="6" t="s">
        <v>16</v>
      </c>
      <c r="G62" s="6">
        <v>20328818</v>
      </c>
      <c r="H62" s="6" t="s">
        <v>157</v>
      </c>
      <c r="I62" s="6">
        <v>1</v>
      </c>
      <c r="J62" s="32" t="s">
        <v>28</v>
      </c>
      <c r="K62" s="20">
        <f t="shared" si="5"/>
        <v>51</v>
      </c>
      <c r="L62" s="21">
        <v>4.4</v>
      </c>
      <c r="M62" s="21">
        <v>224.4</v>
      </c>
      <c r="N62" s="21">
        <v>224.4</v>
      </c>
    </row>
    <row r="63" spans="4:14">
      <c r="D63" s="18">
        <v>46189</v>
      </c>
      <c r="E63" s="6">
        <v>1612408</v>
      </c>
      <c r="F63" s="6" t="s">
        <v>16</v>
      </c>
      <c r="G63" s="6">
        <v>20324364</v>
      </c>
      <c r="H63" s="6" t="s">
        <v>21</v>
      </c>
      <c r="I63" s="6">
        <v>1</v>
      </c>
      <c r="J63" s="19" t="s">
        <v>18</v>
      </c>
      <c r="K63" s="20">
        <v>1</v>
      </c>
      <c r="L63" s="21">
        <v>6.4</v>
      </c>
      <c r="M63" s="21">
        <v>6.4</v>
      </c>
      <c r="N63" s="21">
        <v>6.4</v>
      </c>
    </row>
    <row r="64" spans="4:14">
      <c r="D64" s="18">
        <v>46189</v>
      </c>
      <c r="E64" s="6">
        <v>1612408</v>
      </c>
      <c r="F64" s="6" t="s">
        <v>16</v>
      </c>
      <c r="G64" s="6">
        <v>20328818</v>
      </c>
      <c r="H64" s="6" t="s">
        <v>157</v>
      </c>
      <c r="I64" s="6">
        <v>2</v>
      </c>
      <c r="J64" s="32" t="s">
        <v>28</v>
      </c>
      <c r="K64" s="20">
        <f t="shared" ref="K64:K70" si="6">M64/L64</f>
        <v>51</v>
      </c>
      <c r="L64" s="21">
        <v>4.4</v>
      </c>
      <c r="M64" s="21">
        <v>224.4</v>
      </c>
      <c r="N64" s="21">
        <v>448.8</v>
      </c>
    </row>
    <row r="65" spans="4:14">
      <c r="D65" s="18">
        <v>46190</v>
      </c>
      <c r="E65" s="6">
        <v>1612788</v>
      </c>
      <c r="F65" s="6" t="s">
        <v>16</v>
      </c>
      <c r="G65" s="6">
        <v>20324371</v>
      </c>
      <c r="H65" s="6" t="s">
        <v>162</v>
      </c>
      <c r="I65" s="6">
        <v>1</v>
      </c>
      <c r="J65" s="19" t="s">
        <v>18</v>
      </c>
      <c r="K65" s="20">
        <v>1</v>
      </c>
      <c r="L65" s="21">
        <v>6.4</v>
      </c>
      <c r="M65" s="21">
        <v>6.4</v>
      </c>
      <c r="N65" s="21">
        <v>6.4</v>
      </c>
    </row>
    <row r="66" spans="4:14">
      <c r="D66" s="18">
        <v>46190</v>
      </c>
      <c r="E66" s="6">
        <v>1612788</v>
      </c>
      <c r="F66" s="6" t="s">
        <v>16</v>
      </c>
      <c r="G66" s="6">
        <v>20324366</v>
      </c>
      <c r="H66" s="6" t="s">
        <v>153</v>
      </c>
      <c r="I66" s="6">
        <v>6</v>
      </c>
      <c r="J66" s="123" t="s">
        <v>23</v>
      </c>
      <c r="K66" s="20">
        <v>1</v>
      </c>
      <c r="L66" s="21">
        <v>12.8</v>
      </c>
      <c r="M66" s="21">
        <v>12.8</v>
      </c>
      <c r="N66" s="21">
        <v>76.8</v>
      </c>
    </row>
    <row r="67" spans="4:14">
      <c r="D67" s="18">
        <v>46190</v>
      </c>
      <c r="E67" s="6">
        <v>1612788</v>
      </c>
      <c r="F67" s="6" t="s">
        <v>16</v>
      </c>
      <c r="G67" s="6">
        <v>20324365</v>
      </c>
      <c r="H67" s="6" t="s">
        <v>163</v>
      </c>
      <c r="I67" s="6">
        <v>1</v>
      </c>
      <c r="J67" s="6" t="s">
        <v>20</v>
      </c>
      <c r="K67" s="20">
        <v>1</v>
      </c>
      <c r="L67" s="21">
        <v>8.8</v>
      </c>
      <c r="M67" s="21">
        <v>8.8</v>
      </c>
      <c r="N67" s="21">
        <v>8.8</v>
      </c>
    </row>
    <row r="68" spans="4:14">
      <c r="D68" s="18">
        <v>46190</v>
      </c>
      <c r="E68" s="6">
        <v>1612788</v>
      </c>
      <c r="F68" s="6" t="s">
        <v>16</v>
      </c>
      <c r="G68" s="6">
        <v>20324533</v>
      </c>
      <c r="H68" s="6" t="s">
        <v>122</v>
      </c>
      <c r="I68" s="6">
        <v>6</v>
      </c>
      <c r="J68" s="19" t="s">
        <v>18</v>
      </c>
      <c r="K68" s="20">
        <v>1</v>
      </c>
      <c r="L68" s="21">
        <v>6.4</v>
      </c>
      <c r="M68" s="21">
        <v>6.4</v>
      </c>
      <c r="N68" s="21">
        <v>38.4</v>
      </c>
    </row>
    <row r="69" spans="4:14">
      <c r="D69" s="18">
        <v>46190</v>
      </c>
      <c r="E69" s="6">
        <v>1612788</v>
      </c>
      <c r="F69" s="6" t="s">
        <v>26</v>
      </c>
      <c r="G69" s="6">
        <v>20324360</v>
      </c>
      <c r="H69" s="6" t="s">
        <v>155</v>
      </c>
      <c r="I69" s="6">
        <v>6</v>
      </c>
      <c r="J69" s="32" t="s">
        <v>28</v>
      </c>
      <c r="K69" s="20">
        <f t="shared" si="6"/>
        <v>16</v>
      </c>
      <c r="L69" s="21">
        <v>4.4</v>
      </c>
      <c r="M69" s="21">
        <v>70.4</v>
      </c>
      <c r="N69" s="21">
        <v>422.4</v>
      </c>
    </row>
    <row r="70" spans="4:14">
      <c r="D70" s="18">
        <v>46190</v>
      </c>
      <c r="E70" s="6">
        <v>1612788</v>
      </c>
      <c r="F70" s="6" t="s">
        <v>16</v>
      </c>
      <c r="G70" s="6">
        <v>20328818</v>
      </c>
      <c r="H70" s="6" t="s">
        <v>157</v>
      </c>
      <c r="I70" s="6">
        <v>1</v>
      </c>
      <c r="J70" s="32" t="s">
        <v>28</v>
      </c>
      <c r="K70" s="20">
        <f t="shared" si="6"/>
        <v>51</v>
      </c>
      <c r="L70" s="21">
        <v>4.4</v>
      </c>
      <c r="M70" s="21">
        <v>224.4</v>
      </c>
      <c r="N70" s="21">
        <v>224.4</v>
      </c>
    </row>
    <row r="71" spans="4:14">
      <c r="D71" s="18">
        <v>46191</v>
      </c>
      <c r="E71" s="6">
        <v>1613207</v>
      </c>
      <c r="F71" s="6" t="s">
        <v>16</v>
      </c>
      <c r="G71" s="6">
        <v>20324413</v>
      </c>
      <c r="H71" s="6" t="s">
        <v>158</v>
      </c>
      <c r="I71" s="6">
        <v>1</v>
      </c>
      <c r="J71" s="19" t="s">
        <v>18</v>
      </c>
      <c r="K71" s="20">
        <v>1</v>
      </c>
      <c r="L71" s="21">
        <v>6.4</v>
      </c>
      <c r="M71" s="21">
        <v>6.4</v>
      </c>
      <c r="N71" s="21">
        <v>6.4</v>
      </c>
    </row>
    <row r="72" spans="4:14">
      <c r="D72" s="18">
        <v>46191</v>
      </c>
      <c r="E72" s="6">
        <v>1613207</v>
      </c>
      <c r="F72" s="6" t="s">
        <v>16</v>
      </c>
      <c r="G72" s="6">
        <v>20324366</v>
      </c>
      <c r="H72" s="6" t="s">
        <v>153</v>
      </c>
      <c r="I72" s="6">
        <v>6</v>
      </c>
      <c r="J72" s="123" t="s">
        <v>23</v>
      </c>
      <c r="K72" s="20">
        <v>1</v>
      </c>
      <c r="L72" s="21">
        <v>12.8</v>
      </c>
      <c r="M72" s="21">
        <v>12.8</v>
      </c>
      <c r="N72" s="21">
        <v>76.8</v>
      </c>
    </row>
    <row r="73" spans="4:14">
      <c r="D73" s="18">
        <v>46191</v>
      </c>
      <c r="E73" s="6">
        <v>1613207</v>
      </c>
      <c r="F73" s="6" t="s">
        <v>16</v>
      </c>
      <c r="G73" s="6">
        <v>20324364</v>
      </c>
      <c r="H73" s="6" t="s">
        <v>21</v>
      </c>
      <c r="I73" s="6">
        <v>1</v>
      </c>
      <c r="J73" s="19" t="s">
        <v>18</v>
      </c>
      <c r="K73" s="20">
        <v>1</v>
      </c>
      <c r="L73" s="21">
        <v>6.4</v>
      </c>
      <c r="M73" s="21">
        <v>6.4</v>
      </c>
      <c r="N73" s="21">
        <v>6.4</v>
      </c>
    </row>
    <row r="74" spans="4:14">
      <c r="D74" s="18">
        <v>46191</v>
      </c>
      <c r="E74" s="6">
        <v>1613207</v>
      </c>
      <c r="F74" s="6" t="s">
        <v>16</v>
      </c>
      <c r="G74" s="6">
        <v>20324533</v>
      </c>
      <c r="H74" s="6" t="s">
        <v>122</v>
      </c>
      <c r="I74" s="6">
        <v>3</v>
      </c>
      <c r="J74" s="19" t="s">
        <v>18</v>
      </c>
      <c r="K74" s="20">
        <v>1</v>
      </c>
      <c r="L74" s="21">
        <v>6.4</v>
      </c>
      <c r="M74" s="21">
        <v>6.4</v>
      </c>
      <c r="N74" s="21">
        <v>19.2</v>
      </c>
    </row>
    <row r="75" spans="4:14">
      <c r="D75" s="18">
        <v>46191</v>
      </c>
      <c r="E75" s="6">
        <v>1613207</v>
      </c>
      <c r="F75" s="6" t="s">
        <v>26</v>
      </c>
      <c r="G75" s="6">
        <v>20324360</v>
      </c>
      <c r="H75" s="6" t="s">
        <v>155</v>
      </c>
      <c r="I75" s="6">
        <v>3</v>
      </c>
      <c r="J75" s="32" t="s">
        <v>28</v>
      </c>
      <c r="K75" s="20">
        <f t="shared" ref="K72:K78" si="7">M75/L75</f>
        <v>16</v>
      </c>
      <c r="L75" s="21">
        <v>4.4</v>
      </c>
      <c r="M75" s="21">
        <v>70.4</v>
      </c>
      <c r="N75" s="21">
        <v>211.2</v>
      </c>
    </row>
    <row r="76" spans="4:14">
      <c r="D76" s="18">
        <v>46191</v>
      </c>
      <c r="E76" s="6">
        <v>1613207</v>
      </c>
      <c r="F76" s="6" t="s">
        <v>26</v>
      </c>
      <c r="G76" s="6">
        <v>20430170</v>
      </c>
      <c r="H76" s="6" t="s">
        <v>164</v>
      </c>
      <c r="I76" s="6">
        <v>3</v>
      </c>
      <c r="J76" s="32" t="s">
        <v>28</v>
      </c>
      <c r="K76" s="20">
        <f t="shared" si="7"/>
        <v>16</v>
      </c>
      <c r="L76" s="21">
        <v>4.4</v>
      </c>
      <c r="M76" s="21">
        <v>70.4</v>
      </c>
      <c r="N76" s="21">
        <v>211.2</v>
      </c>
    </row>
    <row r="77" spans="4:14">
      <c r="D77" s="18">
        <v>46191</v>
      </c>
      <c r="E77" s="6">
        <v>1613207</v>
      </c>
      <c r="F77" s="6" t="s">
        <v>16</v>
      </c>
      <c r="G77" s="6">
        <v>20328115</v>
      </c>
      <c r="H77" s="6" t="s">
        <v>165</v>
      </c>
      <c r="I77" s="6">
        <v>1</v>
      </c>
      <c r="J77" s="32" t="s">
        <v>28</v>
      </c>
      <c r="K77" s="20">
        <f t="shared" si="7"/>
        <v>45</v>
      </c>
      <c r="L77" s="21">
        <v>4.4</v>
      </c>
      <c r="M77" s="21">
        <v>198</v>
      </c>
      <c r="N77" s="21">
        <v>198</v>
      </c>
    </row>
    <row r="78" spans="4:14">
      <c r="D78" s="18">
        <v>46191</v>
      </c>
      <c r="E78" s="6">
        <v>1613207</v>
      </c>
      <c r="F78" s="6" t="s">
        <v>16</v>
      </c>
      <c r="G78" s="6">
        <v>20328818</v>
      </c>
      <c r="H78" s="6" t="s">
        <v>157</v>
      </c>
      <c r="I78" s="6">
        <v>1</v>
      </c>
      <c r="J78" s="32" t="s">
        <v>28</v>
      </c>
      <c r="K78" s="20">
        <f t="shared" si="7"/>
        <v>51</v>
      </c>
      <c r="L78" s="21">
        <v>4.4</v>
      </c>
      <c r="M78" s="21">
        <v>224.4</v>
      </c>
      <c r="N78" s="21">
        <v>224.4</v>
      </c>
    </row>
    <row r="79" spans="4:14">
      <c r="D79" s="18">
        <v>46191</v>
      </c>
      <c r="E79" s="6">
        <v>1613546</v>
      </c>
      <c r="F79" s="6" t="s">
        <v>16</v>
      </c>
      <c r="G79" s="6">
        <v>20324370</v>
      </c>
      <c r="H79" s="6" t="s">
        <v>112</v>
      </c>
      <c r="I79" s="6">
        <v>1</v>
      </c>
      <c r="J79" s="19" t="s">
        <v>18</v>
      </c>
      <c r="K79" s="20">
        <v>1</v>
      </c>
      <c r="L79" s="21">
        <v>6.4</v>
      </c>
      <c r="M79" s="21">
        <v>6.4</v>
      </c>
      <c r="N79" s="21">
        <v>6.4</v>
      </c>
    </row>
    <row r="80" spans="4:14">
      <c r="D80" s="18">
        <v>46191</v>
      </c>
      <c r="E80" s="6">
        <v>1613546</v>
      </c>
      <c r="F80" s="6" t="s">
        <v>16</v>
      </c>
      <c r="G80" s="6">
        <v>20324366</v>
      </c>
      <c r="H80" s="6" t="s">
        <v>153</v>
      </c>
      <c r="I80" s="6">
        <v>5</v>
      </c>
      <c r="J80" s="123" t="s">
        <v>23</v>
      </c>
      <c r="K80" s="20">
        <v>1</v>
      </c>
      <c r="L80" s="21">
        <v>12.8</v>
      </c>
      <c r="M80" s="21">
        <v>12.8</v>
      </c>
      <c r="N80" s="21">
        <v>64</v>
      </c>
    </row>
    <row r="81" spans="4:14">
      <c r="D81" s="18">
        <v>46191</v>
      </c>
      <c r="E81" s="6">
        <v>1613546</v>
      </c>
      <c r="F81" s="6" t="s">
        <v>16</v>
      </c>
      <c r="G81" s="6">
        <v>20324364</v>
      </c>
      <c r="H81" s="6" t="s">
        <v>21</v>
      </c>
      <c r="I81" s="6">
        <v>1</v>
      </c>
      <c r="J81" s="19" t="s">
        <v>18</v>
      </c>
      <c r="K81" s="20">
        <v>1</v>
      </c>
      <c r="L81" s="21">
        <v>6.4</v>
      </c>
      <c r="M81" s="21">
        <v>6.4</v>
      </c>
      <c r="N81" s="21">
        <v>6.4</v>
      </c>
    </row>
    <row r="82" spans="4:14">
      <c r="D82" s="18">
        <v>46191</v>
      </c>
      <c r="E82" s="6">
        <v>1613546</v>
      </c>
      <c r="F82" s="6" t="s">
        <v>16</v>
      </c>
      <c r="G82" s="6">
        <v>20324533</v>
      </c>
      <c r="H82" s="6" t="s">
        <v>122</v>
      </c>
      <c r="I82" s="6">
        <v>5</v>
      </c>
      <c r="J82" s="19" t="s">
        <v>18</v>
      </c>
      <c r="K82" s="20">
        <v>1</v>
      </c>
      <c r="L82" s="21">
        <v>6.4</v>
      </c>
      <c r="M82" s="21">
        <v>6.4</v>
      </c>
      <c r="N82" s="21">
        <v>32</v>
      </c>
    </row>
    <row r="83" spans="4:14">
      <c r="D83" s="18">
        <v>46191</v>
      </c>
      <c r="E83" s="6">
        <v>1613546</v>
      </c>
      <c r="F83" s="6" t="s">
        <v>16</v>
      </c>
      <c r="G83" s="6">
        <v>20324363</v>
      </c>
      <c r="H83" s="6" t="s">
        <v>25</v>
      </c>
      <c r="I83" s="6">
        <v>1</v>
      </c>
      <c r="J83" s="19" t="s">
        <v>18</v>
      </c>
      <c r="K83" s="20">
        <v>1</v>
      </c>
      <c r="L83" s="21">
        <v>6.4</v>
      </c>
      <c r="M83" s="21">
        <v>6.4</v>
      </c>
      <c r="N83" s="21">
        <v>6.4</v>
      </c>
    </row>
    <row r="84" spans="4:14">
      <c r="D84" s="18">
        <v>46191</v>
      </c>
      <c r="E84" s="6">
        <v>1613546</v>
      </c>
      <c r="F84" s="6" t="s">
        <v>26</v>
      </c>
      <c r="G84" s="6">
        <v>20324360</v>
      </c>
      <c r="H84" s="6" t="s">
        <v>155</v>
      </c>
      <c r="I84" s="6">
        <v>5</v>
      </c>
      <c r="J84" s="32" t="s">
        <v>28</v>
      </c>
      <c r="K84" s="20">
        <f>M84/L84</f>
        <v>16</v>
      </c>
      <c r="L84" s="21">
        <v>4.4</v>
      </c>
      <c r="M84" s="21">
        <v>70.4</v>
      </c>
      <c r="N84" s="21">
        <v>352</v>
      </c>
    </row>
    <row r="85" spans="4:14">
      <c r="D85" s="18">
        <v>46191</v>
      </c>
      <c r="E85" s="6">
        <v>1613546</v>
      </c>
      <c r="F85" s="6" t="s">
        <v>16</v>
      </c>
      <c r="G85" s="6">
        <v>20331779</v>
      </c>
      <c r="H85" s="6" t="s">
        <v>166</v>
      </c>
      <c r="I85" s="6">
        <v>1</v>
      </c>
      <c r="J85" s="32" t="s">
        <v>28</v>
      </c>
      <c r="K85" s="20">
        <f>M85/L85</f>
        <v>45</v>
      </c>
      <c r="L85" s="21">
        <v>4.4</v>
      </c>
      <c r="M85" s="21">
        <v>198</v>
      </c>
      <c r="N85" s="21">
        <v>198</v>
      </c>
    </row>
    <row r="86" spans="4:14">
      <c r="D86" s="18">
        <v>46195</v>
      </c>
      <c r="E86" s="6">
        <v>1613940</v>
      </c>
      <c r="F86" s="6" t="s">
        <v>16</v>
      </c>
      <c r="G86" s="6">
        <v>20328818</v>
      </c>
      <c r="H86" s="6" t="s">
        <v>157</v>
      </c>
      <c r="I86" s="6">
        <v>4</v>
      </c>
      <c r="J86" s="32" t="s">
        <v>28</v>
      </c>
      <c r="K86" s="20">
        <f>M86/L86</f>
        <v>51</v>
      </c>
      <c r="L86" s="21">
        <v>4.4</v>
      </c>
      <c r="M86" s="21">
        <v>224.4</v>
      </c>
      <c r="N86" s="21">
        <v>897.6</v>
      </c>
    </row>
    <row r="87" spans="4:14">
      <c r="D87" s="18">
        <v>46197</v>
      </c>
      <c r="E87" s="6">
        <v>1614563</v>
      </c>
      <c r="F87" s="6" t="s">
        <v>16</v>
      </c>
      <c r="G87" s="6">
        <v>20324366</v>
      </c>
      <c r="H87" s="6" t="s">
        <v>153</v>
      </c>
      <c r="I87" s="6">
        <v>1</v>
      </c>
      <c r="J87" s="123" t="s">
        <v>23</v>
      </c>
      <c r="K87" s="20">
        <v>1</v>
      </c>
      <c r="L87" s="21">
        <v>12.8</v>
      </c>
      <c r="M87" s="21">
        <v>12.8</v>
      </c>
      <c r="N87" s="21">
        <v>12.8</v>
      </c>
    </row>
    <row r="88" spans="4:14">
      <c r="D88" s="18">
        <v>46197</v>
      </c>
      <c r="E88" s="6">
        <v>1614563</v>
      </c>
      <c r="F88" s="6" t="s">
        <v>16</v>
      </c>
      <c r="G88" s="6">
        <v>20324364</v>
      </c>
      <c r="H88" s="6" t="s">
        <v>21</v>
      </c>
      <c r="I88" s="6">
        <v>5</v>
      </c>
      <c r="J88" s="19" t="s">
        <v>18</v>
      </c>
      <c r="K88" s="20">
        <v>1</v>
      </c>
      <c r="L88" s="21">
        <v>6.4</v>
      </c>
      <c r="M88" s="21">
        <v>6.4</v>
      </c>
      <c r="N88" s="21">
        <v>32</v>
      </c>
    </row>
    <row r="89" spans="4:14">
      <c r="D89" s="18">
        <v>46197</v>
      </c>
      <c r="E89" s="6">
        <v>1614563</v>
      </c>
      <c r="F89" s="6" t="s">
        <v>16</v>
      </c>
      <c r="G89" s="6">
        <v>20324533</v>
      </c>
      <c r="H89" s="6" t="s">
        <v>122</v>
      </c>
      <c r="I89" s="6">
        <v>1</v>
      </c>
      <c r="J89" s="19" t="s">
        <v>18</v>
      </c>
      <c r="K89" s="20">
        <v>1</v>
      </c>
      <c r="L89" s="21">
        <v>6.4</v>
      </c>
      <c r="M89" s="21">
        <v>6.4</v>
      </c>
      <c r="N89" s="21">
        <v>6.4</v>
      </c>
    </row>
    <row r="90" spans="4:14">
      <c r="D90" s="18">
        <v>46197</v>
      </c>
      <c r="E90" s="6">
        <v>1614563</v>
      </c>
      <c r="F90" s="6" t="s">
        <v>16</v>
      </c>
      <c r="G90" s="6">
        <v>20324363</v>
      </c>
      <c r="H90" s="6" t="s">
        <v>25</v>
      </c>
      <c r="I90" s="6">
        <v>4</v>
      </c>
      <c r="J90" s="19" t="s">
        <v>18</v>
      </c>
      <c r="K90" s="20">
        <v>1</v>
      </c>
      <c r="L90" s="21">
        <v>6.4</v>
      </c>
      <c r="M90" s="21">
        <v>6.4</v>
      </c>
      <c r="N90" s="21">
        <v>25.6</v>
      </c>
    </row>
    <row r="91" spans="4:14">
      <c r="D91" s="18">
        <v>46197</v>
      </c>
      <c r="E91" s="6">
        <v>1614563</v>
      </c>
      <c r="F91" s="6" t="s">
        <v>26</v>
      </c>
      <c r="G91" s="6">
        <v>20324360</v>
      </c>
      <c r="H91" s="6" t="s">
        <v>155</v>
      </c>
      <c r="I91" s="6">
        <v>1</v>
      </c>
      <c r="J91" s="32" t="s">
        <v>28</v>
      </c>
      <c r="K91" s="20">
        <f t="shared" ref="K91:K98" si="8">M91/L91</f>
        <v>16</v>
      </c>
      <c r="L91" s="21">
        <v>4.4</v>
      </c>
      <c r="M91" s="21">
        <v>70.4</v>
      </c>
      <c r="N91" s="21">
        <v>70.4</v>
      </c>
    </row>
    <row r="92" spans="4:14">
      <c r="D92" s="18">
        <v>46197</v>
      </c>
      <c r="E92" s="6">
        <v>1614563</v>
      </c>
      <c r="F92" s="6" t="s">
        <v>16</v>
      </c>
      <c r="G92" s="6">
        <v>20328818</v>
      </c>
      <c r="H92" s="6" t="s">
        <v>157</v>
      </c>
      <c r="I92" s="6">
        <v>1</v>
      </c>
      <c r="J92" s="32" t="s">
        <v>28</v>
      </c>
      <c r="K92" s="20">
        <f t="shared" si="8"/>
        <v>51</v>
      </c>
      <c r="L92" s="21">
        <v>4.4</v>
      </c>
      <c r="M92" s="21">
        <v>224.4</v>
      </c>
      <c r="N92" s="21">
        <v>224.4</v>
      </c>
    </row>
    <row r="93" spans="4:14">
      <c r="D93" s="18">
        <v>46197</v>
      </c>
      <c r="E93" s="6">
        <v>1614563</v>
      </c>
      <c r="F93" s="6" t="s">
        <v>51</v>
      </c>
      <c r="G93" s="6">
        <v>20353548</v>
      </c>
      <c r="H93" s="6" t="s">
        <v>159</v>
      </c>
      <c r="I93" s="6">
        <v>4</v>
      </c>
      <c r="J93" s="33" t="s">
        <v>86</v>
      </c>
      <c r="K93" s="20">
        <v>1</v>
      </c>
      <c r="L93" s="21">
        <v>3.2</v>
      </c>
      <c r="M93" s="21">
        <v>3.2</v>
      </c>
      <c r="N93" s="21">
        <v>12.8</v>
      </c>
    </row>
    <row r="94" spans="4:14">
      <c r="D94" s="18">
        <v>46197</v>
      </c>
      <c r="E94" s="6">
        <v>1614919</v>
      </c>
      <c r="F94" s="6" t="s">
        <v>16</v>
      </c>
      <c r="G94" s="6">
        <v>20324382</v>
      </c>
      <c r="H94" s="6" t="s">
        <v>17</v>
      </c>
      <c r="I94" s="6">
        <v>2</v>
      </c>
      <c r="J94" s="19" t="s">
        <v>18</v>
      </c>
      <c r="K94" s="20">
        <v>1</v>
      </c>
      <c r="L94" s="21">
        <v>6.4</v>
      </c>
      <c r="M94" s="21">
        <v>6.4</v>
      </c>
      <c r="N94" s="21">
        <v>12.8</v>
      </c>
    </row>
    <row r="95" spans="4:14">
      <c r="D95" s="18">
        <v>46197</v>
      </c>
      <c r="E95" s="6">
        <v>1614919</v>
      </c>
      <c r="F95" s="6" t="s">
        <v>16</v>
      </c>
      <c r="G95" s="6">
        <v>20324366</v>
      </c>
      <c r="H95" s="6" t="s">
        <v>153</v>
      </c>
      <c r="I95" s="6">
        <v>2</v>
      </c>
      <c r="J95" s="123" t="s">
        <v>23</v>
      </c>
      <c r="K95" s="20">
        <v>1</v>
      </c>
      <c r="L95" s="21">
        <v>12.8</v>
      </c>
      <c r="M95" s="21">
        <v>12.8</v>
      </c>
      <c r="N95" s="21">
        <v>25.6</v>
      </c>
    </row>
    <row r="96" spans="4:14">
      <c r="D96" s="18">
        <v>46197</v>
      </c>
      <c r="E96" s="6">
        <v>1614919</v>
      </c>
      <c r="F96" s="6" t="s">
        <v>26</v>
      </c>
      <c r="G96" s="6">
        <v>20324360</v>
      </c>
      <c r="H96" s="6" t="s">
        <v>155</v>
      </c>
      <c r="I96" s="6">
        <v>2</v>
      </c>
      <c r="J96" s="32" t="s">
        <v>28</v>
      </c>
      <c r="K96" s="20">
        <f t="shared" si="8"/>
        <v>16</v>
      </c>
      <c r="L96" s="21">
        <v>4.4</v>
      </c>
      <c r="M96" s="21">
        <v>70.4</v>
      </c>
      <c r="N96" s="21">
        <v>140.8</v>
      </c>
    </row>
    <row r="97" spans="4:14">
      <c r="D97" s="18">
        <v>46197</v>
      </c>
      <c r="E97" s="6">
        <v>1614919</v>
      </c>
      <c r="F97" s="6" t="s">
        <v>16</v>
      </c>
      <c r="G97" s="6">
        <v>20328818</v>
      </c>
      <c r="H97" s="6" t="s">
        <v>157</v>
      </c>
      <c r="I97" s="6">
        <v>1</v>
      </c>
      <c r="J97" s="32" t="s">
        <v>28</v>
      </c>
      <c r="K97" s="20">
        <f t="shared" si="8"/>
        <v>51</v>
      </c>
      <c r="L97" s="21">
        <v>4.4</v>
      </c>
      <c r="M97" s="21">
        <v>224.4</v>
      </c>
      <c r="N97" s="21">
        <v>224.4</v>
      </c>
    </row>
    <row r="98" spans="4:14">
      <c r="D98" s="18">
        <v>46198</v>
      </c>
      <c r="E98" s="6">
        <v>1615292</v>
      </c>
      <c r="F98" s="6" t="s">
        <v>16</v>
      </c>
      <c r="G98" s="6">
        <v>20324366</v>
      </c>
      <c r="H98" s="6" t="s">
        <v>153</v>
      </c>
      <c r="I98" s="6">
        <v>3</v>
      </c>
      <c r="J98" s="123" t="s">
        <v>23</v>
      </c>
      <c r="K98" s="20">
        <v>1</v>
      </c>
      <c r="L98" s="21">
        <v>12.8</v>
      </c>
      <c r="M98" s="21">
        <v>12.8</v>
      </c>
      <c r="N98" s="21">
        <v>38.4</v>
      </c>
    </row>
    <row r="99" spans="4:14">
      <c r="D99" s="18">
        <v>46198</v>
      </c>
      <c r="E99" s="6">
        <v>1615292</v>
      </c>
      <c r="F99" s="6" t="s">
        <v>16</v>
      </c>
      <c r="G99" s="6">
        <v>20324364</v>
      </c>
      <c r="H99" s="6" t="s">
        <v>21</v>
      </c>
      <c r="I99" s="6">
        <v>5</v>
      </c>
      <c r="J99" s="19" t="s">
        <v>18</v>
      </c>
      <c r="K99" s="20">
        <v>1</v>
      </c>
      <c r="L99" s="21">
        <v>6.4</v>
      </c>
      <c r="M99" s="21">
        <v>6.4</v>
      </c>
      <c r="N99" s="21">
        <v>32</v>
      </c>
    </row>
    <row r="100" spans="4:14">
      <c r="D100" s="18">
        <v>46198</v>
      </c>
      <c r="E100" s="6">
        <v>1615292</v>
      </c>
      <c r="F100" s="6" t="s">
        <v>16</v>
      </c>
      <c r="G100" s="6">
        <v>20324533</v>
      </c>
      <c r="H100" s="6" t="s">
        <v>122</v>
      </c>
      <c r="I100" s="6">
        <v>3</v>
      </c>
      <c r="J100" s="19" t="s">
        <v>18</v>
      </c>
      <c r="K100" s="20">
        <v>1</v>
      </c>
      <c r="L100" s="21">
        <v>6.4</v>
      </c>
      <c r="M100" s="21">
        <v>6.4</v>
      </c>
      <c r="N100" s="21">
        <v>19.2</v>
      </c>
    </row>
    <row r="101" spans="4:14">
      <c r="D101" s="18">
        <v>46198</v>
      </c>
      <c r="E101" s="6">
        <v>1615292</v>
      </c>
      <c r="F101" s="6" t="s">
        <v>16</v>
      </c>
      <c r="G101" s="6">
        <v>20324363</v>
      </c>
      <c r="H101" s="6" t="s">
        <v>25</v>
      </c>
      <c r="I101" s="6">
        <v>1</v>
      </c>
      <c r="J101" s="19" t="s">
        <v>18</v>
      </c>
      <c r="K101" s="20">
        <v>1</v>
      </c>
      <c r="L101" s="21">
        <v>6.4</v>
      </c>
      <c r="M101" s="21">
        <v>6.4</v>
      </c>
      <c r="N101" s="21">
        <v>6.4</v>
      </c>
    </row>
    <row r="102" spans="4:14">
      <c r="D102" s="18">
        <v>46198</v>
      </c>
      <c r="E102" s="6">
        <v>1615292</v>
      </c>
      <c r="F102" s="6" t="s">
        <v>26</v>
      </c>
      <c r="G102" s="6">
        <v>20324360</v>
      </c>
      <c r="H102" s="6" t="s">
        <v>155</v>
      </c>
      <c r="I102" s="6">
        <v>3</v>
      </c>
      <c r="J102" s="32" t="s">
        <v>28</v>
      </c>
      <c r="K102" s="20">
        <f t="shared" ref="K102:K106" si="9">M102/L102</f>
        <v>16</v>
      </c>
      <c r="L102" s="21">
        <v>4.4</v>
      </c>
      <c r="M102" s="21">
        <v>70.4</v>
      </c>
      <c r="N102" s="21">
        <v>211.2</v>
      </c>
    </row>
    <row r="103" spans="4:14">
      <c r="D103" s="18">
        <v>46199</v>
      </c>
      <c r="E103" s="6">
        <v>1615305</v>
      </c>
      <c r="F103" s="6" t="s">
        <v>16</v>
      </c>
      <c r="G103" s="6">
        <v>20328818</v>
      </c>
      <c r="H103" s="6" t="s">
        <v>157</v>
      </c>
      <c r="I103" s="6">
        <v>1</v>
      </c>
      <c r="J103" s="32" t="s">
        <v>28</v>
      </c>
      <c r="K103" s="20">
        <f t="shared" si="9"/>
        <v>51</v>
      </c>
      <c r="L103" s="21">
        <v>4.4</v>
      </c>
      <c r="M103" s="21">
        <v>224.4</v>
      </c>
      <c r="N103" s="21">
        <v>224.4</v>
      </c>
    </row>
    <row r="104" spans="4:14">
      <c r="D104" s="18">
        <v>46199</v>
      </c>
      <c r="E104" s="6">
        <v>1615604</v>
      </c>
      <c r="F104" s="6" t="s">
        <v>16</v>
      </c>
      <c r="G104" s="6">
        <v>20324419</v>
      </c>
      <c r="H104" s="6" t="s">
        <v>144</v>
      </c>
      <c r="I104" s="6">
        <v>2</v>
      </c>
      <c r="J104" s="19" t="s">
        <v>18</v>
      </c>
      <c r="K104" s="20">
        <v>1</v>
      </c>
      <c r="L104" s="21">
        <v>6.4</v>
      </c>
      <c r="M104" s="21">
        <v>6.4</v>
      </c>
      <c r="N104" s="21">
        <v>12.8</v>
      </c>
    </row>
    <row r="105" spans="4:14">
      <c r="D105" s="18">
        <v>46199</v>
      </c>
      <c r="E105" s="6">
        <v>1615604</v>
      </c>
      <c r="F105" s="6" t="s">
        <v>16</v>
      </c>
      <c r="G105" s="6">
        <v>20324370</v>
      </c>
      <c r="H105" s="6" t="s">
        <v>112</v>
      </c>
      <c r="I105" s="6">
        <v>1</v>
      </c>
      <c r="J105" s="19" t="s">
        <v>18</v>
      </c>
      <c r="K105" s="20">
        <v>1</v>
      </c>
      <c r="L105" s="21">
        <v>6.4</v>
      </c>
      <c r="M105" s="21">
        <v>6.4</v>
      </c>
      <c r="N105" s="21">
        <v>6.4</v>
      </c>
    </row>
    <row r="106" spans="4:14">
      <c r="D106" s="18">
        <v>46199</v>
      </c>
      <c r="E106" s="6">
        <v>1615604</v>
      </c>
      <c r="F106" s="6" t="s">
        <v>16</v>
      </c>
      <c r="G106" s="6">
        <v>20324366</v>
      </c>
      <c r="H106" s="6" t="s">
        <v>153</v>
      </c>
      <c r="I106" s="6">
        <v>2</v>
      </c>
      <c r="J106" s="123" t="s">
        <v>23</v>
      </c>
      <c r="K106" s="20">
        <v>1</v>
      </c>
      <c r="L106" s="21">
        <v>12.8</v>
      </c>
      <c r="M106" s="21">
        <v>12.8</v>
      </c>
      <c r="N106" s="21">
        <v>25.6</v>
      </c>
    </row>
    <row r="107" spans="4:14">
      <c r="D107" s="18">
        <v>46199</v>
      </c>
      <c r="E107" s="6">
        <v>1615604</v>
      </c>
      <c r="F107" s="6" t="s">
        <v>16</v>
      </c>
      <c r="G107" s="6">
        <v>20324364</v>
      </c>
      <c r="H107" s="6" t="s">
        <v>21</v>
      </c>
      <c r="I107" s="6">
        <v>1</v>
      </c>
      <c r="J107" s="19" t="s">
        <v>18</v>
      </c>
      <c r="K107" s="20">
        <v>1</v>
      </c>
      <c r="L107" s="21">
        <v>6.4</v>
      </c>
      <c r="M107" s="21">
        <v>6.4</v>
      </c>
      <c r="N107" s="21">
        <v>6.4</v>
      </c>
    </row>
    <row r="108" spans="4:14">
      <c r="D108" s="18">
        <v>46199</v>
      </c>
      <c r="E108" s="6">
        <v>1615604</v>
      </c>
      <c r="F108" s="6" t="s">
        <v>16</v>
      </c>
      <c r="G108" s="6">
        <v>20324417</v>
      </c>
      <c r="H108" s="6" t="s">
        <v>167</v>
      </c>
      <c r="I108" s="6">
        <v>2</v>
      </c>
      <c r="J108" s="19" t="s">
        <v>18</v>
      </c>
      <c r="K108" s="20">
        <v>1</v>
      </c>
      <c r="L108" s="21">
        <v>6.4</v>
      </c>
      <c r="M108" s="21">
        <v>6.4</v>
      </c>
      <c r="N108" s="21">
        <v>12.8</v>
      </c>
    </row>
    <row r="109" spans="4:14">
      <c r="D109" s="18">
        <v>46199</v>
      </c>
      <c r="E109" s="6">
        <v>1615604</v>
      </c>
      <c r="F109" s="6" t="s">
        <v>16</v>
      </c>
      <c r="G109" s="6">
        <v>20324533</v>
      </c>
      <c r="H109" s="6" t="s">
        <v>122</v>
      </c>
      <c r="I109" s="6">
        <v>2</v>
      </c>
      <c r="J109" s="19" t="s">
        <v>18</v>
      </c>
      <c r="K109" s="20">
        <v>1</v>
      </c>
      <c r="L109" s="21">
        <v>6.4</v>
      </c>
      <c r="M109" s="21">
        <v>6.4</v>
      </c>
      <c r="N109" s="21">
        <v>12.8</v>
      </c>
    </row>
    <row r="110" spans="4:14">
      <c r="D110" s="18">
        <v>46199</v>
      </c>
      <c r="E110" s="6">
        <v>1615604</v>
      </c>
      <c r="F110" s="6" t="s">
        <v>16</v>
      </c>
      <c r="G110" s="6">
        <v>20324367</v>
      </c>
      <c r="H110" s="6" t="s">
        <v>154</v>
      </c>
      <c r="I110" s="6">
        <v>1</v>
      </c>
      <c r="J110" s="19" t="s">
        <v>18</v>
      </c>
      <c r="K110" s="20">
        <v>1</v>
      </c>
      <c r="L110" s="21">
        <v>6.4</v>
      </c>
      <c r="M110" s="21">
        <v>6.4</v>
      </c>
      <c r="N110" s="21">
        <v>6.4</v>
      </c>
    </row>
    <row r="111" spans="4:14">
      <c r="D111" s="18">
        <v>46199</v>
      </c>
      <c r="E111" s="6">
        <v>1615604</v>
      </c>
      <c r="F111" s="6" t="s">
        <v>16</v>
      </c>
      <c r="G111" s="6">
        <v>20324363</v>
      </c>
      <c r="H111" s="6" t="s">
        <v>25</v>
      </c>
      <c r="I111" s="6">
        <v>1</v>
      </c>
      <c r="J111" s="19" t="s">
        <v>18</v>
      </c>
      <c r="K111" s="20">
        <v>1</v>
      </c>
      <c r="L111" s="21">
        <v>6.4</v>
      </c>
      <c r="M111" s="21">
        <v>6.4</v>
      </c>
      <c r="N111" s="21">
        <v>6.4</v>
      </c>
    </row>
    <row r="112" spans="4:14">
      <c r="D112" s="18">
        <v>46199</v>
      </c>
      <c r="E112" s="6">
        <v>1615604</v>
      </c>
      <c r="F112" s="6" t="s">
        <v>26</v>
      </c>
      <c r="G112" s="6">
        <v>20324360</v>
      </c>
      <c r="H112" s="6" t="s">
        <v>155</v>
      </c>
      <c r="I112" s="6">
        <v>2</v>
      </c>
      <c r="J112" s="32" t="s">
        <v>28</v>
      </c>
      <c r="K112" s="20">
        <f t="shared" ref="K112:K116" si="10">M112/L112</f>
        <v>16</v>
      </c>
      <c r="L112" s="21">
        <v>4.4</v>
      </c>
      <c r="M112" s="21">
        <v>70.4</v>
      </c>
      <c r="N112" s="21">
        <v>140.8</v>
      </c>
    </row>
    <row r="113" spans="4:14">
      <c r="D113" s="18">
        <v>46199</v>
      </c>
      <c r="E113" s="6">
        <v>1615604</v>
      </c>
      <c r="F113" s="6" t="s">
        <v>16</v>
      </c>
      <c r="G113" s="6">
        <v>20336870</v>
      </c>
      <c r="H113" s="6" t="s">
        <v>161</v>
      </c>
      <c r="I113" s="6">
        <v>1</v>
      </c>
      <c r="J113" s="32" t="s">
        <v>28</v>
      </c>
      <c r="K113" s="20">
        <f t="shared" si="10"/>
        <v>41</v>
      </c>
      <c r="L113" s="21">
        <v>4.4</v>
      </c>
      <c r="M113" s="21">
        <v>180.4</v>
      </c>
      <c r="N113" s="21">
        <v>180.4</v>
      </c>
    </row>
    <row r="114" spans="4:14">
      <c r="D114" s="18">
        <v>46199</v>
      </c>
      <c r="E114" s="6">
        <v>1615604</v>
      </c>
      <c r="F114" s="6" t="s">
        <v>16</v>
      </c>
      <c r="G114" s="6">
        <v>20328818</v>
      </c>
      <c r="H114" s="6" t="s">
        <v>157</v>
      </c>
      <c r="I114" s="6">
        <v>1</v>
      </c>
      <c r="J114" s="32" t="s">
        <v>28</v>
      </c>
      <c r="K114" s="20">
        <f t="shared" si="10"/>
        <v>51</v>
      </c>
      <c r="L114" s="21">
        <v>4.4</v>
      </c>
      <c r="M114" s="21">
        <v>224.4</v>
      </c>
      <c r="N114" s="21">
        <v>224.4</v>
      </c>
    </row>
    <row r="115" spans="4:14">
      <c r="D115" s="18">
        <v>46202</v>
      </c>
      <c r="E115" s="6">
        <v>1616121</v>
      </c>
      <c r="F115" s="6" t="s">
        <v>16</v>
      </c>
      <c r="G115" s="6">
        <v>20324361</v>
      </c>
      <c r="H115" s="6" t="s">
        <v>168</v>
      </c>
      <c r="I115" s="6">
        <v>1</v>
      </c>
      <c r="J115" s="123" t="s">
        <v>23</v>
      </c>
      <c r="K115" s="20">
        <v>1</v>
      </c>
      <c r="L115" s="21">
        <v>12.8</v>
      </c>
      <c r="M115" s="21">
        <v>12.8</v>
      </c>
      <c r="N115" s="21">
        <v>12.8</v>
      </c>
    </row>
    <row r="116" spans="4:14">
      <c r="D116" s="18">
        <v>46202</v>
      </c>
      <c r="E116" s="6">
        <v>1616121</v>
      </c>
      <c r="F116" s="6" t="s">
        <v>16</v>
      </c>
      <c r="G116" s="6">
        <v>20324366</v>
      </c>
      <c r="H116" s="6" t="s">
        <v>153</v>
      </c>
      <c r="I116" s="6">
        <v>3</v>
      </c>
      <c r="J116" s="123" t="s">
        <v>23</v>
      </c>
      <c r="K116" s="20">
        <v>1</v>
      </c>
      <c r="L116" s="21">
        <v>12.8</v>
      </c>
      <c r="M116" s="21">
        <v>12.8</v>
      </c>
      <c r="N116" s="21">
        <v>38.4</v>
      </c>
    </row>
    <row r="117" spans="4:14">
      <c r="D117" s="18">
        <v>46202</v>
      </c>
      <c r="E117" s="6">
        <v>1616121</v>
      </c>
      <c r="F117" s="6" t="s">
        <v>16</v>
      </c>
      <c r="G117" s="6">
        <v>20324364</v>
      </c>
      <c r="H117" s="6" t="s">
        <v>21</v>
      </c>
      <c r="I117" s="6">
        <v>1</v>
      </c>
      <c r="J117" s="19" t="s">
        <v>18</v>
      </c>
      <c r="K117" s="20">
        <v>1</v>
      </c>
      <c r="L117" s="21">
        <v>6.4</v>
      </c>
      <c r="M117" s="21">
        <v>6.4</v>
      </c>
      <c r="N117" s="21">
        <v>6.4</v>
      </c>
    </row>
    <row r="118" spans="4:14">
      <c r="D118" s="18">
        <v>46202</v>
      </c>
      <c r="E118" s="6">
        <v>1616121</v>
      </c>
      <c r="F118" s="6" t="s">
        <v>16</v>
      </c>
      <c r="G118" s="6">
        <v>20324533</v>
      </c>
      <c r="H118" s="6" t="s">
        <v>122</v>
      </c>
      <c r="I118" s="6">
        <v>3</v>
      </c>
      <c r="J118" s="19" t="s">
        <v>18</v>
      </c>
      <c r="K118" s="20">
        <v>1</v>
      </c>
      <c r="L118" s="21">
        <v>6.4</v>
      </c>
      <c r="M118" s="21">
        <v>6.4</v>
      </c>
      <c r="N118" s="21">
        <v>19.2</v>
      </c>
    </row>
    <row r="119" spans="4:14">
      <c r="D119" s="18">
        <v>46202</v>
      </c>
      <c r="E119" s="6">
        <v>1616121</v>
      </c>
      <c r="F119" s="6" t="s">
        <v>16</v>
      </c>
      <c r="G119" s="6">
        <v>20324363</v>
      </c>
      <c r="H119" s="6" t="s">
        <v>25</v>
      </c>
      <c r="I119" s="6">
        <v>1</v>
      </c>
      <c r="J119" s="19" t="s">
        <v>18</v>
      </c>
      <c r="K119" s="20">
        <v>1</v>
      </c>
      <c r="L119" s="21">
        <v>6.4</v>
      </c>
      <c r="M119" s="21">
        <v>6.4</v>
      </c>
      <c r="N119" s="21">
        <v>6.4</v>
      </c>
    </row>
    <row r="120" spans="4:14">
      <c r="D120" s="18">
        <v>46202</v>
      </c>
      <c r="E120" s="6">
        <v>1616121</v>
      </c>
      <c r="F120" s="6" t="s">
        <v>26</v>
      </c>
      <c r="G120" s="6">
        <v>20324360</v>
      </c>
      <c r="H120" s="6" t="s">
        <v>155</v>
      </c>
      <c r="I120" s="6">
        <v>3</v>
      </c>
      <c r="J120" s="32" t="s">
        <v>28</v>
      </c>
      <c r="K120" s="20">
        <f>M120/L120</f>
        <v>16</v>
      </c>
      <c r="L120" s="21">
        <v>4.4</v>
      </c>
      <c r="M120" s="21">
        <v>70.4</v>
      </c>
      <c r="N120" s="21">
        <v>211.2</v>
      </c>
    </row>
    <row r="121" spans="4:14">
      <c r="D121" s="18">
        <v>46202</v>
      </c>
      <c r="E121" s="6">
        <v>1616121</v>
      </c>
      <c r="F121" s="6" t="s">
        <v>16</v>
      </c>
      <c r="G121" s="6">
        <v>20328818</v>
      </c>
      <c r="H121" s="6" t="s">
        <v>157</v>
      </c>
      <c r="I121" s="6">
        <v>3</v>
      </c>
      <c r="J121" s="32" t="s">
        <v>28</v>
      </c>
      <c r="K121" s="20">
        <f>M121/L121</f>
        <v>51</v>
      </c>
      <c r="L121" s="21">
        <v>4.4</v>
      </c>
      <c r="M121" s="21">
        <v>224.4</v>
      </c>
      <c r="N121" s="21">
        <v>673.2</v>
      </c>
    </row>
  </sheetData>
  <autoFilter xmlns:etc="http://www.wps.cn/officeDocument/2017/etCustomData" ref="A7:N121" etc:filterBottomFollowUsedRange="0">
    <extLst/>
  </autoFilter>
  <mergeCells count="5">
    <mergeCell ref="D8:H8"/>
    <mergeCell ref="C7:C121"/>
    <mergeCell ref="B4:H5"/>
    <mergeCell ref="C1:H2"/>
    <mergeCell ref="A7:B121"/>
  </mergeCells>
  <pageMargins left="0.25" right="0.25" top="0.75" bottom="0.75" header="0.298611111111111" footer="0.298611111111111"/>
  <pageSetup paperSize="9" scale="90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75" customWidth="1"/>
    <col min="12" max="12" width="13.875" customWidth="1"/>
    <col min="13" max="13" width="12.2083333333333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169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36</v>
      </c>
      <c r="J8" s="42"/>
      <c r="K8" s="43"/>
      <c r="L8" s="43"/>
      <c r="M8" s="43"/>
      <c r="N8" s="43">
        <v>938.4</v>
      </c>
    </row>
    <row r="9" spans="1:14">
      <c r="D9" s="13">
        <v>46175</v>
      </c>
      <c r="E9" s="14">
        <v>1608267</v>
      </c>
      <c r="F9" s="14" t="s">
        <v>16</v>
      </c>
      <c r="G9" s="14">
        <v>20334195</v>
      </c>
      <c r="H9" s="14" t="s">
        <v>170</v>
      </c>
      <c r="I9" s="14">
        <v>1</v>
      </c>
      <c r="J9" s="58" t="s">
        <v>28</v>
      </c>
      <c r="K9" s="16">
        <f>M9/L9</f>
        <v>23</v>
      </c>
      <c r="L9" s="17">
        <v>4.4</v>
      </c>
      <c r="M9" s="17">
        <v>101.2</v>
      </c>
      <c r="N9" s="17">
        <v>101.2</v>
      </c>
    </row>
    <row r="10" spans="1:14">
      <c r="D10" s="18">
        <v>46176</v>
      </c>
      <c r="E10" s="6">
        <v>1608706</v>
      </c>
      <c r="F10" s="6" t="s">
        <v>16</v>
      </c>
      <c r="G10" s="6">
        <v>20324364</v>
      </c>
      <c r="H10" s="6" t="s">
        <v>21</v>
      </c>
      <c r="I10" s="6">
        <v>4</v>
      </c>
      <c r="J10" s="19" t="s">
        <v>18</v>
      </c>
      <c r="K10" s="20">
        <v>1</v>
      </c>
      <c r="L10" s="21">
        <v>6.4</v>
      </c>
      <c r="M10" s="21">
        <v>6.4</v>
      </c>
      <c r="N10" s="21">
        <v>25.6</v>
      </c>
    </row>
    <row r="11" spans="1:14">
      <c r="D11" s="18">
        <v>46176</v>
      </c>
      <c r="E11" s="6">
        <v>1608706</v>
      </c>
      <c r="F11" s="6" t="s">
        <v>16</v>
      </c>
      <c r="G11" s="6">
        <v>20324363</v>
      </c>
      <c r="H11" s="6" t="s">
        <v>25</v>
      </c>
      <c r="I11" s="6">
        <v>2</v>
      </c>
      <c r="J11" s="19" t="s">
        <v>18</v>
      </c>
      <c r="K11" s="20">
        <v>1</v>
      </c>
      <c r="L11" s="21">
        <v>6.4</v>
      </c>
      <c r="M11" s="21">
        <v>6.4</v>
      </c>
      <c r="N11" s="21">
        <v>12.8</v>
      </c>
    </row>
    <row r="12" spans="1:14">
      <c r="D12" s="18">
        <v>46176</v>
      </c>
      <c r="E12" s="6">
        <v>1608706</v>
      </c>
      <c r="F12" s="6" t="s">
        <v>16</v>
      </c>
      <c r="G12" s="6">
        <v>20324368</v>
      </c>
      <c r="H12" s="6" t="s">
        <v>171</v>
      </c>
      <c r="I12" s="6">
        <v>1</v>
      </c>
      <c r="J12" s="32" t="s">
        <v>28</v>
      </c>
      <c r="K12" s="20">
        <f t="shared" ref="K12:K16" si="0">M12/L12</f>
        <v>16</v>
      </c>
      <c r="L12" s="21">
        <v>4.4</v>
      </c>
      <c r="M12" s="21">
        <v>70.4</v>
      </c>
      <c r="N12" s="21">
        <v>70.4</v>
      </c>
    </row>
    <row r="13" spans="1:14">
      <c r="D13" s="18">
        <v>46182</v>
      </c>
      <c r="E13" s="6">
        <v>1610408</v>
      </c>
      <c r="F13" s="6" t="s">
        <v>16</v>
      </c>
      <c r="G13" s="6">
        <v>20324364</v>
      </c>
      <c r="H13" s="6" t="s">
        <v>21</v>
      </c>
      <c r="I13" s="6">
        <v>1</v>
      </c>
      <c r="J13" s="19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18">
        <v>46182</v>
      </c>
      <c r="E14" s="6">
        <v>1610408</v>
      </c>
      <c r="F14" s="6" t="s">
        <v>16</v>
      </c>
      <c r="G14" s="6">
        <v>20324363</v>
      </c>
      <c r="H14" s="6" t="s">
        <v>25</v>
      </c>
      <c r="I14" s="6">
        <v>1</v>
      </c>
      <c r="J14" s="19" t="s">
        <v>18</v>
      </c>
      <c r="K14" s="20">
        <v>1</v>
      </c>
      <c r="L14" s="21">
        <v>6.4</v>
      </c>
      <c r="M14" s="21">
        <v>6.4</v>
      </c>
      <c r="N14" s="21">
        <v>6.4</v>
      </c>
    </row>
    <row r="15" spans="1:14">
      <c r="D15" s="18">
        <v>46182</v>
      </c>
      <c r="E15" s="6">
        <v>1610408</v>
      </c>
      <c r="F15" s="6" t="s">
        <v>16</v>
      </c>
      <c r="G15" s="6">
        <v>20324368</v>
      </c>
      <c r="H15" s="6" t="s">
        <v>172</v>
      </c>
      <c r="I15" s="6">
        <v>1</v>
      </c>
      <c r="J15" s="32" t="s">
        <v>28</v>
      </c>
      <c r="K15" s="20">
        <f t="shared" si="0"/>
        <v>25</v>
      </c>
      <c r="L15" s="21">
        <v>4.4</v>
      </c>
      <c r="M15" s="21">
        <v>110</v>
      </c>
      <c r="N15" s="21">
        <v>110</v>
      </c>
    </row>
    <row r="16" spans="1:14">
      <c r="D16" s="18">
        <v>46184</v>
      </c>
      <c r="E16" s="6">
        <v>1611537</v>
      </c>
      <c r="F16" s="6" t="s">
        <v>16</v>
      </c>
      <c r="G16" s="6">
        <v>20334195</v>
      </c>
      <c r="H16" s="6" t="s">
        <v>173</v>
      </c>
      <c r="I16" s="6">
        <v>1</v>
      </c>
      <c r="J16" s="32" t="s">
        <v>28</v>
      </c>
      <c r="K16" s="20">
        <f t="shared" si="0"/>
        <v>17</v>
      </c>
      <c r="L16" s="21">
        <v>4.4</v>
      </c>
      <c r="M16" s="21">
        <v>74.8</v>
      </c>
      <c r="N16" s="21">
        <v>74.8</v>
      </c>
    </row>
    <row r="17" spans="4:14">
      <c r="D17" s="18">
        <v>46184</v>
      </c>
      <c r="E17" s="6">
        <v>1611590</v>
      </c>
      <c r="F17" s="6" t="s">
        <v>16</v>
      </c>
      <c r="G17" s="6">
        <v>20324364</v>
      </c>
      <c r="H17" s="6" t="s">
        <v>21</v>
      </c>
      <c r="I17" s="6">
        <v>4</v>
      </c>
      <c r="J17" s="19" t="s">
        <v>18</v>
      </c>
      <c r="K17" s="20">
        <v>1</v>
      </c>
      <c r="L17" s="21">
        <v>6.4</v>
      </c>
      <c r="M17" s="21">
        <v>6.4</v>
      </c>
      <c r="N17" s="21">
        <v>25.6</v>
      </c>
    </row>
    <row r="18" spans="4:14">
      <c r="D18" s="18">
        <v>46189</v>
      </c>
      <c r="E18" s="6">
        <v>1612409</v>
      </c>
      <c r="F18" s="6" t="s">
        <v>16</v>
      </c>
      <c r="G18" s="6">
        <v>20324363</v>
      </c>
      <c r="H18" s="6" t="s">
        <v>25</v>
      </c>
      <c r="I18" s="6">
        <v>2</v>
      </c>
      <c r="J18" s="19" t="s">
        <v>18</v>
      </c>
      <c r="K18" s="20">
        <v>1</v>
      </c>
      <c r="L18" s="21">
        <v>6.4</v>
      </c>
      <c r="M18" s="21">
        <v>6.4</v>
      </c>
      <c r="N18" s="21">
        <v>12.8</v>
      </c>
    </row>
    <row r="19" spans="4:14">
      <c r="D19" s="18">
        <v>46189</v>
      </c>
      <c r="E19" s="6">
        <v>1612409</v>
      </c>
      <c r="F19" s="6" t="s">
        <v>16</v>
      </c>
      <c r="G19" s="6">
        <v>20324620</v>
      </c>
      <c r="H19" s="6" t="s">
        <v>174</v>
      </c>
      <c r="I19" s="6">
        <v>1</v>
      </c>
      <c r="J19" s="32" t="s">
        <v>28</v>
      </c>
      <c r="K19" s="20">
        <f>M19/L19</f>
        <v>13</v>
      </c>
      <c r="L19" s="21">
        <v>4.4</v>
      </c>
      <c r="M19" s="21">
        <v>57.2</v>
      </c>
      <c r="N19" s="21">
        <v>57.2</v>
      </c>
    </row>
    <row r="20" spans="4:14">
      <c r="D20" s="18">
        <v>46191</v>
      </c>
      <c r="E20" s="6">
        <v>1613547</v>
      </c>
      <c r="F20" s="6" t="s">
        <v>16</v>
      </c>
      <c r="G20" s="6">
        <v>20324364</v>
      </c>
      <c r="H20" s="6" t="s">
        <v>21</v>
      </c>
      <c r="I20" s="6">
        <v>3</v>
      </c>
      <c r="J20" s="19" t="s">
        <v>18</v>
      </c>
      <c r="K20" s="20">
        <v>1</v>
      </c>
      <c r="L20" s="21">
        <v>6.4</v>
      </c>
      <c r="M20" s="21">
        <v>6.4</v>
      </c>
      <c r="N20" s="21">
        <v>19.2</v>
      </c>
    </row>
    <row r="21" spans="4:14">
      <c r="D21" s="18">
        <v>46191</v>
      </c>
      <c r="E21" s="6">
        <v>1613547</v>
      </c>
      <c r="F21" s="6" t="s">
        <v>16</v>
      </c>
      <c r="G21" s="6">
        <v>20324363</v>
      </c>
      <c r="H21" s="6" t="s">
        <v>25</v>
      </c>
      <c r="I21" s="6">
        <v>1</v>
      </c>
      <c r="J21" s="19" t="s">
        <v>18</v>
      </c>
      <c r="K21" s="20">
        <v>1</v>
      </c>
      <c r="L21" s="21">
        <v>6.4</v>
      </c>
      <c r="M21" s="21">
        <v>6.4</v>
      </c>
      <c r="N21" s="21">
        <v>6.4</v>
      </c>
    </row>
    <row r="22" spans="4:14">
      <c r="D22" s="18">
        <v>46191</v>
      </c>
      <c r="E22" s="6">
        <v>1613547</v>
      </c>
      <c r="F22" s="6" t="s">
        <v>16</v>
      </c>
      <c r="G22" s="6">
        <v>20324368</v>
      </c>
      <c r="H22" s="6" t="s">
        <v>175</v>
      </c>
      <c r="I22" s="6">
        <v>1</v>
      </c>
      <c r="J22" s="32" t="s">
        <v>28</v>
      </c>
      <c r="K22" s="20">
        <f t="shared" ref="K22:K26" si="1">M22/L22</f>
        <v>21</v>
      </c>
      <c r="L22" s="21">
        <v>4.4</v>
      </c>
      <c r="M22" s="21">
        <v>92.4</v>
      </c>
      <c r="N22" s="21">
        <v>92.4</v>
      </c>
    </row>
    <row r="23" spans="4:14">
      <c r="D23" s="18">
        <v>46197</v>
      </c>
      <c r="E23" s="6">
        <v>1614564</v>
      </c>
      <c r="F23" s="6" t="s">
        <v>16</v>
      </c>
      <c r="G23" s="6">
        <v>20324364</v>
      </c>
      <c r="H23" s="6" t="s">
        <v>21</v>
      </c>
      <c r="I23" s="6">
        <v>2</v>
      </c>
      <c r="J23" s="19" t="s">
        <v>18</v>
      </c>
      <c r="K23" s="20">
        <v>1</v>
      </c>
      <c r="L23" s="21">
        <v>6.4</v>
      </c>
      <c r="M23" s="21">
        <v>6.4</v>
      </c>
      <c r="N23" s="21">
        <v>12.8</v>
      </c>
    </row>
    <row r="24" spans="4:14">
      <c r="D24" s="18">
        <v>46197</v>
      </c>
      <c r="E24" s="6">
        <v>1614564</v>
      </c>
      <c r="F24" s="6" t="s">
        <v>16</v>
      </c>
      <c r="G24" s="6">
        <v>20324363</v>
      </c>
      <c r="H24" s="6" t="s">
        <v>25</v>
      </c>
      <c r="I24" s="6">
        <v>1</v>
      </c>
      <c r="J24" s="19" t="s">
        <v>18</v>
      </c>
      <c r="K24" s="20">
        <v>1</v>
      </c>
      <c r="L24" s="21">
        <v>6.4</v>
      </c>
      <c r="M24" s="21">
        <v>6.4</v>
      </c>
      <c r="N24" s="21">
        <v>6.4</v>
      </c>
    </row>
    <row r="25" spans="4:14">
      <c r="D25" s="18">
        <v>46197</v>
      </c>
      <c r="E25" s="6">
        <v>1614564</v>
      </c>
      <c r="F25" s="6" t="s">
        <v>26</v>
      </c>
      <c r="G25" s="6">
        <v>20430829</v>
      </c>
      <c r="H25" s="6" t="s">
        <v>176</v>
      </c>
      <c r="I25" s="6">
        <v>1</v>
      </c>
      <c r="J25" s="32" t="s">
        <v>28</v>
      </c>
      <c r="K25" s="20">
        <f t="shared" si="1"/>
        <v>13</v>
      </c>
      <c r="L25" s="21">
        <v>4.4</v>
      </c>
      <c r="M25" s="21">
        <v>57.2</v>
      </c>
      <c r="N25" s="21">
        <v>57.2</v>
      </c>
    </row>
    <row r="26" spans="4:14">
      <c r="D26" s="18">
        <v>46197</v>
      </c>
      <c r="E26" s="6">
        <v>1614564</v>
      </c>
      <c r="F26" s="6" t="s">
        <v>16</v>
      </c>
      <c r="G26" s="6">
        <v>20339164</v>
      </c>
      <c r="H26" s="6" t="s">
        <v>177</v>
      </c>
      <c r="I26" s="6">
        <v>1</v>
      </c>
      <c r="J26" s="32" t="s">
        <v>28</v>
      </c>
      <c r="K26" s="20">
        <f t="shared" si="1"/>
        <v>26</v>
      </c>
      <c r="L26" s="21">
        <v>4.4</v>
      </c>
      <c r="M26" s="21">
        <v>114.4</v>
      </c>
      <c r="N26" s="21">
        <v>114.4</v>
      </c>
    </row>
    <row r="27" spans="4:14">
      <c r="D27" s="18">
        <v>46203</v>
      </c>
      <c r="E27" s="6">
        <v>1616160</v>
      </c>
      <c r="F27" s="6" t="s">
        <v>16</v>
      </c>
      <c r="G27" s="6">
        <v>20324364</v>
      </c>
      <c r="H27" s="6" t="s">
        <v>21</v>
      </c>
      <c r="I27" s="6">
        <v>3</v>
      </c>
      <c r="J27" s="19" t="s">
        <v>18</v>
      </c>
      <c r="K27" s="20">
        <v>1</v>
      </c>
      <c r="L27" s="21">
        <v>6.4</v>
      </c>
      <c r="M27" s="21">
        <v>6.4</v>
      </c>
      <c r="N27" s="21">
        <v>19.2</v>
      </c>
    </row>
    <row r="28" spans="4:14">
      <c r="D28" s="18">
        <v>46203</v>
      </c>
      <c r="E28" s="6">
        <v>1616160</v>
      </c>
      <c r="F28" s="6" t="s">
        <v>16</v>
      </c>
      <c r="G28" s="6">
        <v>20324363</v>
      </c>
      <c r="H28" s="6" t="s">
        <v>25</v>
      </c>
      <c r="I28" s="6">
        <v>3</v>
      </c>
      <c r="J28" s="19" t="s">
        <v>18</v>
      </c>
      <c r="K28" s="20">
        <v>1</v>
      </c>
      <c r="L28" s="21">
        <v>6.4</v>
      </c>
      <c r="M28" s="21">
        <v>6.4</v>
      </c>
      <c r="N28" s="21">
        <v>19.2</v>
      </c>
    </row>
    <row r="29" spans="4:14">
      <c r="D29" s="18">
        <v>46203</v>
      </c>
      <c r="E29" s="6">
        <v>1616160</v>
      </c>
      <c r="F29" s="6" t="s">
        <v>16</v>
      </c>
      <c r="G29" s="6">
        <v>20324620</v>
      </c>
      <c r="H29" s="6" t="s">
        <v>178</v>
      </c>
      <c r="I29" s="6">
        <v>1</v>
      </c>
      <c r="J29" s="32" t="s">
        <v>28</v>
      </c>
      <c r="K29" s="20">
        <f>M29/L29</f>
        <v>20</v>
      </c>
      <c r="L29" s="21">
        <v>4.4</v>
      </c>
      <c r="M29" s="21">
        <v>88</v>
      </c>
      <c r="N29" s="21">
        <v>88</v>
      </c>
    </row>
    <row r="30" ht="0.05" customHeight="1"/>
  </sheetData>
  <autoFilter xmlns:etc="http://www.wps.cn/officeDocument/2017/etCustomData" ref="A7:N29" etc:filterBottomFollowUsedRange="0">
    <extLst/>
  </autoFilter>
  <mergeCells count="5">
    <mergeCell ref="D8:H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7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H24" sqref="H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75" customWidth="1"/>
    <col min="12" max="12" width="13.875" customWidth="1"/>
    <col min="13" max="13" width="12.2083333333333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179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221</v>
      </c>
      <c r="J8" s="42"/>
      <c r="K8" s="43"/>
      <c r="L8" s="43"/>
      <c r="M8" s="43"/>
      <c r="N8" s="43">
        <v>12197.6</v>
      </c>
    </row>
    <row r="9" spans="1:14">
      <c r="D9" s="13">
        <v>46175</v>
      </c>
      <c r="E9" s="14">
        <v>1608266</v>
      </c>
      <c r="F9" s="14" t="s">
        <v>26</v>
      </c>
      <c r="G9" s="14">
        <v>20324632</v>
      </c>
      <c r="H9" s="14" t="s">
        <v>180</v>
      </c>
      <c r="I9" s="14">
        <v>4</v>
      </c>
      <c r="J9" s="58" t="s">
        <v>28</v>
      </c>
      <c r="K9" s="16">
        <f>M9/L9</f>
        <v>20</v>
      </c>
      <c r="L9" s="17">
        <v>4.4</v>
      </c>
      <c r="M9" s="17">
        <v>88</v>
      </c>
      <c r="N9" s="17">
        <v>352</v>
      </c>
    </row>
    <row r="10" spans="1:14">
      <c r="D10" s="18">
        <v>46175</v>
      </c>
      <c r="E10" s="6">
        <v>1608339</v>
      </c>
      <c r="F10" s="6" t="s">
        <v>16</v>
      </c>
      <c r="G10" s="6">
        <v>20324617</v>
      </c>
      <c r="H10" s="6" t="s">
        <v>181</v>
      </c>
      <c r="I10" s="6">
        <v>4</v>
      </c>
      <c r="J10" s="32" t="s">
        <v>58</v>
      </c>
      <c r="K10" s="20">
        <v>1</v>
      </c>
      <c r="L10" s="21">
        <v>17.6</v>
      </c>
      <c r="M10" s="21">
        <v>35.2</v>
      </c>
      <c r="N10" s="21">
        <v>140.8</v>
      </c>
    </row>
    <row r="11" spans="1:14">
      <c r="D11" s="18"/>
      <c r="E11" s="6"/>
      <c r="F11" s="6"/>
      <c r="G11" s="6"/>
      <c r="H11" s="6"/>
      <c r="I11" s="6"/>
      <c r="J11" s="32" t="s">
        <v>58</v>
      </c>
      <c r="K11" s="20">
        <v>1</v>
      </c>
      <c r="L11" s="21">
        <v>17.6</v>
      </c>
      <c r="M11" s="21"/>
      <c r="N11" s="21"/>
    </row>
    <row r="12" spans="1:14">
      <c r="D12" s="18">
        <v>46175</v>
      </c>
      <c r="E12" s="6">
        <v>1608339</v>
      </c>
      <c r="F12" s="6" t="s">
        <v>16</v>
      </c>
      <c r="G12" s="6">
        <v>20324583</v>
      </c>
      <c r="H12" s="6" t="s">
        <v>182</v>
      </c>
      <c r="I12" s="6">
        <v>1</v>
      </c>
      <c r="J12" s="33" t="s">
        <v>183</v>
      </c>
      <c r="K12" s="20">
        <v>1</v>
      </c>
      <c r="L12" s="21">
        <v>28</v>
      </c>
      <c r="M12" s="21">
        <v>28</v>
      </c>
      <c r="N12" s="21">
        <v>28</v>
      </c>
    </row>
    <row r="13" spans="1:14">
      <c r="D13" s="18">
        <v>46176</v>
      </c>
      <c r="E13" s="6">
        <v>1608657</v>
      </c>
      <c r="F13" s="6" t="s">
        <v>26</v>
      </c>
      <c r="G13" s="6">
        <v>20324632</v>
      </c>
      <c r="H13" s="6" t="s">
        <v>180</v>
      </c>
      <c r="I13" s="6">
        <v>5</v>
      </c>
      <c r="J13" s="32" t="s">
        <v>28</v>
      </c>
      <c r="K13" s="20">
        <f>M13/L13</f>
        <v>20</v>
      </c>
      <c r="L13" s="21">
        <v>4.4</v>
      </c>
      <c r="M13" s="21">
        <v>88</v>
      </c>
      <c r="N13" s="21">
        <v>440</v>
      </c>
    </row>
    <row r="14" spans="1:14">
      <c r="D14" s="18">
        <v>46176</v>
      </c>
      <c r="E14" s="6">
        <v>1608761</v>
      </c>
      <c r="F14" s="6" t="s">
        <v>16</v>
      </c>
      <c r="G14" s="6">
        <v>20324617</v>
      </c>
      <c r="H14" s="6" t="s">
        <v>181</v>
      </c>
      <c r="I14" s="6">
        <v>5</v>
      </c>
      <c r="J14" s="32" t="s">
        <v>58</v>
      </c>
      <c r="K14" s="20">
        <v>1</v>
      </c>
      <c r="L14" s="21">
        <v>17.6</v>
      </c>
      <c r="M14" s="21">
        <v>35.2</v>
      </c>
      <c r="N14" s="21">
        <v>176</v>
      </c>
    </row>
    <row r="15" spans="1:14">
      <c r="D15" s="18"/>
      <c r="E15" s="6"/>
      <c r="F15" s="6"/>
      <c r="G15" s="6"/>
      <c r="H15" s="6"/>
      <c r="I15" s="6"/>
      <c r="J15" s="32" t="s">
        <v>58</v>
      </c>
      <c r="K15" s="20">
        <v>1</v>
      </c>
      <c r="L15" s="21">
        <v>17.6</v>
      </c>
      <c r="M15" s="21"/>
      <c r="N15" s="21"/>
    </row>
    <row r="16" spans="1:14">
      <c r="D16" s="18">
        <v>46176</v>
      </c>
      <c r="E16" s="6">
        <v>1608761</v>
      </c>
      <c r="F16" s="6" t="s">
        <v>16</v>
      </c>
      <c r="G16" s="6">
        <v>20324583</v>
      </c>
      <c r="H16" s="6" t="s">
        <v>182</v>
      </c>
      <c r="I16" s="6">
        <v>1</v>
      </c>
      <c r="J16" s="33" t="s">
        <v>183</v>
      </c>
      <c r="K16" s="20">
        <v>1</v>
      </c>
      <c r="L16" s="21">
        <v>28</v>
      </c>
      <c r="M16" s="21">
        <v>28</v>
      </c>
      <c r="N16" s="21">
        <v>28</v>
      </c>
    </row>
    <row r="17" spans="4:14">
      <c r="D17" s="18">
        <v>46177</v>
      </c>
      <c r="E17" s="6">
        <v>1609076</v>
      </c>
      <c r="F17" s="6" t="s">
        <v>26</v>
      </c>
      <c r="G17" s="6">
        <v>20324632</v>
      </c>
      <c r="H17" s="6" t="s">
        <v>180</v>
      </c>
      <c r="I17" s="6">
        <v>3</v>
      </c>
      <c r="J17" s="32" t="s">
        <v>28</v>
      </c>
      <c r="K17" s="20">
        <f>M17/L17</f>
        <v>20</v>
      </c>
      <c r="L17" s="21">
        <v>4.4</v>
      </c>
      <c r="M17" s="21">
        <v>88</v>
      </c>
      <c r="N17" s="21">
        <v>264</v>
      </c>
    </row>
    <row r="18" spans="4:14">
      <c r="D18" s="18">
        <v>46177</v>
      </c>
      <c r="E18" s="6">
        <v>1609128</v>
      </c>
      <c r="F18" s="6" t="s">
        <v>16</v>
      </c>
      <c r="G18" s="6">
        <v>20324617</v>
      </c>
      <c r="H18" s="6" t="s">
        <v>181</v>
      </c>
      <c r="I18" s="6">
        <v>3</v>
      </c>
      <c r="J18" s="32" t="s">
        <v>58</v>
      </c>
      <c r="K18" s="20">
        <v>1</v>
      </c>
      <c r="L18" s="21">
        <v>17.6</v>
      </c>
      <c r="M18" s="21">
        <v>35.2</v>
      </c>
      <c r="N18" s="21">
        <v>105.6</v>
      </c>
    </row>
    <row r="19" spans="4:14">
      <c r="D19" s="18"/>
      <c r="E19" s="6"/>
      <c r="F19" s="6"/>
      <c r="G19" s="6"/>
      <c r="H19" s="6"/>
      <c r="I19" s="6"/>
      <c r="J19" s="32" t="s">
        <v>58</v>
      </c>
      <c r="K19" s="20">
        <v>1</v>
      </c>
      <c r="L19" s="21">
        <v>17.6</v>
      </c>
      <c r="M19" s="21"/>
      <c r="N19" s="21"/>
    </row>
    <row r="20" spans="4:14">
      <c r="D20" s="18">
        <v>46177</v>
      </c>
      <c r="E20" s="6">
        <v>1609128</v>
      </c>
      <c r="F20" s="6" t="s">
        <v>16</v>
      </c>
      <c r="G20" s="6">
        <v>20324583</v>
      </c>
      <c r="H20" s="6" t="s">
        <v>182</v>
      </c>
      <c r="I20" s="6">
        <v>1</v>
      </c>
      <c r="J20" s="33" t="s">
        <v>183</v>
      </c>
      <c r="K20" s="20">
        <v>1</v>
      </c>
      <c r="L20" s="21">
        <v>28</v>
      </c>
      <c r="M20" s="21">
        <v>28</v>
      </c>
      <c r="N20" s="21">
        <v>28</v>
      </c>
    </row>
    <row r="21" spans="4:14">
      <c r="D21" s="18">
        <v>46178</v>
      </c>
      <c r="E21" s="6">
        <v>1609416</v>
      </c>
      <c r="F21" s="6" t="s">
        <v>26</v>
      </c>
      <c r="G21" s="6">
        <v>20324632</v>
      </c>
      <c r="H21" s="6" t="s">
        <v>180</v>
      </c>
      <c r="I21" s="6">
        <v>5</v>
      </c>
      <c r="J21" s="32" t="s">
        <v>28</v>
      </c>
      <c r="K21" s="20">
        <f>M21/L21</f>
        <v>20</v>
      </c>
      <c r="L21" s="21">
        <v>4.4</v>
      </c>
      <c r="M21" s="21">
        <v>88</v>
      </c>
      <c r="N21" s="21">
        <v>440</v>
      </c>
    </row>
    <row r="22" spans="4:14">
      <c r="D22" s="18">
        <v>46178</v>
      </c>
      <c r="E22" s="6">
        <v>1609518</v>
      </c>
      <c r="F22" s="6" t="s">
        <v>16</v>
      </c>
      <c r="G22" s="6">
        <v>20324617</v>
      </c>
      <c r="H22" s="6" t="s">
        <v>181</v>
      </c>
      <c r="I22" s="6">
        <v>3</v>
      </c>
      <c r="J22" s="32" t="s">
        <v>58</v>
      </c>
      <c r="K22" s="20">
        <v>1</v>
      </c>
      <c r="L22" s="21">
        <v>17.6</v>
      </c>
      <c r="M22" s="21">
        <v>35.2</v>
      </c>
      <c r="N22" s="21">
        <v>105.6</v>
      </c>
    </row>
    <row r="23" spans="4:14">
      <c r="D23" s="18"/>
      <c r="E23" s="6"/>
      <c r="F23" s="6"/>
      <c r="G23" s="6"/>
      <c r="H23" s="6"/>
      <c r="I23" s="6"/>
      <c r="J23" s="32" t="s">
        <v>58</v>
      </c>
      <c r="K23" s="20">
        <v>1</v>
      </c>
      <c r="L23" s="21">
        <v>17.6</v>
      </c>
      <c r="M23" s="21"/>
      <c r="N23" s="21"/>
    </row>
    <row r="24" spans="4:14">
      <c r="D24" s="18">
        <v>46178</v>
      </c>
      <c r="E24" s="6">
        <v>1609518</v>
      </c>
      <c r="F24" s="6" t="s">
        <v>16</v>
      </c>
      <c r="G24" s="6">
        <v>20324583</v>
      </c>
      <c r="H24" s="6" t="s">
        <v>182</v>
      </c>
      <c r="I24" s="6">
        <v>2</v>
      </c>
      <c r="J24" s="33" t="s">
        <v>183</v>
      </c>
      <c r="K24" s="20">
        <v>1</v>
      </c>
      <c r="L24" s="21">
        <v>28</v>
      </c>
      <c r="M24" s="21">
        <v>28</v>
      </c>
      <c r="N24" s="21">
        <v>56</v>
      </c>
    </row>
    <row r="25" spans="4:14">
      <c r="D25" s="18">
        <v>46178</v>
      </c>
      <c r="E25" s="6">
        <v>1609518</v>
      </c>
      <c r="F25" s="6" t="s">
        <v>34</v>
      </c>
      <c r="G25" s="6">
        <v>20356650</v>
      </c>
      <c r="H25" s="6" t="s">
        <v>184</v>
      </c>
      <c r="I25" s="6">
        <v>2</v>
      </c>
      <c r="J25" s="32" t="s">
        <v>58</v>
      </c>
      <c r="K25" s="20">
        <v>1</v>
      </c>
      <c r="L25" s="21">
        <v>17.6</v>
      </c>
      <c r="M25" s="21">
        <v>52.8</v>
      </c>
      <c r="N25" s="21">
        <v>105.6</v>
      </c>
    </row>
    <row r="26" spans="4:14">
      <c r="D26" s="18"/>
      <c r="E26" s="6"/>
      <c r="F26" s="6"/>
      <c r="G26" s="6"/>
      <c r="H26" s="6"/>
      <c r="I26" s="6"/>
      <c r="J26" s="32" t="s">
        <v>58</v>
      </c>
      <c r="K26" s="20">
        <v>1</v>
      </c>
      <c r="L26" s="21">
        <v>17.6</v>
      </c>
      <c r="M26" s="21"/>
      <c r="N26" s="21"/>
    </row>
    <row r="27" spans="4:14">
      <c r="D27" s="18"/>
      <c r="E27" s="6"/>
      <c r="F27" s="6"/>
      <c r="G27" s="6"/>
      <c r="H27" s="6"/>
      <c r="I27" s="6"/>
      <c r="J27" s="32" t="s">
        <v>58</v>
      </c>
      <c r="K27" s="20">
        <v>1</v>
      </c>
      <c r="L27" s="21">
        <v>17.6</v>
      </c>
      <c r="M27" s="21"/>
      <c r="N27" s="21"/>
    </row>
    <row r="28" spans="4:14">
      <c r="D28" s="18">
        <v>46179</v>
      </c>
      <c r="E28" s="6">
        <v>1609859</v>
      </c>
      <c r="F28" s="6" t="s">
        <v>16</v>
      </c>
      <c r="G28" s="6">
        <v>20324364</v>
      </c>
      <c r="H28" s="6" t="s">
        <v>21</v>
      </c>
      <c r="I28" s="6">
        <v>1</v>
      </c>
      <c r="J28" s="19" t="s">
        <v>18</v>
      </c>
      <c r="K28" s="20">
        <v>1</v>
      </c>
      <c r="L28" s="21">
        <v>6.4</v>
      </c>
      <c r="M28" s="21">
        <v>6.4</v>
      </c>
      <c r="N28" s="21">
        <v>6.4</v>
      </c>
    </row>
    <row r="29" spans="4:14">
      <c r="D29" s="18">
        <v>46179</v>
      </c>
      <c r="E29" s="6">
        <v>1609859</v>
      </c>
      <c r="F29" s="6" t="s">
        <v>16</v>
      </c>
      <c r="G29" s="6">
        <v>20324363</v>
      </c>
      <c r="H29" s="6" t="s">
        <v>25</v>
      </c>
      <c r="I29" s="6">
        <v>2</v>
      </c>
      <c r="J29" s="19" t="s">
        <v>18</v>
      </c>
      <c r="K29" s="20">
        <v>1</v>
      </c>
      <c r="L29" s="21">
        <v>6.4</v>
      </c>
      <c r="M29" s="21">
        <v>6.4</v>
      </c>
      <c r="N29" s="21">
        <v>12.8</v>
      </c>
    </row>
    <row r="30" spans="4:14">
      <c r="D30" s="18">
        <v>46179</v>
      </c>
      <c r="E30" s="6">
        <v>1609859</v>
      </c>
      <c r="F30" s="6" t="s">
        <v>26</v>
      </c>
      <c r="G30" s="6">
        <v>20324632</v>
      </c>
      <c r="H30" s="6" t="s">
        <v>180</v>
      </c>
      <c r="I30" s="6">
        <v>5</v>
      </c>
      <c r="J30" s="32" t="s">
        <v>28</v>
      </c>
      <c r="K30" s="20">
        <f>M30/L30</f>
        <v>20</v>
      </c>
      <c r="L30" s="21">
        <v>4.4</v>
      </c>
      <c r="M30" s="21">
        <v>88</v>
      </c>
      <c r="N30" s="21">
        <v>440</v>
      </c>
    </row>
    <row r="31" spans="4:14">
      <c r="D31" s="18">
        <v>46179</v>
      </c>
      <c r="E31" s="6">
        <v>1609859</v>
      </c>
      <c r="F31" s="6" t="s">
        <v>26</v>
      </c>
      <c r="G31" s="6">
        <v>20324734</v>
      </c>
      <c r="H31" s="6" t="s">
        <v>185</v>
      </c>
      <c r="I31" s="6">
        <v>3</v>
      </c>
      <c r="J31" s="32" t="s">
        <v>28</v>
      </c>
      <c r="K31" s="20">
        <f>M31/L31</f>
        <v>6</v>
      </c>
      <c r="L31" s="21">
        <v>4.4</v>
      </c>
      <c r="M31" s="21">
        <v>26.4</v>
      </c>
      <c r="N31" s="21">
        <v>79.2</v>
      </c>
    </row>
    <row r="32" spans="4:14">
      <c r="D32" s="18">
        <v>46179</v>
      </c>
      <c r="E32" s="6">
        <v>1609898</v>
      </c>
      <c r="F32" s="6" t="s">
        <v>16</v>
      </c>
      <c r="G32" s="6">
        <v>20324617</v>
      </c>
      <c r="H32" s="6" t="s">
        <v>181</v>
      </c>
      <c r="I32" s="6">
        <v>5</v>
      </c>
      <c r="J32" s="32" t="s">
        <v>58</v>
      </c>
      <c r="K32" s="20">
        <v>1</v>
      </c>
      <c r="L32" s="21">
        <v>17.6</v>
      </c>
      <c r="M32" s="21">
        <v>35.2</v>
      </c>
      <c r="N32" s="21">
        <v>176</v>
      </c>
    </row>
    <row r="33" spans="4:14">
      <c r="D33" s="18"/>
      <c r="E33" s="6"/>
      <c r="F33" s="6"/>
      <c r="G33" s="6"/>
      <c r="H33" s="6"/>
      <c r="I33" s="6"/>
      <c r="J33" s="32" t="s">
        <v>58</v>
      </c>
      <c r="K33" s="20">
        <v>1</v>
      </c>
      <c r="L33" s="21">
        <v>17.6</v>
      </c>
      <c r="M33" s="21"/>
      <c r="N33" s="21"/>
    </row>
    <row r="34" spans="4:14">
      <c r="D34" s="18">
        <v>46179</v>
      </c>
      <c r="E34" s="6">
        <v>1609898</v>
      </c>
      <c r="F34" s="6" t="s">
        <v>16</v>
      </c>
      <c r="G34" s="6">
        <v>20324583</v>
      </c>
      <c r="H34" s="6" t="s">
        <v>182</v>
      </c>
      <c r="I34" s="6">
        <v>1</v>
      </c>
      <c r="J34" s="33" t="s">
        <v>183</v>
      </c>
      <c r="K34" s="20">
        <v>1</v>
      </c>
      <c r="L34" s="21">
        <v>28</v>
      </c>
      <c r="M34" s="21">
        <v>28</v>
      </c>
      <c r="N34" s="21">
        <v>28</v>
      </c>
    </row>
    <row r="35" spans="4:14">
      <c r="D35" s="18">
        <v>46182</v>
      </c>
      <c r="E35" s="6">
        <v>1610409</v>
      </c>
      <c r="F35" s="6" t="s">
        <v>16</v>
      </c>
      <c r="G35" s="6">
        <v>20324363</v>
      </c>
      <c r="H35" s="6" t="s">
        <v>25</v>
      </c>
      <c r="I35" s="6">
        <v>1</v>
      </c>
      <c r="J35" s="19" t="s">
        <v>18</v>
      </c>
      <c r="K35" s="20">
        <v>1</v>
      </c>
      <c r="L35" s="21">
        <v>6.4</v>
      </c>
      <c r="M35" s="21">
        <v>6.4</v>
      </c>
      <c r="N35" s="21">
        <v>6.4</v>
      </c>
    </row>
    <row r="36" spans="4:14">
      <c r="D36" s="18">
        <v>46182</v>
      </c>
      <c r="E36" s="6">
        <v>1610409</v>
      </c>
      <c r="F36" s="6" t="s">
        <v>26</v>
      </c>
      <c r="G36" s="6">
        <v>20324632</v>
      </c>
      <c r="H36" s="6" t="s">
        <v>180</v>
      </c>
      <c r="I36" s="6">
        <v>5</v>
      </c>
      <c r="J36" s="32" t="s">
        <v>28</v>
      </c>
      <c r="K36" s="20">
        <f>M36/L36</f>
        <v>20</v>
      </c>
      <c r="L36" s="21">
        <v>4.4</v>
      </c>
      <c r="M36" s="21">
        <v>88</v>
      </c>
      <c r="N36" s="21">
        <v>440</v>
      </c>
    </row>
    <row r="37" spans="4:14">
      <c r="D37" s="18">
        <v>46182</v>
      </c>
      <c r="E37" s="6">
        <v>1610479</v>
      </c>
      <c r="F37" s="6" t="s">
        <v>16</v>
      </c>
      <c r="G37" s="6">
        <v>20324617</v>
      </c>
      <c r="H37" s="6" t="s">
        <v>181</v>
      </c>
      <c r="I37" s="6">
        <v>5</v>
      </c>
      <c r="J37" s="32" t="s">
        <v>58</v>
      </c>
      <c r="K37" s="20">
        <v>1</v>
      </c>
      <c r="L37" s="21">
        <v>17.6</v>
      </c>
      <c r="M37" s="21">
        <v>35.2</v>
      </c>
      <c r="N37" s="21">
        <v>176</v>
      </c>
    </row>
    <row r="38" spans="4:14">
      <c r="D38" s="18"/>
      <c r="E38" s="6"/>
      <c r="F38" s="6"/>
      <c r="G38" s="6"/>
      <c r="H38" s="6"/>
      <c r="I38" s="6"/>
      <c r="J38" s="32" t="s">
        <v>58</v>
      </c>
      <c r="K38" s="20">
        <v>1</v>
      </c>
      <c r="L38" s="21">
        <v>17.6</v>
      </c>
      <c r="M38" s="21"/>
      <c r="N38" s="21"/>
    </row>
    <row r="39" spans="4:14">
      <c r="D39" s="18">
        <v>46182</v>
      </c>
      <c r="E39" s="6">
        <v>1610479</v>
      </c>
      <c r="F39" s="6" t="s">
        <v>16</v>
      </c>
      <c r="G39" s="6">
        <v>20324583</v>
      </c>
      <c r="H39" s="6" t="s">
        <v>182</v>
      </c>
      <c r="I39" s="6">
        <v>1</v>
      </c>
      <c r="J39" s="33" t="s">
        <v>183</v>
      </c>
      <c r="K39" s="20">
        <v>1</v>
      </c>
      <c r="L39" s="21">
        <v>28</v>
      </c>
      <c r="M39" s="21">
        <v>28</v>
      </c>
      <c r="N39" s="21">
        <v>28</v>
      </c>
    </row>
    <row r="40" spans="4:14">
      <c r="D40" s="18">
        <v>46183</v>
      </c>
      <c r="E40" s="6">
        <v>1610845</v>
      </c>
      <c r="F40" s="6" t="s">
        <v>16</v>
      </c>
      <c r="G40" s="6">
        <v>20324405</v>
      </c>
      <c r="H40" s="6" t="s">
        <v>30</v>
      </c>
      <c r="I40" s="6">
        <v>1</v>
      </c>
      <c r="J40" s="6" t="s">
        <v>20</v>
      </c>
      <c r="K40" s="20">
        <v>1</v>
      </c>
      <c r="L40" s="21">
        <v>8.8</v>
      </c>
      <c r="M40" s="21">
        <v>8.8</v>
      </c>
      <c r="N40" s="21">
        <v>8.8</v>
      </c>
    </row>
    <row r="41" spans="4:14">
      <c r="D41" s="18">
        <v>46183</v>
      </c>
      <c r="E41" s="6">
        <v>1610845</v>
      </c>
      <c r="F41" s="6" t="s">
        <v>26</v>
      </c>
      <c r="G41" s="6">
        <v>20324632</v>
      </c>
      <c r="H41" s="6" t="s">
        <v>180</v>
      </c>
      <c r="I41" s="6">
        <v>2</v>
      </c>
      <c r="J41" s="32" t="s">
        <v>28</v>
      </c>
      <c r="K41" s="20">
        <f>M41/L41</f>
        <v>20</v>
      </c>
      <c r="L41" s="21">
        <v>4.4</v>
      </c>
      <c r="M41" s="21">
        <v>88</v>
      </c>
      <c r="N41" s="21">
        <v>176</v>
      </c>
    </row>
    <row r="42" spans="4:14">
      <c r="D42" s="18">
        <v>46183</v>
      </c>
      <c r="E42" s="6">
        <v>1610880</v>
      </c>
      <c r="F42" s="6" t="s">
        <v>16</v>
      </c>
      <c r="G42" s="6">
        <v>20324617</v>
      </c>
      <c r="H42" s="6" t="s">
        <v>181</v>
      </c>
      <c r="I42" s="6">
        <v>1</v>
      </c>
      <c r="J42" s="32" t="s">
        <v>58</v>
      </c>
      <c r="K42" s="20">
        <v>1</v>
      </c>
      <c r="L42" s="21">
        <v>17.6</v>
      </c>
      <c r="M42" s="21">
        <v>35.2</v>
      </c>
      <c r="N42" s="21">
        <v>35.2</v>
      </c>
    </row>
    <row r="43" spans="4:14">
      <c r="D43" s="18"/>
      <c r="E43" s="6"/>
      <c r="F43" s="6"/>
      <c r="G43" s="6"/>
      <c r="H43" s="6"/>
      <c r="I43" s="6"/>
      <c r="J43" s="32" t="s">
        <v>58</v>
      </c>
      <c r="K43" s="20">
        <v>1</v>
      </c>
      <c r="L43" s="21">
        <v>17.6</v>
      </c>
      <c r="M43" s="21"/>
      <c r="N43" s="21"/>
    </row>
    <row r="44" spans="4:14">
      <c r="D44" s="18">
        <v>46183</v>
      </c>
      <c r="E44" s="6">
        <v>1610880</v>
      </c>
      <c r="F44" s="6" t="s">
        <v>16</v>
      </c>
      <c r="G44" s="6">
        <v>20324583</v>
      </c>
      <c r="H44" s="6" t="s">
        <v>182</v>
      </c>
      <c r="I44" s="6">
        <v>1</v>
      </c>
      <c r="J44" s="33" t="s">
        <v>183</v>
      </c>
      <c r="K44" s="20">
        <v>1</v>
      </c>
      <c r="L44" s="21">
        <v>28</v>
      </c>
      <c r="M44" s="21">
        <v>28</v>
      </c>
      <c r="N44" s="21">
        <v>28</v>
      </c>
    </row>
    <row r="45" spans="4:14">
      <c r="D45" s="18">
        <v>46183</v>
      </c>
      <c r="E45" s="6">
        <v>1611144</v>
      </c>
      <c r="F45" s="6" t="s">
        <v>16</v>
      </c>
      <c r="G45" s="6">
        <v>20324402</v>
      </c>
      <c r="H45" s="6" t="s">
        <v>24</v>
      </c>
      <c r="I45" s="6">
        <v>1</v>
      </c>
      <c r="J45" s="6" t="s">
        <v>20</v>
      </c>
      <c r="K45" s="20">
        <v>1</v>
      </c>
      <c r="L45" s="21">
        <v>8.8</v>
      </c>
      <c r="M45" s="21">
        <v>8.8</v>
      </c>
      <c r="N45" s="21">
        <v>8.8</v>
      </c>
    </row>
    <row r="46" spans="4:14">
      <c r="D46" s="18">
        <v>46183</v>
      </c>
      <c r="E46" s="6">
        <v>1611144</v>
      </c>
      <c r="F46" s="6" t="s">
        <v>26</v>
      </c>
      <c r="G46" s="6">
        <v>20324632</v>
      </c>
      <c r="H46" s="6" t="s">
        <v>180</v>
      </c>
      <c r="I46" s="6">
        <v>7</v>
      </c>
      <c r="J46" s="32" t="s">
        <v>28</v>
      </c>
      <c r="K46" s="20">
        <f>M46/L46</f>
        <v>20</v>
      </c>
      <c r="L46" s="21">
        <v>4.4</v>
      </c>
      <c r="M46" s="21">
        <v>88</v>
      </c>
      <c r="N46" s="21">
        <v>616</v>
      </c>
    </row>
    <row r="47" spans="4:14">
      <c r="D47" s="18">
        <v>46184</v>
      </c>
      <c r="E47" s="6">
        <v>1611220</v>
      </c>
      <c r="F47" s="6" t="s">
        <v>16</v>
      </c>
      <c r="G47" s="6">
        <v>20324617</v>
      </c>
      <c r="H47" s="6" t="s">
        <v>181</v>
      </c>
      <c r="I47" s="6">
        <v>6</v>
      </c>
      <c r="J47" s="32" t="s">
        <v>58</v>
      </c>
      <c r="K47" s="20">
        <v>1</v>
      </c>
      <c r="L47" s="21">
        <v>17.6</v>
      </c>
      <c r="M47" s="21">
        <v>35.2</v>
      </c>
      <c r="N47" s="21">
        <v>211.2</v>
      </c>
    </row>
    <row r="48" spans="4:14">
      <c r="D48" s="18"/>
      <c r="E48" s="6"/>
      <c r="F48" s="6"/>
      <c r="G48" s="6"/>
      <c r="H48" s="6"/>
      <c r="I48" s="6"/>
      <c r="J48" s="32" t="s">
        <v>58</v>
      </c>
      <c r="K48" s="20">
        <v>1</v>
      </c>
      <c r="L48" s="21">
        <v>17.6</v>
      </c>
      <c r="M48" s="21"/>
      <c r="N48" s="21"/>
    </row>
    <row r="49" spans="4:14">
      <c r="D49" s="18">
        <v>46184</v>
      </c>
      <c r="E49" s="6">
        <v>1611220</v>
      </c>
      <c r="F49" s="6" t="s">
        <v>16</v>
      </c>
      <c r="G49" s="6">
        <v>20324583</v>
      </c>
      <c r="H49" s="6" t="s">
        <v>182</v>
      </c>
      <c r="I49" s="6">
        <v>1</v>
      </c>
      <c r="J49" s="33" t="s">
        <v>183</v>
      </c>
      <c r="K49" s="20">
        <v>1</v>
      </c>
      <c r="L49" s="21">
        <v>28</v>
      </c>
      <c r="M49" s="21">
        <v>28</v>
      </c>
      <c r="N49" s="21">
        <v>28</v>
      </c>
    </row>
    <row r="50" spans="4:14">
      <c r="D50" s="18">
        <v>46184</v>
      </c>
      <c r="E50" s="6">
        <v>1611220</v>
      </c>
      <c r="F50" s="6" t="s">
        <v>34</v>
      </c>
      <c r="G50" s="6">
        <v>20356650</v>
      </c>
      <c r="H50" s="6" t="s">
        <v>184</v>
      </c>
      <c r="I50" s="6">
        <v>1</v>
      </c>
      <c r="J50" s="32" t="s">
        <v>58</v>
      </c>
      <c r="K50" s="20">
        <v>1</v>
      </c>
      <c r="L50" s="21">
        <v>17.6</v>
      </c>
      <c r="M50" s="21">
        <v>52.8</v>
      </c>
      <c r="N50" s="21">
        <v>52.8</v>
      </c>
    </row>
    <row r="51" spans="4:14">
      <c r="D51" s="18"/>
      <c r="E51" s="6"/>
      <c r="F51" s="6"/>
      <c r="G51" s="6"/>
      <c r="H51" s="6"/>
      <c r="I51" s="6"/>
      <c r="J51" s="32" t="s">
        <v>58</v>
      </c>
      <c r="K51" s="20">
        <v>1</v>
      </c>
      <c r="L51" s="21">
        <v>17.6</v>
      </c>
      <c r="M51" s="21"/>
      <c r="N51" s="21"/>
    </row>
    <row r="52" spans="4:14">
      <c r="D52" s="18"/>
      <c r="E52" s="6"/>
      <c r="F52" s="6"/>
      <c r="G52" s="6"/>
      <c r="H52" s="6"/>
      <c r="I52" s="6"/>
      <c r="J52" s="32" t="s">
        <v>58</v>
      </c>
      <c r="K52" s="20">
        <v>1</v>
      </c>
      <c r="L52" s="21">
        <v>17.6</v>
      </c>
      <c r="M52" s="21"/>
      <c r="N52" s="21"/>
    </row>
    <row r="53" spans="4:14">
      <c r="D53" s="18">
        <v>46184</v>
      </c>
      <c r="E53" s="6">
        <v>1611538</v>
      </c>
      <c r="F53" s="6" t="s">
        <v>26</v>
      </c>
      <c r="G53" s="6">
        <v>20324632</v>
      </c>
      <c r="H53" s="6" t="s">
        <v>180</v>
      </c>
      <c r="I53" s="6">
        <v>4</v>
      </c>
      <c r="J53" s="32" t="s">
        <v>28</v>
      </c>
      <c r="K53" s="20">
        <f>M53/L53</f>
        <v>20</v>
      </c>
      <c r="L53" s="21">
        <v>4.4</v>
      </c>
      <c r="M53" s="21">
        <v>88</v>
      </c>
      <c r="N53" s="21">
        <v>352</v>
      </c>
    </row>
    <row r="54" spans="4:14">
      <c r="D54" s="18">
        <v>46185</v>
      </c>
      <c r="E54" s="6">
        <v>1611637</v>
      </c>
      <c r="F54" s="6" t="s">
        <v>16</v>
      </c>
      <c r="G54" s="6">
        <v>20324617</v>
      </c>
      <c r="H54" s="6" t="s">
        <v>181</v>
      </c>
      <c r="I54" s="6">
        <v>4</v>
      </c>
      <c r="J54" s="32" t="s">
        <v>58</v>
      </c>
      <c r="K54" s="20">
        <v>1</v>
      </c>
      <c r="L54" s="21">
        <v>17.6</v>
      </c>
      <c r="M54" s="21">
        <v>35.2</v>
      </c>
      <c r="N54" s="21">
        <v>140.8</v>
      </c>
    </row>
    <row r="55" spans="4:14">
      <c r="D55" s="18"/>
      <c r="E55" s="6"/>
      <c r="F55" s="6"/>
      <c r="G55" s="6"/>
      <c r="H55" s="6"/>
      <c r="I55" s="6"/>
      <c r="J55" s="32" t="s">
        <v>58</v>
      </c>
      <c r="K55" s="20">
        <v>1</v>
      </c>
      <c r="L55" s="21">
        <v>17.6</v>
      </c>
      <c r="M55" s="21"/>
      <c r="N55" s="21"/>
    </row>
    <row r="56" spans="4:14">
      <c r="D56" s="18">
        <v>46185</v>
      </c>
      <c r="E56" s="6">
        <v>1611637</v>
      </c>
      <c r="F56" s="6" t="s">
        <v>16</v>
      </c>
      <c r="G56" s="6">
        <v>20324583</v>
      </c>
      <c r="H56" s="6" t="s">
        <v>182</v>
      </c>
      <c r="I56" s="6">
        <v>1</v>
      </c>
      <c r="J56" s="33" t="s">
        <v>183</v>
      </c>
      <c r="K56" s="20">
        <v>1</v>
      </c>
      <c r="L56" s="21">
        <v>28</v>
      </c>
      <c r="M56" s="21">
        <v>28</v>
      </c>
      <c r="N56" s="21">
        <v>28</v>
      </c>
    </row>
    <row r="57" spans="4:14">
      <c r="D57" s="18">
        <v>46185</v>
      </c>
      <c r="E57" s="6">
        <v>1611891</v>
      </c>
      <c r="F57" s="6" t="s">
        <v>16</v>
      </c>
      <c r="G57" s="6">
        <v>20324363</v>
      </c>
      <c r="H57" s="6" t="s">
        <v>25</v>
      </c>
      <c r="I57" s="6">
        <v>1</v>
      </c>
      <c r="J57" s="19" t="s">
        <v>18</v>
      </c>
      <c r="K57" s="20">
        <v>1</v>
      </c>
      <c r="L57" s="21">
        <v>6.4</v>
      </c>
      <c r="M57" s="21">
        <v>6.4</v>
      </c>
      <c r="N57" s="21">
        <v>6.4</v>
      </c>
    </row>
    <row r="58" spans="4:14">
      <c r="D58" s="18">
        <v>46185</v>
      </c>
      <c r="E58" s="6">
        <v>1611891</v>
      </c>
      <c r="F58" s="6" t="s">
        <v>26</v>
      </c>
      <c r="G58" s="6">
        <v>20324632</v>
      </c>
      <c r="H58" s="6" t="s">
        <v>180</v>
      </c>
      <c r="I58" s="6">
        <v>3</v>
      </c>
      <c r="J58" s="32" t="s">
        <v>28</v>
      </c>
      <c r="K58" s="20">
        <f t="shared" ref="K58:K64" si="0">M58/L58</f>
        <v>20</v>
      </c>
      <c r="L58" s="21">
        <v>4.4</v>
      </c>
      <c r="M58" s="21">
        <v>88</v>
      </c>
      <c r="N58" s="21">
        <v>264</v>
      </c>
    </row>
    <row r="59" spans="4:14">
      <c r="D59" s="18">
        <v>46185</v>
      </c>
      <c r="E59" s="6">
        <v>1611891</v>
      </c>
      <c r="F59" s="6" t="s">
        <v>26</v>
      </c>
      <c r="G59" s="6">
        <v>20324734</v>
      </c>
      <c r="H59" s="6" t="s">
        <v>185</v>
      </c>
      <c r="I59" s="6">
        <v>1</v>
      </c>
      <c r="J59" s="32" t="s">
        <v>28</v>
      </c>
      <c r="K59" s="20">
        <f t="shared" si="0"/>
        <v>6</v>
      </c>
      <c r="L59" s="21">
        <v>4.4</v>
      </c>
      <c r="M59" s="21">
        <v>26.4</v>
      </c>
      <c r="N59" s="21">
        <v>26.4</v>
      </c>
    </row>
    <row r="60" spans="4:14">
      <c r="D60" s="18">
        <v>46186</v>
      </c>
      <c r="E60" s="6">
        <v>1611979</v>
      </c>
      <c r="F60" s="6" t="s">
        <v>16</v>
      </c>
      <c r="G60" s="6">
        <v>20324617</v>
      </c>
      <c r="H60" s="6" t="s">
        <v>181</v>
      </c>
      <c r="I60" s="6">
        <v>3</v>
      </c>
      <c r="J60" s="32" t="s">
        <v>58</v>
      </c>
      <c r="K60" s="20">
        <v>1</v>
      </c>
      <c r="L60" s="21">
        <v>17.6</v>
      </c>
      <c r="M60" s="21">
        <v>35.2</v>
      </c>
      <c r="N60" s="21">
        <v>105.6</v>
      </c>
    </row>
    <row r="61" spans="4:14">
      <c r="D61" s="18"/>
      <c r="E61" s="6"/>
      <c r="F61" s="6"/>
      <c r="G61" s="6"/>
      <c r="H61" s="6"/>
      <c r="I61" s="6"/>
      <c r="J61" s="32" t="s">
        <v>58</v>
      </c>
      <c r="K61" s="20">
        <v>1</v>
      </c>
      <c r="L61" s="21">
        <v>17.6</v>
      </c>
      <c r="M61" s="21"/>
      <c r="N61" s="21"/>
    </row>
    <row r="62" spans="4:14">
      <c r="D62" s="18">
        <v>46186</v>
      </c>
      <c r="E62" s="6">
        <v>1611979</v>
      </c>
      <c r="F62" s="6" t="s">
        <v>16</v>
      </c>
      <c r="G62" s="6">
        <v>20324583</v>
      </c>
      <c r="H62" s="6" t="s">
        <v>182</v>
      </c>
      <c r="I62" s="6">
        <v>1</v>
      </c>
      <c r="J62" s="33" t="s">
        <v>183</v>
      </c>
      <c r="K62" s="20">
        <v>1</v>
      </c>
      <c r="L62" s="21">
        <v>28</v>
      </c>
      <c r="M62" s="21">
        <v>28</v>
      </c>
      <c r="N62" s="21">
        <v>28</v>
      </c>
    </row>
    <row r="63" spans="4:14">
      <c r="D63" s="18">
        <v>46189</v>
      </c>
      <c r="E63" s="6">
        <v>1612410</v>
      </c>
      <c r="F63" s="6" t="s">
        <v>26</v>
      </c>
      <c r="G63" s="6">
        <v>20324632</v>
      </c>
      <c r="H63" s="6" t="s">
        <v>180</v>
      </c>
      <c r="I63" s="6">
        <v>8</v>
      </c>
      <c r="J63" s="32" t="s">
        <v>28</v>
      </c>
      <c r="K63" s="20">
        <f t="shared" si="0"/>
        <v>20</v>
      </c>
      <c r="L63" s="21">
        <v>4.4</v>
      </c>
      <c r="M63" s="21">
        <v>88</v>
      </c>
      <c r="N63" s="21">
        <v>704</v>
      </c>
    </row>
    <row r="64" spans="4:14">
      <c r="D64" s="18">
        <v>46189</v>
      </c>
      <c r="E64" s="6">
        <v>1612410</v>
      </c>
      <c r="F64" s="6" t="s">
        <v>26</v>
      </c>
      <c r="G64" s="6">
        <v>20324734</v>
      </c>
      <c r="H64" s="6" t="s">
        <v>185</v>
      </c>
      <c r="I64" s="6">
        <v>2</v>
      </c>
      <c r="J64" s="32" t="s">
        <v>28</v>
      </c>
      <c r="K64" s="20">
        <f t="shared" si="0"/>
        <v>6</v>
      </c>
      <c r="L64" s="21">
        <v>4.4</v>
      </c>
      <c r="M64" s="21">
        <v>26.4</v>
      </c>
      <c r="N64" s="21">
        <v>52.8</v>
      </c>
    </row>
    <row r="65" spans="4:14">
      <c r="D65" s="18">
        <v>46189</v>
      </c>
      <c r="E65" s="6">
        <v>1612469</v>
      </c>
      <c r="F65" s="6" t="s">
        <v>16</v>
      </c>
      <c r="G65" s="6">
        <v>20324617</v>
      </c>
      <c r="H65" s="6" t="s">
        <v>181</v>
      </c>
      <c r="I65" s="6">
        <v>6</v>
      </c>
      <c r="J65" s="32" t="s">
        <v>58</v>
      </c>
      <c r="K65" s="20">
        <v>1</v>
      </c>
      <c r="L65" s="21">
        <v>17.6</v>
      </c>
      <c r="M65" s="21">
        <v>35.2</v>
      </c>
      <c r="N65" s="21">
        <v>211.2</v>
      </c>
    </row>
    <row r="66" spans="4:14">
      <c r="D66" s="18"/>
      <c r="E66" s="6"/>
      <c r="F66" s="6"/>
      <c r="G66" s="6"/>
      <c r="H66" s="6"/>
      <c r="I66" s="6"/>
      <c r="J66" s="32" t="s">
        <v>58</v>
      </c>
      <c r="K66" s="20">
        <v>1</v>
      </c>
      <c r="L66" s="21">
        <v>17.6</v>
      </c>
      <c r="M66" s="21"/>
      <c r="N66" s="21"/>
    </row>
    <row r="67" spans="4:14">
      <c r="D67" s="18">
        <v>46189</v>
      </c>
      <c r="E67" s="6">
        <v>1612469</v>
      </c>
      <c r="F67" s="6" t="s">
        <v>16</v>
      </c>
      <c r="G67" s="6">
        <v>20324583</v>
      </c>
      <c r="H67" s="6" t="s">
        <v>182</v>
      </c>
      <c r="I67" s="6">
        <v>1</v>
      </c>
      <c r="J67" s="33" t="s">
        <v>183</v>
      </c>
      <c r="K67" s="20">
        <v>1</v>
      </c>
      <c r="L67" s="21">
        <v>28</v>
      </c>
      <c r="M67" s="21">
        <v>28</v>
      </c>
      <c r="N67" s="21">
        <v>28</v>
      </c>
    </row>
    <row r="68" spans="4:14">
      <c r="D68" s="18">
        <v>46189</v>
      </c>
      <c r="E68" s="6">
        <v>1612469</v>
      </c>
      <c r="F68" s="6" t="s">
        <v>34</v>
      </c>
      <c r="G68" s="6">
        <v>20356650</v>
      </c>
      <c r="H68" s="6" t="s">
        <v>184</v>
      </c>
      <c r="I68" s="6">
        <v>2</v>
      </c>
      <c r="J68" s="32" t="s">
        <v>58</v>
      </c>
      <c r="K68" s="20">
        <v>1</v>
      </c>
      <c r="L68" s="21">
        <v>17.6</v>
      </c>
      <c r="M68" s="21">
        <v>52.8</v>
      </c>
      <c r="N68" s="21">
        <v>105.6</v>
      </c>
    </row>
    <row r="69" spans="4:14">
      <c r="D69" s="18"/>
      <c r="E69" s="6"/>
      <c r="F69" s="6"/>
      <c r="G69" s="6"/>
      <c r="H69" s="6"/>
      <c r="I69" s="6"/>
      <c r="J69" s="32" t="s">
        <v>58</v>
      </c>
      <c r="K69" s="20">
        <v>1</v>
      </c>
      <c r="L69" s="21">
        <v>17.6</v>
      </c>
      <c r="M69" s="21"/>
      <c r="N69" s="21"/>
    </row>
    <row r="70" spans="4:14">
      <c r="D70" s="18"/>
      <c r="E70" s="6"/>
      <c r="F70" s="6"/>
      <c r="G70" s="6"/>
      <c r="H70" s="6"/>
      <c r="I70" s="6"/>
      <c r="J70" s="32" t="s">
        <v>58</v>
      </c>
      <c r="K70" s="20">
        <v>1</v>
      </c>
      <c r="L70" s="21">
        <v>17.6</v>
      </c>
      <c r="M70" s="21"/>
      <c r="N70" s="21"/>
    </row>
    <row r="71" spans="4:14">
      <c r="D71" s="18">
        <v>46190</v>
      </c>
      <c r="E71" s="6">
        <v>1612789</v>
      </c>
      <c r="F71" s="6" t="s">
        <v>16</v>
      </c>
      <c r="G71" s="6">
        <v>20324364</v>
      </c>
      <c r="H71" s="6" t="s">
        <v>21</v>
      </c>
      <c r="I71" s="6">
        <v>1</v>
      </c>
      <c r="J71" s="19" t="s">
        <v>18</v>
      </c>
      <c r="K71" s="20">
        <v>1</v>
      </c>
      <c r="L71" s="21">
        <v>6.4</v>
      </c>
      <c r="M71" s="21">
        <v>6.4</v>
      </c>
      <c r="N71" s="21">
        <v>6.4</v>
      </c>
    </row>
    <row r="72" spans="4:14">
      <c r="D72" s="18">
        <v>46190</v>
      </c>
      <c r="E72" s="6">
        <v>1612789</v>
      </c>
      <c r="F72" s="6" t="s">
        <v>26</v>
      </c>
      <c r="G72" s="6">
        <v>20324632</v>
      </c>
      <c r="H72" s="6" t="s">
        <v>180</v>
      </c>
      <c r="I72" s="6">
        <v>5</v>
      </c>
      <c r="J72" s="32" t="s">
        <v>28</v>
      </c>
      <c r="K72" s="20">
        <f>M72/L72</f>
        <v>20</v>
      </c>
      <c r="L72" s="21">
        <v>4.4</v>
      </c>
      <c r="M72" s="21">
        <v>88</v>
      </c>
      <c r="N72" s="21">
        <v>440</v>
      </c>
    </row>
    <row r="73" spans="4:14">
      <c r="D73" s="18">
        <v>46190</v>
      </c>
      <c r="E73" s="6">
        <v>1612864</v>
      </c>
      <c r="F73" s="6" t="s">
        <v>16</v>
      </c>
      <c r="G73" s="6">
        <v>20324617</v>
      </c>
      <c r="H73" s="6" t="s">
        <v>181</v>
      </c>
      <c r="I73" s="6">
        <v>5</v>
      </c>
      <c r="J73" s="32" t="s">
        <v>58</v>
      </c>
      <c r="K73" s="20">
        <v>1</v>
      </c>
      <c r="L73" s="21">
        <v>17.6</v>
      </c>
      <c r="M73" s="21">
        <v>35.2</v>
      </c>
      <c r="N73" s="21">
        <v>176</v>
      </c>
    </row>
    <row r="74" spans="4:14">
      <c r="D74" s="18"/>
      <c r="E74" s="6"/>
      <c r="F74" s="6"/>
      <c r="G74" s="6"/>
      <c r="H74" s="6"/>
      <c r="I74" s="6"/>
      <c r="J74" s="32" t="s">
        <v>58</v>
      </c>
      <c r="K74" s="20">
        <v>1</v>
      </c>
      <c r="L74" s="21">
        <v>17.6</v>
      </c>
      <c r="M74" s="21"/>
      <c r="N74" s="21"/>
    </row>
    <row r="75" spans="4:14">
      <c r="D75" s="18">
        <v>46190</v>
      </c>
      <c r="E75" s="6">
        <v>1612864</v>
      </c>
      <c r="F75" s="6" t="s">
        <v>16</v>
      </c>
      <c r="G75" s="6">
        <v>20324583</v>
      </c>
      <c r="H75" s="6" t="s">
        <v>182</v>
      </c>
      <c r="I75" s="6">
        <v>1</v>
      </c>
      <c r="J75" s="33" t="s">
        <v>183</v>
      </c>
      <c r="K75" s="20">
        <v>1</v>
      </c>
      <c r="L75" s="21">
        <v>28</v>
      </c>
      <c r="M75" s="21">
        <v>28</v>
      </c>
      <c r="N75" s="21">
        <v>28</v>
      </c>
    </row>
    <row r="76" spans="4:14">
      <c r="D76" s="18">
        <v>46191</v>
      </c>
      <c r="E76" s="6">
        <v>1613206</v>
      </c>
      <c r="F76" s="6" t="s">
        <v>16</v>
      </c>
      <c r="G76" s="6">
        <v>20324405</v>
      </c>
      <c r="H76" s="6" t="s">
        <v>30</v>
      </c>
      <c r="I76" s="6">
        <v>1</v>
      </c>
      <c r="J76" s="6" t="s">
        <v>20</v>
      </c>
      <c r="K76" s="20">
        <v>1</v>
      </c>
      <c r="L76" s="21">
        <v>8.8</v>
      </c>
      <c r="M76" s="21">
        <v>8.8</v>
      </c>
      <c r="N76" s="21">
        <v>8.8</v>
      </c>
    </row>
    <row r="77" spans="4:14">
      <c r="D77" s="18">
        <v>46191</v>
      </c>
      <c r="E77" s="6">
        <v>1613206</v>
      </c>
      <c r="F77" s="6" t="s">
        <v>26</v>
      </c>
      <c r="G77" s="6">
        <v>20324632</v>
      </c>
      <c r="H77" s="6" t="s">
        <v>180</v>
      </c>
      <c r="I77" s="6">
        <v>2</v>
      </c>
      <c r="J77" s="32" t="s">
        <v>28</v>
      </c>
      <c r="K77" s="20">
        <f>M77/L77</f>
        <v>20</v>
      </c>
      <c r="L77" s="21">
        <v>4.4</v>
      </c>
      <c r="M77" s="21">
        <v>88</v>
      </c>
      <c r="N77" s="21">
        <v>176</v>
      </c>
    </row>
    <row r="78" spans="4:14">
      <c r="D78" s="18">
        <v>46191</v>
      </c>
      <c r="E78" s="6">
        <v>1613268</v>
      </c>
      <c r="F78" s="6" t="s">
        <v>16</v>
      </c>
      <c r="G78" s="6">
        <v>20324617</v>
      </c>
      <c r="H78" s="6" t="s">
        <v>181</v>
      </c>
      <c r="I78" s="6">
        <v>2</v>
      </c>
      <c r="J78" s="32" t="s">
        <v>58</v>
      </c>
      <c r="K78" s="20">
        <v>1</v>
      </c>
      <c r="L78" s="21">
        <v>17.6</v>
      </c>
      <c r="M78" s="21">
        <v>35.2</v>
      </c>
      <c r="N78" s="21">
        <v>70.4</v>
      </c>
    </row>
    <row r="79" spans="4:14">
      <c r="D79" s="18"/>
      <c r="E79" s="6"/>
      <c r="F79" s="6"/>
      <c r="G79" s="6"/>
      <c r="H79" s="6"/>
      <c r="I79" s="6"/>
      <c r="J79" s="32" t="s">
        <v>58</v>
      </c>
      <c r="K79" s="20">
        <v>1</v>
      </c>
      <c r="L79" s="21">
        <v>17.6</v>
      </c>
      <c r="M79" s="21"/>
      <c r="N79" s="21"/>
    </row>
    <row r="80" spans="4:14">
      <c r="D80" s="18">
        <v>46191</v>
      </c>
      <c r="E80" s="6">
        <v>1613268</v>
      </c>
      <c r="F80" s="6" t="s">
        <v>16</v>
      </c>
      <c r="G80" s="6">
        <v>20324583</v>
      </c>
      <c r="H80" s="6" t="s">
        <v>182</v>
      </c>
      <c r="I80" s="6">
        <v>1</v>
      </c>
      <c r="J80" s="33" t="s">
        <v>183</v>
      </c>
      <c r="K80" s="20">
        <v>1</v>
      </c>
      <c r="L80" s="21">
        <v>28</v>
      </c>
      <c r="M80" s="21">
        <v>28</v>
      </c>
      <c r="N80" s="21">
        <v>28</v>
      </c>
    </row>
    <row r="81" spans="4:14">
      <c r="D81" s="18">
        <v>46191</v>
      </c>
      <c r="E81" s="6">
        <v>1613548</v>
      </c>
      <c r="F81" s="6" t="s">
        <v>26</v>
      </c>
      <c r="G81" s="6">
        <v>20324632</v>
      </c>
      <c r="H81" s="6" t="s">
        <v>180</v>
      </c>
      <c r="I81" s="6">
        <v>5</v>
      </c>
      <c r="J81" s="32" t="s">
        <v>28</v>
      </c>
      <c r="K81" s="20">
        <f>M81/L81</f>
        <v>20</v>
      </c>
      <c r="L81" s="21">
        <v>4.4</v>
      </c>
      <c r="M81" s="21">
        <v>88</v>
      </c>
      <c r="N81" s="21">
        <v>440</v>
      </c>
    </row>
    <row r="82" spans="4:14">
      <c r="D82" s="18">
        <v>46192</v>
      </c>
      <c r="E82" s="6">
        <v>1613634</v>
      </c>
      <c r="F82" s="6" t="s">
        <v>16</v>
      </c>
      <c r="G82" s="6">
        <v>20324617</v>
      </c>
      <c r="H82" s="6" t="s">
        <v>181</v>
      </c>
      <c r="I82" s="6">
        <v>4</v>
      </c>
      <c r="J82" s="32" t="s">
        <v>58</v>
      </c>
      <c r="K82" s="20">
        <v>1</v>
      </c>
      <c r="L82" s="21">
        <v>17.6</v>
      </c>
      <c r="M82" s="21">
        <v>35.2</v>
      </c>
      <c r="N82" s="21">
        <v>140.8</v>
      </c>
    </row>
    <row r="83" spans="4:14">
      <c r="D83" s="18"/>
      <c r="E83" s="6"/>
      <c r="F83" s="6"/>
      <c r="G83" s="6"/>
      <c r="H83" s="6"/>
      <c r="I83" s="6"/>
      <c r="J83" s="32" t="s">
        <v>58</v>
      </c>
      <c r="K83" s="20">
        <v>1</v>
      </c>
      <c r="L83" s="21">
        <v>17.6</v>
      </c>
      <c r="M83" s="21"/>
      <c r="N83" s="21"/>
    </row>
    <row r="84" spans="4:14">
      <c r="D84" s="18">
        <v>46192</v>
      </c>
      <c r="E84" s="6">
        <v>1613634</v>
      </c>
      <c r="F84" s="6" t="s">
        <v>16</v>
      </c>
      <c r="G84" s="6">
        <v>20324583</v>
      </c>
      <c r="H84" s="6" t="s">
        <v>182</v>
      </c>
      <c r="I84" s="6">
        <v>2</v>
      </c>
      <c r="J84" s="33" t="s">
        <v>183</v>
      </c>
      <c r="K84" s="20">
        <v>1</v>
      </c>
      <c r="L84" s="21">
        <v>28</v>
      </c>
      <c r="M84" s="21">
        <v>28</v>
      </c>
      <c r="N84" s="21">
        <v>56</v>
      </c>
    </row>
    <row r="85" spans="4:14">
      <c r="D85" s="18">
        <v>46192</v>
      </c>
      <c r="E85" s="6">
        <v>1613634</v>
      </c>
      <c r="F85" s="6" t="s">
        <v>34</v>
      </c>
      <c r="G85" s="6">
        <v>20325607</v>
      </c>
      <c r="H85" s="6" t="s">
        <v>184</v>
      </c>
      <c r="I85" s="6">
        <v>1</v>
      </c>
      <c r="J85" s="32" t="s">
        <v>58</v>
      </c>
      <c r="K85" s="20">
        <v>1</v>
      </c>
      <c r="L85" s="21">
        <v>17.6</v>
      </c>
      <c r="M85" s="21">
        <v>52.8</v>
      </c>
      <c r="N85" s="21">
        <v>52.8</v>
      </c>
    </row>
    <row r="86" spans="4:14">
      <c r="D86" s="18"/>
      <c r="E86" s="6"/>
      <c r="F86" s="6"/>
      <c r="G86" s="6"/>
      <c r="H86" s="6"/>
      <c r="I86" s="6"/>
      <c r="J86" s="32" t="s">
        <v>58</v>
      </c>
      <c r="K86" s="20">
        <v>1</v>
      </c>
      <c r="L86" s="21">
        <v>17.6</v>
      </c>
      <c r="M86" s="21"/>
      <c r="N86" s="21"/>
    </row>
    <row r="87" spans="4:14">
      <c r="D87" s="18"/>
      <c r="E87" s="6"/>
      <c r="F87" s="6"/>
      <c r="G87" s="6"/>
      <c r="H87" s="6"/>
      <c r="I87" s="6"/>
      <c r="J87" s="32" t="s">
        <v>58</v>
      </c>
      <c r="K87" s="20">
        <v>1</v>
      </c>
      <c r="L87" s="21">
        <v>17.6</v>
      </c>
      <c r="M87" s="21"/>
      <c r="N87" s="21"/>
    </row>
    <row r="88" spans="4:14">
      <c r="D88" s="18">
        <v>46195</v>
      </c>
      <c r="E88" s="6">
        <v>1614184</v>
      </c>
      <c r="F88" s="6" t="s">
        <v>16</v>
      </c>
      <c r="G88" s="6">
        <v>20324425</v>
      </c>
      <c r="H88" s="6" t="s">
        <v>151</v>
      </c>
      <c r="I88" s="6">
        <v>1</v>
      </c>
      <c r="J88" s="6" t="s">
        <v>20</v>
      </c>
      <c r="K88" s="20">
        <v>1</v>
      </c>
      <c r="L88" s="21">
        <v>8.8</v>
      </c>
      <c r="M88" s="21">
        <v>8.8</v>
      </c>
      <c r="N88" s="21">
        <v>8.8</v>
      </c>
    </row>
    <row r="89" spans="4:14">
      <c r="D89" s="18">
        <v>46195</v>
      </c>
      <c r="E89" s="6">
        <v>1614184</v>
      </c>
      <c r="F89" s="6" t="s">
        <v>16</v>
      </c>
      <c r="G89" s="6">
        <v>20324363</v>
      </c>
      <c r="H89" s="6" t="s">
        <v>25</v>
      </c>
      <c r="I89" s="6">
        <v>1</v>
      </c>
      <c r="J89" s="19" t="s">
        <v>18</v>
      </c>
      <c r="K89" s="20">
        <v>1</v>
      </c>
      <c r="L89" s="21">
        <v>6.4</v>
      </c>
      <c r="M89" s="21">
        <v>6.4</v>
      </c>
      <c r="N89" s="21">
        <v>6.4</v>
      </c>
    </row>
    <row r="90" spans="4:14">
      <c r="D90" s="18">
        <v>46195</v>
      </c>
      <c r="E90" s="6">
        <v>1614184</v>
      </c>
      <c r="F90" s="6" t="s">
        <v>26</v>
      </c>
      <c r="G90" s="6">
        <v>20324632</v>
      </c>
      <c r="H90" s="6" t="s">
        <v>180</v>
      </c>
      <c r="I90" s="6">
        <v>8</v>
      </c>
      <c r="J90" s="32" t="s">
        <v>28</v>
      </c>
      <c r="K90" s="20">
        <f>M90/L90</f>
        <v>20</v>
      </c>
      <c r="L90" s="21">
        <v>4.4</v>
      </c>
      <c r="M90" s="21">
        <v>88</v>
      </c>
      <c r="N90" s="21">
        <v>704</v>
      </c>
    </row>
    <row r="91" spans="4:14">
      <c r="D91" s="18">
        <v>46195</v>
      </c>
      <c r="E91" s="6">
        <v>1614184</v>
      </c>
      <c r="F91" s="6" t="s">
        <v>26</v>
      </c>
      <c r="G91" s="6">
        <v>20324734</v>
      </c>
      <c r="H91" s="6" t="s">
        <v>185</v>
      </c>
      <c r="I91" s="6">
        <v>2</v>
      </c>
      <c r="J91" s="32" t="s">
        <v>28</v>
      </c>
      <c r="K91" s="20">
        <f>M91/L91</f>
        <v>6</v>
      </c>
      <c r="L91" s="21">
        <v>4.4</v>
      </c>
      <c r="M91" s="21">
        <v>26.4</v>
      </c>
      <c r="N91" s="21">
        <v>52.8</v>
      </c>
    </row>
    <row r="92" spans="4:14">
      <c r="D92" s="18">
        <v>46196</v>
      </c>
      <c r="E92" s="6">
        <v>1614241</v>
      </c>
      <c r="F92" s="6" t="s">
        <v>16</v>
      </c>
      <c r="G92" s="6">
        <v>20324617</v>
      </c>
      <c r="H92" s="6" t="s">
        <v>181</v>
      </c>
      <c r="I92" s="6">
        <v>6</v>
      </c>
      <c r="J92" s="32" t="s">
        <v>58</v>
      </c>
      <c r="K92" s="20">
        <v>1</v>
      </c>
      <c r="L92" s="21">
        <v>17.6</v>
      </c>
      <c r="M92" s="21">
        <v>35.2</v>
      </c>
      <c r="N92" s="21">
        <v>211.2</v>
      </c>
    </row>
    <row r="93" spans="4:14">
      <c r="D93" s="18"/>
      <c r="E93" s="6"/>
      <c r="F93" s="6"/>
      <c r="G93" s="6"/>
      <c r="H93" s="6"/>
      <c r="I93" s="6"/>
      <c r="J93" s="32" t="s">
        <v>58</v>
      </c>
      <c r="K93" s="20">
        <v>1</v>
      </c>
      <c r="L93" s="21">
        <v>17.6</v>
      </c>
      <c r="M93" s="21"/>
      <c r="N93" s="21"/>
    </row>
    <row r="94" spans="4:14">
      <c r="D94" s="18">
        <v>46196</v>
      </c>
      <c r="E94" s="6">
        <v>1614241</v>
      </c>
      <c r="F94" s="6" t="s">
        <v>16</v>
      </c>
      <c r="G94" s="6">
        <v>20324583</v>
      </c>
      <c r="H94" s="6" t="s">
        <v>182</v>
      </c>
      <c r="I94" s="6">
        <v>1</v>
      </c>
      <c r="J94" s="33" t="s">
        <v>183</v>
      </c>
      <c r="K94" s="20">
        <v>1</v>
      </c>
      <c r="L94" s="21">
        <v>28</v>
      </c>
      <c r="M94" s="21">
        <v>28</v>
      </c>
      <c r="N94" s="21">
        <v>28</v>
      </c>
    </row>
    <row r="95" spans="4:14">
      <c r="D95" s="18">
        <v>46196</v>
      </c>
      <c r="E95" s="6">
        <v>1614241</v>
      </c>
      <c r="F95" s="6" t="s">
        <v>34</v>
      </c>
      <c r="G95" s="6">
        <v>20356650</v>
      </c>
      <c r="H95" s="6" t="s">
        <v>184</v>
      </c>
      <c r="I95" s="6">
        <v>1</v>
      </c>
      <c r="J95" s="32" t="s">
        <v>58</v>
      </c>
      <c r="K95" s="20">
        <v>1</v>
      </c>
      <c r="L95" s="21">
        <v>17.6</v>
      </c>
      <c r="M95" s="21">
        <v>52.8</v>
      </c>
      <c r="N95" s="21">
        <v>52.8</v>
      </c>
    </row>
    <row r="96" spans="4:14">
      <c r="D96" s="18"/>
      <c r="E96" s="6"/>
      <c r="F96" s="6"/>
      <c r="G96" s="6"/>
      <c r="H96" s="6"/>
      <c r="I96" s="6"/>
      <c r="J96" s="32" t="s">
        <v>58</v>
      </c>
      <c r="K96" s="20">
        <v>1</v>
      </c>
      <c r="L96" s="21">
        <v>17.6</v>
      </c>
      <c r="M96" s="21"/>
      <c r="N96" s="21"/>
    </row>
    <row r="97" spans="4:14">
      <c r="D97" s="18"/>
      <c r="E97" s="6"/>
      <c r="F97" s="6"/>
      <c r="G97" s="6"/>
      <c r="H97" s="6"/>
      <c r="I97" s="6"/>
      <c r="J97" s="32" t="s">
        <v>58</v>
      </c>
      <c r="K97" s="20">
        <v>1</v>
      </c>
      <c r="L97" s="21">
        <v>17.6</v>
      </c>
      <c r="M97" s="21"/>
      <c r="N97" s="21"/>
    </row>
    <row r="98" spans="4:14">
      <c r="D98" s="18">
        <v>46196</v>
      </c>
      <c r="E98" s="6">
        <v>1614241</v>
      </c>
      <c r="F98" s="6" t="s">
        <v>34</v>
      </c>
      <c r="G98" s="6">
        <v>20325607</v>
      </c>
      <c r="H98" s="6" t="s">
        <v>184</v>
      </c>
      <c r="I98" s="6">
        <v>2</v>
      </c>
      <c r="J98" s="32" t="s">
        <v>58</v>
      </c>
      <c r="K98" s="20">
        <v>1</v>
      </c>
      <c r="L98" s="21">
        <v>17.6</v>
      </c>
      <c r="M98" s="21">
        <v>52.8</v>
      </c>
      <c r="N98" s="21">
        <v>105.6</v>
      </c>
    </row>
    <row r="99" spans="4:14">
      <c r="D99" s="18"/>
      <c r="E99" s="6"/>
      <c r="F99" s="6"/>
      <c r="G99" s="6"/>
      <c r="H99" s="6"/>
      <c r="I99" s="6"/>
      <c r="J99" s="32" t="s">
        <v>58</v>
      </c>
      <c r="K99" s="20">
        <v>1</v>
      </c>
      <c r="L99" s="21">
        <v>17.6</v>
      </c>
      <c r="M99" s="21"/>
      <c r="N99" s="21"/>
    </row>
    <row r="100" spans="4:14">
      <c r="D100" s="18"/>
      <c r="E100" s="6"/>
      <c r="F100" s="6"/>
      <c r="G100" s="6"/>
      <c r="H100" s="6"/>
      <c r="I100" s="6"/>
      <c r="J100" s="32" t="s">
        <v>58</v>
      </c>
      <c r="K100" s="20">
        <v>1</v>
      </c>
      <c r="L100" s="21">
        <v>17.6</v>
      </c>
      <c r="M100" s="21"/>
      <c r="N100" s="21"/>
    </row>
    <row r="101" spans="4:14">
      <c r="D101" s="18">
        <v>46197</v>
      </c>
      <c r="E101" s="6">
        <v>1614545</v>
      </c>
      <c r="F101" s="6" t="s">
        <v>26</v>
      </c>
      <c r="G101" s="6">
        <v>20324632</v>
      </c>
      <c r="H101" s="6" t="s">
        <v>180</v>
      </c>
      <c r="I101" s="6">
        <v>3</v>
      </c>
      <c r="J101" s="32" t="s">
        <v>28</v>
      </c>
      <c r="K101" s="20">
        <f t="shared" ref="K101:K106" si="1">M101/L101</f>
        <v>20</v>
      </c>
      <c r="L101" s="21">
        <v>4.4</v>
      </c>
      <c r="M101" s="21">
        <v>88</v>
      </c>
      <c r="N101" s="21">
        <v>264</v>
      </c>
    </row>
    <row r="102" spans="4:14">
      <c r="D102" s="18">
        <v>46197</v>
      </c>
      <c r="E102" s="6">
        <v>1614545</v>
      </c>
      <c r="F102" s="6" t="s">
        <v>26</v>
      </c>
      <c r="G102" s="6">
        <v>20324734</v>
      </c>
      <c r="H102" s="6" t="s">
        <v>185</v>
      </c>
      <c r="I102" s="6">
        <v>1</v>
      </c>
      <c r="J102" s="32" t="s">
        <v>28</v>
      </c>
      <c r="K102" s="20">
        <f t="shared" si="1"/>
        <v>6</v>
      </c>
      <c r="L102" s="21">
        <v>4.4</v>
      </c>
      <c r="M102" s="21">
        <v>26.4</v>
      </c>
      <c r="N102" s="21">
        <v>26.4</v>
      </c>
    </row>
    <row r="103" spans="4:14">
      <c r="D103" s="18">
        <v>46197</v>
      </c>
      <c r="E103" s="6">
        <v>1614610</v>
      </c>
      <c r="F103" s="6" t="s">
        <v>16</v>
      </c>
      <c r="G103" s="6">
        <v>20324617</v>
      </c>
      <c r="H103" s="6" t="s">
        <v>181</v>
      </c>
      <c r="I103" s="6">
        <v>2</v>
      </c>
      <c r="J103" s="32" t="s">
        <v>58</v>
      </c>
      <c r="K103" s="20">
        <v>1</v>
      </c>
      <c r="L103" s="21">
        <v>17.6</v>
      </c>
      <c r="M103" s="21">
        <v>35.2</v>
      </c>
      <c r="N103" s="21">
        <v>70.4</v>
      </c>
    </row>
    <row r="104" spans="4:14">
      <c r="D104" s="18"/>
      <c r="E104" s="6"/>
      <c r="F104" s="6"/>
      <c r="G104" s="6"/>
      <c r="H104" s="6"/>
      <c r="I104" s="6"/>
      <c r="J104" s="32" t="s">
        <v>58</v>
      </c>
      <c r="K104" s="20">
        <v>1</v>
      </c>
      <c r="L104" s="21">
        <v>17.6</v>
      </c>
      <c r="M104" s="21"/>
      <c r="N104" s="21"/>
    </row>
    <row r="105" spans="4:14">
      <c r="D105" s="18">
        <v>46197</v>
      </c>
      <c r="E105" s="6">
        <v>1614610</v>
      </c>
      <c r="F105" s="6" t="s">
        <v>16</v>
      </c>
      <c r="G105" s="6">
        <v>20324583</v>
      </c>
      <c r="H105" s="6" t="s">
        <v>182</v>
      </c>
      <c r="I105" s="6">
        <v>1</v>
      </c>
      <c r="J105" s="33" t="s">
        <v>183</v>
      </c>
      <c r="K105" s="20">
        <v>1</v>
      </c>
      <c r="L105" s="21">
        <v>28</v>
      </c>
      <c r="M105" s="21">
        <v>28</v>
      </c>
      <c r="N105" s="21">
        <v>28</v>
      </c>
    </row>
    <row r="106" spans="4:14">
      <c r="D106" s="18">
        <v>46197</v>
      </c>
      <c r="E106" s="6">
        <v>1614920</v>
      </c>
      <c r="F106" s="6" t="s">
        <v>26</v>
      </c>
      <c r="G106" s="6">
        <v>20324632</v>
      </c>
      <c r="H106" s="6" t="s">
        <v>180</v>
      </c>
      <c r="I106" s="6">
        <v>5</v>
      </c>
      <c r="J106" s="32" t="s">
        <v>28</v>
      </c>
      <c r="K106" s="20">
        <f t="shared" si="1"/>
        <v>20</v>
      </c>
      <c r="L106" s="21">
        <v>4.4</v>
      </c>
      <c r="M106" s="21">
        <v>88</v>
      </c>
      <c r="N106" s="21">
        <v>440</v>
      </c>
    </row>
    <row r="107" spans="4:14">
      <c r="D107" s="18">
        <v>46198</v>
      </c>
      <c r="E107" s="6">
        <v>1614986</v>
      </c>
      <c r="F107" s="6" t="s">
        <v>16</v>
      </c>
      <c r="G107" s="6">
        <v>20324617</v>
      </c>
      <c r="H107" s="6" t="s">
        <v>181</v>
      </c>
      <c r="I107" s="6">
        <v>5</v>
      </c>
      <c r="J107" s="32" t="s">
        <v>58</v>
      </c>
      <c r="K107" s="20">
        <v>1</v>
      </c>
      <c r="L107" s="21">
        <v>17.6</v>
      </c>
      <c r="M107" s="21">
        <v>35.2</v>
      </c>
      <c r="N107" s="21">
        <v>176</v>
      </c>
    </row>
    <row r="108" spans="4:14">
      <c r="D108" s="18"/>
      <c r="E108" s="6"/>
      <c r="F108" s="6"/>
      <c r="G108" s="6"/>
      <c r="H108" s="6"/>
      <c r="I108" s="6"/>
      <c r="J108" s="32" t="s">
        <v>58</v>
      </c>
      <c r="K108" s="20">
        <v>1</v>
      </c>
      <c r="L108" s="21">
        <v>17.6</v>
      </c>
      <c r="M108" s="21"/>
      <c r="N108" s="21"/>
    </row>
    <row r="109" spans="4:14">
      <c r="D109" s="18">
        <v>46198</v>
      </c>
      <c r="E109" s="6">
        <v>1614986</v>
      </c>
      <c r="F109" s="6" t="s">
        <v>16</v>
      </c>
      <c r="G109" s="6">
        <v>20324583</v>
      </c>
      <c r="H109" s="6" t="s">
        <v>182</v>
      </c>
      <c r="I109" s="6">
        <v>1</v>
      </c>
      <c r="J109" s="33" t="s">
        <v>183</v>
      </c>
      <c r="K109" s="20">
        <v>1</v>
      </c>
      <c r="L109" s="21">
        <v>28</v>
      </c>
      <c r="M109" s="21">
        <v>28</v>
      </c>
      <c r="N109" s="21">
        <v>28</v>
      </c>
    </row>
    <row r="110" spans="4:14">
      <c r="D110" s="18">
        <v>46198</v>
      </c>
      <c r="E110" s="6">
        <v>1615293</v>
      </c>
      <c r="F110" s="6" t="s">
        <v>26</v>
      </c>
      <c r="G110" s="6">
        <v>20324632</v>
      </c>
      <c r="H110" s="6" t="s">
        <v>180</v>
      </c>
      <c r="I110" s="6">
        <v>1</v>
      </c>
      <c r="J110" s="32" t="s">
        <v>28</v>
      </c>
      <c r="K110" s="20">
        <f>M110/L110</f>
        <v>20</v>
      </c>
      <c r="L110" s="21">
        <v>4.4</v>
      </c>
      <c r="M110" s="21">
        <v>88</v>
      </c>
      <c r="N110" s="21">
        <v>88</v>
      </c>
    </row>
    <row r="111" spans="4:14">
      <c r="D111" s="18">
        <v>46199</v>
      </c>
      <c r="E111" s="6">
        <v>1615358</v>
      </c>
      <c r="F111" s="6" t="s">
        <v>16</v>
      </c>
      <c r="G111" s="6">
        <v>20324617</v>
      </c>
      <c r="H111" s="6" t="s">
        <v>181</v>
      </c>
      <c r="I111" s="6">
        <v>1</v>
      </c>
      <c r="J111" s="32" t="s">
        <v>58</v>
      </c>
      <c r="K111" s="20">
        <v>1</v>
      </c>
      <c r="L111" s="21">
        <v>17.6</v>
      </c>
      <c r="M111" s="21">
        <v>35.2</v>
      </c>
      <c r="N111" s="21">
        <v>35.2</v>
      </c>
    </row>
    <row r="112" spans="4:14">
      <c r="D112" s="18"/>
      <c r="E112" s="6"/>
      <c r="F112" s="6"/>
      <c r="G112" s="6"/>
      <c r="H112" s="6"/>
      <c r="I112" s="6"/>
      <c r="J112" s="32" t="s">
        <v>58</v>
      </c>
      <c r="K112" s="20">
        <v>1</v>
      </c>
      <c r="L112" s="21">
        <v>17.6</v>
      </c>
      <c r="M112" s="21"/>
      <c r="N112" s="21"/>
    </row>
    <row r="113" spans="4:14">
      <c r="D113" s="18">
        <v>46199</v>
      </c>
      <c r="E113" s="6">
        <v>1615358</v>
      </c>
      <c r="F113" s="6" t="s">
        <v>16</v>
      </c>
      <c r="G113" s="6">
        <v>20324583</v>
      </c>
      <c r="H113" s="6" t="s">
        <v>182</v>
      </c>
      <c r="I113" s="6">
        <v>1</v>
      </c>
      <c r="J113" s="33" t="s">
        <v>183</v>
      </c>
      <c r="K113" s="20">
        <v>1</v>
      </c>
      <c r="L113" s="21">
        <v>28</v>
      </c>
      <c r="M113" s="21">
        <v>28</v>
      </c>
      <c r="N113" s="21">
        <v>28</v>
      </c>
    </row>
    <row r="114" spans="4:14">
      <c r="D114" s="18">
        <v>46199</v>
      </c>
      <c r="E114" s="6">
        <v>1615572</v>
      </c>
      <c r="F114" s="6" t="s">
        <v>26</v>
      </c>
      <c r="G114" s="6">
        <v>20324632</v>
      </c>
      <c r="H114" s="6" t="s">
        <v>180</v>
      </c>
      <c r="I114" s="6">
        <v>1</v>
      </c>
      <c r="J114" s="32" t="s">
        <v>28</v>
      </c>
      <c r="K114" s="20">
        <f>M114/L114</f>
        <v>20</v>
      </c>
      <c r="L114" s="21">
        <v>4.4</v>
      </c>
      <c r="M114" s="21">
        <v>88</v>
      </c>
      <c r="N114" s="21">
        <v>88</v>
      </c>
    </row>
    <row r="115" spans="4:14">
      <c r="D115" s="18">
        <v>46200</v>
      </c>
      <c r="E115" s="6">
        <v>1615680</v>
      </c>
      <c r="F115" s="6" t="s">
        <v>16</v>
      </c>
      <c r="G115" s="6">
        <v>20324617</v>
      </c>
      <c r="H115" s="6" t="s">
        <v>181</v>
      </c>
      <c r="I115" s="6">
        <v>1</v>
      </c>
      <c r="J115" s="32" t="s">
        <v>58</v>
      </c>
      <c r="K115" s="20">
        <v>1</v>
      </c>
      <c r="L115" s="21">
        <v>17.6</v>
      </c>
      <c r="M115" s="21">
        <v>35.2</v>
      </c>
      <c r="N115" s="21">
        <v>35.2</v>
      </c>
    </row>
    <row r="116" spans="4:14">
      <c r="D116" s="18"/>
      <c r="E116" s="6"/>
      <c r="F116" s="6"/>
      <c r="G116" s="6"/>
      <c r="H116" s="6"/>
      <c r="I116" s="6"/>
      <c r="J116" s="32" t="s">
        <v>58</v>
      </c>
      <c r="K116" s="20">
        <v>1</v>
      </c>
      <c r="L116" s="21">
        <v>17.6</v>
      </c>
      <c r="M116" s="21"/>
      <c r="N116" s="21"/>
    </row>
    <row r="117" spans="4:14">
      <c r="D117" s="18">
        <v>46200</v>
      </c>
      <c r="E117" s="6">
        <v>1615680</v>
      </c>
      <c r="F117" s="6" t="s">
        <v>16</v>
      </c>
      <c r="G117" s="6">
        <v>20324583</v>
      </c>
      <c r="H117" s="6" t="s">
        <v>182</v>
      </c>
      <c r="I117" s="6">
        <v>1</v>
      </c>
      <c r="J117" s="33" t="s">
        <v>183</v>
      </c>
      <c r="K117" s="20">
        <v>1</v>
      </c>
      <c r="L117" s="21">
        <v>28</v>
      </c>
      <c r="M117" s="21">
        <v>28</v>
      </c>
      <c r="N117" s="21">
        <v>28</v>
      </c>
    </row>
    <row r="118" spans="4:14">
      <c r="D118" s="18">
        <v>46202</v>
      </c>
      <c r="E118" s="6">
        <v>1616122</v>
      </c>
      <c r="F118" s="6" t="s">
        <v>26</v>
      </c>
      <c r="G118" s="6">
        <v>20324632</v>
      </c>
      <c r="H118" s="6" t="s">
        <v>180</v>
      </c>
      <c r="I118" s="6">
        <v>9</v>
      </c>
      <c r="J118" s="32" t="s">
        <v>28</v>
      </c>
      <c r="K118" s="20">
        <f>M118/L118</f>
        <v>20</v>
      </c>
      <c r="L118" s="21">
        <v>4.4</v>
      </c>
      <c r="M118" s="21">
        <v>88</v>
      </c>
      <c r="N118" s="21">
        <v>792</v>
      </c>
    </row>
    <row r="119" spans="4:14">
      <c r="D119" s="18">
        <v>46203</v>
      </c>
      <c r="E119" s="6">
        <v>1616193</v>
      </c>
      <c r="F119" s="6" t="s">
        <v>16</v>
      </c>
      <c r="G119" s="6">
        <v>20324617</v>
      </c>
      <c r="H119" s="6" t="s">
        <v>181</v>
      </c>
      <c r="I119" s="6">
        <v>6</v>
      </c>
      <c r="J119" s="32" t="s">
        <v>58</v>
      </c>
      <c r="K119" s="20">
        <v>1</v>
      </c>
      <c r="L119" s="21">
        <v>17.6</v>
      </c>
      <c r="M119" s="21">
        <v>35.2</v>
      </c>
      <c r="N119" s="21">
        <v>211.2</v>
      </c>
    </row>
    <row r="120" spans="4:14">
      <c r="D120" s="18"/>
      <c r="E120" s="6"/>
      <c r="F120" s="6"/>
      <c r="G120" s="6"/>
      <c r="H120" s="6"/>
      <c r="I120" s="6"/>
      <c r="J120" s="32" t="s">
        <v>58</v>
      </c>
      <c r="K120" s="20">
        <v>1</v>
      </c>
      <c r="L120" s="21">
        <v>17.6</v>
      </c>
      <c r="M120" s="21"/>
      <c r="N120" s="21"/>
    </row>
    <row r="121" spans="4:14">
      <c r="D121" s="18">
        <v>46203</v>
      </c>
      <c r="E121" s="6">
        <v>1616193</v>
      </c>
      <c r="F121" s="6" t="s">
        <v>16</v>
      </c>
      <c r="G121" s="6">
        <v>20324583</v>
      </c>
      <c r="H121" s="6" t="s">
        <v>182</v>
      </c>
      <c r="I121" s="6">
        <v>1</v>
      </c>
      <c r="J121" s="33" t="s">
        <v>183</v>
      </c>
      <c r="K121" s="20">
        <v>1</v>
      </c>
      <c r="L121" s="21">
        <v>28</v>
      </c>
      <c r="M121" s="21">
        <v>28</v>
      </c>
      <c r="N121" s="21">
        <v>28</v>
      </c>
    </row>
    <row r="122" spans="4:14">
      <c r="D122" s="18">
        <v>46203</v>
      </c>
      <c r="E122" s="6">
        <v>1616193</v>
      </c>
      <c r="F122" s="6" t="s">
        <v>34</v>
      </c>
      <c r="G122" s="6">
        <v>20356650</v>
      </c>
      <c r="H122" s="6" t="s">
        <v>184</v>
      </c>
      <c r="I122" s="6">
        <v>1</v>
      </c>
      <c r="J122" s="32" t="s">
        <v>58</v>
      </c>
      <c r="K122" s="20">
        <v>1</v>
      </c>
      <c r="L122" s="21">
        <v>17.6</v>
      </c>
      <c r="M122" s="21">
        <v>52.8</v>
      </c>
      <c r="N122" s="21">
        <v>52.8</v>
      </c>
    </row>
    <row r="123" spans="4:14">
      <c r="D123" s="18"/>
      <c r="E123" s="6"/>
      <c r="F123" s="6"/>
      <c r="G123" s="6"/>
      <c r="H123" s="6"/>
      <c r="I123" s="6"/>
      <c r="J123" s="32" t="s">
        <v>58</v>
      </c>
      <c r="K123" s="20">
        <v>1</v>
      </c>
      <c r="L123" s="21">
        <v>17.6</v>
      </c>
      <c r="M123" s="21"/>
      <c r="N123" s="21"/>
    </row>
    <row r="124" spans="4:14">
      <c r="D124" s="18"/>
      <c r="E124" s="6"/>
      <c r="F124" s="6"/>
      <c r="G124" s="6"/>
      <c r="H124" s="6"/>
      <c r="I124" s="6"/>
      <c r="J124" s="32" t="s">
        <v>58</v>
      </c>
      <c r="K124" s="20">
        <v>1</v>
      </c>
      <c r="L124" s="21">
        <v>17.6</v>
      </c>
      <c r="M124" s="21"/>
      <c r="N124" s="21"/>
    </row>
    <row r="125" spans="4:14">
      <c r="D125" s="18">
        <v>46203</v>
      </c>
      <c r="E125" s="6">
        <v>1616193</v>
      </c>
      <c r="F125" s="6" t="s">
        <v>34</v>
      </c>
      <c r="G125" s="6">
        <v>20325607</v>
      </c>
      <c r="H125" s="6" t="s">
        <v>184</v>
      </c>
      <c r="I125" s="6">
        <v>2</v>
      </c>
      <c r="J125" s="32" t="s">
        <v>58</v>
      </c>
      <c r="K125" s="20">
        <v>1</v>
      </c>
      <c r="L125" s="21">
        <v>17.6</v>
      </c>
      <c r="M125" s="21">
        <v>52.8</v>
      </c>
      <c r="N125" s="21">
        <v>105.6</v>
      </c>
    </row>
    <row r="126" spans="4:14">
      <c r="D126" s="18"/>
      <c r="E126" s="6"/>
      <c r="F126" s="6"/>
      <c r="G126" s="6"/>
      <c r="H126" s="6"/>
      <c r="I126" s="6"/>
      <c r="J126" s="32" t="s">
        <v>58</v>
      </c>
      <c r="K126" s="20">
        <v>1</v>
      </c>
      <c r="L126" s="21">
        <v>17.6</v>
      </c>
      <c r="M126" s="21"/>
      <c r="N126" s="21"/>
    </row>
    <row r="127" spans="4:14">
      <c r="D127" s="18"/>
      <c r="E127" s="6"/>
      <c r="F127" s="6"/>
      <c r="G127" s="6"/>
      <c r="H127" s="6"/>
      <c r="I127" s="6"/>
      <c r="J127" s="32" t="s">
        <v>58</v>
      </c>
      <c r="K127" s="20">
        <v>1</v>
      </c>
      <c r="L127" s="21">
        <v>17.6</v>
      </c>
      <c r="M127" s="21"/>
      <c r="N127" s="21"/>
    </row>
  </sheetData>
  <autoFilter xmlns:etc="http://www.wps.cn/officeDocument/2017/etCustomData" ref="A7:N127" etc:filterBottomFollowUsedRange="0">
    <extLst/>
  </autoFilter>
  <mergeCells count="229">
    <mergeCell ref="D8:H8"/>
    <mergeCell ref="C7:C125"/>
    <mergeCell ref="D10:D11"/>
    <mergeCell ref="D14:D15"/>
    <mergeCell ref="D18:D19"/>
    <mergeCell ref="D22:D23"/>
    <mergeCell ref="D25:D27"/>
    <mergeCell ref="D32:D33"/>
    <mergeCell ref="D37:D38"/>
    <mergeCell ref="D42:D43"/>
    <mergeCell ref="D47:D48"/>
    <mergeCell ref="D50:D52"/>
    <mergeCell ref="D54:D55"/>
    <mergeCell ref="D60:D61"/>
    <mergeCell ref="D65:D66"/>
    <mergeCell ref="D68:D70"/>
    <mergeCell ref="D73:D74"/>
    <mergeCell ref="D78:D79"/>
    <mergeCell ref="D82:D83"/>
    <mergeCell ref="D85:D87"/>
    <mergeCell ref="D92:D93"/>
    <mergeCell ref="D95:D97"/>
    <mergeCell ref="D98:D100"/>
    <mergeCell ref="D103:D104"/>
    <mergeCell ref="D107:D108"/>
    <mergeCell ref="D111:D112"/>
    <mergeCell ref="D115:D116"/>
    <mergeCell ref="D119:D120"/>
    <mergeCell ref="D122:D124"/>
    <mergeCell ref="D125:D127"/>
    <mergeCell ref="E10:E11"/>
    <mergeCell ref="E14:E15"/>
    <mergeCell ref="E18:E19"/>
    <mergeCell ref="E22:E23"/>
    <mergeCell ref="E25:E27"/>
    <mergeCell ref="E32:E33"/>
    <mergeCell ref="E37:E38"/>
    <mergeCell ref="E42:E43"/>
    <mergeCell ref="E47:E48"/>
    <mergeCell ref="E50:E52"/>
    <mergeCell ref="E54:E55"/>
    <mergeCell ref="E60:E61"/>
    <mergeCell ref="E65:E66"/>
    <mergeCell ref="E68:E70"/>
    <mergeCell ref="E73:E74"/>
    <mergeCell ref="E78:E79"/>
    <mergeCell ref="E82:E83"/>
    <mergeCell ref="E85:E87"/>
    <mergeCell ref="E92:E93"/>
    <mergeCell ref="E95:E97"/>
    <mergeCell ref="E98:E100"/>
    <mergeCell ref="E103:E104"/>
    <mergeCell ref="E107:E108"/>
    <mergeCell ref="E111:E112"/>
    <mergeCell ref="E115:E116"/>
    <mergeCell ref="E119:E120"/>
    <mergeCell ref="E122:E124"/>
    <mergeCell ref="E125:E127"/>
    <mergeCell ref="F10:F11"/>
    <mergeCell ref="F14:F15"/>
    <mergeCell ref="F18:F19"/>
    <mergeCell ref="F22:F23"/>
    <mergeCell ref="F25:F27"/>
    <mergeCell ref="F32:F33"/>
    <mergeCell ref="F37:F38"/>
    <mergeCell ref="F42:F43"/>
    <mergeCell ref="F47:F48"/>
    <mergeCell ref="F50:F52"/>
    <mergeCell ref="F54:F55"/>
    <mergeCell ref="F60:F61"/>
    <mergeCell ref="F65:F66"/>
    <mergeCell ref="F68:F70"/>
    <mergeCell ref="F73:F74"/>
    <mergeCell ref="F78:F79"/>
    <mergeCell ref="F82:F83"/>
    <mergeCell ref="F85:F87"/>
    <mergeCell ref="F92:F93"/>
    <mergeCell ref="F95:F97"/>
    <mergeCell ref="F98:F100"/>
    <mergeCell ref="F103:F104"/>
    <mergeCell ref="F107:F108"/>
    <mergeCell ref="F111:F112"/>
    <mergeCell ref="F115:F116"/>
    <mergeCell ref="F119:F120"/>
    <mergeCell ref="F122:F124"/>
    <mergeCell ref="F125:F127"/>
    <mergeCell ref="G10:G11"/>
    <mergeCell ref="G14:G15"/>
    <mergeCell ref="G18:G19"/>
    <mergeCell ref="G22:G23"/>
    <mergeCell ref="G25:G27"/>
    <mergeCell ref="G32:G33"/>
    <mergeCell ref="G37:G38"/>
    <mergeCell ref="G42:G43"/>
    <mergeCell ref="G47:G48"/>
    <mergeCell ref="G50:G52"/>
    <mergeCell ref="G54:G55"/>
    <mergeCell ref="G60:G61"/>
    <mergeCell ref="G65:G66"/>
    <mergeCell ref="G68:G70"/>
    <mergeCell ref="G73:G74"/>
    <mergeCell ref="G78:G79"/>
    <mergeCell ref="G82:G83"/>
    <mergeCell ref="G85:G87"/>
    <mergeCell ref="G92:G93"/>
    <mergeCell ref="G95:G97"/>
    <mergeCell ref="G98:G100"/>
    <mergeCell ref="G103:G104"/>
    <mergeCell ref="G107:G108"/>
    <mergeCell ref="G111:G112"/>
    <mergeCell ref="G115:G116"/>
    <mergeCell ref="G119:G120"/>
    <mergeCell ref="G122:G124"/>
    <mergeCell ref="G125:G127"/>
    <mergeCell ref="H10:H11"/>
    <mergeCell ref="H14:H15"/>
    <mergeCell ref="H18:H19"/>
    <mergeCell ref="H22:H23"/>
    <mergeCell ref="H25:H27"/>
    <mergeCell ref="H32:H33"/>
    <mergeCell ref="H37:H38"/>
    <mergeCell ref="H42:H43"/>
    <mergeCell ref="H47:H48"/>
    <mergeCell ref="H50:H52"/>
    <mergeCell ref="H54:H55"/>
    <mergeCell ref="H60:H61"/>
    <mergeCell ref="H65:H66"/>
    <mergeCell ref="H68:H70"/>
    <mergeCell ref="H73:H74"/>
    <mergeCell ref="H78:H79"/>
    <mergeCell ref="H82:H83"/>
    <mergeCell ref="H85:H87"/>
    <mergeCell ref="H92:H93"/>
    <mergeCell ref="H95:H97"/>
    <mergeCell ref="H98:H100"/>
    <mergeCell ref="H103:H104"/>
    <mergeCell ref="H107:H108"/>
    <mergeCell ref="H111:H112"/>
    <mergeCell ref="H115:H116"/>
    <mergeCell ref="H119:H120"/>
    <mergeCell ref="H122:H124"/>
    <mergeCell ref="H125:H127"/>
    <mergeCell ref="I10:I11"/>
    <mergeCell ref="I14:I15"/>
    <mergeCell ref="I18:I19"/>
    <mergeCell ref="I22:I23"/>
    <mergeCell ref="I25:I27"/>
    <mergeCell ref="I32:I33"/>
    <mergeCell ref="I37:I38"/>
    <mergeCell ref="I42:I43"/>
    <mergeCell ref="I47:I48"/>
    <mergeCell ref="I50:I52"/>
    <mergeCell ref="I54:I55"/>
    <mergeCell ref="I60:I61"/>
    <mergeCell ref="I65:I66"/>
    <mergeCell ref="I68:I70"/>
    <mergeCell ref="I73:I74"/>
    <mergeCell ref="I78:I79"/>
    <mergeCell ref="I82:I83"/>
    <mergeCell ref="I85:I87"/>
    <mergeCell ref="I92:I93"/>
    <mergeCell ref="I95:I97"/>
    <mergeCell ref="I98:I100"/>
    <mergeCell ref="I103:I104"/>
    <mergeCell ref="I107:I108"/>
    <mergeCell ref="I111:I112"/>
    <mergeCell ref="I115:I116"/>
    <mergeCell ref="I119:I120"/>
    <mergeCell ref="I122:I124"/>
    <mergeCell ref="I125:I127"/>
    <mergeCell ref="M10:M11"/>
    <mergeCell ref="M14:M15"/>
    <mergeCell ref="M18:M19"/>
    <mergeCell ref="M22:M23"/>
    <mergeCell ref="M25:M27"/>
    <mergeCell ref="M32:M33"/>
    <mergeCell ref="M37:M38"/>
    <mergeCell ref="M42:M43"/>
    <mergeCell ref="M47:M48"/>
    <mergeCell ref="M50:M52"/>
    <mergeCell ref="M54:M55"/>
    <mergeCell ref="M60:M61"/>
    <mergeCell ref="M65:M66"/>
    <mergeCell ref="M68:M70"/>
    <mergeCell ref="M73:M74"/>
    <mergeCell ref="M78:M79"/>
    <mergeCell ref="M82:M83"/>
    <mergeCell ref="M85:M87"/>
    <mergeCell ref="M92:M93"/>
    <mergeCell ref="M95:M97"/>
    <mergeCell ref="M98:M100"/>
    <mergeCell ref="M103:M104"/>
    <mergeCell ref="M107:M108"/>
    <mergeCell ref="M111:M112"/>
    <mergeCell ref="M115:M116"/>
    <mergeCell ref="M119:M120"/>
    <mergeCell ref="M122:M124"/>
    <mergeCell ref="M125:M127"/>
    <mergeCell ref="N10:N11"/>
    <mergeCell ref="N14:N15"/>
    <mergeCell ref="N18:N19"/>
    <mergeCell ref="N22:N23"/>
    <mergeCell ref="N25:N27"/>
    <mergeCell ref="N32:N33"/>
    <mergeCell ref="N37:N38"/>
    <mergeCell ref="N42:N43"/>
    <mergeCell ref="N47:N48"/>
    <mergeCell ref="N50:N52"/>
    <mergeCell ref="N54:N55"/>
    <mergeCell ref="N60:N61"/>
    <mergeCell ref="N65:N66"/>
    <mergeCell ref="N68:N70"/>
    <mergeCell ref="N73:N74"/>
    <mergeCell ref="N78:N79"/>
    <mergeCell ref="N82:N83"/>
    <mergeCell ref="N85:N87"/>
    <mergeCell ref="N92:N93"/>
    <mergeCell ref="N95:N97"/>
    <mergeCell ref="N98:N100"/>
    <mergeCell ref="N103:N104"/>
    <mergeCell ref="N107:N108"/>
    <mergeCell ref="N111:N112"/>
    <mergeCell ref="N115:N116"/>
    <mergeCell ref="N119:N120"/>
    <mergeCell ref="N122:N124"/>
    <mergeCell ref="N125:N127"/>
    <mergeCell ref="B4:H5"/>
    <mergeCell ref="C1:H2"/>
    <mergeCell ref="A7:B125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75" customWidth="1"/>
    <col min="12" max="12" width="13.875" customWidth="1"/>
    <col min="13" max="13" width="12.2083333333333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186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2</v>
      </c>
      <c r="J8" s="42"/>
      <c r="K8" s="43"/>
      <c r="L8" s="43"/>
      <c r="M8" s="43"/>
      <c r="N8" s="43">
        <v>96.8</v>
      </c>
    </row>
    <row r="9" spans="1:14">
      <c r="D9" s="13">
        <v>46177</v>
      </c>
      <c r="E9" s="14">
        <v>1609077</v>
      </c>
      <c r="F9" s="14" t="s">
        <v>16</v>
      </c>
      <c r="G9" s="14">
        <v>20386739</v>
      </c>
      <c r="H9" s="14" t="s">
        <v>187</v>
      </c>
      <c r="I9" s="14">
        <v>1</v>
      </c>
      <c r="J9" s="58" t="s">
        <v>28</v>
      </c>
      <c r="K9" s="16">
        <f>M9/L9</f>
        <v>13</v>
      </c>
      <c r="L9" s="17">
        <v>4.4</v>
      </c>
      <c r="M9" s="17">
        <v>57.2</v>
      </c>
      <c r="N9" s="17">
        <v>57.2</v>
      </c>
    </row>
    <row r="10" spans="1:14">
      <c r="D10" s="18">
        <v>46177</v>
      </c>
      <c r="E10" s="6">
        <v>1609077</v>
      </c>
      <c r="F10" s="6" t="s">
        <v>16</v>
      </c>
      <c r="G10" s="6">
        <v>20369996</v>
      </c>
      <c r="H10" s="6" t="s">
        <v>188</v>
      </c>
      <c r="I10" s="6">
        <v>1</v>
      </c>
      <c r="J10" s="32" t="s">
        <v>28</v>
      </c>
      <c r="K10" s="20">
        <f>M10/L10</f>
        <v>9</v>
      </c>
      <c r="L10" s="21">
        <v>4.4</v>
      </c>
      <c r="M10" s="21">
        <v>39.6</v>
      </c>
      <c r="N10" s="21">
        <v>39.6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showGridLines="0" view="pageBreakPreview" zoomScaleNormal="100" topLeftCell="C1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75" customWidth="1"/>
    <col min="12" max="12" width="13.875" customWidth="1"/>
    <col min="13" max="13" width="12.2083333333333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189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45</v>
      </c>
      <c r="J8" s="42"/>
      <c r="K8" s="43"/>
      <c r="L8" s="43"/>
      <c r="M8" s="43"/>
      <c r="N8" s="43">
        <v>483.6</v>
      </c>
    </row>
    <row r="9" spans="1:14">
      <c r="D9" s="13">
        <v>46176</v>
      </c>
      <c r="E9" s="14">
        <v>1608707</v>
      </c>
      <c r="F9" s="14" t="s">
        <v>16</v>
      </c>
      <c r="G9" s="14">
        <v>20324413</v>
      </c>
      <c r="H9" s="14" t="s">
        <v>158</v>
      </c>
      <c r="I9" s="14">
        <v>1</v>
      </c>
      <c r="J9" s="15" t="s">
        <v>18</v>
      </c>
      <c r="K9" s="16">
        <v>1</v>
      </c>
      <c r="L9" s="17">
        <v>6.4</v>
      </c>
      <c r="M9" s="17">
        <v>6.4</v>
      </c>
      <c r="N9" s="17">
        <v>6.4</v>
      </c>
    </row>
    <row r="10" spans="1:14">
      <c r="D10" s="18">
        <v>46176</v>
      </c>
      <c r="E10" s="6">
        <v>1608707</v>
      </c>
      <c r="F10" s="6" t="s">
        <v>16</v>
      </c>
      <c r="G10" s="6">
        <v>20325003</v>
      </c>
      <c r="H10" s="6" t="s">
        <v>190</v>
      </c>
      <c r="I10" s="6">
        <v>1</v>
      </c>
      <c r="J10" s="6" t="s">
        <v>18</v>
      </c>
      <c r="K10" s="20">
        <v>1</v>
      </c>
      <c r="L10" s="21">
        <v>6.4</v>
      </c>
      <c r="M10" s="21">
        <v>10.8</v>
      </c>
      <c r="N10" s="21">
        <v>10.8</v>
      </c>
    </row>
    <row r="11" spans="1:14">
      <c r="D11" s="18"/>
      <c r="E11" s="6"/>
      <c r="F11" s="6"/>
      <c r="G11" s="6"/>
      <c r="H11" s="6"/>
      <c r="I11" s="6"/>
      <c r="J11" s="6" t="s">
        <v>124</v>
      </c>
      <c r="K11" s="20">
        <v>1</v>
      </c>
      <c r="L11" s="21">
        <v>4.4</v>
      </c>
      <c r="M11" s="21"/>
      <c r="N11" s="21"/>
    </row>
    <row r="12" spans="1:14">
      <c r="D12" s="18">
        <v>46176</v>
      </c>
      <c r="E12" s="6">
        <v>1608707</v>
      </c>
      <c r="F12" s="6" t="s">
        <v>16</v>
      </c>
      <c r="G12" s="6">
        <v>20324363</v>
      </c>
      <c r="H12" s="6" t="s">
        <v>25</v>
      </c>
      <c r="I12" s="6">
        <v>1</v>
      </c>
      <c r="J12" s="19" t="s">
        <v>18</v>
      </c>
      <c r="K12" s="20">
        <v>1</v>
      </c>
      <c r="L12" s="21">
        <v>6.4</v>
      </c>
      <c r="M12" s="21">
        <v>6.4</v>
      </c>
      <c r="N12" s="21">
        <v>6.4</v>
      </c>
    </row>
    <row r="13" spans="1:14">
      <c r="D13" s="18">
        <v>46176</v>
      </c>
      <c r="E13" s="6">
        <v>1608707</v>
      </c>
      <c r="F13" s="6" t="s">
        <v>16</v>
      </c>
      <c r="G13" s="6">
        <v>20324485</v>
      </c>
      <c r="H13" s="6" t="s">
        <v>67</v>
      </c>
      <c r="I13" s="6">
        <v>1</v>
      </c>
      <c r="J13" s="19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18">
        <v>46176</v>
      </c>
      <c r="E14" s="6">
        <v>1608707</v>
      </c>
      <c r="F14" s="6" t="s">
        <v>16</v>
      </c>
      <c r="G14" s="6">
        <v>20325004</v>
      </c>
      <c r="H14" s="6" t="s">
        <v>191</v>
      </c>
      <c r="I14" s="6">
        <v>1</v>
      </c>
      <c r="J14" s="32" t="s">
        <v>28</v>
      </c>
      <c r="K14" s="20">
        <f>M14/L14</f>
        <v>3</v>
      </c>
      <c r="L14" s="21">
        <v>4.4</v>
      </c>
      <c r="M14" s="21">
        <v>13.2</v>
      </c>
      <c r="N14" s="21">
        <v>13.2</v>
      </c>
    </row>
    <row r="15" spans="1:14">
      <c r="D15" s="18">
        <v>46179</v>
      </c>
      <c r="E15" s="6">
        <v>1609860</v>
      </c>
      <c r="F15" s="6" t="s">
        <v>16</v>
      </c>
      <c r="G15" s="6">
        <v>20325003</v>
      </c>
      <c r="H15" s="6" t="s">
        <v>190</v>
      </c>
      <c r="I15" s="6">
        <v>3</v>
      </c>
      <c r="J15" s="6" t="s">
        <v>18</v>
      </c>
      <c r="K15" s="20">
        <v>1</v>
      </c>
      <c r="L15" s="21">
        <v>6.4</v>
      </c>
      <c r="M15" s="21">
        <v>10.8</v>
      </c>
      <c r="N15" s="21">
        <v>32.4</v>
      </c>
    </row>
    <row r="16" spans="1:14">
      <c r="D16" s="18"/>
      <c r="E16" s="6"/>
      <c r="F16" s="6"/>
      <c r="G16" s="6"/>
      <c r="H16" s="6"/>
      <c r="I16" s="6"/>
      <c r="J16" s="6" t="s">
        <v>124</v>
      </c>
      <c r="K16" s="20">
        <v>1</v>
      </c>
      <c r="L16" s="21">
        <v>4.4</v>
      </c>
      <c r="M16" s="21"/>
      <c r="N16" s="21"/>
    </row>
    <row r="17" spans="4:14">
      <c r="D17" s="18">
        <v>46179</v>
      </c>
      <c r="E17" s="6">
        <v>1609860</v>
      </c>
      <c r="F17" s="6" t="s">
        <v>16</v>
      </c>
      <c r="G17" s="6">
        <v>20325004</v>
      </c>
      <c r="H17" s="6" t="s">
        <v>191</v>
      </c>
      <c r="I17" s="6">
        <v>1</v>
      </c>
      <c r="J17" s="32" t="s">
        <v>28</v>
      </c>
      <c r="K17" s="20">
        <f>M17/L17</f>
        <v>3</v>
      </c>
      <c r="L17" s="21">
        <v>4.4</v>
      </c>
      <c r="M17" s="21">
        <v>13.2</v>
      </c>
      <c r="N17" s="21">
        <v>13.2</v>
      </c>
    </row>
    <row r="18" spans="4:14">
      <c r="D18" s="18">
        <v>46182</v>
      </c>
      <c r="E18" s="6">
        <v>1610410</v>
      </c>
      <c r="F18" s="6" t="s">
        <v>16</v>
      </c>
      <c r="G18" s="6">
        <v>20324364</v>
      </c>
      <c r="H18" s="6" t="s">
        <v>21</v>
      </c>
      <c r="I18" s="6">
        <v>1</v>
      </c>
      <c r="J18" s="19" t="s">
        <v>18</v>
      </c>
      <c r="K18" s="20">
        <v>1</v>
      </c>
      <c r="L18" s="21">
        <v>6.4</v>
      </c>
      <c r="M18" s="21">
        <v>6.4</v>
      </c>
      <c r="N18" s="21">
        <v>6.4</v>
      </c>
    </row>
    <row r="19" spans="4:14">
      <c r="D19" s="18">
        <v>46182</v>
      </c>
      <c r="E19" s="6">
        <v>1610410</v>
      </c>
      <c r="F19" s="6" t="s">
        <v>16</v>
      </c>
      <c r="G19" s="6">
        <v>20383462</v>
      </c>
      <c r="H19" s="6" t="s">
        <v>192</v>
      </c>
      <c r="I19" s="6">
        <v>2</v>
      </c>
      <c r="J19" s="19" t="s">
        <v>18</v>
      </c>
      <c r="K19" s="20">
        <v>1</v>
      </c>
      <c r="L19" s="21">
        <v>6.4</v>
      </c>
      <c r="M19" s="21">
        <v>6.4</v>
      </c>
      <c r="N19" s="21">
        <v>12.8</v>
      </c>
    </row>
    <row r="20" spans="4:14">
      <c r="D20" s="18">
        <v>46183</v>
      </c>
      <c r="E20" s="6">
        <v>1611145</v>
      </c>
      <c r="F20" s="6" t="s">
        <v>16</v>
      </c>
      <c r="G20" s="6">
        <v>20418363</v>
      </c>
      <c r="H20" s="6" t="s">
        <v>193</v>
      </c>
      <c r="I20" s="6">
        <v>1</v>
      </c>
      <c r="J20" s="19" t="s">
        <v>18</v>
      </c>
      <c r="K20" s="20">
        <v>1</v>
      </c>
      <c r="L20" s="21">
        <v>6.4</v>
      </c>
      <c r="M20" s="21">
        <v>10.8</v>
      </c>
      <c r="N20" s="21">
        <v>10.8</v>
      </c>
    </row>
    <row r="21" spans="4:14">
      <c r="D21" s="18"/>
      <c r="E21" s="6"/>
      <c r="F21" s="6"/>
      <c r="G21" s="6"/>
      <c r="H21" s="6"/>
      <c r="I21" s="6"/>
      <c r="J21" s="6" t="s">
        <v>124</v>
      </c>
      <c r="K21" s="20">
        <v>1</v>
      </c>
      <c r="L21" s="21">
        <v>4.4</v>
      </c>
      <c r="M21" s="21"/>
      <c r="N21" s="21"/>
    </row>
    <row r="22" spans="4:14">
      <c r="D22" s="18">
        <v>46183</v>
      </c>
      <c r="E22" s="6">
        <v>1611145</v>
      </c>
      <c r="F22" s="6" t="s">
        <v>16</v>
      </c>
      <c r="G22" s="6">
        <v>20325003</v>
      </c>
      <c r="H22" s="6" t="s">
        <v>190</v>
      </c>
      <c r="I22" s="6">
        <v>1</v>
      </c>
      <c r="J22" s="6" t="s">
        <v>18</v>
      </c>
      <c r="K22" s="20">
        <v>1</v>
      </c>
      <c r="L22" s="21">
        <v>6.4</v>
      </c>
      <c r="M22" s="21">
        <v>10.8</v>
      </c>
      <c r="N22" s="21">
        <v>10.8</v>
      </c>
    </row>
    <row r="23" spans="4:14">
      <c r="D23" s="18"/>
      <c r="E23" s="6"/>
      <c r="F23" s="6"/>
      <c r="G23" s="6"/>
      <c r="H23" s="6"/>
      <c r="I23" s="6"/>
      <c r="J23" s="6" t="s">
        <v>124</v>
      </c>
      <c r="K23" s="20">
        <v>1</v>
      </c>
      <c r="L23" s="21">
        <v>4.4</v>
      </c>
      <c r="M23" s="21"/>
      <c r="N23" s="21"/>
    </row>
    <row r="24" spans="4:14">
      <c r="D24" s="18">
        <v>46183</v>
      </c>
      <c r="E24" s="6">
        <v>1611145</v>
      </c>
      <c r="F24" s="6" t="s">
        <v>16</v>
      </c>
      <c r="G24" s="6">
        <v>20325004</v>
      </c>
      <c r="H24" s="6" t="s">
        <v>191</v>
      </c>
      <c r="I24" s="6">
        <v>1</v>
      </c>
      <c r="J24" s="32" t="s">
        <v>28</v>
      </c>
      <c r="K24" s="20">
        <f>M24/L24</f>
        <v>3</v>
      </c>
      <c r="L24" s="21">
        <v>4.4</v>
      </c>
      <c r="M24" s="21">
        <v>13.2</v>
      </c>
      <c r="N24" s="21">
        <v>13.2</v>
      </c>
    </row>
    <row r="25" spans="4:14">
      <c r="D25" s="18">
        <v>46189</v>
      </c>
      <c r="E25" s="6">
        <v>1612411</v>
      </c>
      <c r="F25" s="6" t="s">
        <v>16</v>
      </c>
      <c r="G25" s="6">
        <v>20429805</v>
      </c>
      <c r="H25" s="6" t="s">
        <v>194</v>
      </c>
      <c r="I25" s="6">
        <v>1</v>
      </c>
      <c r="J25" s="6" t="s">
        <v>18</v>
      </c>
      <c r="K25" s="20">
        <v>1</v>
      </c>
      <c r="L25" s="21">
        <v>6.4</v>
      </c>
      <c r="M25" s="21">
        <v>10.8</v>
      </c>
      <c r="N25" s="21">
        <v>10.8</v>
      </c>
    </row>
    <row r="26" spans="4:14">
      <c r="D26" s="18"/>
      <c r="E26" s="6"/>
      <c r="F26" s="6"/>
      <c r="G26" s="6"/>
      <c r="H26" s="6"/>
      <c r="I26" s="6"/>
      <c r="J26" s="6" t="s">
        <v>124</v>
      </c>
      <c r="K26" s="20">
        <v>1</v>
      </c>
      <c r="L26" s="21">
        <v>4.4</v>
      </c>
      <c r="M26" s="21"/>
      <c r="N26" s="21"/>
    </row>
    <row r="27" spans="4:14">
      <c r="D27" s="18">
        <v>46189</v>
      </c>
      <c r="E27" s="6">
        <v>1612411</v>
      </c>
      <c r="F27" s="6" t="s">
        <v>16</v>
      </c>
      <c r="G27" s="6">
        <v>20418363</v>
      </c>
      <c r="H27" s="6" t="s">
        <v>195</v>
      </c>
      <c r="I27" s="6">
        <v>1</v>
      </c>
      <c r="J27" s="19" t="s">
        <v>18</v>
      </c>
      <c r="K27" s="20">
        <v>1</v>
      </c>
      <c r="L27" s="21">
        <v>6.4</v>
      </c>
      <c r="M27" s="21">
        <v>6.4</v>
      </c>
      <c r="N27" s="21">
        <v>6.4</v>
      </c>
    </row>
    <row r="28" spans="4:14">
      <c r="D28" s="18">
        <v>46189</v>
      </c>
      <c r="E28" s="6">
        <v>1612411</v>
      </c>
      <c r="F28" s="6" t="s">
        <v>16</v>
      </c>
      <c r="G28" s="6">
        <v>20324364</v>
      </c>
      <c r="H28" s="6" t="s">
        <v>21</v>
      </c>
      <c r="I28" s="6">
        <v>1</v>
      </c>
      <c r="J28" s="19" t="s">
        <v>18</v>
      </c>
      <c r="K28" s="20">
        <v>1</v>
      </c>
      <c r="L28" s="21">
        <v>6.4</v>
      </c>
      <c r="M28" s="21">
        <v>6.4</v>
      </c>
      <c r="N28" s="21">
        <v>6.4</v>
      </c>
    </row>
    <row r="29" spans="4:14">
      <c r="D29" s="18">
        <v>46189</v>
      </c>
      <c r="E29" s="6">
        <v>1612411</v>
      </c>
      <c r="F29" s="6" t="s">
        <v>16</v>
      </c>
      <c r="G29" s="6">
        <v>20325004</v>
      </c>
      <c r="H29" s="6" t="s">
        <v>191</v>
      </c>
      <c r="I29" s="6">
        <v>1</v>
      </c>
      <c r="J29" s="32" t="s">
        <v>28</v>
      </c>
      <c r="K29" s="20">
        <f>M29/L29</f>
        <v>3</v>
      </c>
      <c r="L29" s="21">
        <v>4.4</v>
      </c>
      <c r="M29" s="21">
        <v>13.2</v>
      </c>
      <c r="N29" s="21">
        <v>13.2</v>
      </c>
    </row>
    <row r="30" spans="4:14">
      <c r="D30" s="18">
        <v>46191</v>
      </c>
      <c r="E30" s="6">
        <v>1613208</v>
      </c>
      <c r="F30" s="6" t="s">
        <v>16</v>
      </c>
      <c r="G30" s="6">
        <v>20429805</v>
      </c>
      <c r="H30" s="6" t="s">
        <v>194</v>
      </c>
      <c r="I30" s="6">
        <v>2</v>
      </c>
      <c r="J30" s="6" t="s">
        <v>18</v>
      </c>
      <c r="K30" s="20">
        <v>1</v>
      </c>
      <c r="L30" s="21">
        <v>6.4</v>
      </c>
      <c r="M30" s="21">
        <v>10.8</v>
      </c>
      <c r="N30" s="21">
        <v>21.6</v>
      </c>
    </row>
    <row r="31" spans="4:14">
      <c r="D31" s="18"/>
      <c r="E31" s="6"/>
      <c r="F31" s="6"/>
      <c r="G31" s="6"/>
      <c r="H31" s="6"/>
      <c r="I31" s="6"/>
      <c r="J31" s="6" t="s">
        <v>124</v>
      </c>
      <c r="K31" s="20">
        <v>1</v>
      </c>
      <c r="L31" s="21">
        <v>4.4</v>
      </c>
      <c r="M31" s="21"/>
      <c r="N31" s="21"/>
    </row>
    <row r="32" spans="4:14">
      <c r="D32" s="18">
        <v>46191</v>
      </c>
      <c r="E32" s="6">
        <v>1613208</v>
      </c>
      <c r="F32" s="6" t="s">
        <v>16</v>
      </c>
      <c r="G32" s="6">
        <v>20325004</v>
      </c>
      <c r="H32" s="6" t="s">
        <v>191</v>
      </c>
      <c r="I32" s="6">
        <v>1</v>
      </c>
      <c r="J32" s="32" t="s">
        <v>28</v>
      </c>
      <c r="K32" s="20">
        <f>M32/L32</f>
        <v>3</v>
      </c>
      <c r="L32" s="21">
        <v>4.4</v>
      </c>
      <c r="M32" s="21">
        <v>13.2</v>
      </c>
      <c r="N32" s="21">
        <v>13.2</v>
      </c>
    </row>
    <row r="33" spans="4:14">
      <c r="D33" s="18">
        <v>46195</v>
      </c>
      <c r="E33" s="6">
        <v>1614185</v>
      </c>
      <c r="F33" s="6" t="s">
        <v>16</v>
      </c>
      <c r="G33" s="6">
        <v>20429805</v>
      </c>
      <c r="H33" s="6" t="s">
        <v>194</v>
      </c>
      <c r="I33" s="6">
        <v>1</v>
      </c>
      <c r="J33" s="6" t="s">
        <v>18</v>
      </c>
      <c r="K33" s="20">
        <v>1</v>
      </c>
      <c r="L33" s="21">
        <v>6.4</v>
      </c>
      <c r="M33" s="21">
        <v>10.8</v>
      </c>
      <c r="N33" s="21">
        <v>10.8</v>
      </c>
    </row>
    <row r="34" spans="4:14">
      <c r="D34" s="18"/>
      <c r="E34" s="6"/>
      <c r="F34" s="6"/>
      <c r="G34" s="6"/>
      <c r="H34" s="6"/>
      <c r="I34" s="6"/>
      <c r="J34" s="6" t="s">
        <v>124</v>
      </c>
      <c r="K34" s="20">
        <v>1</v>
      </c>
      <c r="L34" s="21">
        <v>4.4</v>
      </c>
      <c r="M34" s="21"/>
      <c r="N34" s="21"/>
    </row>
    <row r="35" spans="4:14">
      <c r="D35" s="18">
        <v>46195</v>
      </c>
      <c r="E35" s="6">
        <v>1614185</v>
      </c>
      <c r="F35" s="6" t="s">
        <v>16</v>
      </c>
      <c r="G35" s="6">
        <v>20418363</v>
      </c>
      <c r="H35" s="6" t="s">
        <v>195</v>
      </c>
      <c r="I35" s="6">
        <v>11</v>
      </c>
      <c r="J35" s="19" t="s">
        <v>18</v>
      </c>
      <c r="K35" s="20">
        <v>1</v>
      </c>
      <c r="L35" s="21">
        <v>6.4</v>
      </c>
      <c r="M35" s="21">
        <v>6.4</v>
      </c>
      <c r="N35" s="21">
        <v>70.4</v>
      </c>
    </row>
    <row r="36" spans="4:14">
      <c r="D36" s="18">
        <v>46195</v>
      </c>
      <c r="E36" s="6">
        <v>1614185</v>
      </c>
      <c r="F36" s="6" t="s">
        <v>16</v>
      </c>
      <c r="G36" s="6">
        <v>20325004</v>
      </c>
      <c r="H36" s="6" t="s">
        <v>191</v>
      </c>
      <c r="I36" s="6">
        <v>1</v>
      </c>
      <c r="J36" s="32" t="s">
        <v>28</v>
      </c>
      <c r="K36" s="20">
        <f>M36/L36</f>
        <v>3</v>
      </c>
      <c r="L36" s="21">
        <v>4.4</v>
      </c>
      <c r="M36" s="21">
        <v>13.2</v>
      </c>
      <c r="N36" s="21">
        <v>13.2</v>
      </c>
    </row>
    <row r="37" spans="4:14">
      <c r="D37" s="18">
        <v>46198</v>
      </c>
      <c r="E37" s="6">
        <v>1615294</v>
      </c>
      <c r="F37" s="6" t="s">
        <v>16</v>
      </c>
      <c r="G37" s="6">
        <v>20429805</v>
      </c>
      <c r="H37" s="6" t="s">
        <v>194</v>
      </c>
      <c r="I37" s="6">
        <v>1</v>
      </c>
      <c r="J37" s="6" t="s">
        <v>18</v>
      </c>
      <c r="K37" s="20">
        <v>1</v>
      </c>
      <c r="L37" s="21">
        <v>6.4</v>
      </c>
      <c r="M37" s="21">
        <v>10.8</v>
      </c>
      <c r="N37" s="21">
        <v>10.8</v>
      </c>
    </row>
    <row r="38" spans="4:14">
      <c r="D38" s="18"/>
      <c r="E38" s="6"/>
      <c r="F38" s="6"/>
      <c r="G38" s="6"/>
      <c r="H38" s="6"/>
      <c r="I38" s="6"/>
      <c r="J38" s="6" t="s">
        <v>124</v>
      </c>
      <c r="K38" s="20">
        <v>1</v>
      </c>
      <c r="L38" s="21">
        <v>4.4</v>
      </c>
      <c r="M38" s="21"/>
      <c r="N38" s="21"/>
    </row>
    <row r="39" spans="4:14">
      <c r="D39" s="18">
        <v>46198</v>
      </c>
      <c r="E39" s="6">
        <v>1615294</v>
      </c>
      <c r="F39" s="6" t="s">
        <v>16</v>
      </c>
      <c r="G39" s="6">
        <v>20418363</v>
      </c>
      <c r="H39" s="6" t="s">
        <v>195</v>
      </c>
      <c r="I39" s="6">
        <v>1</v>
      </c>
      <c r="J39" s="19" t="s">
        <v>18</v>
      </c>
      <c r="K39" s="20">
        <v>1</v>
      </c>
      <c r="L39" s="21">
        <v>6.4</v>
      </c>
      <c r="M39" s="21">
        <v>6.4</v>
      </c>
      <c r="N39" s="21">
        <v>6.4</v>
      </c>
    </row>
    <row r="40" spans="4:14">
      <c r="D40" s="18">
        <v>46198</v>
      </c>
      <c r="E40" s="6">
        <v>1615294</v>
      </c>
      <c r="F40" s="6" t="s">
        <v>16</v>
      </c>
      <c r="G40" s="6">
        <v>20325004</v>
      </c>
      <c r="H40" s="6" t="s">
        <v>191</v>
      </c>
      <c r="I40" s="6">
        <v>1</v>
      </c>
      <c r="J40" s="32" t="s">
        <v>28</v>
      </c>
      <c r="K40" s="20">
        <f>M40/L40</f>
        <v>3</v>
      </c>
      <c r="L40" s="21">
        <v>4.4</v>
      </c>
      <c r="M40" s="21">
        <v>13.2</v>
      </c>
      <c r="N40" s="21">
        <v>13.2</v>
      </c>
    </row>
    <row r="41" spans="4:14">
      <c r="D41" s="18">
        <v>46202</v>
      </c>
      <c r="E41" s="6">
        <v>1616123</v>
      </c>
      <c r="F41" s="6" t="s">
        <v>16</v>
      </c>
      <c r="G41" s="6">
        <v>20324413</v>
      </c>
      <c r="H41" s="6" t="s">
        <v>158</v>
      </c>
      <c r="I41" s="6">
        <v>1</v>
      </c>
      <c r="J41" s="19" t="s">
        <v>18</v>
      </c>
      <c r="K41" s="20">
        <v>1</v>
      </c>
      <c r="L41" s="21">
        <v>6.4</v>
      </c>
      <c r="M41" s="21">
        <v>6.4</v>
      </c>
      <c r="N41" s="21">
        <v>6.4</v>
      </c>
    </row>
    <row r="42" spans="4:14">
      <c r="D42" s="18">
        <v>46202</v>
      </c>
      <c r="E42" s="6">
        <v>1616123</v>
      </c>
      <c r="F42" s="6" t="s">
        <v>16</v>
      </c>
      <c r="G42" s="6">
        <v>20382734</v>
      </c>
      <c r="H42" s="6" t="s">
        <v>196</v>
      </c>
      <c r="I42" s="6">
        <v>1</v>
      </c>
      <c r="J42" s="19" t="s">
        <v>18</v>
      </c>
      <c r="K42" s="20">
        <v>1</v>
      </c>
      <c r="L42" s="21">
        <v>6.4</v>
      </c>
      <c r="M42" s="21">
        <v>6.4</v>
      </c>
      <c r="N42" s="21">
        <v>6.4</v>
      </c>
    </row>
    <row r="43" spans="4:14">
      <c r="D43" s="18">
        <v>46202</v>
      </c>
      <c r="E43" s="6">
        <v>1616123</v>
      </c>
      <c r="F43" s="6" t="s">
        <v>16</v>
      </c>
      <c r="G43" s="6">
        <v>20324364</v>
      </c>
      <c r="H43" s="6" t="s">
        <v>21</v>
      </c>
      <c r="I43" s="6">
        <v>1</v>
      </c>
      <c r="J43" s="19" t="s">
        <v>18</v>
      </c>
      <c r="K43" s="20">
        <v>1</v>
      </c>
      <c r="L43" s="21">
        <v>6.4</v>
      </c>
      <c r="M43" s="21">
        <v>6.4</v>
      </c>
      <c r="N43" s="21">
        <v>6.4</v>
      </c>
    </row>
    <row r="44" spans="4:14">
      <c r="D44" s="18">
        <v>46202</v>
      </c>
      <c r="E44" s="6">
        <v>1616123</v>
      </c>
      <c r="F44" s="6" t="s">
        <v>16</v>
      </c>
      <c r="G44" s="6">
        <v>20324363</v>
      </c>
      <c r="H44" s="6" t="s">
        <v>25</v>
      </c>
      <c r="I44" s="6">
        <v>1</v>
      </c>
      <c r="J44" s="19" t="s">
        <v>18</v>
      </c>
      <c r="K44" s="20">
        <v>1</v>
      </c>
      <c r="L44" s="21">
        <v>6.4</v>
      </c>
      <c r="M44" s="21">
        <v>6.4</v>
      </c>
      <c r="N44" s="21">
        <v>6.4</v>
      </c>
    </row>
    <row r="45" spans="4:14">
      <c r="D45" s="18">
        <v>46202</v>
      </c>
      <c r="E45" s="6">
        <v>1616123</v>
      </c>
      <c r="F45" s="6" t="s">
        <v>16</v>
      </c>
      <c r="G45" s="6">
        <v>20325004</v>
      </c>
      <c r="H45" s="6" t="s">
        <v>191</v>
      </c>
      <c r="I45" s="6">
        <v>1</v>
      </c>
      <c r="J45" s="32" t="s">
        <v>28</v>
      </c>
      <c r="K45" s="20">
        <f>M45/L45</f>
        <v>3</v>
      </c>
      <c r="L45" s="21">
        <v>4.4</v>
      </c>
      <c r="M45" s="21">
        <v>13.2</v>
      </c>
      <c r="N45" s="21">
        <v>13.2</v>
      </c>
    </row>
    <row r="46" spans="4:14">
      <c r="D46" s="18">
        <v>46203</v>
      </c>
      <c r="E46" s="6">
        <v>1616171</v>
      </c>
      <c r="F46" s="6" t="s">
        <v>16</v>
      </c>
      <c r="G46" s="6">
        <v>20366790</v>
      </c>
      <c r="H46" s="6" t="s">
        <v>197</v>
      </c>
      <c r="I46" s="6">
        <v>2</v>
      </c>
      <c r="J46" s="32" t="s">
        <v>58</v>
      </c>
      <c r="K46" s="20">
        <v>1</v>
      </c>
      <c r="L46" s="21">
        <v>17.6</v>
      </c>
      <c r="M46" s="21">
        <v>52.8</v>
      </c>
      <c r="N46" s="21">
        <v>105.6</v>
      </c>
    </row>
    <row r="47" ht="17" customHeight="1" spans="4:14">
      <c r="D47" s="18"/>
      <c r="E47" s="6"/>
      <c r="F47" s="6"/>
      <c r="G47" s="6"/>
      <c r="H47" s="6"/>
      <c r="I47" s="6"/>
      <c r="J47" s="32" t="s">
        <v>58</v>
      </c>
      <c r="K47" s="20">
        <v>1</v>
      </c>
      <c r="L47" s="21">
        <v>17.6</v>
      </c>
      <c r="M47" s="21"/>
      <c r="N47" s="21"/>
    </row>
    <row r="48" ht="15" customHeight="1" spans="4:14">
      <c r="D48" s="18"/>
      <c r="E48" s="6"/>
      <c r="F48" s="6"/>
      <c r="G48" s="6"/>
      <c r="H48" s="6"/>
      <c r="I48" s="6"/>
      <c r="J48" s="32" t="s">
        <v>58</v>
      </c>
      <c r="K48" s="20">
        <v>1</v>
      </c>
      <c r="L48" s="21">
        <v>17.6</v>
      </c>
      <c r="M48" s="21"/>
      <c r="N48" s="21"/>
    </row>
    <row r="49" ht="17" customHeight="1"/>
  </sheetData>
  <autoFilter xmlns:etc="http://www.wps.cn/officeDocument/2017/etCustomData" ref="A7:N48" etc:filterBottomFollowUsedRange="0">
    <extLst/>
  </autoFilter>
  <mergeCells count="77">
    <mergeCell ref="D8:H8"/>
    <mergeCell ref="C7:C46"/>
    <mergeCell ref="D10:D11"/>
    <mergeCell ref="D15:D16"/>
    <mergeCell ref="D20:D21"/>
    <mergeCell ref="D22:D23"/>
    <mergeCell ref="D25:D26"/>
    <mergeCell ref="D30:D31"/>
    <mergeCell ref="D33:D34"/>
    <mergeCell ref="D37:D38"/>
    <mergeCell ref="D46:D48"/>
    <mergeCell ref="E10:E11"/>
    <mergeCell ref="E15:E16"/>
    <mergeCell ref="E20:E21"/>
    <mergeCell ref="E22:E23"/>
    <mergeCell ref="E25:E26"/>
    <mergeCell ref="E30:E31"/>
    <mergeCell ref="E33:E34"/>
    <mergeCell ref="E37:E38"/>
    <mergeCell ref="E46:E48"/>
    <mergeCell ref="F10:F11"/>
    <mergeCell ref="F15:F16"/>
    <mergeCell ref="F20:F21"/>
    <mergeCell ref="F22:F23"/>
    <mergeCell ref="F25:F26"/>
    <mergeCell ref="F30:F31"/>
    <mergeCell ref="F33:F34"/>
    <mergeCell ref="F37:F38"/>
    <mergeCell ref="F46:F48"/>
    <mergeCell ref="G10:G11"/>
    <mergeCell ref="G15:G16"/>
    <mergeCell ref="G20:G21"/>
    <mergeCell ref="G22:G23"/>
    <mergeCell ref="G25:G26"/>
    <mergeCell ref="G30:G31"/>
    <mergeCell ref="G33:G34"/>
    <mergeCell ref="G37:G38"/>
    <mergeCell ref="G46:G48"/>
    <mergeCell ref="H10:H11"/>
    <mergeCell ref="H15:H16"/>
    <mergeCell ref="H20:H21"/>
    <mergeCell ref="H22:H23"/>
    <mergeCell ref="H25:H26"/>
    <mergeCell ref="H30:H31"/>
    <mergeCell ref="H33:H34"/>
    <mergeCell ref="H37:H38"/>
    <mergeCell ref="H46:H48"/>
    <mergeCell ref="I10:I11"/>
    <mergeCell ref="I15:I16"/>
    <mergeCell ref="I20:I21"/>
    <mergeCell ref="I22:I23"/>
    <mergeCell ref="I25:I26"/>
    <mergeCell ref="I30:I31"/>
    <mergeCell ref="I33:I34"/>
    <mergeCell ref="I37:I38"/>
    <mergeCell ref="I46:I48"/>
    <mergeCell ref="M10:M11"/>
    <mergeCell ref="M15:M16"/>
    <mergeCell ref="M20:M21"/>
    <mergeCell ref="M22:M23"/>
    <mergeCell ref="M25:M26"/>
    <mergeCell ref="M30:M31"/>
    <mergeCell ref="M33:M34"/>
    <mergeCell ref="M37:M38"/>
    <mergeCell ref="M46:M48"/>
    <mergeCell ref="N10:N11"/>
    <mergeCell ref="N15:N16"/>
    <mergeCell ref="N20:N21"/>
    <mergeCell ref="N22:N23"/>
    <mergeCell ref="N25:N26"/>
    <mergeCell ref="N30:N31"/>
    <mergeCell ref="N33:N34"/>
    <mergeCell ref="N37:N38"/>
    <mergeCell ref="N46:N48"/>
    <mergeCell ref="B4:H5"/>
    <mergeCell ref="C1:H2"/>
    <mergeCell ref="A7:B46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75" customWidth="1"/>
    <col min="12" max="12" width="13.875" customWidth="1"/>
    <col min="13" max="13" width="12.2083333333333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198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5</v>
      </c>
      <c r="J8" s="42"/>
      <c r="K8" s="43"/>
      <c r="L8" s="43"/>
      <c r="M8" s="43"/>
      <c r="N8" s="43">
        <v>54.4</v>
      </c>
    </row>
    <row r="9" spans="1:14">
      <c r="D9" s="13">
        <v>46183</v>
      </c>
      <c r="E9" s="14">
        <v>1611146</v>
      </c>
      <c r="F9" s="14" t="s">
        <v>16</v>
      </c>
      <c r="G9" s="14">
        <v>20325605</v>
      </c>
      <c r="H9" s="14" t="s">
        <v>199</v>
      </c>
      <c r="I9" s="14">
        <v>1</v>
      </c>
      <c r="J9" s="14" t="s">
        <v>18</v>
      </c>
      <c r="K9" s="16">
        <v>1</v>
      </c>
      <c r="L9" s="17">
        <v>6.4</v>
      </c>
      <c r="M9" s="17">
        <v>10.8</v>
      </c>
      <c r="N9" s="17">
        <v>10.8</v>
      </c>
    </row>
    <row r="10" spans="1:14">
      <c r="D10" s="18"/>
      <c r="E10" s="6"/>
      <c r="F10" s="6"/>
      <c r="G10" s="6"/>
      <c r="H10" s="6"/>
      <c r="I10" s="6"/>
      <c r="J10" s="6" t="s">
        <v>124</v>
      </c>
      <c r="K10" s="20">
        <v>1</v>
      </c>
      <c r="L10" s="21">
        <v>4.4</v>
      </c>
      <c r="M10" s="21"/>
      <c r="N10" s="21"/>
    </row>
    <row r="11" spans="1:14">
      <c r="D11" s="18">
        <v>46183</v>
      </c>
      <c r="E11" s="6">
        <v>1611146</v>
      </c>
      <c r="F11" s="6" t="s">
        <v>16</v>
      </c>
      <c r="G11" s="6">
        <v>20324364</v>
      </c>
      <c r="H11" s="6" t="s">
        <v>21</v>
      </c>
      <c r="I11" s="6">
        <v>1</v>
      </c>
      <c r="J11" s="19" t="s">
        <v>18</v>
      </c>
      <c r="K11" s="20">
        <v>1</v>
      </c>
      <c r="L11" s="21">
        <v>6.4</v>
      </c>
      <c r="M11" s="21">
        <v>6.4</v>
      </c>
      <c r="N11" s="21">
        <v>6.4</v>
      </c>
    </row>
    <row r="12" spans="1:14">
      <c r="D12" s="18">
        <v>46183</v>
      </c>
      <c r="E12" s="6">
        <v>1611146</v>
      </c>
      <c r="F12" s="6" t="s">
        <v>16</v>
      </c>
      <c r="G12" s="6">
        <v>20333384</v>
      </c>
      <c r="H12" s="6" t="s">
        <v>200</v>
      </c>
      <c r="I12" s="6">
        <v>1</v>
      </c>
      <c r="J12" s="6" t="s">
        <v>124</v>
      </c>
      <c r="K12" s="20">
        <f>M12/L12</f>
        <v>3</v>
      </c>
      <c r="L12" s="21">
        <v>4.4</v>
      </c>
      <c r="M12" s="21">
        <v>13.2</v>
      </c>
      <c r="N12" s="21">
        <v>13.2</v>
      </c>
    </row>
    <row r="13" spans="1:14">
      <c r="D13" s="18">
        <v>46183</v>
      </c>
      <c r="E13" s="6">
        <v>1611146</v>
      </c>
      <c r="F13" s="6" t="s">
        <v>16</v>
      </c>
      <c r="G13" s="6">
        <v>20324363</v>
      </c>
      <c r="H13" s="6" t="s">
        <v>25</v>
      </c>
      <c r="I13" s="6">
        <v>1</v>
      </c>
      <c r="J13" s="19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18">
        <v>46183</v>
      </c>
      <c r="E14" s="6">
        <v>1611146</v>
      </c>
      <c r="F14" s="6" t="s">
        <v>16</v>
      </c>
      <c r="G14" s="6">
        <v>20324510</v>
      </c>
      <c r="H14" s="6" t="s">
        <v>201</v>
      </c>
      <c r="I14" s="6">
        <v>1</v>
      </c>
      <c r="J14" s="32" t="s">
        <v>28</v>
      </c>
      <c r="K14" s="20">
        <f>M14/L14</f>
        <v>4</v>
      </c>
      <c r="L14" s="21">
        <v>4.4</v>
      </c>
      <c r="M14" s="21">
        <v>17.6</v>
      </c>
      <c r="N14" s="21">
        <v>17.6</v>
      </c>
    </row>
  </sheetData>
  <mergeCells count="13">
    <mergeCell ref="D8:H8"/>
    <mergeCell ref="C7:C14"/>
    <mergeCell ref="D9:D10"/>
    <mergeCell ref="E9:E10"/>
    <mergeCell ref="F9:F10"/>
    <mergeCell ref="G9:G10"/>
    <mergeCell ref="H9:H10"/>
    <mergeCell ref="I9:I10"/>
    <mergeCell ref="M9:M10"/>
    <mergeCell ref="N9:N10"/>
    <mergeCell ref="B4:H5"/>
    <mergeCell ref="C1:H2"/>
    <mergeCell ref="A7:B14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75" customWidth="1"/>
    <col min="12" max="12" width="13.875" customWidth="1"/>
    <col min="13" max="13" width="12.2083333333333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202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24</v>
      </c>
      <c r="J8" s="42"/>
      <c r="K8" s="43"/>
      <c r="L8" s="43"/>
      <c r="M8" s="43"/>
      <c r="N8" s="43">
        <v>569.6</v>
      </c>
    </row>
    <row r="9" spans="1:14">
      <c r="D9" s="13">
        <v>46178</v>
      </c>
      <c r="E9" s="14">
        <v>1609417</v>
      </c>
      <c r="F9" s="14" t="s">
        <v>26</v>
      </c>
      <c r="G9" s="14">
        <v>20324058</v>
      </c>
      <c r="H9" s="14" t="s">
        <v>203</v>
      </c>
      <c r="I9" s="14">
        <v>4</v>
      </c>
      <c r="J9" s="58" t="s">
        <v>28</v>
      </c>
      <c r="K9" s="16">
        <f t="shared" ref="K9:K14" si="0">M9/L9</f>
        <v>7</v>
      </c>
      <c r="L9" s="17">
        <v>4.4</v>
      </c>
      <c r="M9" s="17">
        <v>30.8</v>
      </c>
      <c r="N9" s="17">
        <v>123.2</v>
      </c>
    </row>
    <row r="10" spans="1:14">
      <c r="D10" s="18">
        <v>46178</v>
      </c>
      <c r="E10" s="6">
        <v>1609417</v>
      </c>
      <c r="F10" s="6" t="s">
        <v>16</v>
      </c>
      <c r="G10" s="6">
        <v>20328686</v>
      </c>
      <c r="H10" s="6" t="s">
        <v>204</v>
      </c>
      <c r="I10" s="6">
        <v>1</v>
      </c>
      <c r="J10" s="6" t="s">
        <v>18</v>
      </c>
      <c r="K10" s="20">
        <v>1</v>
      </c>
      <c r="L10" s="21">
        <v>6.4</v>
      </c>
      <c r="M10" s="21">
        <v>10.8</v>
      </c>
      <c r="N10" s="21">
        <v>10.8</v>
      </c>
    </row>
    <row r="11" spans="1:14">
      <c r="D11" s="18"/>
      <c r="E11" s="6"/>
      <c r="F11" s="6"/>
      <c r="G11" s="6"/>
      <c r="H11" s="6"/>
      <c r="I11" s="6"/>
      <c r="J11" s="6" t="s">
        <v>124</v>
      </c>
      <c r="K11" s="20">
        <v>1</v>
      </c>
      <c r="L11" s="21">
        <v>4.4</v>
      </c>
      <c r="M11" s="21"/>
      <c r="N11" s="21"/>
    </row>
    <row r="12" spans="1:14">
      <c r="D12" s="18">
        <v>46178</v>
      </c>
      <c r="E12" s="6">
        <v>1609417</v>
      </c>
      <c r="F12" s="6" t="s">
        <v>16</v>
      </c>
      <c r="G12" s="6">
        <v>20324363</v>
      </c>
      <c r="H12" s="6" t="s">
        <v>25</v>
      </c>
      <c r="I12" s="6">
        <v>2</v>
      </c>
      <c r="J12" s="19" t="s">
        <v>18</v>
      </c>
      <c r="K12" s="20">
        <v>1</v>
      </c>
      <c r="L12" s="21">
        <v>6.4</v>
      </c>
      <c r="M12" s="21">
        <v>6.4</v>
      </c>
      <c r="N12" s="21">
        <v>12.8</v>
      </c>
    </row>
    <row r="13" spans="1:14">
      <c r="D13" s="18">
        <v>46190</v>
      </c>
      <c r="E13" s="6">
        <v>1612790</v>
      </c>
      <c r="F13" s="6" t="s">
        <v>26</v>
      </c>
      <c r="G13" s="6">
        <v>20324058</v>
      </c>
      <c r="H13" s="6" t="s">
        <v>203</v>
      </c>
      <c r="I13" s="6">
        <v>2</v>
      </c>
      <c r="J13" s="32" t="s">
        <v>28</v>
      </c>
      <c r="K13" s="20">
        <f t="shared" si="0"/>
        <v>7</v>
      </c>
      <c r="L13" s="21">
        <v>4.4</v>
      </c>
      <c r="M13" s="21">
        <v>30.8</v>
      </c>
      <c r="N13" s="21">
        <v>61.6</v>
      </c>
    </row>
    <row r="14" spans="1:14">
      <c r="D14" s="18">
        <v>46190</v>
      </c>
      <c r="E14" s="6">
        <v>1612790</v>
      </c>
      <c r="F14" s="6" t="s">
        <v>26</v>
      </c>
      <c r="G14" s="6">
        <v>20324057</v>
      </c>
      <c r="H14" s="6" t="s">
        <v>129</v>
      </c>
      <c r="I14" s="6">
        <v>1</v>
      </c>
      <c r="J14" s="32" t="s">
        <v>28</v>
      </c>
      <c r="K14" s="20">
        <f t="shared" si="0"/>
        <v>14</v>
      </c>
      <c r="L14" s="21">
        <v>4.4</v>
      </c>
      <c r="M14" s="21">
        <v>61.6</v>
      </c>
      <c r="N14" s="21">
        <v>61.6</v>
      </c>
    </row>
    <row r="15" spans="1:14">
      <c r="D15" s="18">
        <v>46190</v>
      </c>
      <c r="E15" s="6">
        <v>1612790</v>
      </c>
      <c r="F15" s="6" t="s">
        <v>16</v>
      </c>
      <c r="G15" s="6">
        <v>20328686</v>
      </c>
      <c r="H15" s="6" t="s">
        <v>204</v>
      </c>
      <c r="I15" s="6">
        <v>3</v>
      </c>
      <c r="J15" s="6" t="s">
        <v>18</v>
      </c>
      <c r="K15" s="20">
        <v>1</v>
      </c>
      <c r="L15" s="21">
        <v>6.4</v>
      </c>
      <c r="M15" s="21">
        <v>10.8</v>
      </c>
      <c r="N15" s="21">
        <v>32.4</v>
      </c>
    </row>
    <row r="16" spans="1:14">
      <c r="D16" s="18"/>
      <c r="E16" s="6"/>
      <c r="F16" s="6"/>
      <c r="G16" s="6"/>
      <c r="H16" s="6"/>
      <c r="I16" s="6"/>
      <c r="J16" s="6" t="s">
        <v>124</v>
      </c>
      <c r="K16" s="20">
        <v>1</v>
      </c>
      <c r="L16" s="21">
        <v>4.4</v>
      </c>
      <c r="M16" s="21"/>
      <c r="N16" s="21"/>
    </row>
    <row r="17" spans="4:14">
      <c r="D17" s="18">
        <v>46195</v>
      </c>
      <c r="E17" s="6">
        <v>1614186</v>
      </c>
      <c r="F17" s="6" t="s">
        <v>26</v>
      </c>
      <c r="G17" s="6">
        <v>20324058</v>
      </c>
      <c r="H17" s="6" t="s">
        <v>203</v>
      </c>
      <c r="I17" s="6">
        <v>3</v>
      </c>
      <c r="J17" s="32" t="s">
        <v>28</v>
      </c>
      <c r="K17" s="20">
        <f>M17/L17</f>
        <v>7</v>
      </c>
      <c r="L17" s="21">
        <v>4.4</v>
      </c>
      <c r="M17" s="21">
        <v>30.8</v>
      </c>
      <c r="N17" s="21">
        <v>92.4</v>
      </c>
    </row>
    <row r="18" spans="4:14">
      <c r="D18" s="18">
        <v>46195</v>
      </c>
      <c r="E18" s="6">
        <v>1614186</v>
      </c>
      <c r="F18" s="6" t="s">
        <v>16</v>
      </c>
      <c r="G18" s="6">
        <v>20328686</v>
      </c>
      <c r="H18" s="6" t="s">
        <v>204</v>
      </c>
      <c r="I18" s="6">
        <v>2</v>
      </c>
      <c r="J18" s="6" t="s">
        <v>18</v>
      </c>
      <c r="K18" s="20">
        <v>1</v>
      </c>
      <c r="L18" s="21">
        <v>6.4</v>
      </c>
      <c r="M18" s="21">
        <v>10.8</v>
      </c>
      <c r="N18" s="21">
        <v>21.6</v>
      </c>
    </row>
    <row r="19" spans="4:14">
      <c r="D19" s="18"/>
      <c r="E19" s="6"/>
      <c r="F19" s="6"/>
      <c r="G19" s="6"/>
      <c r="H19" s="6"/>
      <c r="I19" s="6"/>
      <c r="J19" s="6" t="s">
        <v>124</v>
      </c>
      <c r="K19" s="20">
        <v>1</v>
      </c>
      <c r="L19" s="21">
        <v>4.4</v>
      </c>
      <c r="M19" s="21"/>
      <c r="N19" s="21"/>
    </row>
    <row r="20" spans="4:14">
      <c r="D20" s="18">
        <v>46195</v>
      </c>
      <c r="E20" s="6">
        <v>1614186</v>
      </c>
      <c r="F20" s="6" t="s">
        <v>16</v>
      </c>
      <c r="G20" s="6">
        <v>20324363</v>
      </c>
      <c r="H20" s="6" t="s">
        <v>25</v>
      </c>
      <c r="I20" s="6">
        <v>1</v>
      </c>
      <c r="J20" s="19" t="s">
        <v>18</v>
      </c>
      <c r="K20" s="20">
        <v>1</v>
      </c>
      <c r="L20" s="21">
        <v>6.4</v>
      </c>
      <c r="M20" s="21">
        <v>6.4</v>
      </c>
      <c r="N20" s="21">
        <v>6.4</v>
      </c>
    </row>
    <row r="21" spans="4:14">
      <c r="D21" s="18">
        <v>46199</v>
      </c>
      <c r="E21" s="6">
        <v>1615573</v>
      </c>
      <c r="F21" s="6" t="s">
        <v>26</v>
      </c>
      <c r="G21" s="6">
        <v>20324057</v>
      </c>
      <c r="H21" s="6" t="s">
        <v>129</v>
      </c>
      <c r="I21" s="6">
        <v>2</v>
      </c>
      <c r="J21" s="32" t="s">
        <v>28</v>
      </c>
      <c r="K21" s="20">
        <f>M21/L21</f>
        <v>14</v>
      </c>
      <c r="L21" s="21">
        <v>4.4</v>
      </c>
      <c r="M21" s="21">
        <v>61.6</v>
      </c>
      <c r="N21" s="21">
        <v>123.2</v>
      </c>
    </row>
    <row r="22" spans="4:14">
      <c r="D22" s="18">
        <v>46199</v>
      </c>
      <c r="E22" s="6">
        <v>1615573</v>
      </c>
      <c r="F22" s="6" t="s">
        <v>16</v>
      </c>
      <c r="G22" s="6">
        <v>20328686</v>
      </c>
      <c r="H22" s="6" t="s">
        <v>204</v>
      </c>
      <c r="I22" s="6">
        <v>1</v>
      </c>
      <c r="J22" s="6" t="s">
        <v>18</v>
      </c>
      <c r="K22" s="20">
        <v>1</v>
      </c>
      <c r="L22" s="21">
        <v>6.4</v>
      </c>
      <c r="M22" s="21">
        <v>10.8</v>
      </c>
      <c r="N22" s="21">
        <v>10.8</v>
      </c>
    </row>
    <row r="23" spans="4:14">
      <c r="D23" s="18"/>
      <c r="E23" s="6"/>
      <c r="F23" s="6"/>
      <c r="G23" s="6"/>
      <c r="H23" s="6"/>
      <c r="I23" s="6"/>
      <c r="J23" s="6" t="s">
        <v>124</v>
      </c>
      <c r="K23" s="20">
        <v>1</v>
      </c>
      <c r="L23" s="21">
        <v>4.4</v>
      </c>
      <c r="M23" s="21"/>
      <c r="N23" s="21"/>
    </row>
    <row r="24" spans="4:14">
      <c r="D24" s="18">
        <v>46199</v>
      </c>
      <c r="E24" s="6">
        <v>1615573</v>
      </c>
      <c r="F24" s="6" t="s">
        <v>16</v>
      </c>
      <c r="G24" s="6">
        <v>20358759</v>
      </c>
      <c r="H24" s="6" t="s">
        <v>205</v>
      </c>
      <c r="I24" s="6">
        <v>1</v>
      </c>
      <c r="J24" s="19" t="s">
        <v>18</v>
      </c>
      <c r="K24" s="20">
        <v>1</v>
      </c>
      <c r="L24" s="21">
        <v>6.4</v>
      </c>
      <c r="M24" s="21">
        <v>6.4</v>
      </c>
      <c r="N24" s="21">
        <v>6.4</v>
      </c>
    </row>
    <row r="25" spans="4:14">
      <c r="D25" s="54">
        <v>46199</v>
      </c>
      <c r="E25" s="55">
        <v>1615573</v>
      </c>
      <c r="F25" s="55" t="s">
        <v>16</v>
      </c>
      <c r="G25" s="56">
        <v>20324363</v>
      </c>
      <c r="H25" s="55" t="s">
        <v>25</v>
      </c>
      <c r="I25" s="22">
        <v>1</v>
      </c>
      <c r="J25" s="19" t="s">
        <v>18</v>
      </c>
      <c r="K25" s="20">
        <v>1</v>
      </c>
      <c r="L25" s="21">
        <v>6.4</v>
      </c>
      <c r="M25" s="21">
        <v>6.4</v>
      </c>
      <c r="N25" s="21">
        <v>6.4</v>
      </c>
    </row>
    <row r="26" ht="0.05" customHeight="1"/>
  </sheetData>
  <autoFilter xmlns:etc="http://www.wps.cn/officeDocument/2017/etCustomData" ref="A7:N25" etc:filterBottomFollowUsedRange="0">
    <extLst/>
  </autoFilter>
  <mergeCells count="37">
    <mergeCell ref="D8:H8"/>
    <mergeCell ref="C7:C25"/>
    <mergeCell ref="D10:D11"/>
    <mergeCell ref="D15:D16"/>
    <mergeCell ref="D18:D19"/>
    <mergeCell ref="D22:D23"/>
    <mergeCell ref="E10:E11"/>
    <mergeCell ref="E15:E16"/>
    <mergeCell ref="E18:E19"/>
    <mergeCell ref="E22:E23"/>
    <mergeCell ref="F10:F11"/>
    <mergeCell ref="F15:F16"/>
    <mergeCell ref="F18:F19"/>
    <mergeCell ref="F22:F23"/>
    <mergeCell ref="G10:G11"/>
    <mergeCell ref="G15:G16"/>
    <mergeCell ref="G18:G19"/>
    <mergeCell ref="G22:G23"/>
    <mergeCell ref="H10:H11"/>
    <mergeCell ref="H15:H16"/>
    <mergeCell ref="H18:H19"/>
    <mergeCell ref="H22:H23"/>
    <mergeCell ref="I10:I11"/>
    <mergeCell ref="I15:I16"/>
    <mergeCell ref="I18:I19"/>
    <mergeCell ref="I22:I23"/>
    <mergeCell ref="M10:M11"/>
    <mergeCell ref="M15:M16"/>
    <mergeCell ref="M18:M19"/>
    <mergeCell ref="M22:M23"/>
    <mergeCell ref="N10:N11"/>
    <mergeCell ref="N15:N16"/>
    <mergeCell ref="N18:N19"/>
    <mergeCell ref="N22:N23"/>
    <mergeCell ref="B4:H5"/>
    <mergeCell ref="C1:H2"/>
    <mergeCell ref="A7:B25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75" customWidth="1"/>
    <col min="12" max="12" width="13.875" customWidth="1"/>
    <col min="13" max="13" width="12.2083333333333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206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97</v>
      </c>
      <c r="J8" s="42"/>
      <c r="K8" s="43"/>
      <c r="L8" s="43"/>
      <c r="M8" s="43"/>
      <c r="N8" s="43">
        <v>1833.2</v>
      </c>
    </row>
    <row r="9" spans="1:14">
      <c r="D9" s="13">
        <v>46175</v>
      </c>
      <c r="E9" s="14">
        <v>1608265</v>
      </c>
      <c r="F9" s="14" t="s">
        <v>26</v>
      </c>
      <c r="G9" s="14">
        <v>20324400</v>
      </c>
      <c r="H9" s="14" t="s">
        <v>125</v>
      </c>
      <c r="I9" s="14">
        <v>11</v>
      </c>
      <c r="J9" s="58" t="s">
        <v>28</v>
      </c>
      <c r="K9" s="16">
        <f t="shared" ref="K9:K11" si="0">M9/L9</f>
        <v>4</v>
      </c>
      <c r="L9" s="17">
        <v>4.4</v>
      </c>
      <c r="M9" s="17">
        <v>17.6</v>
      </c>
      <c r="N9" s="17">
        <v>193.6</v>
      </c>
    </row>
    <row r="10" spans="1:14">
      <c r="D10" s="18">
        <v>46178</v>
      </c>
      <c r="E10" s="6">
        <v>1609418</v>
      </c>
      <c r="F10" s="6" t="s">
        <v>26</v>
      </c>
      <c r="G10" s="6">
        <v>20324400</v>
      </c>
      <c r="H10" s="6" t="s">
        <v>125</v>
      </c>
      <c r="I10" s="6">
        <v>10</v>
      </c>
      <c r="J10" s="32" t="s">
        <v>28</v>
      </c>
      <c r="K10" s="20">
        <f t="shared" si="0"/>
        <v>4</v>
      </c>
      <c r="L10" s="21">
        <v>4.4</v>
      </c>
      <c r="M10" s="21">
        <v>17.6</v>
      </c>
      <c r="N10" s="21">
        <v>176</v>
      </c>
    </row>
    <row r="11" spans="1:14">
      <c r="D11" s="18">
        <v>46178</v>
      </c>
      <c r="E11" s="6">
        <v>1609418</v>
      </c>
      <c r="F11" s="6" t="s">
        <v>26</v>
      </c>
      <c r="G11" s="6">
        <v>20324399</v>
      </c>
      <c r="H11" s="6" t="s">
        <v>130</v>
      </c>
      <c r="I11" s="6">
        <v>1</v>
      </c>
      <c r="J11" s="32" t="s">
        <v>28</v>
      </c>
      <c r="K11" s="20">
        <f t="shared" si="0"/>
        <v>12</v>
      </c>
      <c r="L11" s="21">
        <v>4.4</v>
      </c>
      <c r="M11" s="21">
        <v>52.8</v>
      </c>
      <c r="N11" s="21">
        <v>52.8</v>
      </c>
    </row>
    <row r="12" spans="1:14">
      <c r="D12" s="18">
        <v>46178</v>
      </c>
      <c r="E12" s="6">
        <v>1609418</v>
      </c>
      <c r="F12" s="6" t="s">
        <v>16</v>
      </c>
      <c r="G12" s="6">
        <v>20324369</v>
      </c>
      <c r="H12" s="6" t="s">
        <v>139</v>
      </c>
      <c r="I12" s="6">
        <v>1</v>
      </c>
      <c r="J12" s="32" t="s">
        <v>28</v>
      </c>
      <c r="K12" s="20">
        <f t="shared" ref="K12:K16" si="1">M12/L12</f>
        <v>3</v>
      </c>
      <c r="L12" s="21">
        <v>4.4</v>
      </c>
      <c r="M12" s="21">
        <v>13.2</v>
      </c>
      <c r="N12" s="21">
        <v>13.2</v>
      </c>
    </row>
    <row r="13" spans="1:14">
      <c r="D13" s="18">
        <v>46182</v>
      </c>
      <c r="E13" s="6">
        <v>1610411</v>
      </c>
      <c r="F13" s="6" t="s">
        <v>26</v>
      </c>
      <c r="G13" s="6">
        <v>20324400</v>
      </c>
      <c r="H13" s="6" t="s">
        <v>125</v>
      </c>
      <c r="I13" s="6">
        <v>9</v>
      </c>
      <c r="J13" s="32" t="s">
        <v>28</v>
      </c>
      <c r="K13" s="20">
        <f t="shared" si="1"/>
        <v>4</v>
      </c>
      <c r="L13" s="21">
        <v>4.4</v>
      </c>
      <c r="M13" s="21">
        <v>17.6</v>
      </c>
      <c r="N13" s="21">
        <v>158.4</v>
      </c>
    </row>
    <row r="14" spans="1:14">
      <c r="D14" s="18">
        <v>46182</v>
      </c>
      <c r="E14" s="6">
        <v>1610411</v>
      </c>
      <c r="F14" s="6" t="s">
        <v>16</v>
      </c>
      <c r="G14" s="6">
        <v>20324369</v>
      </c>
      <c r="H14" s="6" t="s">
        <v>139</v>
      </c>
      <c r="I14" s="6">
        <v>1</v>
      </c>
      <c r="J14" s="32" t="s">
        <v>28</v>
      </c>
      <c r="K14" s="20">
        <f t="shared" si="1"/>
        <v>3</v>
      </c>
      <c r="L14" s="21">
        <v>4.4</v>
      </c>
      <c r="M14" s="21">
        <v>13.2</v>
      </c>
      <c r="N14" s="21">
        <v>13.2</v>
      </c>
    </row>
    <row r="15" spans="1:14">
      <c r="D15" s="18">
        <v>46184</v>
      </c>
      <c r="E15" s="6">
        <v>1611547</v>
      </c>
      <c r="F15" s="6" t="s">
        <v>26</v>
      </c>
      <c r="G15" s="6">
        <v>20324400</v>
      </c>
      <c r="H15" s="6" t="s">
        <v>125</v>
      </c>
      <c r="I15" s="6">
        <v>11</v>
      </c>
      <c r="J15" s="32" t="s">
        <v>28</v>
      </c>
      <c r="K15" s="20">
        <f t="shared" si="1"/>
        <v>4</v>
      </c>
      <c r="L15" s="21">
        <v>4.4</v>
      </c>
      <c r="M15" s="21">
        <v>17.6</v>
      </c>
      <c r="N15" s="21">
        <v>193.6</v>
      </c>
    </row>
    <row r="16" spans="1:14">
      <c r="D16" s="18">
        <v>46184</v>
      </c>
      <c r="E16" s="6">
        <v>1611547</v>
      </c>
      <c r="F16" s="6" t="s">
        <v>26</v>
      </c>
      <c r="G16" s="6">
        <v>20324399</v>
      </c>
      <c r="H16" s="6" t="s">
        <v>130</v>
      </c>
      <c r="I16" s="6">
        <v>1</v>
      </c>
      <c r="J16" s="32" t="s">
        <v>28</v>
      </c>
      <c r="K16" s="20">
        <f t="shared" si="1"/>
        <v>12</v>
      </c>
      <c r="L16" s="21">
        <v>4.4</v>
      </c>
      <c r="M16" s="21">
        <v>52.8</v>
      </c>
      <c r="N16" s="21">
        <v>52.8</v>
      </c>
    </row>
    <row r="17" spans="4:14">
      <c r="D17" s="18">
        <v>46184</v>
      </c>
      <c r="E17" s="6">
        <v>1611591</v>
      </c>
      <c r="F17" s="6" t="s">
        <v>16</v>
      </c>
      <c r="G17" s="6">
        <v>20324364</v>
      </c>
      <c r="H17" s="6" t="s">
        <v>21</v>
      </c>
      <c r="I17" s="6">
        <v>1</v>
      </c>
      <c r="J17" s="19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spans="4:14">
      <c r="D18" s="18">
        <v>46184</v>
      </c>
      <c r="E18" s="6">
        <v>1611591</v>
      </c>
      <c r="F18" s="6" t="s">
        <v>16</v>
      </c>
      <c r="G18" s="6">
        <v>20324403</v>
      </c>
      <c r="H18" s="6" t="s">
        <v>121</v>
      </c>
      <c r="I18" s="6">
        <v>2</v>
      </c>
      <c r="J18" s="19" t="s">
        <v>18</v>
      </c>
      <c r="K18" s="20">
        <v>1</v>
      </c>
      <c r="L18" s="21">
        <v>6.4</v>
      </c>
      <c r="M18" s="21">
        <v>6.4</v>
      </c>
      <c r="N18" s="21">
        <v>12.8</v>
      </c>
    </row>
    <row r="19" spans="4:14">
      <c r="D19" s="18">
        <v>46184</v>
      </c>
      <c r="E19" s="6">
        <v>1611591</v>
      </c>
      <c r="F19" s="6" t="s">
        <v>16</v>
      </c>
      <c r="G19" s="6">
        <v>20324367</v>
      </c>
      <c r="H19" s="6" t="s">
        <v>154</v>
      </c>
      <c r="I19" s="6">
        <v>1</v>
      </c>
      <c r="J19" s="19" t="s">
        <v>18</v>
      </c>
      <c r="K19" s="20">
        <v>1</v>
      </c>
      <c r="L19" s="21">
        <v>6.4</v>
      </c>
      <c r="M19" s="21">
        <v>6.4</v>
      </c>
      <c r="N19" s="21">
        <v>6.4</v>
      </c>
    </row>
    <row r="20" spans="4:14">
      <c r="D20" s="18">
        <v>46189</v>
      </c>
      <c r="E20" s="6">
        <v>1612412</v>
      </c>
      <c r="F20" s="6" t="s">
        <v>16</v>
      </c>
      <c r="G20" s="6">
        <v>20324402</v>
      </c>
      <c r="H20" s="6" t="s">
        <v>24</v>
      </c>
      <c r="I20" s="6">
        <v>1</v>
      </c>
      <c r="J20" s="6" t="s">
        <v>20</v>
      </c>
      <c r="K20" s="20">
        <v>1</v>
      </c>
      <c r="L20" s="21">
        <v>8.8</v>
      </c>
      <c r="M20" s="21">
        <v>8.8</v>
      </c>
      <c r="N20" s="21">
        <v>8.8</v>
      </c>
    </row>
    <row r="21" spans="4:14">
      <c r="D21" s="18">
        <v>46189</v>
      </c>
      <c r="E21" s="6">
        <v>1612412</v>
      </c>
      <c r="F21" s="6" t="s">
        <v>26</v>
      </c>
      <c r="G21" s="6">
        <v>20324400</v>
      </c>
      <c r="H21" s="6" t="s">
        <v>125</v>
      </c>
      <c r="I21" s="6">
        <v>6</v>
      </c>
      <c r="J21" s="32" t="s">
        <v>28</v>
      </c>
      <c r="K21" s="20">
        <f t="shared" ref="K21:K26" si="2">M21/L21</f>
        <v>4</v>
      </c>
      <c r="L21" s="21">
        <v>4.4</v>
      </c>
      <c r="M21" s="21">
        <v>17.6</v>
      </c>
      <c r="N21" s="21">
        <v>105.6</v>
      </c>
    </row>
    <row r="22" spans="4:14">
      <c r="D22" s="18">
        <v>46189</v>
      </c>
      <c r="E22" s="6">
        <v>1612412</v>
      </c>
      <c r="F22" s="6" t="s">
        <v>26</v>
      </c>
      <c r="G22" s="6">
        <v>20324399</v>
      </c>
      <c r="H22" s="6" t="s">
        <v>130</v>
      </c>
      <c r="I22" s="6">
        <v>1</v>
      </c>
      <c r="J22" s="32" t="s">
        <v>28</v>
      </c>
      <c r="K22" s="20">
        <f t="shared" si="2"/>
        <v>12</v>
      </c>
      <c r="L22" s="21">
        <v>4.4</v>
      </c>
      <c r="M22" s="21">
        <v>52.8</v>
      </c>
      <c r="N22" s="21">
        <v>52.8</v>
      </c>
    </row>
    <row r="23" spans="4:14">
      <c r="D23" s="18">
        <v>46189</v>
      </c>
      <c r="E23" s="6">
        <v>1612412</v>
      </c>
      <c r="F23" s="6" t="s">
        <v>16</v>
      </c>
      <c r="G23" s="6">
        <v>20324369</v>
      </c>
      <c r="H23" s="6" t="s">
        <v>139</v>
      </c>
      <c r="I23" s="6">
        <v>1</v>
      </c>
      <c r="J23" s="32" t="s">
        <v>28</v>
      </c>
      <c r="K23" s="20">
        <f t="shared" si="2"/>
        <v>3</v>
      </c>
      <c r="L23" s="21">
        <v>4.4</v>
      </c>
      <c r="M23" s="21">
        <v>13.2</v>
      </c>
      <c r="N23" s="21">
        <v>13.2</v>
      </c>
    </row>
    <row r="24" spans="4:14">
      <c r="D24" s="18">
        <v>46191</v>
      </c>
      <c r="E24" s="6">
        <v>1613549</v>
      </c>
      <c r="F24" s="6" t="s">
        <v>26</v>
      </c>
      <c r="G24" s="6">
        <v>20324400</v>
      </c>
      <c r="H24" s="6" t="s">
        <v>125</v>
      </c>
      <c r="I24" s="6">
        <v>4</v>
      </c>
      <c r="J24" s="32" t="s">
        <v>28</v>
      </c>
      <c r="K24" s="20">
        <f t="shared" si="2"/>
        <v>4</v>
      </c>
      <c r="L24" s="21">
        <v>4.4</v>
      </c>
      <c r="M24" s="21">
        <v>17.6</v>
      </c>
      <c r="N24" s="21">
        <v>70.4</v>
      </c>
    </row>
    <row r="25" spans="4:14">
      <c r="D25" s="18">
        <v>46191</v>
      </c>
      <c r="E25" s="6">
        <v>1613549</v>
      </c>
      <c r="F25" s="6" t="s">
        <v>26</v>
      </c>
      <c r="G25" s="6">
        <v>20324399</v>
      </c>
      <c r="H25" s="6" t="s">
        <v>130</v>
      </c>
      <c r="I25" s="6">
        <v>3</v>
      </c>
      <c r="J25" s="32" t="s">
        <v>28</v>
      </c>
      <c r="K25" s="20">
        <f t="shared" si="2"/>
        <v>12</v>
      </c>
      <c r="L25" s="21">
        <v>4.4</v>
      </c>
      <c r="M25" s="21">
        <v>52.8</v>
      </c>
      <c r="N25" s="21">
        <v>158.4</v>
      </c>
    </row>
    <row r="26" spans="4:14">
      <c r="D26" s="18">
        <v>46197</v>
      </c>
      <c r="E26" s="6">
        <v>1614550</v>
      </c>
      <c r="F26" s="6" t="s">
        <v>26</v>
      </c>
      <c r="G26" s="6">
        <v>20324400</v>
      </c>
      <c r="H26" s="6" t="s">
        <v>125</v>
      </c>
      <c r="I26" s="6">
        <v>8</v>
      </c>
      <c r="J26" s="32" t="s">
        <v>28</v>
      </c>
      <c r="K26" s="20">
        <f t="shared" si="2"/>
        <v>4</v>
      </c>
      <c r="L26" s="21">
        <v>4.4</v>
      </c>
      <c r="M26" s="21">
        <v>17.6</v>
      </c>
      <c r="N26" s="21">
        <v>140.8</v>
      </c>
    </row>
    <row r="27" spans="4:14">
      <c r="D27" s="18">
        <v>46197</v>
      </c>
      <c r="E27" s="6">
        <v>1614550</v>
      </c>
      <c r="F27" s="6" t="s">
        <v>16</v>
      </c>
      <c r="G27" s="6">
        <v>20324369</v>
      </c>
      <c r="H27" s="6" t="s">
        <v>139</v>
      </c>
      <c r="I27" s="6">
        <v>1</v>
      </c>
      <c r="J27" s="32" t="s">
        <v>28</v>
      </c>
      <c r="K27" s="20">
        <f t="shared" ref="K27:K33" si="3">M27/L27</f>
        <v>3</v>
      </c>
      <c r="L27" s="21">
        <v>4.4</v>
      </c>
      <c r="M27" s="21">
        <v>13.2</v>
      </c>
      <c r="N27" s="21">
        <v>13.2</v>
      </c>
    </row>
    <row r="28" spans="4:14">
      <c r="D28" s="18">
        <v>46198</v>
      </c>
      <c r="E28" s="6">
        <v>1615295</v>
      </c>
      <c r="F28" s="6" t="s">
        <v>16</v>
      </c>
      <c r="G28" s="6">
        <v>20324364</v>
      </c>
      <c r="H28" s="6" t="s">
        <v>21</v>
      </c>
      <c r="I28" s="6">
        <v>1</v>
      </c>
      <c r="J28" s="19" t="s">
        <v>18</v>
      </c>
      <c r="K28" s="20">
        <v>1</v>
      </c>
      <c r="L28" s="21">
        <v>6.4</v>
      </c>
      <c r="M28" s="21">
        <v>6.4</v>
      </c>
      <c r="N28" s="21">
        <v>6.4</v>
      </c>
    </row>
    <row r="29" spans="4:14">
      <c r="D29" s="18">
        <v>46198</v>
      </c>
      <c r="E29" s="6">
        <v>1615295</v>
      </c>
      <c r="F29" s="6" t="s">
        <v>16</v>
      </c>
      <c r="G29" s="6">
        <v>20324403</v>
      </c>
      <c r="H29" s="6" t="s">
        <v>121</v>
      </c>
      <c r="I29" s="6">
        <v>3</v>
      </c>
      <c r="J29" s="19" t="s">
        <v>18</v>
      </c>
      <c r="K29" s="20">
        <v>1</v>
      </c>
      <c r="L29" s="21">
        <v>6.4</v>
      </c>
      <c r="M29" s="21">
        <v>6.4</v>
      </c>
      <c r="N29" s="21">
        <v>19.2</v>
      </c>
    </row>
    <row r="30" spans="4:14">
      <c r="D30" s="18">
        <v>46198</v>
      </c>
      <c r="E30" s="6">
        <v>1615295</v>
      </c>
      <c r="F30" s="6" t="s">
        <v>26</v>
      </c>
      <c r="G30" s="6">
        <v>20324400</v>
      </c>
      <c r="H30" s="6" t="s">
        <v>125</v>
      </c>
      <c r="I30" s="6">
        <v>9</v>
      </c>
      <c r="J30" s="32" t="s">
        <v>28</v>
      </c>
      <c r="K30" s="20">
        <f t="shared" si="3"/>
        <v>4</v>
      </c>
      <c r="L30" s="21">
        <v>4.4</v>
      </c>
      <c r="M30" s="21">
        <v>17.6</v>
      </c>
      <c r="N30" s="21">
        <v>158.4</v>
      </c>
    </row>
    <row r="31" spans="4:14">
      <c r="D31" s="18">
        <v>46198</v>
      </c>
      <c r="E31" s="6">
        <v>1615295</v>
      </c>
      <c r="F31" s="6" t="s">
        <v>26</v>
      </c>
      <c r="G31" s="6">
        <v>20324399</v>
      </c>
      <c r="H31" s="6" t="s">
        <v>130</v>
      </c>
      <c r="I31" s="6">
        <v>1</v>
      </c>
      <c r="J31" s="32" t="s">
        <v>28</v>
      </c>
      <c r="K31" s="20">
        <f t="shared" si="3"/>
        <v>12</v>
      </c>
      <c r="L31" s="21">
        <v>4.4</v>
      </c>
      <c r="M31" s="21">
        <v>52.8</v>
      </c>
      <c r="N31" s="21">
        <v>52.8</v>
      </c>
    </row>
    <row r="32" spans="4:14">
      <c r="D32" s="18">
        <v>46202</v>
      </c>
      <c r="E32" s="6">
        <v>1616124</v>
      </c>
      <c r="F32" s="6" t="s">
        <v>26</v>
      </c>
      <c r="G32" s="6">
        <v>20324400</v>
      </c>
      <c r="H32" s="6" t="s">
        <v>125</v>
      </c>
      <c r="I32" s="6">
        <v>8</v>
      </c>
      <c r="J32" s="32" t="s">
        <v>28</v>
      </c>
      <c r="K32" s="20">
        <f t="shared" si="3"/>
        <v>4</v>
      </c>
      <c r="L32" s="21">
        <v>4.4</v>
      </c>
      <c r="M32" s="21">
        <v>17.6</v>
      </c>
      <c r="N32" s="21">
        <v>140.8</v>
      </c>
    </row>
    <row r="33" spans="4:14">
      <c r="D33" s="18">
        <v>46202</v>
      </c>
      <c r="E33" s="6">
        <v>1616124</v>
      </c>
      <c r="F33" s="6" t="s">
        <v>16</v>
      </c>
      <c r="G33" s="6">
        <v>20324369</v>
      </c>
      <c r="H33" s="6" t="s">
        <v>139</v>
      </c>
      <c r="I33" s="6">
        <v>1</v>
      </c>
      <c r="J33" s="32" t="s">
        <v>28</v>
      </c>
      <c r="K33" s="20">
        <f t="shared" si="3"/>
        <v>3</v>
      </c>
      <c r="L33" s="21">
        <v>4.4</v>
      </c>
      <c r="M33" s="21">
        <v>13.2</v>
      </c>
      <c r="N33" s="21">
        <v>13.2</v>
      </c>
    </row>
  </sheetData>
  <autoFilter xmlns:etc="http://www.wps.cn/officeDocument/2017/etCustomData" ref="A7:N33" etc:filterBottomFollowUsedRange="0">
    <extLst/>
  </autoFilter>
  <mergeCells count="5">
    <mergeCell ref="D8:H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showGridLines="0" view="pageBreakPreview" zoomScaleNormal="100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7.75" customWidth="1"/>
    <col min="11" max="11" width="19.375" customWidth="1"/>
    <col min="12" max="12" width="13.7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207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25</v>
      </c>
      <c r="J8" s="42"/>
      <c r="K8" s="43"/>
      <c r="L8" s="43"/>
      <c r="M8" s="43"/>
      <c r="N8" s="43">
        <v>266</v>
      </c>
    </row>
    <row r="9" spans="1:14">
      <c r="D9" s="13">
        <v>46182</v>
      </c>
      <c r="E9" s="14">
        <v>1610412</v>
      </c>
      <c r="F9" s="14" t="s">
        <v>16</v>
      </c>
      <c r="G9" s="14">
        <v>20324364</v>
      </c>
      <c r="H9" s="14" t="s">
        <v>21</v>
      </c>
      <c r="I9" s="14">
        <v>6</v>
      </c>
      <c r="J9" s="15" t="s">
        <v>18</v>
      </c>
      <c r="K9" s="16">
        <v>1</v>
      </c>
      <c r="L9" s="17">
        <v>6.4</v>
      </c>
      <c r="M9" s="17">
        <v>6.4</v>
      </c>
      <c r="N9" s="17">
        <v>38.4</v>
      </c>
    </row>
    <row r="10" spans="1:14">
      <c r="D10" s="18">
        <v>46182</v>
      </c>
      <c r="E10" s="6">
        <v>1610412</v>
      </c>
      <c r="F10" s="6" t="s">
        <v>16</v>
      </c>
      <c r="G10" s="6">
        <v>20324363</v>
      </c>
      <c r="H10" s="6" t="s">
        <v>25</v>
      </c>
      <c r="I10" s="6">
        <v>4</v>
      </c>
      <c r="J10" s="19" t="s">
        <v>18</v>
      </c>
      <c r="K10" s="20">
        <v>1</v>
      </c>
      <c r="L10" s="21">
        <v>6.4</v>
      </c>
      <c r="M10" s="21">
        <v>6.4</v>
      </c>
      <c r="N10" s="21">
        <v>25.6</v>
      </c>
    </row>
    <row r="11" spans="1:14">
      <c r="D11" s="18">
        <v>46182</v>
      </c>
      <c r="E11" s="6">
        <v>1610412</v>
      </c>
      <c r="F11" s="6" t="s">
        <v>26</v>
      </c>
      <c r="G11" s="6">
        <v>20351602</v>
      </c>
      <c r="H11" s="6" t="s">
        <v>208</v>
      </c>
      <c r="I11" s="6">
        <v>1</v>
      </c>
      <c r="J11" s="32" t="s">
        <v>28</v>
      </c>
      <c r="K11" s="20">
        <f>M11/L11</f>
        <v>24</v>
      </c>
      <c r="L11" s="21">
        <v>4.4</v>
      </c>
      <c r="M11" s="21">
        <v>105.6</v>
      </c>
      <c r="N11" s="21">
        <v>105.6</v>
      </c>
    </row>
    <row r="12" spans="1:14">
      <c r="D12" s="18">
        <v>46182</v>
      </c>
      <c r="E12" s="6">
        <v>1610412</v>
      </c>
      <c r="F12" s="6" t="s">
        <v>16</v>
      </c>
      <c r="G12" s="6">
        <v>20324717</v>
      </c>
      <c r="H12" s="6" t="s">
        <v>127</v>
      </c>
      <c r="I12" s="6">
        <v>1</v>
      </c>
      <c r="J12" s="32" t="s">
        <v>28</v>
      </c>
      <c r="K12" s="20">
        <f>M12/L12</f>
        <v>3</v>
      </c>
      <c r="L12" s="21">
        <v>4.4</v>
      </c>
      <c r="M12" s="21">
        <v>13.2</v>
      </c>
      <c r="N12" s="21">
        <v>13.2</v>
      </c>
    </row>
    <row r="13" spans="1:14">
      <c r="D13" s="18">
        <v>46202</v>
      </c>
      <c r="E13" s="6">
        <v>1616125</v>
      </c>
      <c r="F13" s="6" t="s">
        <v>16</v>
      </c>
      <c r="G13" s="6">
        <v>20324364</v>
      </c>
      <c r="H13" s="6" t="s">
        <v>21</v>
      </c>
      <c r="I13" s="6">
        <v>8</v>
      </c>
      <c r="J13" s="19" t="s">
        <v>18</v>
      </c>
      <c r="K13" s="20">
        <v>1</v>
      </c>
      <c r="L13" s="21">
        <v>6.4</v>
      </c>
      <c r="M13" s="21">
        <v>6.4</v>
      </c>
      <c r="N13" s="21">
        <v>51.2</v>
      </c>
    </row>
    <row r="14" spans="1:14">
      <c r="D14" s="18">
        <v>46202</v>
      </c>
      <c r="E14" s="6">
        <v>1616125</v>
      </c>
      <c r="F14" s="6" t="s">
        <v>16</v>
      </c>
      <c r="G14" s="6">
        <v>20324533</v>
      </c>
      <c r="H14" s="6" t="s">
        <v>122</v>
      </c>
      <c r="I14" s="6">
        <v>1</v>
      </c>
      <c r="J14" s="19" t="s">
        <v>18</v>
      </c>
      <c r="K14" s="20">
        <v>1</v>
      </c>
      <c r="L14" s="21">
        <v>6.4</v>
      </c>
      <c r="M14" s="21">
        <v>6.4</v>
      </c>
      <c r="N14" s="21">
        <v>6.4</v>
      </c>
    </row>
    <row r="15" spans="1:14">
      <c r="D15" s="18">
        <v>46202</v>
      </c>
      <c r="E15" s="6">
        <v>1616125</v>
      </c>
      <c r="F15" s="6" t="s">
        <v>16</v>
      </c>
      <c r="G15" s="6">
        <v>20324363</v>
      </c>
      <c r="H15" s="6" t="s">
        <v>25</v>
      </c>
      <c r="I15" s="6">
        <v>4</v>
      </c>
      <c r="J15" s="19" t="s">
        <v>18</v>
      </c>
      <c r="K15" s="20">
        <v>1</v>
      </c>
      <c r="L15" s="21">
        <v>6.4</v>
      </c>
      <c r="M15" s="21">
        <v>6.4</v>
      </c>
      <c r="N15" s="21">
        <v>25.6</v>
      </c>
    </row>
    <row r="16" ht="0.05" customHeight="1"/>
  </sheetData>
  <autoFilter xmlns:etc="http://www.wps.cn/officeDocument/2017/etCustomData" ref="A7:N15" etc:filterBottomFollowUsedRange="0">
    <extLst/>
  </autoFilter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75" customWidth="1"/>
    <col min="12" max="12" width="13.7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209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24</v>
      </c>
      <c r="J8" s="42"/>
      <c r="K8" s="43"/>
      <c r="L8" s="43"/>
      <c r="M8" s="43"/>
      <c r="N8" s="43">
        <v>76.8</v>
      </c>
    </row>
    <row r="9" spans="1:14">
      <c r="D9" s="13">
        <v>46178</v>
      </c>
      <c r="E9" s="14">
        <v>1609419</v>
      </c>
      <c r="F9" s="14" t="s">
        <v>51</v>
      </c>
      <c r="G9" s="14">
        <v>20354932</v>
      </c>
      <c r="H9" s="14" t="s">
        <v>210</v>
      </c>
      <c r="I9" s="14">
        <v>6</v>
      </c>
      <c r="J9" s="121" t="s">
        <v>86</v>
      </c>
      <c r="K9" s="16">
        <v>1</v>
      </c>
      <c r="L9" s="17">
        <v>3.2</v>
      </c>
      <c r="M9" s="17">
        <v>3.2</v>
      </c>
      <c r="N9" s="17">
        <v>19.2</v>
      </c>
    </row>
    <row r="10" spans="1:14">
      <c r="D10" s="18">
        <v>46184</v>
      </c>
      <c r="E10" s="6">
        <v>1611539</v>
      </c>
      <c r="F10" s="6" t="s">
        <v>51</v>
      </c>
      <c r="G10" s="6">
        <v>20354932</v>
      </c>
      <c r="H10" s="6" t="s">
        <v>210</v>
      </c>
      <c r="I10" s="6">
        <v>5</v>
      </c>
      <c r="J10" s="33" t="s">
        <v>86</v>
      </c>
      <c r="K10" s="20">
        <v>1</v>
      </c>
      <c r="L10" s="21">
        <v>3.2</v>
      </c>
      <c r="M10" s="21">
        <v>3.2</v>
      </c>
      <c r="N10" s="21">
        <v>16</v>
      </c>
    </row>
    <row r="11" spans="1:14">
      <c r="D11" s="18">
        <v>46191</v>
      </c>
      <c r="E11" s="6">
        <v>1613550</v>
      </c>
      <c r="F11" s="6" t="s">
        <v>51</v>
      </c>
      <c r="G11" s="6">
        <v>20354932</v>
      </c>
      <c r="H11" s="6" t="s">
        <v>210</v>
      </c>
      <c r="I11" s="6">
        <v>6</v>
      </c>
      <c r="J11" s="33" t="s">
        <v>86</v>
      </c>
      <c r="K11" s="20">
        <v>1</v>
      </c>
      <c r="L11" s="21">
        <v>3.2</v>
      </c>
      <c r="M11" s="21">
        <v>3.2</v>
      </c>
      <c r="N11" s="21">
        <v>19.2</v>
      </c>
    </row>
    <row r="12" spans="1:14">
      <c r="D12" s="18">
        <v>46198</v>
      </c>
      <c r="E12" s="6">
        <v>1615296</v>
      </c>
      <c r="F12" s="6" t="s">
        <v>51</v>
      </c>
      <c r="G12" s="6">
        <v>20354932</v>
      </c>
      <c r="H12" s="6" t="s">
        <v>210</v>
      </c>
      <c r="I12" s="6">
        <v>7</v>
      </c>
      <c r="J12" s="33" t="s">
        <v>86</v>
      </c>
      <c r="K12" s="20">
        <v>1</v>
      </c>
      <c r="L12" s="21">
        <v>3.2</v>
      </c>
      <c r="M12" s="21">
        <v>3.2</v>
      </c>
      <c r="N12" s="21">
        <v>22.4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8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F32" sqref="F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75" customWidth="1"/>
    <col min="12" max="12" width="13.7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211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4</v>
      </c>
      <c r="J8" s="42"/>
      <c r="K8" s="43"/>
      <c r="L8" s="43"/>
      <c r="M8" s="43"/>
      <c r="N8" s="43">
        <v>30.4</v>
      </c>
    </row>
    <row r="9" spans="1:14">
      <c r="D9" s="13">
        <v>46183</v>
      </c>
      <c r="E9" s="14">
        <v>1610846</v>
      </c>
      <c r="F9" s="14" t="s">
        <v>16</v>
      </c>
      <c r="G9" s="14">
        <v>20324557</v>
      </c>
      <c r="H9" s="14" t="s">
        <v>147</v>
      </c>
      <c r="I9" s="14">
        <v>2</v>
      </c>
      <c r="J9" s="15" t="s">
        <v>18</v>
      </c>
      <c r="K9" s="16">
        <v>1</v>
      </c>
      <c r="L9" s="17">
        <v>6.4</v>
      </c>
      <c r="M9" s="17">
        <v>6.4</v>
      </c>
      <c r="N9" s="17">
        <v>12.8</v>
      </c>
    </row>
    <row r="10" spans="1:14">
      <c r="D10" s="18">
        <v>46183</v>
      </c>
      <c r="E10" s="6">
        <v>1610846</v>
      </c>
      <c r="F10" s="6" t="s">
        <v>16</v>
      </c>
      <c r="G10" s="6">
        <v>20324559</v>
      </c>
      <c r="H10" s="6" t="s">
        <v>148</v>
      </c>
      <c r="I10" s="6">
        <v>2</v>
      </c>
      <c r="J10" s="6" t="s">
        <v>20</v>
      </c>
      <c r="K10" s="20">
        <v>1</v>
      </c>
      <c r="L10" s="21">
        <v>8.8</v>
      </c>
      <c r="M10" s="21">
        <v>8.8</v>
      </c>
      <c r="N10" s="21">
        <v>17.6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8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"/>
  <sheetViews>
    <sheetView showGridLines="0" view="pageBreakPreview" zoomScaleNormal="100" workbookViewId="0">
      <pane ySplit="6" topLeftCell="A7" activePane="bottomLeft" state="frozen"/>
      <selection/>
      <selection pane="bottomLeft" activeCell="J31" sqref="J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75" customWidth="1"/>
    <col min="12" max="12" width="13.7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212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403</v>
      </c>
      <c r="J8" s="42"/>
      <c r="K8" s="43"/>
      <c r="L8" s="43"/>
      <c r="M8" s="43"/>
      <c r="N8" s="43">
        <v>2730.4</v>
      </c>
    </row>
    <row r="9" spans="1:14">
      <c r="D9" s="13">
        <v>46175</v>
      </c>
      <c r="E9" s="14">
        <v>1608268</v>
      </c>
      <c r="F9" s="14" t="s">
        <v>16</v>
      </c>
      <c r="G9" s="14">
        <v>20324516</v>
      </c>
      <c r="H9" s="14" t="s">
        <v>213</v>
      </c>
      <c r="I9" s="14">
        <v>1</v>
      </c>
      <c r="J9" s="15" t="s">
        <v>18</v>
      </c>
      <c r="K9" s="16">
        <v>1</v>
      </c>
      <c r="L9" s="17">
        <v>6.4</v>
      </c>
      <c r="M9" s="17">
        <v>6.4</v>
      </c>
      <c r="N9" s="17">
        <v>6.4</v>
      </c>
    </row>
    <row r="10" spans="1:14">
      <c r="D10" s="18">
        <v>46175</v>
      </c>
      <c r="E10" s="6">
        <v>1608268</v>
      </c>
      <c r="F10" s="6" t="s">
        <v>16</v>
      </c>
      <c r="G10" s="6">
        <v>20324514</v>
      </c>
      <c r="H10" s="6" t="s">
        <v>214</v>
      </c>
      <c r="I10" s="6">
        <v>1</v>
      </c>
      <c r="J10" s="19" t="s">
        <v>18</v>
      </c>
      <c r="K10" s="20">
        <v>1</v>
      </c>
      <c r="L10" s="21">
        <v>6.4</v>
      </c>
      <c r="M10" s="21">
        <v>6.4</v>
      </c>
      <c r="N10" s="21">
        <v>6.4</v>
      </c>
    </row>
    <row r="11" spans="1:14">
      <c r="D11" s="18">
        <v>46175</v>
      </c>
      <c r="E11" s="6">
        <v>1608268</v>
      </c>
      <c r="F11" s="6" t="s">
        <v>16</v>
      </c>
      <c r="G11" s="6">
        <v>20324535</v>
      </c>
      <c r="H11" s="6" t="s">
        <v>215</v>
      </c>
      <c r="I11" s="6">
        <v>1</v>
      </c>
      <c r="J11" s="19" t="s">
        <v>18</v>
      </c>
      <c r="K11" s="20">
        <v>1</v>
      </c>
      <c r="L11" s="21">
        <v>6.4</v>
      </c>
      <c r="M11" s="21">
        <v>6.4</v>
      </c>
      <c r="N11" s="21">
        <v>6.4</v>
      </c>
    </row>
    <row r="12" spans="1:14">
      <c r="D12" s="18">
        <v>46175</v>
      </c>
      <c r="E12" s="6">
        <v>1608268</v>
      </c>
      <c r="F12" s="6" t="s">
        <v>16</v>
      </c>
      <c r="G12" s="6">
        <v>20324803</v>
      </c>
      <c r="H12" s="6" t="s">
        <v>216</v>
      </c>
      <c r="I12" s="6">
        <v>2</v>
      </c>
      <c r="J12" s="6" t="s">
        <v>20</v>
      </c>
      <c r="K12" s="20">
        <v>1</v>
      </c>
      <c r="L12" s="21">
        <v>8.8</v>
      </c>
      <c r="M12" s="21">
        <v>8.8</v>
      </c>
      <c r="N12" s="21">
        <v>17.6</v>
      </c>
    </row>
    <row r="13" spans="1:14">
      <c r="D13" s="18">
        <v>46175</v>
      </c>
      <c r="E13" s="6">
        <v>1608268</v>
      </c>
      <c r="F13" s="6" t="s">
        <v>16</v>
      </c>
      <c r="G13" s="6">
        <v>20324413</v>
      </c>
      <c r="H13" s="6" t="s">
        <v>158</v>
      </c>
      <c r="I13" s="6">
        <v>1</v>
      </c>
      <c r="J13" s="19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18">
        <v>46175</v>
      </c>
      <c r="E14" s="6">
        <v>1608268</v>
      </c>
      <c r="F14" s="6" t="s">
        <v>16</v>
      </c>
      <c r="G14" s="6">
        <v>20324801</v>
      </c>
      <c r="H14" s="6" t="s">
        <v>217</v>
      </c>
      <c r="I14" s="6">
        <v>4</v>
      </c>
      <c r="J14" s="19" t="s">
        <v>18</v>
      </c>
      <c r="K14" s="20">
        <v>1</v>
      </c>
      <c r="L14" s="21">
        <v>6.4</v>
      </c>
      <c r="M14" s="21">
        <v>6.4</v>
      </c>
      <c r="N14" s="21">
        <v>25.6</v>
      </c>
    </row>
    <row r="15" spans="1:14">
      <c r="D15" s="18">
        <v>46175</v>
      </c>
      <c r="E15" s="6">
        <v>1608268</v>
      </c>
      <c r="F15" s="6" t="s">
        <v>16</v>
      </c>
      <c r="G15" s="6">
        <v>20324538</v>
      </c>
      <c r="H15" s="6" t="s">
        <v>218</v>
      </c>
      <c r="I15" s="6">
        <v>1</v>
      </c>
      <c r="J15" s="19" t="s">
        <v>18</v>
      </c>
      <c r="K15" s="20">
        <v>1</v>
      </c>
      <c r="L15" s="21">
        <v>6.4</v>
      </c>
      <c r="M15" s="21">
        <v>6.4</v>
      </c>
      <c r="N15" s="21">
        <v>6.4</v>
      </c>
    </row>
    <row r="16" spans="1:14">
      <c r="D16" s="18">
        <v>46175</v>
      </c>
      <c r="E16" s="6">
        <v>1608268</v>
      </c>
      <c r="F16" s="6" t="s">
        <v>16</v>
      </c>
      <c r="G16" s="6">
        <v>20324534</v>
      </c>
      <c r="H16" s="6" t="s">
        <v>219</v>
      </c>
      <c r="I16" s="6">
        <v>11</v>
      </c>
      <c r="J16" s="19" t="s">
        <v>18</v>
      </c>
      <c r="K16" s="20">
        <v>1</v>
      </c>
      <c r="L16" s="21">
        <v>6.4</v>
      </c>
      <c r="M16" s="21">
        <v>6.4</v>
      </c>
      <c r="N16" s="21">
        <v>70.4</v>
      </c>
    </row>
    <row r="17" spans="4:14">
      <c r="D17" s="18">
        <v>46175</v>
      </c>
      <c r="E17" s="6">
        <v>1608268</v>
      </c>
      <c r="F17" s="6" t="s">
        <v>16</v>
      </c>
      <c r="G17" s="6">
        <v>20324545</v>
      </c>
      <c r="H17" s="6" t="s">
        <v>220</v>
      </c>
      <c r="I17" s="6">
        <v>2</v>
      </c>
      <c r="J17" s="19" t="s">
        <v>18</v>
      </c>
      <c r="K17" s="20">
        <v>1</v>
      </c>
      <c r="L17" s="21">
        <v>6.4</v>
      </c>
      <c r="M17" s="21">
        <v>6.4</v>
      </c>
      <c r="N17" s="21">
        <v>12.8</v>
      </c>
    </row>
    <row r="18" spans="4:14">
      <c r="D18" s="18">
        <v>46176</v>
      </c>
      <c r="E18" s="6">
        <v>1608658</v>
      </c>
      <c r="F18" s="6" t="s">
        <v>16</v>
      </c>
      <c r="G18" s="6">
        <v>20324535</v>
      </c>
      <c r="H18" s="6" t="s">
        <v>215</v>
      </c>
      <c r="I18" s="6">
        <v>1</v>
      </c>
      <c r="J18" s="19" t="s">
        <v>18</v>
      </c>
      <c r="K18" s="20">
        <v>1</v>
      </c>
      <c r="L18" s="21">
        <v>6.4</v>
      </c>
      <c r="M18" s="21">
        <v>6.4</v>
      </c>
      <c r="N18" s="21">
        <v>6.4</v>
      </c>
    </row>
    <row r="19" spans="4:14">
      <c r="D19" s="18">
        <v>46176</v>
      </c>
      <c r="E19" s="6">
        <v>1608658</v>
      </c>
      <c r="F19" s="6" t="s">
        <v>16</v>
      </c>
      <c r="G19" s="6">
        <v>20324803</v>
      </c>
      <c r="H19" s="6" t="s">
        <v>216</v>
      </c>
      <c r="I19" s="6">
        <v>1</v>
      </c>
      <c r="J19" s="6" t="s">
        <v>20</v>
      </c>
      <c r="K19" s="20">
        <v>1</v>
      </c>
      <c r="L19" s="21">
        <v>8.8</v>
      </c>
      <c r="M19" s="21">
        <v>8.8</v>
      </c>
      <c r="N19" s="21">
        <v>8.8</v>
      </c>
    </row>
    <row r="20" spans="4:14">
      <c r="D20" s="18">
        <v>46176</v>
      </c>
      <c r="E20" s="6">
        <v>1608658</v>
      </c>
      <c r="F20" s="6" t="s">
        <v>16</v>
      </c>
      <c r="G20" s="6">
        <v>20324534</v>
      </c>
      <c r="H20" s="6" t="s">
        <v>219</v>
      </c>
      <c r="I20" s="6">
        <v>8</v>
      </c>
      <c r="J20" s="19" t="s">
        <v>18</v>
      </c>
      <c r="K20" s="20">
        <v>1</v>
      </c>
      <c r="L20" s="21">
        <v>6.4</v>
      </c>
      <c r="M20" s="21">
        <v>6.4</v>
      </c>
      <c r="N20" s="21">
        <v>51.2</v>
      </c>
    </row>
    <row r="21" spans="4:14">
      <c r="D21" s="18">
        <v>46176</v>
      </c>
      <c r="E21" s="6">
        <v>1608658</v>
      </c>
      <c r="F21" s="6" t="s">
        <v>16</v>
      </c>
      <c r="G21" s="6">
        <v>20330331</v>
      </c>
      <c r="H21" s="6" t="s">
        <v>221</v>
      </c>
      <c r="I21" s="6">
        <v>1</v>
      </c>
      <c r="J21" s="6" t="s">
        <v>222</v>
      </c>
      <c r="K21" s="20">
        <v>1</v>
      </c>
      <c r="L21" s="8">
        <v>10.4</v>
      </c>
      <c r="M21" s="21">
        <v>10.4</v>
      </c>
      <c r="N21" s="21">
        <v>10.4</v>
      </c>
    </row>
    <row r="22" spans="4:14">
      <c r="D22" s="18">
        <v>46177</v>
      </c>
      <c r="E22" s="6">
        <v>1609078</v>
      </c>
      <c r="F22" s="6" t="s">
        <v>16</v>
      </c>
      <c r="G22" s="6">
        <v>20324803</v>
      </c>
      <c r="H22" s="6" t="s">
        <v>216</v>
      </c>
      <c r="I22" s="6">
        <v>2</v>
      </c>
      <c r="J22" s="6" t="s">
        <v>20</v>
      </c>
      <c r="K22" s="20">
        <v>1</v>
      </c>
      <c r="L22" s="21">
        <v>8.8</v>
      </c>
      <c r="M22" s="21">
        <v>8.8</v>
      </c>
      <c r="N22" s="21">
        <v>17.6</v>
      </c>
    </row>
    <row r="23" spans="4:14">
      <c r="D23" s="18">
        <v>46177</v>
      </c>
      <c r="E23" s="6">
        <v>1609078</v>
      </c>
      <c r="F23" s="6" t="s">
        <v>16</v>
      </c>
      <c r="G23" s="6">
        <v>20324801</v>
      </c>
      <c r="H23" s="6" t="s">
        <v>217</v>
      </c>
      <c r="I23" s="6">
        <v>2</v>
      </c>
      <c r="J23" s="19" t="s">
        <v>18</v>
      </c>
      <c r="K23" s="20">
        <v>1</v>
      </c>
      <c r="L23" s="21">
        <v>6.4</v>
      </c>
      <c r="M23" s="21">
        <v>6.4</v>
      </c>
      <c r="N23" s="21">
        <v>12.8</v>
      </c>
    </row>
    <row r="24" spans="4:14">
      <c r="D24" s="18">
        <v>46177</v>
      </c>
      <c r="E24" s="6">
        <v>1609078</v>
      </c>
      <c r="F24" s="6" t="s">
        <v>16</v>
      </c>
      <c r="G24" s="6">
        <v>20324364</v>
      </c>
      <c r="H24" s="6" t="s">
        <v>21</v>
      </c>
      <c r="I24" s="6">
        <v>1</v>
      </c>
      <c r="J24" s="19" t="s">
        <v>18</v>
      </c>
      <c r="K24" s="20">
        <v>1</v>
      </c>
      <c r="L24" s="21">
        <v>6.4</v>
      </c>
      <c r="M24" s="21">
        <v>6.4</v>
      </c>
      <c r="N24" s="21">
        <v>6.4</v>
      </c>
    </row>
    <row r="25" spans="4:14">
      <c r="D25" s="18">
        <v>46177</v>
      </c>
      <c r="E25" s="6">
        <v>1609078</v>
      </c>
      <c r="F25" s="6" t="s">
        <v>16</v>
      </c>
      <c r="G25" s="6">
        <v>20324557</v>
      </c>
      <c r="H25" s="6" t="s">
        <v>147</v>
      </c>
      <c r="I25" s="6">
        <v>1</v>
      </c>
      <c r="J25" s="19" t="s">
        <v>18</v>
      </c>
      <c r="K25" s="20">
        <v>1</v>
      </c>
      <c r="L25" s="21">
        <v>6.4</v>
      </c>
      <c r="M25" s="21">
        <v>6.4</v>
      </c>
      <c r="N25" s="21">
        <v>6.4</v>
      </c>
    </row>
    <row r="26" spans="4:14">
      <c r="D26" s="18">
        <v>46177</v>
      </c>
      <c r="E26" s="6">
        <v>1609078</v>
      </c>
      <c r="F26" s="6" t="s">
        <v>16</v>
      </c>
      <c r="G26" s="6">
        <v>20324534</v>
      </c>
      <c r="H26" s="6" t="s">
        <v>219</v>
      </c>
      <c r="I26" s="6">
        <v>9</v>
      </c>
      <c r="J26" s="19" t="s">
        <v>18</v>
      </c>
      <c r="K26" s="20">
        <v>1</v>
      </c>
      <c r="L26" s="21">
        <v>6.4</v>
      </c>
      <c r="M26" s="21">
        <v>6.4</v>
      </c>
      <c r="N26" s="21">
        <v>57.6</v>
      </c>
    </row>
    <row r="27" spans="4:14">
      <c r="D27" s="18">
        <v>46177</v>
      </c>
      <c r="E27" s="6">
        <v>1609078</v>
      </c>
      <c r="F27" s="6" t="s">
        <v>16</v>
      </c>
      <c r="G27" s="6">
        <v>20324545</v>
      </c>
      <c r="H27" s="6" t="s">
        <v>220</v>
      </c>
      <c r="I27" s="6">
        <v>1</v>
      </c>
      <c r="J27" s="19" t="s">
        <v>18</v>
      </c>
      <c r="K27" s="20">
        <v>1</v>
      </c>
      <c r="L27" s="21">
        <v>6.4</v>
      </c>
      <c r="M27" s="21">
        <v>6.4</v>
      </c>
      <c r="N27" s="21">
        <v>6.4</v>
      </c>
    </row>
    <row r="28" spans="4:14">
      <c r="D28" s="18">
        <v>46177</v>
      </c>
      <c r="E28" s="6">
        <v>1609078</v>
      </c>
      <c r="F28" s="6" t="s">
        <v>16</v>
      </c>
      <c r="G28" s="6">
        <v>20330331</v>
      </c>
      <c r="H28" s="6" t="s">
        <v>221</v>
      </c>
      <c r="I28" s="6">
        <v>1</v>
      </c>
      <c r="J28" s="6" t="s">
        <v>222</v>
      </c>
      <c r="K28" s="20">
        <v>1</v>
      </c>
      <c r="L28" s="8">
        <v>10.4</v>
      </c>
      <c r="M28" s="21">
        <v>10.4</v>
      </c>
      <c r="N28" s="21">
        <v>10.4</v>
      </c>
    </row>
    <row r="29" spans="4:14">
      <c r="D29" s="18">
        <v>46178</v>
      </c>
      <c r="E29" s="6">
        <v>1609420</v>
      </c>
      <c r="F29" s="6" t="s">
        <v>16</v>
      </c>
      <c r="G29" s="6">
        <v>20324803</v>
      </c>
      <c r="H29" s="6" t="s">
        <v>216</v>
      </c>
      <c r="I29" s="6">
        <v>3</v>
      </c>
      <c r="J29" s="6" t="s">
        <v>20</v>
      </c>
      <c r="K29" s="20">
        <v>1</v>
      </c>
      <c r="L29" s="21">
        <v>8.8</v>
      </c>
      <c r="M29" s="21">
        <v>8.8</v>
      </c>
      <c r="N29" s="21">
        <v>26.4</v>
      </c>
    </row>
    <row r="30" spans="4:14">
      <c r="D30" s="18">
        <v>46178</v>
      </c>
      <c r="E30" s="6">
        <v>1609420</v>
      </c>
      <c r="F30" s="6" t="s">
        <v>16</v>
      </c>
      <c r="G30" s="6">
        <v>20324801</v>
      </c>
      <c r="H30" s="6" t="s">
        <v>217</v>
      </c>
      <c r="I30" s="6">
        <v>6</v>
      </c>
      <c r="J30" s="19" t="s">
        <v>18</v>
      </c>
      <c r="K30" s="20">
        <v>1</v>
      </c>
      <c r="L30" s="21">
        <v>6.4</v>
      </c>
      <c r="M30" s="21">
        <v>6.4</v>
      </c>
      <c r="N30" s="21">
        <v>38.4</v>
      </c>
    </row>
    <row r="31" spans="4:14">
      <c r="D31" s="18">
        <v>46178</v>
      </c>
      <c r="E31" s="6">
        <v>1609420</v>
      </c>
      <c r="F31" s="6" t="s">
        <v>16</v>
      </c>
      <c r="G31" s="6">
        <v>20324557</v>
      </c>
      <c r="H31" s="6" t="s">
        <v>147</v>
      </c>
      <c r="I31" s="6">
        <v>3</v>
      </c>
      <c r="J31" s="19" t="s">
        <v>18</v>
      </c>
      <c r="K31" s="20">
        <v>1</v>
      </c>
      <c r="L31" s="21">
        <v>6.4</v>
      </c>
      <c r="M31" s="21">
        <v>6.4</v>
      </c>
      <c r="N31" s="21">
        <v>19.2</v>
      </c>
    </row>
    <row r="32" spans="4:14">
      <c r="D32" s="18">
        <v>46178</v>
      </c>
      <c r="E32" s="6">
        <v>1609420</v>
      </c>
      <c r="F32" s="6" t="s">
        <v>16</v>
      </c>
      <c r="G32" s="6">
        <v>20324534</v>
      </c>
      <c r="H32" s="6" t="s">
        <v>219</v>
      </c>
      <c r="I32" s="6">
        <v>12</v>
      </c>
      <c r="J32" s="19" t="s">
        <v>18</v>
      </c>
      <c r="K32" s="20">
        <v>1</v>
      </c>
      <c r="L32" s="21">
        <v>6.4</v>
      </c>
      <c r="M32" s="21">
        <v>6.4</v>
      </c>
      <c r="N32" s="21">
        <v>76.8</v>
      </c>
    </row>
    <row r="33" spans="4:14">
      <c r="D33" s="18">
        <v>46178</v>
      </c>
      <c r="E33" s="6">
        <v>1609420</v>
      </c>
      <c r="F33" s="6" t="s">
        <v>16</v>
      </c>
      <c r="G33" s="6">
        <v>20324545</v>
      </c>
      <c r="H33" s="6" t="s">
        <v>220</v>
      </c>
      <c r="I33" s="6">
        <v>2</v>
      </c>
      <c r="J33" s="19" t="s">
        <v>18</v>
      </c>
      <c r="K33" s="20">
        <v>1</v>
      </c>
      <c r="L33" s="21">
        <v>6.4</v>
      </c>
      <c r="M33" s="21">
        <v>6.4</v>
      </c>
      <c r="N33" s="21">
        <v>12.8</v>
      </c>
    </row>
    <row r="34" spans="4:14">
      <c r="D34" s="18">
        <v>46179</v>
      </c>
      <c r="E34" s="6">
        <v>1609861</v>
      </c>
      <c r="F34" s="6" t="s">
        <v>16</v>
      </c>
      <c r="G34" s="6">
        <v>20324535</v>
      </c>
      <c r="H34" s="6" t="s">
        <v>215</v>
      </c>
      <c r="I34" s="6">
        <v>2</v>
      </c>
      <c r="J34" s="19" t="s">
        <v>18</v>
      </c>
      <c r="K34" s="20">
        <v>1</v>
      </c>
      <c r="L34" s="21">
        <v>6.4</v>
      </c>
      <c r="M34" s="21">
        <v>6.4</v>
      </c>
      <c r="N34" s="21">
        <v>12.8</v>
      </c>
    </row>
    <row r="35" spans="4:14">
      <c r="D35" s="18">
        <v>46179</v>
      </c>
      <c r="E35" s="6">
        <v>1609861</v>
      </c>
      <c r="F35" s="6" t="s">
        <v>16</v>
      </c>
      <c r="G35" s="6">
        <v>20324803</v>
      </c>
      <c r="H35" s="6" t="s">
        <v>216</v>
      </c>
      <c r="I35" s="6">
        <v>3</v>
      </c>
      <c r="J35" s="6" t="s">
        <v>20</v>
      </c>
      <c r="K35" s="20">
        <v>1</v>
      </c>
      <c r="L35" s="21">
        <v>8.8</v>
      </c>
      <c r="M35" s="21">
        <v>8.8</v>
      </c>
      <c r="N35" s="21">
        <v>26.4</v>
      </c>
    </row>
    <row r="36" spans="4:14">
      <c r="D36" s="18">
        <v>46179</v>
      </c>
      <c r="E36" s="6">
        <v>1609861</v>
      </c>
      <c r="F36" s="6" t="s">
        <v>16</v>
      </c>
      <c r="G36" s="6">
        <v>20324801</v>
      </c>
      <c r="H36" s="6" t="s">
        <v>217</v>
      </c>
      <c r="I36" s="6">
        <v>5</v>
      </c>
      <c r="J36" s="19" t="s">
        <v>18</v>
      </c>
      <c r="K36" s="20">
        <v>1</v>
      </c>
      <c r="L36" s="21">
        <v>6.4</v>
      </c>
      <c r="M36" s="21">
        <v>6.4</v>
      </c>
      <c r="N36" s="21">
        <v>32</v>
      </c>
    </row>
    <row r="37" spans="4:14">
      <c r="D37" s="18">
        <v>46179</v>
      </c>
      <c r="E37" s="6">
        <v>1609861</v>
      </c>
      <c r="F37" s="6" t="s">
        <v>16</v>
      </c>
      <c r="G37" s="6">
        <v>20324546</v>
      </c>
      <c r="H37" s="6" t="s">
        <v>223</v>
      </c>
      <c r="I37" s="6">
        <v>1</v>
      </c>
      <c r="J37" s="19" t="s">
        <v>18</v>
      </c>
      <c r="K37" s="20">
        <v>1</v>
      </c>
      <c r="L37" s="21">
        <v>6.4</v>
      </c>
      <c r="M37" s="21">
        <v>6.4</v>
      </c>
      <c r="N37" s="21">
        <v>6.4</v>
      </c>
    </row>
    <row r="38" spans="4:14">
      <c r="D38" s="18">
        <v>46179</v>
      </c>
      <c r="E38" s="6">
        <v>1609861</v>
      </c>
      <c r="F38" s="6" t="s">
        <v>16</v>
      </c>
      <c r="G38" s="6">
        <v>20324534</v>
      </c>
      <c r="H38" s="6" t="s">
        <v>219</v>
      </c>
      <c r="I38" s="6">
        <v>6</v>
      </c>
      <c r="J38" s="19" t="s">
        <v>18</v>
      </c>
      <c r="K38" s="20">
        <v>1</v>
      </c>
      <c r="L38" s="21">
        <v>6.4</v>
      </c>
      <c r="M38" s="21">
        <v>6.4</v>
      </c>
      <c r="N38" s="21">
        <v>38.4</v>
      </c>
    </row>
    <row r="39" spans="4:14">
      <c r="D39" s="18">
        <v>46179</v>
      </c>
      <c r="E39" s="6">
        <v>1609861</v>
      </c>
      <c r="F39" s="6" t="s">
        <v>16</v>
      </c>
      <c r="G39" s="6">
        <v>20324545</v>
      </c>
      <c r="H39" s="6" t="s">
        <v>220</v>
      </c>
      <c r="I39" s="6">
        <v>3</v>
      </c>
      <c r="J39" s="19" t="s">
        <v>18</v>
      </c>
      <c r="K39" s="20">
        <v>1</v>
      </c>
      <c r="L39" s="21">
        <v>6.4</v>
      </c>
      <c r="M39" s="21">
        <v>6.4</v>
      </c>
      <c r="N39" s="21">
        <v>19.2</v>
      </c>
    </row>
    <row r="40" spans="4:14">
      <c r="D40" s="18">
        <v>46179</v>
      </c>
      <c r="E40" s="6">
        <v>1609861</v>
      </c>
      <c r="F40" s="6" t="s">
        <v>16</v>
      </c>
      <c r="G40" s="6">
        <v>20325600</v>
      </c>
      <c r="H40" s="6" t="s">
        <v>224</v>
      </c>
      <c r="I40" s="6">
        <v>3</v>
      </c>
      <c r="J40" s="19" t="s">
        <v>18</v>
      </c>
      <c r="K40" s="20">
        <v>1</v>
      </c>
      <c r="L40" s="21">
        <v>6.4</v>
      </c>
      <c r="M40" s="21">
        <v>6.4</v>
      </c>
      <c r="N40" s="21">
        <v>19.2</v>
      </c>
    </row>
    <row r="41" spans="4:14">
      <c r="D41" s="18">
        <v>46179</v>
      </c>
      <c r="E41" s="6">
        <v>1609861</v>
      </c>
      <c r="F41" s="6" t="s">
        <v>16</v>
      </c>
      <c r="G41" s="6">
        <v>20330331</v>
      </c>
      <c r="H41" s="6" t="s">
        <v>221</v>
      </c>
      <c r="I41" s="6">
        <v>1</v>
      </c>
      <c r="J41" s="6" t="s">
        <v>222</v>
      </c>
      <c r="K41" s="20">
        <v>1</v>
      </c>
      <c r="L41" s="8">
        <v>10.4</v>
      </c>
      <c r="M41" s="21">
        <v>10.4</v>
      </c>
      <c r="N41" s="21">
        <v>10.4</v>
      </c>
    </row>
    <row r="42" spans="4:14">
      <c r="D42" s="18">
        <v>46182</v>
      </c>
      <c r="E42" s="6">
        <v>1610413</v>
      </c>
      <c r="F42" s="6" t="s">
        <v>16</v>
      </c>
      <c r="G42" s="6">
        <v>20324516</v>
      </c>
      <c r="H42" s="6" t="s">
        <v>213</v>
      </c>
      <c r="I42" s="6">
        <v>1</v>
      </c>
      <c r="J42" s="19" t="s">
        <v>18</v>
      </c>
      <c r="K42" s="20">
        <v>1</v>
      </c>
      <c r="L42" s="21">
        <v>6.4</v>
      </c>
      <c r="M42" s="21">
        <v>6.4</v>
      </c>
      <c r="N42" s="21">
        <v>6.4</v>
      </c>
    </row>
    <row r="43" spans="4:14">
      <c r="D43" s="18">
        <v>46182</v>
      </c>
      <c r="E43" s="6">
        <v>1610413</v>
      </c>
      <c r="F43" s="6" t="s">
        <v>16</v>
      </c>
      <c r="G43" s="6">
        <v>20324544</v>
      </c>
      <c r="H43" s="6" t="s">
        <v>225</v>
      </c>
      <c r="I43" s="6">
        <v>1</v>
      </c>
      <c r="J43" s="6" t="s">
        <v>20</v>
      </c>
      <c r="K43" s="20">
        <v>1</v>
      </c>
      <c r="L43" s="21">
        <v>8.8</v>
      </c>
      <c r="M43" s="21">
        <v>8.8</v>
      </c>
      <c r="N43" s="21">
        <v>8.8</v>
      </c>
    </row>
    <row r="44" spans="4:14">
      <c r="D44" s="18">
        <v>46182</v>
      </c>
      <c r="E44" s="6">
        <v>1610413</v>
      </c>
      <c r="F44" s="6" t="s">
        <v>16</v>
      </c>
      <c r="G44" s="6">
        <v>20324803</v>
      </c>
      <c r="H44" s="6" t="s">
        <v>216</v>
      </c>
      <c r="I44" s="6">
        <v>4</v>
      </c>
      <c r="J44" s="6" t="s">
        <v>20</v>
      </c>
      <c r="K44" s="20">
        <v>1</v>
      </c>
      <c r="L44" s="21">
        <v>8.8</v>
      </c>
      <c r="M44" s="21">
        <v>8.8</v>
      </c>
      <c r="N44" s="21">
        <v>35.2</v>
      </c>
    </row>
    <row r="45" spans="4:14">
      <c r="D45" s="18">
        <v>46182</v>
      </c>
      <c r="E45" s="6">
        <v>1610413</v>
      </c>
      <c r="F45" s="6" t="s">
        <v>16</v>
      </c>
      <c r="G45" s="6">
        <v>20324801</v>
      </c>
      <c r="H45" s="6" t="s">
        <v>217</v>
      </c>
      <c r="I45" s="6">
        <v>4</v>
      </c>
      <c r="J45" s="19" t="s">
        <v>18</v>
      </c>
      <c r="K45" s="20">
        <v>1</v>
      </c>
      <c r="L45" s="21">
        <v>6.4</v>
      </c>
      <c r="M45" s="21">
        <v>6.4</v>
      </c>
      <c r="N45" s="21">
        <v>25.6</v>
      </c>
    </row>
    <row r="46" spans="4:14">
      <c r="D46" s="18">
        <v>46182</v>
      </c>
      <c r="E46" s="6">
        <v>1610413</v>
      </c>
      <c r="F46" s="6" t="s">
        <v>16</v>
      </c>
      <c r="G46" s="6">
        <v>20373362</v>
      </c>
      <c r="H46" s="6" t="s">
        <v>226</v>
      </c>
      <c r="I46" s="6">
        <v>1</v>
      </c>
      <c r="J46" s="19" t="s">
        <v>18</v>
      </c>
      <c r="K46" s="20">
        <v>1</v>
      </c>
      <c r="L46" s="21">
        <v>6.4</v>
      </c>
      <c r="M46" s="21">
        <v>6.4</v>
      </c>
      <c r="N46" s="21">
        <v>6.4</v>
      </c>
    </row>
    <row r="47" spans="4:14">
      <c r="D47" s="18">
        <v>46182</v>
      </c>
      <c r="E47" s="6">
        <v>1610413</v>
      </c>
      <c r="F47" s="6" t="s">
        <v>16</v>
      </c>
      <c r="G47" s="6">
        <v>20324364</v>
      </c>
      <c r="H47" s="6" t="s">
        <v>21</v>
      </c>
      <c r="I47" s="6">
        <v>1</v>
      </c>
      <c r="J47" s="19" t="s">
        <v>18</v>
      </c>
      <c r="K47" s="20">
        <v>1</v>
      </c>
      <c r="L47" s="21">
        <v>6.4</v>
      </c>
      <c r="M47" s="21">
        <v>6.4</v>
      </c>
      <c r="N47" s="21">
        <v>6.4</v>
      </c>
    </row>
    <row r="48" spans="4:14">
      <c r="D48" s="18">
        <v>46182</v>
      </c>
      <c r="E48" s="6">
        <v>1610413</v>
      </c>
      <c r="F48" s="6" t="s">
        <v>16</v>
      </c>
      <c r="G48" s="6">
        <v>20324538</v>
      </c>
      <c r="H48" s="6" t="s">
        <v>218</v>
      </c>
      <c r="I48" s="6">
        <v>2</v>
      </c>
      <c r="J48" s="19" t="s">
        <v>18</v>
      </c>
      <c r="K48" s="20">
        <v>1</v>
      </c>
      <c r="L48" s="21">
        <v>6.4</v>
      </c>
      <c r="M48" s="21">
        <v>6.4</v>
      </c>
      <c r="N48" s="21">
        <v>12.8</v>
      </c>
    </row>
    <row r="49" spans="4:14">
      <c r="D49" s="18">
        <v>46182</v>
      </c>
      <c r="E49" s="6">
        <v>1610413</v>
      </c>
      <c r="F49" s="6" t="s">
        <v>16</v>
      </c>
      <c r="G49" s="6">
        <v>20324557</v>
      </c>
      <c r="H49" s="6" t="s">
        <v>147</v>
      </c>
      <c r="I49" s="6">
        <v>1</v>
      </c>
      <c r="J49" s="19" t="s">
        <v>18</v>
      </c>
      <c r="K49" s="20">
        <v>1</v>
      </c>
      <c r="L49" s="21">
        <v>6.4</v>
      </c>
      <c r="M49" s="21">
        <v>6.4</v>
      </c>
      <c r="N49" s="21">
        <v>6.4</v>
      </c>
    </row>
    <row r="50" spans="4:14">
      <c r="D50" s="18">
        <v>46182</v>
      </c>
      <c r="E50" s="6">
        <v>1610413</v>
      </c>
      <c r="F50" s="6" t="s">
        <v>16</v>
      </c>
      <c r="G50" s="6">
        <v>20324534</v>
      </c>
      <c r="H50" s="6" t="s">
        <v>219</v>
      </c>
      <c r="I50" s="6">
        <v>16</v>
      </c>
      <c r="J50" s="19" t="s">
        <v>18</v>
      </c>
      <c r="K50" s="20">
        <v>1</v>
      </c>
      <c r="L50" s="21">
        <v>6.4</v>
      </c>
      <c r="M50" s="21">
        <v>6.4</v>
      </c>
      <c r="N50" s="21">
        <v>102.4</v>
      </c>
    </row>
    <row r="51" spans="4:14">
      <c r="D51" s="18">
        <v>46182</v>
      </c>
      <c r="E51" s="6">
        <v>1610413</v>
      </c>
      <c r="F51" s="6" t="s">
        <v>16</v>
      </c>
      <c r="G51" s="6">
        <v>20330331</v>
      </c>
      <c r="H51" s="6" t="s">
        <v>221</v>
      </c>
      <c r="I51" s="6">
        <v>2</v>
      </c>
      <c r="J51" s="6" t="s">
        <v>222</v>
      </c>
      <c r="K51" s="20">
        <v>1</v>
      </c>
      <c r="L51" s="8">
        <v>10.4</v>
      </c>
      <c r="M51" s="21">
        <v>10.4</v>
      </c>
      <c r="N51" s="21">
        <v>20.8</v>
      </c>
    </row>
    <row r="52" spans="4:14">
      <c r="D52" s="18">
        <v>46182</v>
      </c>
      <c r="E52" s="6">
        <v>1610413</v>
      </c>
      <c r="F52" s="6" t="s">
        <v>16</v>
      </c>
      <c r="G52" s="6">
        <v>20385215</v>
      </c>
      <c r="H52" s="6" t="s">
        <v>227</v>
      </c>
      <c r="I52" s="6">
        <v>1</v>
      </c>
      <c r="J52" s="19" t="s">
        <v>18</v>
      </c>
      <c r="K52" s="20">
        <v>1</v>
      </c>
      <c r="L52" s="21">
        <v>6.4</v>
      </c>
      <c r="M52" s="21">
        <v>6.4</v>
      </c>
      <c r="N52" s="21">
        <v>6.4</v>
      </c>
    </row>
    <row r="53" spans="4:14">
      <c r="D53" s="18">
        <v>46183</v>
      </c>
      <c r="E53" s="6">
        <v>1610847</v>
      </c>
      <c r="F53" s="6" t="s">
        <v>16</v>
      </c>
      <c r="G53" s="6">
        <v>20324516</v>
      </c>
      <c r="H53" s="6" t="s">
        <v>213</v>
      </c>
      <c r="I53" s="6">
        <v>1</v>
      </c>
      <c r="J53" s="19" t="s">
        <v>18</v>
      </c>
      <c r="K53" s="20">
        <v>1</v>
      </c>
      <c r="L53" s="21">
        <v>6.4</v>
      </c>
      <c r="M53" s="21">
        <v>6.4</v>
      </c>
      <c r="N53" s="21">
        <v>6.4</v>
      </c>
    </row>
    <row r="54" spans="4:14">
      <c r="D54" s="18">
        <v>46183</v>
      </c>
      <c r="E54" s="6">
        <v>1610847</v>
      </c>
      <c r="F54" s="6" t="s">
        <v>16</v>
      </c>
      <c r="G54" s="6">
        <v>20324514</v>
      </c>
      <c r="H54" s="6" t="s">
        <v>214</v>
      </c>
      <c r="I54" s="6">
        <v>1</v>
      </c>
      <c r="J54" s="19" t="s">
        <v>18</v>
      </c>
      <c r="K54" s="20">
        <v>1</v>
      </c>
      <c r="L54" s="21">
        <v>6.4</v>
      </c>
      <c r="M54" s="21">
        <v>6.4</v>
      </c>
      <c r="N54" s="21">
        <v>6.4</v>
      </c>
    </row>
    <row r="55" spans="4:14">
      <c r="D55" s="18">
        <v>46183</v>
      </c>
      <c r="E55" s="6">
        <v>1610847</v>
      </c>
      <c r="F55" s="6" t="s">
        <v>16</v>
      </c>
      <c r="G55" s="6">
        <v>20324535</v>
      </c>
      <c r="H55" s="6" t="s">
        <v>215</v>
      </c>
      <c r="I55" s="6">
        <v>3</v>
      </c>
      <c r="J55" s="19" t="s">
        <v>18</v>
      </c>
      <c r="K55" s="20">
        <v>1</v>
      </c>
      <c r="L55" s="21">
        <v>6.4</v>
      </c>
      <c r="M55" s="21">
        <v>6.4</v>
      </c>
      <c r="N55" s="21">
        <v>19.2</v>
      </c>
    </row>
    <row r="56" spans="4:14">
      <c r="D56" s="18">
        <v>46183</v>
      </c>
      <c r="E56" s="6">
        <v>1610847</v>
      </c>
      <c r="F56" s="6" t="s">
        <v>16</v>
      </c>
      <c r="G56" s="6">
        <v>20324803</v>
      </c>
      <c r="H56" s="6" t="s">
        <v>216</v>
      </c>
      <c r="I56" s="6">
        <v>1</v>
      </c>
      <c r="J56" s="6" t="s">
        <v>20</v>
      </c>
      <c r="K56" s="20">
        <v>1</v>
      </c>
      <c r="L56" s="21">
        <v>8.8</v>
      </c>
      <c r="M56" s="21">
        <v>8.8</v>
      </c>
      <c r="N56" s="21">
        <v>8.8</v>
      </c>
    </row>
    <row r="57" spans="4:14">
      <c r="D57" s="18">
        <v>46183</v>
      </c>
      <c r="E57" s="6">
        <v>1610847</v>
      </c>
      <c r="F57" s="6" t="s">
        <v>16</v>
      </c>
      <c r="G57" s="6">
        <v>20324534</v>
      </c>
      <c r="H57" s="6" t="s">
        <v>219</v>
      </c>
      <c r="I57" s="6">
        <v>8</v>
      </c>
      <c r="J57" s="19" t="s">
        <v>18</v>
      </c>
      <c r="K57" s="20">
        <v>1</v>
      </c>
      <c r="L57" s="21">
        <v>6.4</v>
      </c>
      <c r="M57" s="21">
        <v>6.4</v>
      </c>
      <c r="N57" s="21">
        <v>51.2</v>
      </c>
    </row>
    <row r="58" spans="4:14">
      <c r="D58" s="18">
        <v>46183</v>
      </c>
      <c r="E58" s="6">
        <v>1610847</v>
      </c>
      <c r="F58" s="6" t="s">
        <v>16</v>
      </c>
      <c r="G58" s="6">
        <v>20324545</v>
      </c>
      <c r="H58" s="6" t="s">
        <v>220</v>
      </c>
      <c r="I58" s="6">
        <v>1</v>
      </c>
      <c r="J58" s="19" t="s">
        <v>18</v>
      </c>
      <c r="K58" s="20">
        <v>1</v>
      </c>
      <c r="L58" s="21">
        <v>6.4</v>
      </c>
      <c r="M58" s="21">
        <v>6.4</v>
      </c>
      <c r="N58" s="21">
        <v>6.4</v>
      </c>
    </row>
    <row r="59" spans="4:14">
      <c r="D59" s="18">
        <v>46183</v>
      </c>
      <c r="E59" s="6">
        <v>1610847</v>
      </c>
      <c r="F59" s="6" t="s">
        <v>16</v>
      </c>
      <c r="G59" s="6">
        <v>20330331</v>
      </c>
      <c r="H59" s="6" t="s">
        <v>221</v>
      </c>
      <c r="I59" s="6">
        <v>1</v>
      </c>
      <c r="J59" s="6" t="s">
        <v>222</v>
      </c>
      <c r="K59" s="20">
        <v>1</v>
      </c>
      <c r="L59" s="8">
        <v>10.4</v>
      </c>
      <c r="M59" s="21">
        <v>10.4</v>
      </c>
      <c r="N59" s="21">
        <v>10.4</v>
      </c>
    </row>
    <row r="60" spans="4:14">
      <c r="D60" s="18">
        <v>46183</v>
      </c>
      <c r="E60" s="6">
        <v>1611147</v>
      </c>
      <c r="F60" s="6" t="s">
        <v>16</v>
      </c>
      <c r="G60" s="6">
        <v>20324516</v>
      </c>
      <c r="H60" s="6" t="s">
        <v>213</v>
      </c>
      <c r="I60" s="6">
        <v>1</v>
      </c>
      <c r="J60" s="19" t="s">
        <v>18</v>
      </c>
      <c r="K60" s="20">
        <v>1</v>
      </c>
      <c r="L60" s="21">
        <v>6.4</v>
      </c>
      <c r="M60" s="21">
        <v>6.4</v>
      </c>
      <c r="N60" s="21">
        <v>6.4</v>
      </c>
    </row>
    <row r="61" spans="4:14">
      <c r="D61" s="18">
        <v>46183</v>
      </c>
      <c r="E61" s="6">
        <v>1611147</v>
      </c>
      <c r="F61" s="6" t="s">
        <v>16</v>
      </c>
      <c r="G61" s="6">
        <v>20324514</v>
      </c>
      <c r="H61" s="6" t="s">
        <v>214</v>
      </c>
      <c r="I61" s="6">
        <v>2</v>
      </c>
      <c r="J61" s="19" t="s">
        <v>18</v>
      </c>
      <c r="K61" s="20">
        <v>1</v>
      </c>
      <c r="L61" s="21">
        <v>6.4</v>
      </c>
      <c r="M61" s="21">
        <v>6.4</v>
      </c>
      <c r="N61" s="21">
        <v>12.8</v>
      </c>
    </row>
    <row r="62" spans="4:14">
      <c r="D62" s="18">
        <v>46183</v>
      </c>
      <c r="E62" s="6">
        <v>1611147</v>
      </c>
      <c r="F62" s="6" t="s">
        <v>16</v>
      </c>
      <c r="G62" s="6">
        <v>20324364</v>
      </c>
      <c r="H62" s="6" t="s">
        <v>21</v>
      </c>
      <c r="I62" s="6">
        <v>1</v>
      </c>
      <c r="J62" s="19" t="s">
        <v>18</v>
      </c>
      <c r="K62" s="20">
        <v>1</v>
      </c>
      <c r="L62" s="21">
        <v>6.4</v>
      </c>
      <c r="M62" s="21">
        <v>6.4</v>
      </c>
      <c r="N62" s="21">
        <v>6.4</v>
      </c>
    </row>
    <row r="63" spans="4:14">
      <c r="D63" s="18">
        <v>46183</v>
      </c>
      <c r="E63" s="6">
        <v>1611147</v>
      </c>
      <c r="F63" s="6" t="s">
        <v>16</v>
      </c>
      <c r="G63" s="6">
        <v>20324534</v>
      </c>
      <c r="H63" s="6" t="s">
        <v>219</v>
      </c>
      <c r="I63" s="6">
        <v>4</v>
      </c>
      <c r="J63" s="19" t="s">
        <v>18</v>
      </c>
      <c r="K63" s="20">
        <v>1</v>
      </c>
      <c r="L63" s="21">
        <v>6.4</v>
      </c>
      <c r="M63" s="21">
        <v>6.4</v>
      </c>
      <c r="N63" s="21">
        <v>25.6</v>
      </c>
    </row>
    <row r="64" spans="4:14">
      <c r="D64" s="18">
        <v>46183</v>
      </c>
      <c r="E64" s="6">
        <v>1611147</v>
      </c>
      <c r="F64" s="6" t="s">
        <v>16</v>
      </c>
      <c r="G64" s="6">
        <v>20324545</v>
      </c>
      <c r="H64" s="6" t="s">
        <v>220</v>
      </c>
      <c r="I64" s="6">
        <v>2</v>
      </c>
      <c r="J64" s="19" t="s">
        <v>18</v>
      </c>
      <c r="K64" s="20">
        <v>1</v>
      </c>
      <c r="L64" s="21">
        <v>6.4</v>
      </c>
      <c r="M64" s="21">
        <v>6.4</v>
      </c>
      <c r="N64" s="21">
        <v>12.8</v>
      </c>
    </row>
    <row r="65" spans="4:14">
      <c r="D65" s="18">
        <v>46183</v>
      </c>
      <c r="E65" s="6">
        <v>1611147</v>
      </c>
      <c r="F65" s="6" t="s">
        <v>16</v>
      </c>
      <c r="G65" s="6">
        <v>20330331</v>
      </c>
      <c r="H65" s="6" t="s">
        <v>221</v>
      </c>
      <c r="I65" s="6">
        <v>1</v>
      </c>
      <c r="J65" s="6" t="s">
        <v>222</v>
      </c>
      <c r="K65" s="20">
        <v>1</v>
      </c>
      <c r="L65" s="8">
        <v>10.4</v>
      </c>
      <c r="M65" s="21">
        <v>10.4</v>
      </c>
      <c r="N65" s="21">
        <v>10.4</v>
      </c>
    </row>
    <row r="66" spans="4:14">
      <c r="D66" s="18">
        <v>46183</v>
      </c>
      <c r="E66" s="6">
        <v>1611147</v>
      </c>
      <c r="F66" s="6" t="s">
        <v>16</v>
      </c>
      <c r="G66" s="6">
        <v>20324625</v>
      </c>
      <c r="H66" s="6" t="s">
        <v>228</v>
      </c>
      <c r="I66" s="6">
        <v>1</v>
      </c>
      <c r="J66" s="19" t="s">
        <v>18</v>
      </c>
      <c r="K66" s="20">
        <v>1</v>
      </c>
      <c r="L66" s="21">
        <v>6.4</v>
      </c>
      <c r="M66" s="21">
        <v>6.4</v>
      </c>
      <c r="N66" s="21">
        <v>6.4</v>
      </c>
    </row>
    <row r="67" spans="4:14">
      <c r="D67" s="18">
        <v>46184</v>
      </c>
      <c r="E67" s="6">
        <v>1611592</v>
      </c>
      <c r="F67" s="6" t="s">
        <v>16</v>
      </c>
      <c r="G67" s="6">
        <v>20324516</v>
      </c>
      <c r="H67" s="6" t="s">
        <v>213</v>
      </c>
      <c r="I67" s="6">
        <v>1</v>
      </c>
      <c r="J67" s="19" t="s">
        <v>18</v>
      </c>
      <c r="K67" s="20">
        <v>1</v>
      </c>
      <c r="L67" s="21">
        <v>6.4</v>
      </c>
      <c r="M67" s="21">
        <v>6.4</v>
      </c>
      <c r="N67" s="21">
        <v>6.4</v>
      </c>
    </row>
    <row r="68" spans="4:14">
      <c r="D68" s="18">
        <v>46184</v>
      </c>
      <c r="E68" s="6">
        <v>1611592</v>
      </c>
      <c r="F68" s="6" t="s">
        <v>16</v>
      </c>
      <c r="G68" s="6">
        <v>20324535</v>
      </c>
      <c r="H68" s="6" t="s">
        <v>215</v>
      </c>
      <c r="I68" s="6">
        <v>1</v>
      </c>
      <c r="J68" s="19" t="s">
        <v>18</v>
      </c>
      <c r="K68" s="20">
        <v>1</v>
      </c>
      <c r="L68" s="21">
        <v>6.4</v>
      </c>
      <c r="M68" s="21">
        <v>6.4</v>
      </c>
      <c r="N68" s="21">
        <v>6.4</v>
      </c>
    </row>
    <row r="69" spans="4:14">
      <c r="D69" s="18">
        <v>46184</v>
      </c>
      <c r="E69" s="6">
        <v>1611592</v>
      </c>
      <c r="F69" s="6" t="s">
        <v>16</v>
      </c>
      <c r="G69" s="6">
        <v>20324803</v>
      </c>
      <c r="H69" s="6" t="s">
        <v>216</v>
      </c>
      <c r="I69" s="6">
        <v>2</v>
      </c>
      <c r="J69" s="6" t="s">
        <v>20</v>
      </c>
      <c r="K69" s="20">
        <v>1</v>
      </c>
      <c r="L69" s="21">
        <v>8.8</v>
      </c>
      <c r="M69" s="21">
        <v>8.8</v>
      </c>
      <c r="N69" s="21">
        <v>17.6</v>
      </c>
    </row>
    <row r="70" spans="4:14">
      <c r="D70" s="18">
        <v>46184</v>
      </c>
      <c r="E70" s="6">
        <v>1611592</v>
      </c>
      <c r="F70" s="6" t="s">
        <v>16</v>
      </c>
      <c r="G70" s="6">
        <v>20324899</v>
      </c>
      <c r="H70" s="6" t="s">
        <v>229</v>
      </c>
      <c r="I70" s="6">
        <v>1</v>
      </c>
      <c r="J70" s="19" t="s">
        <v>18</v>
      </c>
      <c r="K70" s="20">
        <v>1</v>
      </c>
      <c r="L70" s="21">
        <v>6.4</v>
      </c>
      <c r="M70" s="21">
        <v>6.4</v>
      </c>
      <c r="N70" s="21">
        <v>6.4</v>
      </c>
    </row>
    <row r="71" spans="4:14">
      <c r="D71" s="18">
        <v>46184</v>
      </c>
      <c r="E71" s="6">
        <v>1611592</v>
      </c>
      <c r="F71" s="6" t="s">
        <v>16</v>
      </c>
      <c r="G71" s="6">
        <v>20324801</v>
      </c>
      <c r="H71" s="6" t="s">
        <v>217</v>
      </c>
      <c r="I71" s="6">
        <v>7</v>
      </c>
      <c r="J71" s="19" t="s">
        <v>18</v>
      </c>
      <c r="K71" s="20">
        <v>1</v>
      </c>
      <c r="L71" s="21">
        <v>6.4</v>
      </c>
      <c r="M71" s="21">
        <v>6.4</v>
      </c>
      <c r="N71" s="21">
        <v>44.8</v>
      </c>
    </row>
    <row r="72" spans="4:14">
      <c r="D72" s="18">
        <v>46184</v>
      </c>
      <c r="E72" s="6">
        <v>1611592</v>
      </c>
      <c r="F72" s="6" t="s">
        <v>16</v>
      </c>
      <c r="G72" s="6">
        <v>20324538</v>
      </c>
      <c r="H72" s="6" t="s">
        <v>218</v>
      </c>
      <c r="I72" s="6">
        <v>1</v>
      </c>
      <c r="J72" s="19" t="s">
        <v>18</v>
      </c>
      <c r="K72" s="20">
        <v>1</v>
      </c>
      <c r="L72" s="21">
        <v>6.4</v>
      </c>
      <c r="M72" s="21">
        <v>6.4</v>
      </c>
      <c r="N72" s="21">
        <v>6.4</v>
      </c>
    </row>
    <row r="73" spans="4:14">
      <c r="D73" s="18">
        <v>46184</v>
      </c>
      <c r="E73" s="6">
        <v>1611592</v>
      </c>
      <c r="F73" s="6" t="s">
        <v>16</v>
      </c>
      <c r="G73" s="6">
        <v>20324534</v>
      </c>
      <c r="H73" s="6" t="s">
        <v>219</v>
      </c>
      <c r="I73" s="6">
        <v>9</v>
      </c>
      <c r="J73" s="19" t="s">
        <v>18</v>
      </c>
      <c r="K73" s="20">
        <v>1</v>
      </c>
      <c r="L73" s="21">
        <v>6.4</v>
      </c>
      <c r="M73" s="21">
        <v>6.4</v>
      </c>
      <c r="N73" s="21">
        <v>57.6</v>
      </c>
    </row>
    <row r="74" spans="4:14">
      <c r="D74" s="18">
        <v>46184</v>
      </c>
      <c r="E74" s="6">
        <v>1611592</v>
      </c>
      <c r="F74" s="6" t="s">
        <v>16</v>
      </c>
      <c r="G74" s="6">
        <v>20385215</v>
      </c>
      <c r="H74" s="6" t="s">
        <v>227</v>
      </c>
      <c r="I74" s="6">
        <v>1</v>
      </c>
      <c r="J74" s="19" t="s">
        <v>18</v>
      </c>
      <c r="K74" s="20">
        <v>1</v>
      </c>
      <c r="L74" s="21">
        <v>6.4</v>
      </c>
      <c r="M74" s="21">
        <v>6.4</v>
      </c>
      <c r="N74" s="21">
        <v>6.4</v>
      </c>
    </row>
    <row r="75" spans="4:14">
      <c r="D75" s="18">
        <v>46185</v>
      </c>
      <c r="E75" s="6">
        <v>1611892</v>
      </c>
      <c r="F75" s="6" t="s">
        <v>16</v>
      </c>
      <c r="G75" s="6">
        <v>20324516</v>
      </c>
      <c r="H75" s="6" t="s">
        <v>213</v>
      </c>
      <c r="I75" s="6">
        <v>1</v>
      </c>
      <c r="J75" s="19" t="s">
        <v>18</v>
      </c>
      <c r="K75" s="20">
        <v>1</v>
      </c>
      <c r="L75" s="21">
        <v>6.4</v>
      </c>
      <c r="M75" s="21">
        <v>6.4</v>
      </c>
      <c r="N75" s="21">
        <v>6.4</v>
      </c>
    </row>
    <row r="76" spans="4:14">
      <c r="D76" s="18">
        <v>46185</v>
      </c>
      <c r="E76" s="6">
        <v>1611892</v>
      </c>
      <c r="F76" s="6" t="s">
        <v>16</v>
      </c>
      <c r="G76" s="6">
        <v>20324535</v>
      </c>
      <c r="H76" s="6" t="s">
        <v>215</v>
      </c>
      <c r="I76" s="6">
        <v>2</v>
      </c>
      <c r="J76" s="19" t="s">
        <v>18</v>
      </c>
      <c r="K76" s="20">
        <v>1</v>
      </c>
      <c r="L76" s="21">
        <v>6.4</v>
      </c>
      <c r="M76" s="21">
        <v>6.4</v>
      </c>
      <c r="N76" s="21">
        <v>12.8</v>
      </c>
    </row>
    <row r="77" spans="4:14">
      <c r="D77" s="18">
        <v>46185</v>
      </c>
      <c r="E77" s="6">
        <v>1611892</v>
      </c>
      <c r="F77" s="6" t="s">
        <v>16</v>
      </c>
      <c r="G77" s="6">
        <v>20324803</v>
      </c>
      <c r="H77" s="6" t="s">
        <v>216</v>
      </c>
      <c r="I77" s="6">
        <v>2</v>
      </c>
      <c r="J77" s="6" t="s">
        <v>20</v>
      </c>
      <c r="K77" s="20">
        <v>1</v>
      </c>
      <c r="L77" s="21">
        <v>8.8</v>
      </c>
      <c r="M77" s="21">
        <v>8.8</v>
      </c>
      <c r="N77" s="21">
        <v>17.6</v>
      </c>
    </row>
    <row r="78" spans="4:14">
      <c r="D78" s="18">
        <v>46185</v>
      </c>
      <c r="E78" s="6">
        <v>1611892</v>
      </c>
      <c r="F78" s="6" t="s">
        <v>16</v>
      </c>
      <c r="G78" s="6">
        <v>20373362</v>
      </c>
      <c r="H78" s="6" t="s">
        <v>226</v>
      </c>
      <c r="I78" s="6">
        <v>2</v>
      </c>
      <c r="J78" s="19" t="s">
        <v>18</v>
      </c>
      <c r="K78" s="20">
        <v>1</v>
      </c>
      <c r="L78" s="21">
        <v>6.4</v>
      </c>
      <c r="M78" s="21">
        <v>6.4</v>
      </c>
      <c r="N78" s="21">
        <v>12.8</v>
      </c>
    </row>
    <row r="79" spans="4:14">
      <c r="D79" s="18">
        <v>46185</v>
      </c>
      <c r="E79" s="6">
        <v>1611892</v>
      </c>
      <c r="F79" s="6" t="s">
        <v>16</v>
      </c>
      <c r="G79" s="6">
        <v>20324546</v>
      </c>
      <c r="H79" s="6" t="s">
        <v>223</v>
      </c>
      <c r="I79" s="6">
        <v>2</v>
      </c>
      <c r="J79" s="19" t="s">
        <v>18</v>
      </c>
      <c r="K79" s="20">
        <v>1</v>
      </c>
      <c r="L79" s="21">
        <v>6.4</v>
      </c>
      <c r="M79" s="21">
        <v>6.4</v>
      </c>
      <c r="N79" s="21">
        <v>12.8</v>
      </c>
    </row>
    <row r="80" spans="4:14">
      <c r="D80" s="18">
        <v>46185</v>
      </c>
      <c r="E80" s="6">
        <v>1611892</v>
      </c>
      <c r="F80" s="6" t="s">
        <v>16</v>
      </c>
      <c r="G80" s="6">
        <v>20324364</v>
      </c>
      <c r="H80" s="6" t="s">
        <v>21</v>
      </c>
      <c r="I80" s="6">
        <v>1</v>
      </c>
      <c r="J80" s="19" t="s">
        <v>18</v>
      </c>
      <c r="K80" s="20">
        <v>1</v>
      </c>
      <c r="L80" s="21">
        <v>6.4</v>
      </c>
      <c r="M80" s="21">
        <v>6.4</v>
      </c>
      <c r="N80" s="21">
        <v>6.4</v>
      </c>
    </row>
    <row r="81" spans="4:14">
      <c r="D81" s="18">
        <v>46185</v>
      </c>
      <c r="E81" s="6">
        <v>1611892</v>
      </c>
      <c r="F81" s="6" t="s">
        <v>16</v>
      </c>
      <c r="G81" s="6">
        <v>20324937</v>
      </c>
      <c r="H81" s="6" t="s">
        <v>230</v>
      </c>
      <c r="I81" s="6">
        <v>1</v>
      </c>
      <c r="J81" s="19" t="s">
        <v>18</v>
      </c>
      <c r="K81" s="20">
        <v>1</v>
      </c>
      <c r="L81" s="21">
        <v>6.4</v>
      </c>
      <c r="M81" s="21">
        <v>6.4</v>
      </c>
      <c r="N81" s="21">
        <v>6.4</v>
      </c>
    </row>
    <row r="82" spans="4:14">
      <c r="D82" s="18">
        <v>46185</v>
      </c>
      <c r="E82" s="6">
        <v>1611892</v>
      </c>
      <c r="F82" s="6" t="s">
        <v>16</v>
      </c>
      <c r="G82" s="6">
        <v>20324534</v>
      </c>
      <c r="H82" s="6" t="s">
        <v>219</v>
      </c>
      <c r="I82" s="6">
        <v>5</v>
      </c>
      <c r="J82" s="19" t="s">
        <v>18</v>
      </c>
      <c r="K82" s="20">
        <v>1</v>
      </c>
      <c r="L82" s="21">
        <v>6.4</v>
      </c>
      <c r="M82" s="21">
        <v>6.4</v>
      </c>
      <c r="N82" s="21">
        <v>32</v>
      </c>
    </row>
    <row r="83" spans="4:14">
      <c r="D83" s="18">
        <v>46185</v>
      </c>
      <c r="E83" s="6">
        <v>1611892</v>
      </c>
      <c r="F83" s="6" t="s">
        <v>16</v>
      </c>
      <c r="G83" s="6">
        <v>20330331</v>
      </c>
      <c r="H83" s="6" t="s">
        <v>221</v>
      </c>
      <c r="I83" s="6">
        <v>2</v>
      </c>
      <c r="J83" s="6" t="s">
        <v>222</v>
      </c>
      <c r="K83" s="20">
        <v>1</v>
      </c>
      <c r="L83" s="8">
        <v>10.4</v>
      </c>
      <c r="M83" s="21">
        <v>10.4</v>
      </c>
      <c r="N83" s="21">
        <v>20.8</v>
      </c>
    </row>
    <row r="84" spans="4:14">
      <c r="D84" s="18">
        <v>46189</v>
      </c>
      <c r="E84" s="6">
        <v>1612419</v>
      </c>
      <c r="F84" s="6" t="s">
        <v>16</v>
      </c>
      <c r="G84" s="6">
        <v>20324516</v>
      </c>
      <c r="H84" s="6" t="s">
        <v>213</v>
      </c>
      <c r="I84" s="6">
        <v>1</v>
      </c>
      <c r="J84" s="19" t="s">
        <v>18</v>
      </c>
      <c r="K84" s="20">
        <v>1</v>
      </c>
      <c r="L84" s="21">
        <v>6.4</v>
      </c>
      <c r="M84" s="21">
        <v>6.4</v>
      </c>
      <c r="N84" s="21">
        <v>6.4</v>
      </c>
    </row>
    <row r="85" spans="4:14">
      <c r="D85" s="18">
        <v>46189</v>
      </c>
      <c r="E85" s="6">
        <v>1612419</v>
      </c>
      <c r="F85" s="6" t="s">
        <v>16</v>
      </c>
      <c r="G85" s="6">
        <v>20324535</v>
      </c>
      <c r="H85" s="6" t="s">
        <v>215</v>
      </c>
      <c r="I85" s="6">
        <v>1</v>
      </c>
      <c r="J85" s="19" t="s">
        <v>18</v>
      </c>
      <c r="K85" s="20">
        <v>1</v>
      </c>
      <c r="L85" s="21">
        <v>6.4</v>
      </c>
      <c r="M85" s="21">
        <v>6.4</v>
      </c>
      <c r="N85" s="21">
        <v>6.4</v>
      </c>
    </row>
    <row r="86" spans="4:14">
      <c r="D86" s="18">
        <v>46189</v>
      </c>
      <c r="E86" s="6">
        <v>1612419</v>
      </c>
      <c r="F86" s="6" t="s">
        <v>16</v>
      </c>
      <c r="G86" s="6">
        <v>20324803</v>
      </c>
      <c r="H86" s="6" t="s">
        <v>216</v>
      </c>
      <c r="I86" s="6">
        <v>2</v>
      </c>
      <c r="J86" s="6" t="s">
        <v>20</v>
      </c>
      <c r="K86" s="20">
        <v>1</v>
      </c>
      <c r="L86" s="21">
        <v>8.8</v>
      </c>
      <c r="M86" s="21">
        <v>8.8</v>
      </c>
      <c r="N86" s="21">
        <v>17.6</v>
      </c>
    </row>
    <row r="87" spans="4:14">
      <c r="D87" s="18">
        <v>46189</v>
      </c>
      <c r="E87" s="6">
        <v>1612419</v>
      </c>
      <c r="F87" s="6" t="s">
        <v>16</v>
      </c>
      <c r="G87" s="6">
        <v>20324801</v>
      </c>
      <c r="H87" s="6" t="s">
        <v>217</v>
      </c>
      <c r="I87" s="6">
        <v>1</v>
      </c>
      <c r="J87" s="19" t="s">
        <v>18</v>
      </c>
      <c r="K87" s="20">
        <v>1</v>
      </c>
      <c r="L87" s="21">
        <v>6.4</v>
      </c>
      <c r="M87" s="21">
        <v>6.4</v>
      </c>
      <c r="N87" s="21">
        <v>6.4</v>
      </c>
    </row>
    <row r="88" spans="4:14">
      <c r="D88" s="18">
        <v>46189</v>
      </c>
      <c r="E88" s="6">
        <v>1612419</v>
      </c>
      <c r="F88" s="6" t="s">
        <v>16</v>
      </c>
      <c r="G88" s="6">
        <v>20324364</v>
      </c>
      <c r="H88" s="6" t="s">
        <v>21</v>
      </c>
      <c r="I88" s="6">
        <v>1</v>
      </c>
      <c r="J88" s="19" t="s">
        <v>18</v>
      </c>
      <c r="K88" s="20">
        <v>1</v>
      </c>
      <c r="L88" s="21">
        <v>6.4</v>
      </c>
      <c r="M88" s="21">
        <v>6.4</v>
      </c>
      <c r="N88" s="21">
        <v>6.4</v>
      </c>
    </row>
    <row r="89" spans="4:14">
      <c r="D89" s="18">
        <v>46189</v>
      </c>
      <c r="E89" s="6">
        <v>1612419</v>
      </c>
      <c r="F89" s="6" t="s">
        <v>16</v>
      </c>
      <c r="G89" s="6">
        <v>20324538</v>
      </c>
      <c r="H89" s="6" t="s">
        <v>218</v>
      </c>
      <c r="I89" s="6">
        <v>1</v>
      </c>
      <c r="J89" s="19" t="s">
        <v>18</v>
      </c>
      <c r="K89" s="20">
        <v>1</v>
      </c>
      <c r="L89" s="21">
        <v>6.4</v>
      </c>
      <c r="M89" s="21">
        <v>6.4</v>
      </c>
      <c r="N89" s="21">
        <v>6.4</v>
      </c>
    </row>
    <row r="90" spans="4:14">
      <c r="D90" s="18">
        <v>46189</v>
      </c>
      <c r="E90" s="6">
        <v>1612419</v>
      </c>
      <c r="F90" s="6" t="s">
        <v>16</v>
      </c>
      <c r="G90" s="6">
        <v>20324534</v>
      </c>
      <c r="H90" s="6" t="s">
        <v>219</v>
      </c>
      <c r="I90" s="6">
        <v>13</v>
      </c>
      <c r="J90" s="19" t="s">
        <v>18</v>
      </c>
      <c r="K90" s="20">
        <v>1</v>
      </c>
      <c r="L90" s="21">
        <v>6.4</v>
      </c>
      <c r="M90" s="21">
        <v>6.4</v>
      </c>
      <c r="N90" s="21">
        <v>83.2</v>
      </c>
    </row>
    <row r="91" spans="4:14">
      <c r="D91" s="18">
        <v>46189</v>
      </c>
      <c r="E91" s="6">
        <v>1612419</v>
      </c>
      <c r="F91" s="6" t="s">
        <v>16</v>
      </c>
      <c r="G91" s="6">
        <v>20324545</v>
      </c>
      <c r="H91" s="6" t="s">
        <v>220</v>
      </c>
      <c r="I91" s="6">
        <v>3</v>
      </c>
      <c r="J91" s="19" t="s">
        <v>18</v>
      </c>
      <c r="K91" s="20">
        <v>1</v>
      </c>
      <c r="L91" s="21">
        <v>6.4</v>
      </c>
      <c r="M91" s="21">
        <v>6.4</v>
      </c>
      <c r="N91" s="21">
        <v>19.2</v>
      </c>
    </row>
    <row r="92" spans="4:14">
      <c r="D92" s="18">
        <v>46189</v>
      </c>
      <c r="E92" s="6">
        <v>1612419</v>
      </c>
      <c r="F92" s="6" t="s">
        <v>16</v>
      </c>
      <c r="G92" s="6">
        <v>20385215</v>
      </c>
      <c r="H92" s="6" t="s">
        <v>227</v>
      </c>
      <c r="I92" s="6">
        <v>1</v>
      </c>
      <c r="J92" s="19" t="s">
        <v>18</v>
      </c>
      <c r="K92" s="20">
        <v>1</v>
      </c>
      <c r="L92" s="21">
        <v>6.4</v>
      </c>
      <c r="M92" s="21">
        <v>6.4</v>
      </c>
      <c r="N92" s="21">
        <v>6.4</v>
      </c>
    </row>
    <row r="93" spans="4:14">
      <c r="D93" s="18">
        <v>46190</v>
      </c>
      <c r="E93" s="6">
        <v>1612791</v>
      </c>
      <c r="F93" s="6" t="s">
        <v>16</v>
      </c>
      <c r="G93" s="6">
        <v>20324803</v>
      </c>
      <c r="H93" s="6" t="s">
        <v>216</v>
      </c>
      <c r="I93" s="6">
        <v>1</v>
      </c>
      <c r="J93" s="6" t="s">
        <v>20</v>
      </c>
      <c r="K93" s="20">
        <v>1</v>
      </c>
      <c r="L93" s="21">
        <v>8.8</v>
      </c>
      <c r="M93" s="21">
        <v>8.8</v>
      </c>
      <c r="N93" s="21">
        <v>8.8</v>
      </c>
    </row>
    <row r="94" spans="4:14">
      <c r="D94" s="18">
        <v>46190</v>
      </c>
      <c r="E94" s="6">
        <v>1612791</v>
      </c>
      <c r="F94" s="6" t="s">
        <v>16</v>
      </c>
      <c r="G94" s="6">
        <v>20324801</v>
      </c>
      <c r="H94" s="6" t="s">
        <v>217</v>
      </c>
      <c r="I94" s="6">
        <v>1</v>
      </c>
      <c r="J94" s="19" t="s">
        <v>18</v>
      </c>
      <c r="K94" s="20">
        <v>1</v>
      </c>
      <c r="L94" s="21">
        <v>6.4</v>
      </c>
      <c r="M94" s="21">
        <v>6.4</v>
      </c>
      <c r="N94" s="21">
        <v>6.4</v>
      </c>
    </row>
    <row r="95" spans="4:14">
      <c r="D95" s="18">
        <v>46190</v>
      </c>
      <c r="E95" s="6">
        <v>1612791</v>
      </c>
      <c r="F95" s="6" t="s">
        <v>16</v>
      </c>
      <c r="G95" s="6">
        <v>20324534</v>
      </c>
      <c r="H95" s="6" t="s">
        <v>219</v>
      </c>
      <c r="I95" s="6">
        <v>7</v>
      </c>
      <c r="J95" s="19" t="s">
        <v>18</v>
      </c>
      <c r="K95" s="20">
        <v>1</v>
      </c>
      <c r="L95" s="21">
        <v>6.4</v>
      </c>
      <c r="M95" s="21">
        <v>6.4</v>
      </c>
      <c r="N95" s="21">
        <v>44.8</v>
      </c>
    </row>
    <row r="96" spans="4:14">
      <c r="D96" s="18">
        <v>46190</v>
      </c>
      <c r="E96" s="6">
        <v>1612791</v>
      </c>
      <c r="F96" s="6" t="s">
        <v>16</v>
      </c>
      <c r="G96" s="6">
        <v>20330331</v>
      </c>
      <c r="H96" s="6" t="s">
        <v>221</v>
      </c>
      <c r="I96" s="6">
        <v>2</v>
      </c>
      <c r="J96" s="6" t="s">
        <v>222</v>
      </c>
      <c r="K96" s="20">
        <v>1</v>
      </c>
      <c r="L96" s="8">
        <v>10.4</v>
      </c>
      <c r="M96" s="21">
        <v>10.4</v>
      </c>
      <c r="N96" s="21">
        <v>20.8</v>
      </c>
    </row>
    <row r="97" spans="4:14">
      <c r="D97" s="18">
        <v>46191</v>
      </c>
      <c r="E97" s="6">
        <v>1613220</v>
      </c>
      <c r="F97" s="6" t="s">
        <v>16</v>
      </c>
      <c r="G97" s="6">
        <v>20324516</v>
      </c>
      <c r="H97" s="6" t="s">
        <v>213</v>
      </c>
      <c r="I97" s="6">
        <v>1</v>
      </c>
      <c r="J97" s="19" t="s">
        <v>18</v>
      </c>
      <c r="K97" s="20">
        <v>1</v>
      </c>
      <c r="L97" s="21">
        <v>6.4</v>
      </c>
      <c r="M97" s="21">
        <v>6.4</v>
      </c>
      <c r="N97" s="21">
        <v>6.4</v>
      </c>
    </row>
    <row r="98" spans="4:14">
      <c r="D98" s="18">
        <v>46191</v>
      </c>
      <c r="E98" s="6">
        <v>1613220</v>
      </c>
      <c r="F98" s="6" t="s">
        <v>16</v>
      </c>
      <c r="G98" s="6">
        <v>20324514</v>
      </c>
      <c r="H98" s="6" t="s">
        <v>214</v>
      </c>
      <c r="I98" s="6">
        <v>4</v>
      </c>
      <c r="J98" s="19" t="s">
        <v>18</v>
      </c>
      <c r="K98" s="20">
        <v>1</v>
      </c>
      <c r="L98" s="21">
        <v>6.4</v>
      </c>
      <c r="M98" s="21">
        <v>6.4</v>
      </c>
      <c r="N98" s="21">
        <v>25.6</v>
      </c>
    </row>
    <row r="99" spans="4:14">
      <c r="D99" s="18">
        <v>46191</v>
      </c>
      <c r="E99" s="6">
        <v>1613220</v>
      </c>
      <c r="F99" s="6" t="s">
        <v>16</v>
      </c>
      <c r="G99" s="6">
        <v>20324803</v>
      </c>
      <c r="H99" s="6" t="s">
        <v>216</v>
      </c>
      <c r="I99" s="6">
        <v>4</v>
      </c>
      <c r="J99" s="6" t="s">
        <v>20</v>
      </c>
      <c r="K99" s="20">
        <v>1</v>
      </c>
      <c r="L99" s="21">
        <v>8.8</v>
      </c>
      <c r="M99" s="21">
        <v>8.8</v>
      </c>
      <c r="N99" s="21">
        <v>35.2</v>
      </c>
    </row>
    <row r="100" spans="4:14">
      <c r="D100" s="18">
        <v>46191</v>
      </c>
      <c r="E100" s="6">
        <v>1613220</v>
      </c>
      <c r="F100" s="6" t="s">
        <v>16</v>
      </c>
      <c r="G100" s="6">
        <v>20324538</v>
      </c>
      <c r="H100" s="6" t="s">
        <v>218</v>
      </c>
      <c r="I100" s="6">
        <v>1</v>
      </c>
      <c r="J100" s="19" t="s">
        <v>18</v>
      </c>
      <c r="K100" s="20">
        <v>1</v>
      </c>
      <c r="L100" s="21">
        <v>6.4</v>
      </c>
      <c r="M100" s="21">
        <v>6.4</v>
      </c>
      <c r="N100" s="21">
        <v>6.4</v>
      </c>
    </row>
    <row r="101" spans="4:14">
      <c r="D101" s="18">
        <v>46191</v>
      </c>
      <c r="E101" s="6">
        <v>1613220</v>
      </c>
      <c r="F101" s="6" t="s">
        <v>16</v>
      </c>
      <c r="G101" s="6">
        <v>20324999</v>
      </c>
      <c r="H101" s="6" t="s">
        <v>231</v>
      </c>
      <c r="I101" s="6">
        <v>1</v>
      </c>
      <c r="J101" s="19" t="s">
        <v>18</v>
      </c>
      <c r="K101" s="20">
        <v>1</v>
      </c>
      <c r="L101" s="21">
        <v>6.4</v>
      </c>
      <c r="M101" s="21">
        <v>6.4</v>
      </c>
      <c r="N101" s="21">
        <v>6.4</v>
      </c>
    </row>
    <row r="102" spans="4:14">
      <c r="D102" s="18">
        <v>46191</v>
      </c>
      <c r="E102" s="6">
        <v>1613220</v>
      </c>
      <c r="F102" s="6" t="s">
        <v>16</v>
      </c>
      <c r="G102" s="6">
        <v>20324534</v>
      </c>
      <c r="H102" s="6" t="s">
        <v>219</v>
      </c>
      <c r="I102" s="6">
        <v>3</v>
      </c>
      <c r="J102" s="19" t="s">
        <v>18</v>
      </c>
      <c r="K102" s="20">
        <v>1</v>
      </c>
      <c r="L102" s="21">
        <v>6.4</v>
      </c>
      <c r="M102" s="21">
        <v>6.4</v>
      </c>
      <c r="N102" s="21">
        <v>19.2</v>
      </c>
    </row>
    <row r="103" spans="4:14">
      <c r="D103" s="18">
        <v>46191</v>
      </c>
      <c r="E103" s="6">
        <v>1613551</v>
      </c>
      <c r="F103" s="6" t="s">
        <v>16</v>
      </c>
      <c r="G103" s="6">
        <v>20324803</v>
      </c>
      <c r="H103" s="6" t="s">
        <v>216</v>
      </c>
      <c r="I103" s="6">
        <v>1</v>
      </c>
      <c r="J103" s="6" t="s">
        <v>20</v>
      </c>
      <c r="K103" s="20">
        <v>1</v>
      </c>
      <c r="L103" s="21">
        <v>8.8</v>
      </c>
      <c r="M103" s="21">
        <v>8.8</v>
      </c>
      <c r="N103" s="21">
        <v>8.8</v>
      </c>
    </row>
    <row r="104" spans="4:14">
      <c r="D104" s="18">
        <v>46191</v>
      </c>
      <c r="E104" s="6">
        <v>1613551</v>
      </c>
      <c r="F104" s="6" t="s">
        <v>16</v>
      </c>
      <c r="G104" s="6">
        <v>20324801</v>
      </c>
      <c r="H104" s="6" t="s">
        <v>217</v>
      </c>
      <c r="I104" s="6">
        <v>5</v>
      </c>
      <c r="J104" s="19" t="s">
        <v>18</v>
      </c>
      <c r="K104" s="20">
        <v>1</v>
      </c>
      <c r="L104" s="21">
        <v>6.4</v>
      </c>
      <c r="M104" s="21">
        <v>6.4</v>
      </c>
      <c r="N104" s="21">
        <v>32</v>
      </c>
    </row>
    <row r="105" spans="4:14">
      <c r="D105" s="18">
        <v>46191</v>
      </c>
      <c r="E105" s="6">
        <v>1613551</v>
      </c>
      <c r="F105" s="6" t="s">
        <v>16</v>
      </c>
      <c r="G105" s="6">
        <v>20324557</v>
      </c>
      <c r="H105" s="6" t="s">
        <v>147</v>
      </c>
      <c r="I105" s="6">
        <v>1</v>
      </c>
      <c r="J105" s="19" t="s">
        <v>18</v>
      </c>
      <c r="K105" s="20">
        <v>1</v>
      </c>
      <c r="L105" s="21">
        <v>6.4</v>
      </c>
      <c r="M105" s="21">
        <v>6.4</v>
      </c>
      <c r="N105" s="21">
        <v>6.4</v>
      </c>
    </row>
    <row r="106" spans="4:14">
      <c r="D106" s="18">
        <v>46191</v>
      </c>
      <c r="E106" s="6">
        <v>1613551</v>
      </c>
      <c r="F106" s="6" t="s">
        <v>16</v>
      </c>
      <c r="G106" s="6">
        <v>20324534</v>
      </c>
      <c r="H106" s="6" t="s">
        <v>219</v>
      </c>
      <c r="I106" s="6">
        <v>15</v>
      </c>
      <c r="J106" s="19" t="s">
        <v>18</v>
      </c>
      <c r="K106" s="20">
        <v>1</v>
      </c>
      <c r="L106" s="21">
        <v>6.4</v>
      </c>
      <c r="M106" s="21">
        <v>6.4</v>
      </c>
      <c r="N106" s="21">
        <v>96</v>
      </c>
    </row>
    <row r="107" spans="4:14">
      <c r="D107" s="18">
        <v>46191</v>
      </c>
      <c r="E107" s="6">
        <v>1613551</v>
      </c>
      <c r="F107" s="6" t="s">
        <v>16</v>
      </c>
      <c r="G107" s="6">
        <v>20324545</v>
      </c>
      <c r="H107" s="6" t="s">
        <v>220</v>
      </c>
      <c r="I107" s="6">
        <v>2</v>
      </c>
      <c r="J107" s="19" t="s">
        <v>18</v>
      </c>
      <c r="K107" s="20">
        <v>1</v>
      </c>
      <c r="L107" s="21">
        <v>6.4</v>
      </c>
      <c r="M107" s="21">
        <v>6.4</v>
      </c>
      <c r="N107" s="21">
        <v>12.8</v>
      </c>
    </row>
    <row r="108" spans="4:14">
      <c r="D108" s="18">
        <v>46195</v>
      </c>
      <c r="E108" s="6">
        <v>1614187</v>
      </c>
      <c r="F108" s="6" t="s">
        <v>16</v>
      </c>
      <c r="G108" s="6">
        <v>20324516</v>
      </c>
      <c r="H108" s="6" t="s">
        <v>213</v>
      </c>
      <c r="I108" s="6">
        <v>2</v>
      </c>
      <c r="J108" s="19" t="s">
        <v>18</v>
      </c>
      <c r="K108" s="20">
        <v>1</v>
      </c>
      <c r="L108" s="21">
        <v>6.4</v>
      </c>
      <c r="M108" s="21">
        <v>6.4</v>
      </c>
      <c r="N108" s="21">
        <v>12.8</v>
      </c>
    </row>
    <row r="109" spans="4:14">
      <c r="D109" s="18">
        <v>46195</v>
      </c>
      <c r="E109" s="6">
        <v>1614187</v>
      </c>
      <c r="F109" s="6" t="s">
        <v>16</v>
      </c>
      <c r="G109" s="6">
        <v>20324514</v>
      </c>
      <c r="H109" s="6" t="s">
        <v>214</v>
      </c>
      <c r="I109" s="6">
        <v>3</v>
      </c>
      <c r="J109" s="19" t="s">
        <v>18</v>
      </c>
      <c r="K109" s="20">
        <v>1</v>
      </c>
      <c r="L109" s="21">
        <v>6.4</v>
      </c>
      <c r="M109" s="21">
        <v>6.4</v>
      </c>
      <c r="N109" s="21">
        <v>19.2</v>
      </c>
    </row>
    <row r="110" spans="4:14">
      <c r="D110" s="18">
        <v>46195</v>
      </c>
      <c r="E110" s="6">
        <v>1614187</v>
      </c>
      <c r="F110" s="6" t="s">
        <v>16</v>
      </c>
      <c r="G110" s="6">
        <v>20324803</v>
      </c>
      <c r="H110" s="6" t="s">
        <v>216</v>
      </c>
      <c r="I110" s="6">
        <v>2</v>
      </c>
      <c r="J110" s="6" t="s">
        <v>20</v>
      </c>
      <c r="K110" s="20">
        <v>1</v>
      </c>
      <c r="L110" s="21">
        <v>8.8</v>
      </c>
      <c r="M110" s="21">
        <v>8.8</v>
      </c>
      <c r="N110" s="21">
        <v>17.6</v>
      </c>
    </row>
    <row r="111" spans="4:14">
      <c r="D111" s="18">
        <v>46195</v>
      </c>
      <c r="E111" s="6">
        <v>1614187</v>
      </c>
      <c r="F111" s="6" t="s">
        <v>16</v>
      </c>
      <c r="G111" s="6">
        <v>20324801</v>
      </c>
      <c r="H111" s="6" t="s">
        <v>217</v>
      </c>
      <c r="I111" s="6">
        <v>4</v>
      </c>
      <c r="J111" s="19" t="s">
        <v>18</v>
      </c>
      <c r="K111" s="20">
        <v>1</v>
      </c>
      <c r="L111" s="21">
        <v>6.4</v>
      </c>
      <c r="M111" s="21">
        <v>6.4</v>
      </c>
      <c r="N111" s="21">
        <v>25.6</v>
      </c>
    </row>
    <row r="112" spans="4:14">
      <c r="D112" s="18">
        <v>46195</v>
      </c>
      <c r="E112" s="6">
        <v>1614187</v>
      </c>
      <c r="F112" s="6" t="s">
        <v>16</v>
      </c>
      <c r="G112" s="6">
        <v>20324364</v>
      </c>
      <c r="H112" s="6" t="s">
        <v>21</v>
      </c>
      <c r="I112" s="6">
        <v>1</v>
      </c>
      <c r="J112" s="19" t="s">
        <v>18</v>
      </c>
      <c r="K112" s="20">
        <v>1</v>
      </c>
      <c r="L112" s="21">
        <v>6.4</v>
      </c>
      <c r="M112" s="21">
        <v>6.4</v>
      </c>
      <c r="N112" s="21">
        <v>6.4</v>
      </c>
    </row>
    <row r="113" spans="4:14">
      <c r="D113" s="18">
        <v>46195</v>
      </c>
      <c r="E113" s="6">
        <v>1614187</v>
      </c>
      <c r="F113" s="6" t="s">
        <v>16</v>
      </c>
      <c r="G113" s="6">
        <v>20324538</v>
      </c>
      <c r="H113" s="6" t="s">
        <v>218</v>
      </c>
      <c r="I113" s="6">
        <v>1</v>
      </c>
      <c r="J113" s="19" t="s">
        <v>18</v>
      </c>
      <c r="K113" s="20">
        <v>1</v>
      </c>
      <c r="L113" s="21">
        <v>6.4</v>
      </c>
      <c r="M113" s="21">
        <v>6.4</v>
      </c>
      <c r="N113" s="21">
        <v>6.4</v>
      </c>
    </row>
    <row r="114" spans="4:14">
      <c r="D114" s="18">
        <v>46195</v>
      </c>
      <c r="E114" s="6">
        <v>1614187</v>
      </c>
      <c r="F114" s="6" t="s">
        <v>16</v>
      </c>
      <c r="G114" s="6">
        <v>20324557</v>
      </c>
      <c r="H114" s="6" t="s">
        <v>147</v>
      </c>
      <c r="I114" s="6">
        <v>1</v>
      </c>
      <c r="J114" s="19" t="s">
        <v>18</v>
      </c>
      <c r="K114" s="20">
        <v>1</v>
      </c>
      <c r="L114" s="21">
        <v>6.4</v>
      </c>
      <c r="M114" s="21">
        <v>6.4</v>
      </c>
      <c r="N114" s="21">
        <v>6.4</v>
      </c>
    </row>
    <row r="115" spans="4:14">
      <c r="D115" s="18">
        <v>46195</v>
      </c>
      <c r="E115" s="6">
        <v>1614187</v>
      </c>
      <c r="F115" s="6" t="s">
        <v>16</v>
      </c>
      <c r="G115" s="6">
        <v>20324534</v>
      </c>
      <c r="H115" s="6" t="s">
        <v>219</v>
      </c>
      <c r="I115" s="6">
        <v>16</v>
      </c>
      <c r="J115" s="19" t="s">
        <v>18</v>
      </c>
      <c r="K115" s="20">
        <v>1</v>
      </c>
      <c r="L115" s="21">
        <v>6.4</v>
      </c>
      <c r="M115" s="21">
        <v>6.4</v>
      </c>
      <c r="N115" s="21">
        <v>102.4</v>
      </c>
    </row>
    <row r="116" spans="4:14">
      <c r="D116" s="18">
        <v>46195</v>
      </c>
      <c r="E116" s="6">
        <v>1614187</v>
      </c>
      <c r="F116" s="6" t="s">
        <v>16</v>
      </c>
      <c r="G116" s="6">
        <v>20324545</v>
      </c>
      <c r="H116" s="6" t="s">
        <v>220</v>
      </c>
      <c r="I116" s="6">
        <v>4</v>
      </c>
      <c r="J116" s="19" t="s">
        <v>18</v>
      </c>
      <c r="K116" s="20">
        <v>1</v>
      </c>
      <c r="L116" s="21">
        <v>6.4</v>
      </c>
      <c r="M116" s="21">
        <v>6.4</v>
      </c>
      <c r="N116" s="21">
        <v>25.6</v>
      </c>
    </row>
    <row r="117" spans="4:14">
      <c r="D117" s="18">
        <v>46195</v>
      </c>
      <c r="E117" s="6">
        <v>1614187</v>
      </c>
      <c r="F117" s="6" t="s">
        <v>16</v>
      </c>
      <c r="G117" s="6">
        <v>20330331</v>
      </c>
      <c r="H117" s="6" t="s">
        <v>221</v>
      </c>
      <c r="I117" s="6">
        <v>2</v>
      </c>
      <c r="J117" s="6" t="s">
        <v>222</v>
      </c>
      <c r="K117" s="20">
        <v>1</v>
      </c>
      <c r="L117" s="8">
        <v>10.4</v>
      </c>
      <c r="M117" s="21">
        <v>10.4</v>
      </c>
      <c r="N117" s="21">
        <v>20.8</v>
      </c>
    </row>
    <row r="118" spans="4:14">
      <c r="D118" s="18">
        <v>46195</v>
      </c>
      <c r="E118" s="6">
        <v>1614187</v>
      </c>
      <c r="F118" s="6" t="s">
        <v>16</v>
      </c>
      <c r="G118" s="6">
        <v>20324625</v>
      </c>
      <c r="H118" s="6" t="s">
        <v>228</v>
      </c>
      <c r="I118" s="6">
        <v>2</v>
      </c>
      <c r="J118" s="19" t="s">
        <v>18</v>
      </c>
      <c r="K118" s="20">
        <v>1</v>
      </c>
      <c r="L118" s="21">
        <v>6.4</v>
      </c>
      <c r="M118" s="21">
        <v>6.4</v>
      </c>
      <c r="N118" s="21">
        <v>12.8</v>
      </c>
    </row>
    <row r="119" spans="4:14">
      <c r="D119" s="18">
        <v>46197</v>
      </c>
      <c r="E119" s="6">
        <v>1614565</v>
      </c>
      <c r="F119" s="6" t="s">
        <v>16</v>
      </c>
      <c r="G119" s="6">
        <v>20324516</v>
      </c>
      <c r="H119" s="6" t="s">
        <v>213</v>
      </c>
      <c r="I119" s="6">
        <v>1</v>
      </c>
      <c r="J119" s="19" t="s">
        <v>18</v>
      </c>
      <c r="K119" s="20">
        <v>1</v>
      </c>
      <c r="L119" s="21">
        <v>6.4</v>
      </c>
      <c r="M119" s="21">
        <v>6.4</v>
      </c>
      <c r="N119" s="21">
        <v>6.4</v>
      </c>
    </row>
    <row r="120" spans="4:14">
      <c r="D120" s="18">
        <v>46197</v>
      </c>
      <c r="E120" s="6">
        <v>1614565</v>
      </c>
      <c r="F120" s="6" t="s">
        <v>16</v>
      </c>
      <c r="G120" s="6">
        <v>20324514</v>
      </c>
      <c r="H120" s="6" t="s">
        <v>214</v>
      </c>
      <c r="I120" s="6">
        <v>1</v>
      </c>
      <c r="J120" s="19" t="s">
        <v>18</v>
      </c>
      <c r="K120" s="20">
        <v>1</v>
      </c>
      <c r="L120" s="21">
        <v>6.4</v>
      </c>
      <c r="M120" s="21">
        <v>6.4</v>
      </c>
      <c r="N120" s="21">
        <v>6.4</v>
      </c>
    </row>
    <row r="121" spans="4:14">
      <c r="D121" s="18">
        <v>46197</v>
      </c>
      <c r="E121" s="6">
        <v>1614565</v>
      </c>
      <c r="F121" s="6" t="s">
        <v>16</v>
      </c>
      <c r="G121" s="6">
        <v>20324535</v>
      </c>
      <c r="H121" s="6" t="s">
        <v>215</v>
      </c>
      <c r="I121" s="6">
        <v>1</v>
      </c>
      <c r="J121" s="19" t="s">
        <v>18</v>
      </c>
      <c r="K121" s="20">
        <v>1</v>
      </c>
      <c r="L121" s="21">
        <v>6.4</v>
      </c>
      <c r="M121" s="21">
        <v>6.4</v>
      </c>
      <c r="N121" s="21">
        <v>6.4</v>
      </c>
    </row>
    <row r="122" spans="4:14">
      <c r="D122" s="18">
        <v>46197</v>
      </c>
      <c r="E122" s="6">
        <v>1614565</v>
      </c>
      <c r="F122" s="6" t="s">
        <v>16</v>
      </c>
      <c r="G122" s="6">
        <v>20324534</v>
      </c>
      <c r="H122" s="6" t="s">
        <v>219</v>
      </c>
      <c r="I122" s="6">
        <v>4</v>
      </c>
      <c r="J122" s="19" t="s">
        <v>18</v>
      </c>
      <c r="K122" s="20">
        <v>1</v>
      </c>
      <c r="L122" s="21">
        <v>6.4</v>
      </c>
      <c r="M122" s="21">
        <v>6.4</v>
      </c>
      <c r="N122" s="21">
        <v>25.6</v>
      </c>
    </row>
    <row r="123" spans="4:14">
      <c r="D123" s="18">
        <v>46197</v>
      </c>
      <c r="E123" s="6">
        <v>1614565</v>
      </c>
      <c r="F123" s="6" t="s">
        <v>16</v>
      </c>
      <c r="G123" s="6">
        <v>20324545</v>
      </c>
      <c r="H123" s="6" t="s">
        <v>220</v>
      </c>
      <c r="I123" s="6">
        <v>2</v>
      </c>
      <c r="J123" s="19" t="s">
        <v>18</v>
      </c>
      <c r="K123" s="20">
        <v>1</v>
      </c>
      <c r="L123" s="21">
        <v>6.4</v>
      </c>
      <c r="M123" s="21">
        <v>6.4</v>
      </c>
      <c r="N123" s="21">
        <v>12.8</v>
      </c>
    </row>
    <row r="124" spans="4:14">
      <c r="D124" s="18">
        <v>46197</v>
      </c>
      <c r="E124" s="6">
        <v>1614565</v>
      </c>
      <c r="F124" s="6" t="s">
        <v>16</v>
      </c>
      <c r="G124" s="6">
        <v>20330331</v>
      </c>
      <c r="H124" s="6" t="s">
        <v>221</v>
      </c>
      <c r="I124" s="6">
        <v>1</v>
      </c>
      <c r="J124" s="6" t="s">
        <v>222</v>
      </c>
      <c r="K124" s="20">
        <v>1</v>
      </c>
      <c r="L124" s="8">
        <v>10.4</v>
      </c>
      <c r="M124" s="21">
        <v>10.4</v>
      </c>
      <c r="N124" s="21">
        <v>10.4</v>
      </c>
    </row>
    <row r="125" spans="4:14">
      <c r="D125" s="18">
        <v>46197</v>
      </c>
      <c r="E125" s="6">
        <v>1614921</v>
      </c>
      <c r="F125" s="6" t="s">
        <v>16</v>
      </c>
      <c r="G125" s="6">
        <v>20324803</v>
      </c>
      <c r="H125" s="6" t="s">
        <v>216</v>
      </c>
      <c r="I125" s="6">
        <v>1</v>
      </c>
      <c r="J125" s="6" t="s">
        <v>20</v>
      </c>
      <c r="K125" s="20">
        <v>1</v>
      </c>
      <c r="L125" s="21">
        <v>8.8</v>
      </c>
      <c r="M125" s="21">
        <v>8.8</v>
      </c>
      <c r="N125" s="21">
        <v>8.8</v>
      </c>
    </row>
    <row r="126" spans="4:14">
      <c r="D126" s="18">
        <v>46197</v>
      </c>
      <c r="E126" s="6">
        <v>1614921</v>
      </c>
      <c r="F126" s="6" t="s">
        <v>16</v>
      </c>
      <c r="G126" s="6">
        <v>20324538</v>
      </c>
      <c r="H126" s="6" t="s">
        <v>218</v>
      </c>
      <c r="I126" s="6">
        <v>1</v>
      </c>
      <c r="J126" s="19" t="s">
        <v>18</v>
      </c>
      <c r="K126" s="20">
        <v>1</v>
      </c>
      <c r="L126" s="21">
        <v>6.4</v>
      </c>
      <c r="M126" s="21">
        <v>6.4</v>
      </c>
      <c r="N126" s="21">
        <v>6.4</v>
      </c>
    </row>
    <row r="127" spans="4:14">
      <c r="D127" s="18">
        <v>46197</v>
      </c>
      <c r="E127" s="6">
        <v>1614921</v>
      </c>
      <c r="F127" s="6" t="s">
        <v>16</v>
      </c>
      <c r="G127" s="6">
        <v>20324534</v>
      </c>
      <c r="H127" s="6" t="s">
        <v>219</v>
      </c>
      <c r="I127" s="6">
        <v>4</v>
      </c>
      <c r="J127" s="19" t="s">
        <v>18</v>
      </c>
      <c r="K127" s="20">
        <v>1</v>
      </c>
      <c r="L127" s="21">
        <v>6.4</v>
      </c>
      <c r="M127" s="21">
        <v>6.4</v>
      </c>
      <c r="N127" s="21">
        <v>25.6</v>
      </c>
    </row>
    <row r="128" spans="4:14">
      <c r="D128" s="18">
        <v>46197</v>
      </c>
      <c r="E128" s="6">
        <v>1614921</v>
      </c>
      <c r="F128" s="6" t="s">
        <v>16</v>
      </c>
      <c r="G128" s="6">
        <v>20330331</v>
      </c>
      <c r="H128" s="6" t="s">
        <v>221</v>
      </c>
      <c r="I128" s="6">
        <v>1</v>
      </c>
      <c r="J128" s="6" t="s">
        <v>222</v>
      </c>
      <c r="K128" s="20">
        <v>1</v>
      </c>
      <c r="L128" s="8">
        <v>10.4</v>
      </c>
      <c r="M128" s="21">
        <v>10.4</v>
      </c>
      <c r="N128" s="21">
        <v>10.4</v>
      </c>
    </row>
    <row r="129" spans="4:14">
      <c r="D129" s="18">
        <v>46198</v>
      </c>
      <c r="E129" s="6">
        <v>1615297</v>
      </c>
      <c r="F129" s="6" t="s">
        <v>16</v>
      </c>
      <c r="G129" s="6">
        <v>20324803</v>
      </c>
      <c r="H129" s="6" t="s">
        <v>216</v>
      </c>
      <c r="I129" s="6">
        <v>1</v>
      </c>
      <c r="J129" s="6" t="s">
        <v>20</v>
      </c>
      <c r="K129" s="20">
        <v>1</v>
      </c>
      <c r="L129" s="21">
        <v>8.8</v>
      </c>
      <c r="M129" s="21">
        <v>8.8</v>
      </c>
      <c r="N129" s="21">
        <v>8.8</v>
      </c>
    </row>
    <row r="130" spans="4:14">
      <c r="D130" s="18">
        <v>46198</v>
      </c>
      <c r="E130" s="6">
        <v>1615297</v>
      </c>
      <c r="F130" s="6" t="s">
        <v>16</v>
      </c>
      <c r="G130" s="6">
        <v>20324801</v>
      </c>
      <c r="H130" s="6" t="s">
        <v>217</v>
      </c>
      <c r="I130" s="6">
        <v>4</v>
      </c>
      <c r="J130" s="19" t="s">
        <v>18</v>
      </c>
      <c r="K130" s="20">
        <v>1</v>
      </c>
      <c r="L130" s="21">
        <v>6.4</v>
      </c>
      <c r="M130" s="21">
        <v>6.4</v>
      </c>
      <c r="N130" s="21">
        <v>25.6</v>
      </c>
    </row>
    <row r="131" spans="4:14">
      <c r="D131" s="18">
        <v>46198</v>
      </c>
      <c r="E131" s="6">
        <v>1615297</v>
      </c>
      <c r="F131" s="6" t="s">
        <v>16</v>
      </c>
      <c r="G131" s="6">
        <v>20324364</v>
      </c>
      <c r="H131" s="6" t="s">
        <v>21</v>
      </c>
      <c r="I131" s="6">
        <v>1</v>
      </c>
      <c r="J131" s="19" t="s">
        <v>18</v>
      </c>
      <c r="K131" s="20">
        <v>1</v>
      </c>
      <c r="L131" s="21">
        <v>6.4</v>
      </c>
      <c r="M131" s="21">
        <v>6.4</v>
      </c>
      <c r="N131" s="21">
        <v>6.4</v>
      </c>
    </row>
    <row r="132" spans="4:14">
      <c r="D132" s="18">
        <v>46198</v>
      </c>
      <c r="E132" s="6">
        <v>1615297</v>
      </c>
      <c r="F132" s="6" t="s">
        <v>16</v>
      </c>
      <c r="G132" s="6">
        <v>20324534</v>
      </c>
      <c r="H132" s="6" t="s">
        <v>219</v>
      </c>
      <c r="I132" s="6">
        <v>11</v>
      </c>
      <c r="J132" s="19" t="s">
        <v>18</v>
      </c>
      <c r="K132" s="20">
        <v>1</v>
      </c>
      <c r="L132" s="21">
        <v>6.4</v>
      </c>
      <c r="M132" s="21">
        <v>6.4</v>
      </c>
      <c r="N132" s="21">
        <v>70.4</v>
      </c>
    </row>
    <row r="133" spans="4:14">
      <c r="D133" s="18">
        <v>46198</v>
      </c>
      <c r="E133" s="6">
        <v>1615297</v>
      </c>
      <c r="F133" s="6" t="s">
        <v>16</v>
      </c>
      <c r="G133" s="6">
        <v>20324545</v>
      </c>
      <c r="H133" s="6" t="s">
        <v>220</v>
      </c>
      <c r="I133" s="6">
        <v>4</v>
      </c>
      <c r="J133" s="19" t="s">
        <v>18</v>
      </c>
      <c r="K133" s="20">
        <v>1</v>
      </c>
      <c r="L133" s="21">
        <v>6.4</v>
      </c>
      <c r="M133" s="21">
        <v>6.4</v>
      </c>
      <c r="N133" s="21">
        <v>25.6</v>
      </c>
    </row>
    <row r="134" spans="4:14">
      <c r="D134" s="18">
        <v>46199</v>
      </c>
      <c r="E134" s="6">
        <v>1615605</v>
      </c>
      <c r="F134" s="6" t="s">
        <v>16</v>
      </c>
      <c r="G134" s="6">
        <v>20324535</v>
      </c>
      <c r="H134" s="6" t="s">
        <v>215</v>
      </c>
      <c r="I134" s="6">
        <v>1</v>
      </c>
      <c r="J134" s="19" t="s">
        <v>18</v>
      </c>
      <c r="K134" s="20">
        <v>1</v>
      </c>
      <c r="L134" s="21">
        <v>6.4</v>
      </c>
      <c r="M134" s="21">
        <v>6.4</v>
      </c>
      <c r="N134" s="21">
        <v>6.4</v>
      </c>
    </row>
    <row r="135" spans="4:14">
      <c r="D135" s="18">
        <v>46199</v>
      </c>
      <c r="E135" s="6">
        <v>1615605</v>
      </c>
      <c r="F135" s="6" t="s">
        <v>16</v>
      </c>
      <c r="G135" s="6">
        <v>20324803</v>
      </c>
      <c r="H135" s="6" t="s">
        <v>216</v>
      </c>
      <c r="I135" s="6">
        <v>2</v>
      </c>
      <c r="J135" s="6" t="s">
        <v>20</v>
      </c>
      <c r="K135" s="20">
        <v>1</v>
      </c>
      <c r="L135" s="21">
        <v>8.8</v>
      </c>
      <c r="M135" s="21">
        <v>8.8</v>
      </c>
      <c r="N135" s="21">
        <v>17.6</v>
      </c>
    </row>
    <row r="136" spans="4:14">
      <c r="D136" s="18">
        <v>46199</v>
      </c>
      <c r="E136" s="6">
        <v>1615605</v>
      </c>
      <c r="F136" s="6" t="s">
        <v>16</v>
      </c>
      <c r="G136" s="6">
        <v>20325000</v>
      </c>
      <c r="H136" s="6" t="s">
        <v>232</v>
      </c>
      <c r="I136" s="6">
        <v>1</v>
      </c>
      <c r="J136" s="19" t="s">
        <v>18</v>
      </c>
      <c r="K136" s="20">
        <v>1</v>
      </c>
      <c r="L136" s="21">
        <v>6.4</v>
      </c>
      <c r="M136" s="21">
        <v>6.4</v>
      </c>
      <c r="N136" s="21">
        <v>6.4</v>
      </c>
    </row>
    <row r="137" spans="4:14">
      <c r="D137" s="18">
        <v>46199</v>
      </c>
      <c r="E137" s="6">
        <v>1615605</v>
      </c>
      <c r="F137" s="6" t="s">
        <v>16</v>
      </c>
      <c r="G137" s="6">
        <v>20324364</v>
      </c>
      <c r="H137" s="6" t="s">
        <v>21</v>
      </c>
      <c r="I137" s="6">
        <v>1</v>
      </c>
      <c r="J137" s="19" t="s">
        <v>18</v>
      </c>
      <c r="K137" s="20">
        <v>1</v>
      </c>
      <c r="L137" s="21">
        <v>6.4</v>
      </c>
      <c r="M137" s="21">
        <v>6.4</v>
      </c>
      <c r="N137" s="21">
        <v>6.4</v>
      </c>
    </row>
    <row r="138" spans="4:14">
      <c r="D138" s="18">
        <v>46199</v>
      </c>
      <c r="E138" s="6">
        <v>1615605</v>
      </c>
      <c r="F138" s="6" t="s">
        <v>16</v>
      </c>
      <c r="G138" s="6">
        <v>20324538</v>
      </c>
      <c r="H138" s="6" t="s">
        <v>218</v>
      </c>
      <c r="I138" s="6">
        <v>2</v>
      </c>
      <c r="J138" s="19" t="s">
        <v>18</v>
      </c>
      <c r="K138" s="20">
        <v>1</v>
      </c>
      <c r="L138" s="21">
        <v>6.4</v>
      </c>
      <c r="M138" s="21">
        <v>6.4</v>
      </c>
      <c r="N138" s="21">
        <v>12.8</v>
      </c>
    </row>
    <row r="139" spans="4:14">
      <c r="D139" s="18">
        <v>46199</v>
      </c>
      <c r="E139" s="6">
        <v>1615605</v>
      </c>
      <c r="F139" s="6" t="s">
        <v>16</v>
      </c>
      <c r="G139" s="6">
        <v>20324999</v>
      </c>
      <c r="H139" s="6" t="s">
        <v>231</v>
      </c>
      <c r="I139" s="6">
        <v>1</v>
      </c>
      <c r="J139" s="19" t="s">
        <v>18</v>
      </c>
      <c r="K139" s="20">
        <v>1</v>
      </c>
      <c r="L139" s="21">
        <v>6.4</v>
      </c>
      <c r="M139" s="21">
        <v>6.4</v>
      </c>
      <c r="N139" s="21">
        <v>6.4</v>
      </c>
    </row>
    <row r="140" spans="4:14">
      <c r="D140" s="18">
        <v>46199</v>
      </c>
      <c r="E140" s="6">
        <v>1615605</v>
      </c>
      <c r="F140" s="6" t="s">
        <v>16</v>
      </c>
      <c r="G140" s="6">
        <v>20324534</v>
      </c>
      <c r="H140" s="6" t="s">
        <v>219</v>
      </c>
      <c r="I140" s="6">
        <v>11</v>
      </c>
      <c r="J140" s="19" t="s">
        <v>18</v>
      </c>
      <c r="K140" s="20">
        <v>1</v>
      </c>
      <c r="L140" s="21">
        <v>6.4</v>
      </c>
      <c r="M140" s="21">
        <v>6.4</v>
      </c>
      <c r="N140" s="21">
        <v>70.4</v>
      </c>
    </row>
    <row r="141" spans="4:14">
      <c r="D141" s="18">
        <v>46203</v>
      </c>
      <c r="E141" s="6">
        <v>1616161</v>
      </c>
      <c r="F141" s="6" t="s">
        <v>16</v>
      </c>
      <c r="G141" s="6">
        <v>20324514</v>
      </c>
      <c r="H141" s="6" t="s">
        <v>214</v>
      </c>
      <c r="I141" s="6">
        <v>1</v>
      </c>
      <c r="J141" s="19" t="s">
        <v>18</v>
      </c>
      <c r="K141" s="20">
        <v>1</v>
      </c>
      <c r="L141" s="21">
        <v>6.4</v>
      </c>
      <c r="M141" s="21">
        <v>6.4</v>
      </c>
      <c r="N141" s="21">
        <v>6.4</v>
      </c>
    </row>
    <row r="142" spans="4:14">
      <c r="D142" s="18">
        <v>46203</v>
      </c>
      <c r="E142" s="6">
        <v>1616161</v>
      </c>
      <c r="F142" s="6" t="s">
        <v>16</v>
      </c>
      <c r="G142" s="6">
        <v>20324535</v>
      </c>
      <c r="H142" s="6" t="s">
        <v>215</v>
      </c>
      <c r="I142" s="6">
        <v>2</v>
      </c>
      <c r="J142" s="19" t="s">
        <v>18</v>
      </c>
      <c r="K142" s="20">
        <v>1</v>
      </c>
      <c r="L142" s="21">
        <v>6.4</v>
      </c>
      <c r="M142" s="21">
        <v>6.4</v>
      </c>
      <c r="N142" s="21">
        <v>12.8</v>
      </c>
    </row>
    <row r="143" spans="4:14">
      <c r="D143" s="18">
        <v>46203</v>
      </c>
      <c r="E143" s="6">
        <v>1616161</v>
      </c>
      <c r="F143" s="6" t="s">
        <v>16</v>
      </c>
      <c r="G143" s="6">
        <v>20324803</v>
      </c>
      <c r="H143" s="6" t="s">
        <v>216</v>
      </c>
      <c r="I143" s="6">
        <v>3</v>
      </c>
      <c r="J143" s="6" t="s">
        <v>20</v>
      </c>
      <c r="K143" s="20">
        <v>1</v>
      </c>
      <c r="L143" s="21">
        <v>8.8</v>
      </c>
      <c r="M143" s="21">
        <v>8.8</v>
      </c>
      <c r="N143" s="21">
        <v>26.4</v>
      </c>
    </row>
    <row r="144" spans="4:14">
      <c r="D144" s="18">
        <v>46203</v>
      </c>
      <c r="E144" s="6">
        <v>1616161</v>
      </c>
      <c r="F144" s="6" t="s">
        <v>16</v>
      </c>
      <c r="G144" s="6">
        <v>20324801</v>
      </c>
      <c r="H144" s="6" t="s">
        <v>217</v>
      </c>
      <c r="I144" s="6">
        <v>4</v>
      </c>
      <c r="J144" s="19" t="s">
        <v>18</v>
      </c>
      <c r="K144" s="20">
        <v>1</v>
      </c>
      <c r="L144" s="21">
        <v>6.4</v>
      </c>
      <c r="M144" s="21">
        <v>6.4</v>
      </c>
      <c r="N144" s="21">
        <v>25.6</v>
      </c>
    </row>
    <row r="145" spans="4:14">
      <c r="D145" s="18">
        <v>46203</v>
      </c>
      <c r="E145" s="6">
        <v>1616161</v>
      </c>
      <c r="F145" s="6" t="s">
        <v>16</v>
      </c>
      <c r="G145" s="6">
        <v>20373362</v>
      </c>
      <c r="H145" s="6" t="s">
        <v>226</v>
      </c>
      <c r="I145" s="6">
        <v>1</v>
      </c>
      <c r="J145" s="19" t="s">
        <v>18</v>
      </c>
      <c r="K145" s="20">
        <v>1</v>
      </c>
      <c r="L145" s="21">
        <v>6.4</v>
      </c>
      <c r="M145" s="21">
        <v>6.4</v>
      </c>
      <c r="N145" s="21">
        <v>6.4</v>
      </c>
    </row>
    <row r="146" spans="4:14">
      <c r="D146" s="18">
        <v>46203</v>
      </c>
      <c r="E146" s="6">
        <v>1616161</v>
      </c>
      <c r="F146" s="6" t="s">
        <v>16</v>
      </c>
      <c r="G146" s="6">
        <v>20324546</v>
      </c>
      <c r="H146" s="6" t="s">
        <v>223</v>
      </c>
      <c r="I146" s="6">
        <v>1</v>
      </c>
      <c r="J146" s="19" t="s">
        <v>18</v>
      </c>
      <c r="K146" s="20">
        <v>1</v>
      </c>
      <c r="L146" s="21">
        <v>6.4</v>
      </c>
      <c r="M146" s="21">
        <v>6.4</v>
      </c>
      <c r="N146" s="21">
        <v>6.4</v>
      </c>
    </row>
    <row r="147" spans="4:14">
      <c r="D147" s="18">
        <v>46203</v>
      </c>
      <c r="E147" s="6">
        <v>1616161</v>
      </c>
      <c r="F147" s="6" t="s">
        <v>16</v>
      </c>
      <c r="G147" s="6">
        <v>20324538</v>
      </c>
      <c r="H147" s="6" t="s">
        <v>218</v>
      </c>
      <c r="I147" s="6">
        <v>1</v>
      </c>
      <c r="J147" s="19" t="s">
        <v>18</v>
      </c>
      <c r="K147" s="20">
        <v>1</v>
      </c>
      <c r="L147" s="21">
        <v>6.4</v>
      </c>
      <c r="M147" s="21">
        <v>6.4</v>
      </c>
      <c r="N147" s="21">
        <v>6.4</v>
      </c>
    </row>
    <row r="148" spans="4:14">
      <c r="D148" s="18">
        <v>46203</v>
      </c>
      <c r="E148" s="6">
        <v>1616161</v>
      </c>
      <c r="F148" s="6" t="s">
        <v>16</v>
      </c>
      <c r="G148" s="6">
        <v>20325657</v>
      </c>
      <c r="H148" s="6" t="s">
        <v>233</v>
      </c>
      <c r="I148" s="6">
        <v>1</v>
      </c>
      <c r="J148" s="19" t="s">
        <v>18</v>
      </c>
      <c r="K148" s="20">
        <v>1</v>
      </c>
      <c r="L148" s="21">
        <v>6.4</v>
      </c>
      <c r="M148" s="21">
        <v>6.4</v>
      </c>
      <c r="N148" s="21">
        <v>6.4</v>
      </c>
    </row>
    <row r="149" spans="4:14">
      <c r="D149" s="18">
        <v>46203</v>
      </c>
      <c r="E149" s="6">
        <v>1616161</v>
      </c>
      <c r="F149" s="6" t="s">
        <v>16</v>
      </c>
      <c r="G149" s="6">
        <v>20324534</v>
      </c>
      <c r="H149" s="6" t="s">
        <v>219</v>
      </c>
      <c r="I149" s="6">
        <v>12</v>
      </c>
      <c r="J149" s="19" t="s">
        <v>18</v>
      </c>
      <c r="K149" s="20">
        <v>1</v>
      </c>
      <c r="L149" s="21">
        <v>6.4</v>
      </c>
      <c r="M149" s="21">
        <v>6.4</v>
      </c>
      <c r="N149" s="21">
        <v>76.8</v>
      </c>
    </row>
    <row r="150" spans="4:14">
      <c r="D150" s="18">
        <v>46203</v>
      </c>
      <c r="E150" s="6">
        <v>1616161</v>
      </c>
      <c r="F150" s="6" t="s">
        <v>16</v>
      </c>
      <c r="G150" s="6">
        <v>20324545</v>
      </c>
      <c r="H150" s="6" t="s">
        <v>220</v>
      </c>
      <c r="I150" s="6">
        <v>4</v>
      </c>
      <c r="J150" s="19" t="s">
        <v>18</v>
      </c>
      <c r="K150" s="20">
        <v>1</v>
      </c>
      <c r="L150" s="21">
        <v>6.4</v>
      </c>
      <c r="M150" s="21">
        <v>6.4</v>
      </c>
      <c r="N150" s="21">
        <v>25.6</v>
      </c>
    </row>
    <row r="151" ht="0.05" customHeight="1"/>
  </sheetData>
  <autoFilter xmlns:etc="http://www.wps.cn/officeDocument/2017/etCustomData" ref="A7:N150" etc:filterBottomFollowUsedRange="0">
    <extLst/>
  </autoFilter>
  <mergeCells count="5">
    <mergeCell ref="D8:H8"/>
    <mergeCell ref="C7:C150"/>
    <mergeCell ref="B4:H5"/>
    <mergeCell ref="A7:B150"/>
    <mergeCell ref="C1:H2"/>
  </mergeCells>
  <pageMargins left="0.25" right="0.25" top="0.75" bottom="0.75" header="0.298611111111111" footer="0.298611111111111"/>
  <pageSetup paperSize="9" scale="98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view="pageBreakPreview" zoomScaleNormal="100" topLeftCell="B1" workbookViewId="0">
      <pane ySplit="6" topLeftCell="A7" activePane="bottomLeft" state="frozen"/>
      <selection/>
      <selection pane="bottomLeft" activeCell="J31" sqref="J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2.375" customWidth="1"/>
    <col min="9" max="9" width="6.475" customWidth="1"/>
    <col min="10" max="10" width="23.25" customWidth="1"/>
    <col min="11" max="11" width="17.75" customWidth="1"/>
    <col min="12" max="12" width="13.7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45" t="s">
        <v>13</v>
      </c>
      <c r="N7" s="45" t="s">
        <v>14</v>
      </c>
    </row>
    <row r="8" ht="14.25" spans="1:14">
      <c r="D8" s="40" t="s">
        <v>234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32</v>
      </c>
      <c r="J8" s="42"/>
      <c r="K8" s="49"/>
      <c r="L8" s="49"/>
      <c r="M8" s="49"/>
      <c r="N8" s="49">
        <v>900.4</v>
      </c>
    </row>
    <row r="9" spans="1:14">
      <c r="D9" s="13">
        <v>46176</v>
      </c>
      <c r="E9" s="14">
        <v>1608659</v>
      </c>
      <c r="F9" s="14" t="s">
        <v>26</v>
      </c>
      <c r="G9" s="14">
        <v>20324490</v>
      </c>
      <c r="H9" s="14" t="s">
        <v>235</v>
      </c>
      <c r="I9" s="14">
        <v>2</v>
      </c>
      <c r="J9" s="58" t="s">
        <v>28</v>
      </c>
      <c r="K9" s="16">
        <f t="shared" ref="K9:K11" si="0">M9/L9</f>
        <v>15</v>
      </c>
      <c r="L9" s="17">
        <v>4.4</v>
      </c>
      <c r="M9" s="53">
        <v>66</v>
      </c>
      <c r="N9" s="53">
        <v>132</v>
      </c>
    </row>
    <row r="10" spans="1:14">
      <c r="D10" s="18">
        <v>46182</v>
      </c>
      <c r="E10" s="6">
        <v>1610414</v>
      </c>
      <c r="F10" s="6" t="s">
        <v>26</v>
      </c>
      <c r="G10" s="6">
        <v>20324490</v>
      </c>
      <c r="H10" s="6" t="s">
        <v>235</v>
      </c>
      <c r="I10" s="6">
        <v>2</v>
      </c>
      <c r="J10" s="32" t="s">
        <v>28</v>
      </c>
      <c r="K10" s="20">
        <f t="shared" si="0"/>
        <v>15</v>
      </c>
      <c r="L10" s="21">
        <v>4.4</v>
      </c>
      <c r="M10" s="57">
        <v>66</v>
      </c>
      <c r="N10" s="57">
        <v>132</v>
      </c>
    </row>
    <row r="11" spans="1:14">
      <c r="D11" s="18">
        <v>46183</v>
      </c>
      <c r="E11" s="6">
        <v>1610848</v>
      </c>
      <c r="F11" s="6" t="s">
        <v>26</v>
      </c>
      <c r="G11" s="6">
        <v>20324490</v>
      </c>
      <c r="H11" s="6" t="s">
        <v>235</v>
      </c>
      <c r="I11" s="6">
        <v>1</v>
      </c>
      <c r="J11" s="32" t="s">
        <v>28</v>
      </c>
      <c r="K11" s="20">
        <f t="shared" si="0"/>
        <v>15</v>
      </c>
      <c r="L11" s="21">
        <v>4.4</v>
      </c>
      <c r="M11" s="57">
        <v>66</v>
      </c>
      <c r="N11" s="57">
        <v>66</v>
      </c>
    </row>
    <row r="12" spans="1:14">
      <c r="D12" s="18">
        <v>46183</v>
      </c>
      <c r="E12" s="6">
        <v>1611148</v>
      </c>
      <c r="F12" s="6" t="s">
        <v>51</v>
      </c>
      <c r="G12" s="6">
        <v>20367827</v>
      </c>
      <c r="H12" s="6" t="s">
        <v>143</v>
      </c>
      <c r="I12" s="6">
        <v>18</v>
      </c>
      <c r="J12" s="32" t="s">
        <v>53</v>
      </c>
      <c r="K12" s="20">
        <v>1</v>
      </c>
      <c r="L12" s="21">
        <v>2</v>
      </c>
      <c r="M12" s="57">
        <v>2</v>
      </c>
      <c r="N12" s="57">
        <v>36</v>
      </c>
    </row>
    <row r="13" spans="1:14">
      <c r="D13" s="18">
        <v>46184</v>
      </c>
      <c r="E13" s="6">
        <v>1611540</v>
      </c>
      <c r="F13" s="6" t="s">
        <v>26</v>
      </c>
      <c r="G13" s="6">
        <v>20324490</v>
      </c>
      <c r="H13" s="6" t="s">
        <v>235</v>
      </c>
      <c r="I13" s="6">
        <v>1</v>
      </c>
      <c r="J13" s="32" t="s">
        <v>28</v>
      </c>
      <c r="K13" s="20">
        <f t="shared" ref="K13:K15" si="1">M13/L13</f>
        <v>15</v>
      </c>
      <c r="L13" s="21">
        <v>4.4</v>
      </c>
      <c r="M13" s="57">
        <v>66</v>
      </c>
      <c r="N13" s="57">
        <v>66</v>
      </c>
    </row>
    <row r="14" spans="1:14">
      <c r="D14" s="18">
        <v>46189</v>
      </c>
      <c r="E14" s="6">
        <v>1612418</v>
      </c>
      <c r="F14" s="6" t="s">
        <v>26</v>
      </c>
      <c r="G14" s="6">
        <v>20324490</v>
      </c>
      <c r="H14" s="6" t="s">
        <v>235</v>
      </c>
      <c r="I14" s="6">
        <v>2</v>
      </c>
      <c r="J14" s="32" t="s">
        <v>28</v>
      </c>
      <c r="K14" s="20">
        <f t="shared" si="1"/>
        <v>15</v>
      </c>
      <c r="L14" s="21">
        <v>4.4</v>
      </c>
      <c r="M14" s="57">
        <v>66</v>
      </c>
      <c r="N14" s="57">
        <v>132</v>
      </c>
    </row>
    <row r="15" spans="1:14">
      <c r="D15" s="18">
        <v>46190</v>
      </c>
      <c r="E15" s="6">
        <v>1612792</v>
      </c>
      <c r="F15" s="6" t="s">
        <v>26</v>
      </c>
      <c r="G15" s="6">
        <v>20324490</v>
      </c>
      <c r="H15" s="6" t="s">
        <v>235</v>
      </c>
      <c r="I15" s="6">
        <v>1</v>
      </c>
      <c r="J15" s="32" t="s">
        <v>28</v>
      </c>
      <c r="K15" s="20">
        <f t="shared" si="1"/>
        <v>15</v>
      </c>
      <c r="L15" s="21">
        <v>4.4</v>
      </c>
      <c r="M15" s="57">
        <v>66</v>
      </c>
      <c r="N15" s="57">
        <v>66</v>
      </c>
    </row>
    <row r="16" spans="1:14">
      <c r="D16" s="18">
        <v>46197</v>
      </c>
      <c r="E16" s="6">
        <v>1614549</v>
      </c>
      <c r="F16" s="6" t="s">
        <v>16</v>
      </c>
      <c r="G16" s="6">
        <v>20324417</v>
      </c>
      <c r="H16" s="6" t="s">
        <v>167</v>
      </c>
      <c r="I16" s="6">
        <v>1</v>
      </c>
      <c r="J16" s="19" t="s">
        <v>18</v>
      </c>
      <c r="K16" s="20">
        <v>1</v>
      </c>
      <c r="L16" s="21">
        <v>6.4</v>
      </c>
      <c r="M16" s="57">
        <v>6.4</v>
      </c>
      <c r="N16" s="57">
        <v>6.4</v>
      </c>
    </row>
    <row r="17" spans="4:14">
      <c r="D17" s="18">
        <v>46197</v>
      </c>
      <c r="E17" s="6">
        <v>1614549</v>
      </c>
      <c r="F17" s="6" t="s">
        <v>26</v>
      </c>
      <c r="G17" s="6">
        <v>20324490</v>
      </c>
      <c r="H17" s="6" t="s">
        <v>235</v>
      </c>
      <c r="I17" s="6">
        <v>2</v>
      </c>
      <c r="J17" s="32" t="s">
        <v>28</v>
      </c>
      <c r="K17" s="20">
        <f>M17/L17</f>
        <v>15</v>
      </c>
      <c r="L17" s="21">
        <v>4.4</v>
      </c>
      <c r="M17" s="57">
        <v>66</v>
      </c>
      <c r="N17" s="57">
        <v>132</v>
      </c>
    </row>
    <row r="18" spans="4:14">
      <c r="D18" s="18">
        <v>46197</v>
      </c>
      <c r="E18" s="6">
        <v>1614922</v>
      </c>
      <c r="F18" s="6" t="s">
        <v>26</v>
      </c>
      <c r="G18" s="6">
        <v>20324490</v>
      </c>
      <c r="H18" s="6" t="s">
        <v>235</v>
      </c>
      <c r="I18" s="6">
        <v>2</v>
      </c>
      <c r="J18" s="32" t="s">
        <v>28</v>
      </c>
      <c r="K18" s="20">
        <f>M18/L18</f>
        <v>15</v>
      </c>
      <c r="L18" s="21">
        <v>4.4</v>
      </c>
      <c r="M18" s="57">
        <v>66</v>
      </c>
      <c r="N18" s="57">
        <v>132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J31" sqref="J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75" customWidth="1"/>
    <col min="12" max="12" width="13.7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236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2</v>
      </c>
      <c r="J8" s="42"/>
      <c r="K8" s="43"/>
      <c r="L8" s="43"/>
      <c r="M8" s="43"/>
      <c r="N8" s="43">
        <v>15.2</v>
      </c>
    </row>
    <row r="9" spans="1:14">
      <c r="D9" s="13">
        <v>46198</v>
      </c>
      <c r="E9" s="14">
        <v>1615298</v>
      </c>
      <c r="F9" s="14" t="s">
        <v>16</v>
      </c>
      <c r="G9" s="14">
        <v>20324557</v>
      </c>
      <c r="H9" s="14" t="s">
        <v>147</v>
      </c>
      <c r="I9" s="14">
        <v>1</v>
      </c>
      <c r="J9" s="15" t="s">
        <v>18</v>
      </c>
      <c r="K9" s="16">
        <v>1</v>
      </c>
      <c r="L9" s="17">
        <v>6.4</v>
      </c>
      <c r="M9" s="17">
        <v>6.4</v>
      </c>
      <c r="N9" s="17">
        <v>6.4</v>
      </c>
    </row>
    <row r="10" spans="1:14">
      <c r="D10" s="18">
        <v>46198</v>
      </c>
      <c r="E10" s="6">
        <v>1615298</v>
      </c>
      <c r="F10" s="6" t="s">
        <v>16</v>
      </c>
      <c r="G10" s="6">
        <v>20324559</v>
      </c>
      <c r="H10" s="6" t="s">
        <v>148</v>
      </c>
      <c r="I10" s="6">
        <v>1</v>
      </c>
      <c r="J10" s="6" t="s">
        <v>20</v>
      </c>
      <c r="K10" s="20">
        <v>1</v>
      </c>
      <c r="L10" s="21">
        <v>8.8</v>
      </c>
      <c r="M10" s="21">
        <v>8.8</v>
      </c>
      <c r="N10" s="21">
        <v>8.8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8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J31" sqref="J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75" customWidth="1"/>
    <col min="12" max="12" width="13.7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45" t="s">
        <v>13</v>
      </c>
      <c r="N7" s="45" t="s">
        <v>14</v>
      </c>
    </row>
    <row r="8" ht="14.25" spans="1:14">
      <c r="D8" s="40" t="s">
        <v>237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4</v>
      </c>
      <c r="J8" s="42"/>
      <c r="K8" s="49"/>
      <c r="L8" s="49"/>
      <c r="M8" s="49"/>
      <c r="N8" s="49">
        <v>12.8</v>
      </c>
    </row>
    <row r="9" spans="1:14">
      <c r="D9" s="13">
        <v>46177</v>
      </c>
      <c r="E9" s="14">
        <v>1609079</v>
      </c>
      <c r="F9" s="14" t="s">
        <v>51</v>
      </c>
      <c r="G9" s="14">
        <v>20324518</v>
      </c>
      <c r="H9" s="14" t="s">
        <v>238</v>
      </c>
      <c r="I9" s="14">
        <v>1</v>
      </c>
      <c r="J9" s="121" t="s">
        <v>86</v>
      </c>
      <c r="K9" s="16">
        <v>1</v>
      </c>
      <c r="L9" s="17">
        <v>3.2</v>
      </c>
      <c r="M9" s="53">
        <v>3.2</v>
      </c>
      <c r="N9" s="53">
        <v>3.2</v>
      </c>
    </row>
    <row r="10" spans="1:14">
      <c r="D10" s="18">
        <v>46183</v>
      </c>
      <c r="E10" s="6">
        <v>1611149</v>
      </c>
      <c r="F10" s="6" t="s">
        <v>51</v>
      </c>
      <c r="G10" s="6">
        <v>20324518</v>
      </c>
      <c r="H10" s="6" t="s">
        <v>238</v>
      </c>
      <c r="I10" s="6">
        <v>1</v>
      </c>
      <c r="J10" s="33" t="s">
        <v>86</v>
      </c>
      <c r="K10" s="20">
        <v>1</v>
      </c>
      <c r="L10" s="21">
        <v>3.2</v>
      </c>
      <c r="M10" s="57">
        <v>3.2</v>
      </c>
      <c r="N10" s="57">
        <v>3.2</v>
      </c>
    </row>
    <row r="11" spans="1:14">
      <c r="D11" s="18">
        <v>46191</v>
      </c>
      <c r="E11" s="6">
        <v>1613211</v>
      </c>
      <c r="F11" s="6" t="s">
        <v>51</v>
      </c>
      <c r="G11" s="6">
        <v>20324518</v>
      </c>
      <c r="H11" s="6" t="s">
        <v>238</v>
      </c>
      <c r="I11" s="6">
        <v>1</v>
      </c>
      <c r="J11" s="33" t="s">
        <v>86</v>
      </c>
      <c r="K11" s="20">
        <v>1</v>
      </c>
      <c r="L11" s="21">
        <v>3.2</v>
      </c>
      <c r="M11" s="57">
        <v>3.2</v>
      </c>
      <c r="N11" s="57">
        <v>3.2</v>
      </c>
    </row>
    <row r="12" spans="1:14">
      <c r="D12" s="18">
        <v>46198</v>
      </c>
      <c r="E12" s="6">
        <v>1615299</v>
      </c>
      <c r="F12" s="6" t="s">
        <v>51</v>
      </c>
      <c r="G12" s="6">
        <v>20324518</v>
      </c>
      <c r="H12" s="6" t="s">
        <v>238</v>
      </c>
      <c r="I12" s="6">
        <v>1</v>
      </c>
      <c r="J12" s="33" t="s">
        <v>86</v>
      </c>
      <c r="K12" s="20">
        <v>1</v>
      </c>
      <c r="L12" s="21">
        <v>3.2</v>
      </c>
      <c r="M12" s="57">
        <v>3.2</v>
      </c>
      <c r="N12" s="57">
        <v>3.2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8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7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H28" sqref="H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5.375" customWidth="1"/>
    <col min="11" max="11" width="17.75" customWidth="1"/>
    <col min="12" max="12" width="13.7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4" spans="1:14">
      <c r="B4" s="2" t="s">
        <v>1</v>
      </c>
    </row>
    <row r="7" spans="1:14">
      <c r="A7" s="3" t="s">
        <v>2</v>
      </c>
      <c r="B7" s="4" t="s">
        <v>2</v>
      </c>
      <c r="C7" s="5" t="s">
        <v>2</v>
      </c>
      <c r="D7" s="118" t="s">
        <v>4</v>
      </c>
      <c r="E7" s="118" t="s">
        <v>5</v>
      </c>
      <c r="F7" s="118" t="s">
        <v>6</v>
      </c>
      <c r="G7" s="118" t="s">
        <v>7</v>
      </c>
      <c r="H7" s="118" t="s">
        <v>8</v>
      </c>
      <c r="I7" s="118" t="s">
        <v>9</v>
      </c>
      <c r="J7" s="22" t="s">
        <v>10</v>
      </c>
      <c r="K7" s="7" t="s">
        <v>11</v>
      </c>
      <c r="L7" s="8" t="s">
        <v>12</v>
      </c>
      <c r="M7" s="119" t="s">
        <v>13</v>
      </c>
      <c r="N7" s="119" t="s">
        <v>14</v>
      </c>
    </row>
    <row r="8" ht="14.25" spans="1:14">
      <c r="D8" s="64" t="s">
        <v>239</v>
      </c>
      <c r="E8" s="65" t="s">
        <v>2</v>
      </c>
      <c r="F8" s="65" t="s">
        <v>2</v>
      </c>
      <c r="G8" s="65" t="s">
        <v>2</v>
      </c>
      <c r="H8" s="65" t="s">
        <v>2</v>
      </c>
      <c r="I8" s="64">
        <v>110</v>
      </c>
      <c r="J8" s="66"/>
      <c r="K8" s="49"/>
      <c r="L8" s="49"/>
      <c r="M8" s="49"/>
      <c r="N8" s="49">
        <v>3080</v>
      </c>
    </row>
    <row r="9" spans="1:14">
      <c r="D9" s="26">
        <v>46174</v>
      </c>
      <c r="E9" s="27">
        <v>1608252</v>
      </c>
      <c r="F9" s="27" t="s">
        <v>240</v>
      </c>
      <c r="G9" s="27">
        <v>20374363</v>
      </c>
      <c r="H9" s="27" t="s">
        <v>241</v>
      </c>
      <c r="I9" s="27">
        <v>1</v>
      </c>
      <c r="J9" s="120" t="s">
        <v>242</v>
      </c>
      <c r="K9" s="16">
        <v>1</v>
      </c>
      <c r="L9" s="17">
        <v>28</v>
      </c>
      <c r="M9" s="53">
        <v>28</v>
      </c>
      <c r="N9" s="53">
        <v>28</v>
      </c>
    </row>
    <row r="10" spans="1:14">
      <c r="D10" s="29">
        <v>46174</v>
      </c>
      <c r="E10" s="22">
        <v>1608252</v>
      </c>
      <c r="F10" s="22" t="s">
        <v>240</v>
      </c>
      <c r="G10" s="22">
        <v>20374365</v>
      </c>
      <c r="H10" s="22" t="s">
        <v>243</v>
      </c>
      <c r="I10" s="22">
        <v>1</v>
      </c>
      <c r="J10" s="30" t="s">
        <v>242</v>
      </c>
      <c r="K10" s="20">
        <v>1</v>
      </c>
      <c r="L10" s="21">
        <v>28</v>
      </c>
      <c r="M10" s="57">
        <v>28</v>
      </c>
      <c r="N10" s="57">
        <v>28</v>
      </c>
    </row>
    <row r="11" spans="1:14">
      <c r="D11" s="29">
        <v>46174</v>
      </c>
      <c r="E11" s="22">
        <v>1608252</v>
      </c>
      <c r="F11" s="22" t="s">
        <v>240</v>
      </c>
      <c r="G11" s="22">
        <v>20374367</v>
      </c>
      <c r="H11" s="22" t="s">
        <v>244</v>
      </c>
      <c r="I11" s="22">
        <v>1</v>
      </c>
      <c r="J11" s="30" t="s">
        <v>242</v>
      </c>
      <c r="K11" s="20">
        <v>1</v>
      </c>
      <c r="L11" s="21">
        <v>28</v>
      </c>
      <c r="M11" s="57">
        <v>28</v>
      </c>
      <c r="N11" s="57">
        <v>28</v>
      </c>
    </row>
    <row r="12" spans="1:14">
      <c r="D12" s="29">
        <v>46174</v>
      </c>
      <c r="E12" s="22">
        <v>1608252</v>
      </c>
      <c r="F12" s="22" t="s">
        <v>240</v>
      </c>
      <c r="G12" s="22">
        <v>20374368</v>
      </c>
      <c r="H12" s="22" t="s">
        <v>245</v>
      </c>
      <c r="I12" s="22">
        <v>1</v>
      </c>
      <c r="J12" s="30" t="s">
        <v>242</v>
      </c>
      <c r="K12" s="20">
        <v>1</v>
      </c>
      <c r="L12" s="21">
        <v>28</v>
      </c>
      <c r="M12" s="57">
        <v>28</v>
      </c>
      <c r="N12" s="57">
        <v>28</v>
      </c>
    </row>
    <row r="13" spans="1:14">
      <c r="D13" s="29">
        <v>46176</v>
      </c>
      <c r="E13" s="22">
        <v>1608660</v>
      </c>
      <c r="F13" s="22" t="s">
        <v>240</v>
      </c>
      <c r="G13" s="22">
        <v>20363667</v>
      </c>
      <c r="H13" s="22" t="s">
        <v>243</v>
      </c>
      <c r="I13" s="22">
        <v>1</v>
      </c>
      <c r="J13" s="30" t="s">
        <v>242</v>
      </c>
      <c r="K13" s="20">
        <v>1</v>
      </c>
      <c r="L13" s="21">
        <v>28</v>
      </c>
      <c r="M13" s="57">
        <v>28</v>
      </c>
      <c r="N13" s="57">
        <v>28</v>
      </c>
    </row>
    <row r="14" spans="1:14">
      <c r="D14" s="29">
        <v>46176</v>
      </c>
      <c r="E14" s="22">
        <v>1608660</v>
      </c>
      <c r="F14" s="22" t="s">
        <v>240</v>
      </c>
      <c r="G14" s="22">
        <v>20374367</v>
      </c>
      <c r="H14" s="22" t="s">
        <v>244</v>
      </c>
      <c r="I14" s="22">
        <v>1</v>
      </c>
      <c r="J14" s="30" t="s">
        <v>242</v>
      </c>
      <c r="K14" s="20">
        <v>1</v>
      </c>
      <c r="L14" s="21">
        <v>28</v>
      </c>
      <c r="M14" s="57">
        <v>28</v>
      </c>
      <c r="N14" s="57">
        <v>28</v>
      </c>
    </row>
    <row r="15" spans="1:14">
      <c r="D15" s="29">
        <v>46176</v>
      </c>
      <c r="E15" s="22">
        <v>1608660</v>
      </c>
      <c r="F15" s="22" t="s">
        <v>240</v>
      </c>
      <c r="G15" s="22">
        <v>20364531</v>
      </c>
      <c r="H15" s="22" t="s">
        <v>246</v>
      </c>
      <c r="I15" s="22">
        <v>1</v>
      </c>
      <c r="J15" s="30" t="s">
        <v>242</v>
      </c>
      <c r="K15" s="20">
        <v>1</v>
      </c>
      <c r="L15" s="21">
        <v>28</v>
      </c>
      <c r="M15" s="57">
        <v>28</v>
      </c>
      <c r="N15" s="57">
        <v>28</v>
      </c>
    </row>
    <row r="16" spans="1:14">
      <c r="D16" s="29">
        <v>46177</v>
      </c>
      <c r="E16" s="22">
        <v>1609360</v>
      </c>
      <c r="F16" s="22" t="s">
        <v>240</v>
      </c>
      <c r="G16" s="22">
        <v>20374363</v>
      </c>
      <c r="H16" s="22" t="s">
        <v>241</v>
      </c>
      <c r="I16" s="22">
        <v>2</v>
      </c>
      <c r="J16" s="30" t="s">
        <v>242</v>
      </c>
      <c r="K16" s="20">
        <v>1</v>
      </c>
      <c r="L16" s="21">
        <v>28</v>
      </c>
      <c r="M16" s="57">
        <v>28</v>
      </c>
      <c r="N16" s="57">
        <v>56</v>
      </c>
    </row>
    <row r="17" spans="4:14">
      <c r="D17" s="29">
        <v>46177</v>
      </c>
      <c r="E17" s="22">
        <v>1609360</v>
      </c>
      <c r="F17" s="22" t="s">
        <v>240</v>
      </c>
      <c r="G17" s="22">
        <v>20363668</v>
      </c>
      <c r="H17" s="22" t="s">
        <v>247</v>
      </c>
      <c r="I17" s="22">
        <v>1</v>
      </c>
      <c r="J17" s="30" t="s">
        <v>242</v>
      </c>
      <c r="K17" s="20">
        <v>1</v>
      </c>
      <c r="L17" s="21">
        <v>28</v>
      </c>
      <c r="M17" s="57">
        <v>28</v>
      </c>
      <c r="N17" s="57">
        <v>28</v>
      </c>
    </row>
    <row r="18" spans="4:14">
      <c r="D18" s="29">
        <v>46177</v>
      </c>
      <c r="E18" s="22">
        <v>1609360</v>
      </c>
      <c r="F18" s="22" t="s">
        <v>240</v>
      </c>
      <c r="G18" s="22">
        <v>20374365</v>
      </c>
      <c r="H18" s="22" t="s">
        <v>243</v>
      </c>
      <c r="I18" s="22">
        <v>4</v>
      </c>
      <c r="J18" s="30" t="s">
        <v>242</v>
      </c>
      <c r="K18" s="20">
        <v>1</v>
      </c>
      <c r="L18" s="21">
        <v>28</v>
      </c>
      <c r="M18" s="57">
        <v>28</v>
      </c>
      <c r="N18" s="57">
        <v>112</v>
      </c>
    </row>
    <row r="19" spans="4:14">
      <c r="D19" s="29">
        <v>46177</v>
      </c>
      <c r="E19" s="22">
        <v>1609360</v>
      </c>
      <c r="F19" s="22" t="s">
        <v>240</v>
      </c>
      <c r="G19" s="22">
        <v>20374366</v>
      </c>
      <c r="H19" s="22" t="s">
        <v>248</v>
      </c>
      <c r="I19" s="22">
        <v>1</v>
      </c>
      <c r="J19" s="30" t="s">
        <v>242</v>
      </c>
      <c r="K19" s="20">
        <v>1</v>
      </c>
      <c r="L19" s="21">
        <v>28</v>
      </c>
      <c r="M19" s="57">
        <v>28</v>
      </c>
      <c r="N19" s="57">
        <v>28</v>
      </c>
    </row>
    <row r="20" spans="4:14">
      <c r="D20" s="29">
        <v>46177</v>
      </c>
      <c r="E20" s="22">
        <v>1609360</v>
      </c>
      <c r="F20" s="22" t="s">
        <v>240</v>
      </c>
      <c r="G20" s="22">
        <v>20374367</v>
      </c>
      <c r="H20" s="22" t="s">
        <v>244</v>
      </c>
      <c r="I20" s="22">
        <v>3</v>
      </c>
      <c r="J20" s="30" t="s">
        <v>242</v>
      </c>
      <c r="K20" s="20">
        <v>1</v>
      </c>
      <c r="L20" s="21">
        <v>28</v>
      </c>
      <c r="M20" s="57">
        <v>28</v>
      </c>
      <c r="N20" s="57">
        <v>84</v>
      </c>
    </row>
    <row r="21" spans="4:14">
      <c r="D21" s="29">
        <v>46177</v>
      </c>
      <c r="E21" s="22">
        <v>1609360</v>
      </c>
      <c r="F21" s="22" t="s">
        <v>240</v>
      </c>
      <c r="G21" s="22">
        <v>20374368</v>
      </c>
      <c r="H21" s="22" t="s">
        <v>245</v>
      </c>
      <c r="I21" s="22">
        <v>2</v>
      </c>
      <c r="J21" s="30" t="s">
        <v>242</v>
      </c>
      <c r="K21" s="20">
        <v>1</v>
      </c>
      <c r="L21" s="21">
        <v>28</v>
      </c>
      <c r="M21" s="57">
        <v>28</v>
      </c>
      <c r="N21" s="57">
        <v>56</v>
      </c>
    </row>
    <row r="22" spans="4:14">
      <c r="D22" s="29">
        <v>46178</v>
      </c>
      <c r="E22" s="22">
        <v>1609753</v>
      </c>
      <c r="F22" s="22" t="s">
        <v>240</v>
      </c>
      <c r="G22" s="22">
        <v>20363669</v>
      </c>
      <c r="H22" s="22" t="s">
        <v>249</v>
      </c>
      <c r="I22" s="22">
        <v>1</v>
      </c>
      <c r="J22" s="30" t="s">
        <v>242</v>
      </c>
      <c r="K22" s="20">
        <v>1</v>
      </c>
      <c r="L22" s="21">
        <v>28</v>
      </c>
      <c r="M22" s="57">
        <v>28</v>
      </c>
      <c r="N22" s="57">
        <v>28</v>
      </c>
    </row>
    <row r="23" spans="4:14">
      <c r="D23" s="29">
        <v>46178</v>
      </c>
      <c r="E23" s="22">
        <v>1609753</v>
      </c>
      <c r="F23" s="22" t="s">
        <v>240</v>
      </c>
      <c r="G23" s="22">
        <v>20374363</v>
      </c>
      <c r="H23" s="22" t="s">
        <v>241</v>
      </c>
      <c r="I23" s="22">
        <v>1</v>
      </c>
      <c r="J23" s="30" t="s">
        <v>242</v>
      </c>
      <c r="K23" s="20">
        <v>1</v>
      </c>
      <c r="L23" s="21">
        <v>28</v>
      </c>
      <c r="M23" s="57">
        <v>28</v>
      </c>
      <c r="N23" s="57">
        <v>28</v>
      </c>
    </row>
    <row r="24" spans="4:14">
      <c r="D24" s="29">
        <v>46178</v>
      </c>
      <c r="E24" s="22">
        <v>1609753</v>
      </c>
      <c r="F24" s="22" t="s">
        <v>240</v>
      </c>
      <c r="G24" s="22">
        <v>20374365</v>
      </c>
      <c r="H24" s="22" t="s">
        <v>243</v>
      </c>
      <c r="I24" s="22">
        <v>1</v>
      </c>
      <c r="J24" s="30" t="s">
        <v>242</v>
      </c>
      <c r="K24" s="20">
        <v>1</v>
      </c>
      <c r="L24" s="21">
        <v>28</v>
      </c>
      <c r="M24" s="57">
        <v>28</v>
      </c>
      <c r="N24" s="57">
        <v>28</v>
      </c>
    </row>
    <row r="25" spans="4:14">
      <c r="D25" s="29">
        <v>46178</v>
      </c>
      <c r="E25" s="22">
        <v>1609753</v>
      </c>
      <c r="F25" s="22" t="s">
        <v>240</v>
      </c>
      <c r="G25" s="22">
        <v>20374368</v>
      </c>
      <c r="H25" s="22" t="s">
        <v>245</v>
      </c>
      <c r="I25" s="22">
        <v>1</v>
      </c>
      <c r="J25" s="30" t="s">
        <v>242</v>
      </c>
      <c r="K25" s="20">
        <v>1</v>
      </c>
      <c r="L25" s="21">
        <v>28</v>
      </c>
      <c r="M25" s="57">
        <v>28</v>
      </c>
      <c r="N25" s="57">
        <v>28</v>
      </c>
    </row>
    <row r="26" spans="4:14">
      <c r="D26" s="29">
        <v>46181</v>
      </c>
      <c r="E26" s="22">
        <v>1610343</v>
      </c>
      <c r="F26" s="22" t="s">
        <v>240</v>
      </c>
      <c r="G26" s="22">
        <v>20363669</v>
      </c>
      <c r="H26" s="22" t="s">
        <v>249</v>
      </c>
      <c r="I26" s="22">
        <v>2</v>
      </c>
      <c r="J26" s="30" t="s">
        <v>242</v>
      </c>
      <c r="K26" s="20">
        <v>1</v>
      </c>
      <c r="L26" s="21">
        <v>28</v>
      </c>
      <c r="M26" s="57">
        <v>28</v>
      </c>
      <c r="N26" s="57">
        <v>56</v>
      </c>
    </row>
    <row r="27" spans="4:14">
      <c r="D27" s="29">
        <v>46181</v>
      </c>
      <c r="E27" s="22">
        <v>1610343</v>
      </c>
      <c r="F27" s="22" t="s">
        <v>240</v>
      </c>
      <c r="G27" s="22">
        <v>20374363</v>
      </c>
      <c r="H27" s="22" t="s">
        <v>241</v>
      </c>
      <c r="I27" s="22">
        <v>2</v>
      </c>
      <c r="J27" s="30" t="s">
        <v>242</v>
      </c>
      <c r="K27" s="20">
        <v>1</v>
      </c>
      <c r="L27" s="21">
        <v>28</v>
      </c>
      <c r="M27" s="57">
        <v>28</v>
      </c>
      <c r="N27" s="57">
        <v>56</v>
      </c>
    </row>
    <row r="28" spans="4:14">
      <c r="D28" s="29">
        <v>46181</v>
      </c>
      <c r="E28" s="22">
        <v>1610343</v>
      </c>
      <c r="F28" s="22" t="s">
        <v>240</v>
      </c>
      <c r="G28" s="22">
        <v>20374365</v>
      </c>
      <c r="H28" s="22" t="s">
        <v>243</v>
      </c>
      <c r="I28" s="22">
        <v>2</v>
      </c>
      <c r="J28" s="30" t="s">
        <v>242</v>
      </c>
      <c r="K28" s="20">
        <v>1</v>
      </c>
      <c r="L28" s="21">
        <v>28</v>
      </c>
      <c r="M28" s="57">
        <v>28</v>
      </c>
      <c r="N28" s="57">
        <v>56</v>
      </c>
    </row>
    <row r="29" spans="4:14">
      <c r="D29" s="29">
        <v>46181</v>
      </c>
      <c r="E29" s="22">
        <v>1610343</v>
      </c>
      <c r="F29" s="22" t="s">
        <v>240</v>
      </c>
      <c r="G29" s="22">
        <v>20374368</v>
      </c>
      <c r="H29" s="22" t="s">
        <v>245</v>
      </c>
      <c r="I29" s="22">
        <v>1</v>
      </c>
      <c r="J29" s="30" t="s">
        <v>242</v>
      </c>
      <c r="K29" s="20">
        <v>1</v>
      </c>
      <c r="L29" s="21">
        <v>28</v>
      </c>
      <c r="M29" s="57">
        <v>28</v>
      </c>
      <c r="N29" s="57">
        <v>28</v>
      </c>
    </row>
    <row r="30" spans="4:14">
      <c r="D30" s="29">
        <v>46182</v>
      </c>
      <c r="E30" s="22">
        <v>1610754</v>
      </c>
      <c r="F30" s="22" t="s">
        <v>240</v>
      </c>
      <c r="G30" s="22">
        <v>20374363</v>
      </c>
      <c r="H30" s="22" t="s">
        <v>241</v>
      </c>
      <c r="I30" s="22">
        <v>1</v>
      </c>
      <c r="J30" s="30" t="s">
        <v>242</v>
      </c>
      <c r="K30" s="20">
        <v>1</v>
      </c>
      <c r="L30" s="21">
        <v>28</v>
      </c>
      <c r="M30" s="57">
        <v>28</v>
      </c>
      <c r="N30" s="57">
        <v>28</v>
      </c>
    </row>
    <row r="31" spans="4:14">
      <c r="D31" s="29">
        <v>46182</v>
      </c>
      <c r="E31" s="22">
        <v>1610754</v>
      </c>
      <c r="F31" s="22" t="s">
        <v>240</v>
      </c>
      <c r="G31" s="22">
        <v>20363667</v>
      </c>
      <c r="H31" s="22" t="s">
        <v>243</v>
      </c>
      <c r="I31" s="22">
        <v>1</v>
      </c>
      <c r="J31" s="30" t="s">
        <v>242</v>
      </c>
      <c r="K31" s="20">
        <v>1</v>
      </c>
      <c r="L31" s="21">
        <v>28</v>
      </c>
      <c r="M31" s="57">
        <v>28</v>
      </c>
      <c r="N31" s="57">
        <v>28</v>
      </c>
    </row>
    <row r="32" spans="4:14">
      <c r="D32" s="29">
        <v>46182</v>
      </c>
      <c r="E32" s="22">
        <v>1610754</v>
      </c>
      <c r="F32" s="22" t="s">
        <v>240</v>
      </c>
      <c r="G32" s="22">
        <v>20374367</v>
      </c>
      <c r="H32" s="22" t="s">
        <v>244</v>
      </c>
      <c r="I32" s="22">
        <v>1</v>
      </c>
      <c r="J32" s="30" t="s">
        <v>242</v>
      </c>
      <c r="K32" s="20">
        <v>1</v>
      </c>
      <c r="L32" s="21">
        <v>28</v>
      </c>
      <c r="M32" s="57">
        <v>28</v>
      </c>
      <c r="N32" s="57">
        <v>28</v>
      </c>
    </row>
    <row r="33" spans="4:14">
      <c r="D33" s="29">
        <v>46182</v>
      </c>
      <c r="E33" s="22">
        <v>1610754</v>
      </c>
      <c r="F33" s="22" t="s">
        <v>240</v>
      </c>
      <c r="G33" s="22">
        <v>20424438</v>
      </c>
      <c r="H33" s="22" t="s">
        <v>250</v>
      </c>
      <c r="I33" s="22">
        <v>2</v>
      </c>
      <c r="J33" s="30" t="s">
        <v>242</v>
      </c>
      <c r="K33" s="20">
        <v>1</v>
      </c>
      <c r="L33" s="21">
        <v>28</v>
      </c>
      <c r="M33" s="57">
        <v>28</v>
      </c>
      <c r="N33" s="57">
        <v>56</v>
      </c>
    </row>
    <row r="34" spans="4:14">
      <c r="D34" s="29">
        <v>46182</v>
      </c>
      <c r="E34" s="22">
        <v>1610754</v>
      </c>
      <c r="F34" s="22" t="s">
        <v>240</v>
      </c>
      <c r="G34" s="22">
        <v>20418592</v>
      </c>
      <c r="H34" s="22" t="s">
        <v>251</v>
      </c>
      <c r="I34" s="22">
        <v>1</v>
      </c>
      <c r="J34" s="30" t="s">
        <v>242</v>
      </c>
      <c r="K34" s="20">
        <v>1</v>
      </c>
      <c r="L34" s="21">
        <v>28</v>
      </c>
      <c r="M34" s="57">
        <v>28</v>
      </c>
      <c r="N34" s="57">
        <v>28</v>
      </c>
    </row>
    <row r="35" spans="4:14">
      <c r="D35" s="29">
        <v>46183</v>
      </c>
      <c r="E35" s="22">
        <v>1611100</v>
      </c>
      <c r="F35" s="22" t="s">
        <v>240</v>
      </c>
      <c r="G35" s="22">
        <v>20374364</v>
      </c>
      <c r="H35" s="22" t="s">
        <v>252</v>
      </c>
      <c r="I35" s="22">
        <v>1</v>
      </c>
      <c r="J35" s="30" t="s">
        <v>242</v>
      </c>
      <c r="K35" s="20">
        <v>1</v>
      </c>
      <c r="L35" s="21">
        <v>28</v>
      </c>
      <c r="M35" s="57">
        <v>28</v>
      </c>
      <c r="N35" s="57">
        <v>28</v>
      </c>
    </row>
    <row r="36" spans="4:14">
      <c r="D36" s="29">
        <v>46183</v>
      </c>
      <c r="E36" s="22">
        <v>1611100</v>
      </c>
      <c r="F36" s="22" t="s">
        <v>240</v>
      </c>
      <c r="G36" s="22">
        <v>20363669</v>
      </c>
      <c r="H36" s="22" t="s">
        <v>249</v>
      </c>
      <c r="I36" s="22">
        <v>2</v>
      </c>
      <c r="J36" s="30" t="s">
        <v>242</v>
      </c>
      <c r="K36" s="20">
        <v>1</v>
      </c>
      <c r="L36" s="21">
        <v>28</v>
      </c>
      <c r="M36" s="57">
        <v>28</v>
      </c>
      <c r="N36" s="57">
        <v>56</v>
      </c>
    </row>
    <row r="37" spans="4:14">
      <c r="D37" s="29">
        <v>46183</v>
      </c>
      <c r="E37" s="22">
        <v>1611100</v>
      </c>
      <c r="F37" s="22" t="s">
        <v>240</v>
      </c>
      <c r="G37" s="22">
        <v>20374363</v>
      </c>
      <c r="H37" s="22" t="s">
        <v>241</v>
      </c>
      <c r="I37" s="22">
        <v>1</v>
      </c>
      <c r="J37" s="30" t="s">
        <v>242</v>
      </c>
      <c r="K37" s="20">
        <v>1</v>
      </c>
      <c r="L37" s="21">
        <v>28</v>
      </c>
      <c r="M37" s="57">
        <v>28</v>
      </c>
      <c r="N37" s="57">
        <v>28</v>
      </c>
    </row>
    <row r="38" spans="4:14">
      <c r="D38" s="29">
        <v>46183</v>
      </c>
      <c r="E38" s="22">
        <v>1611100</v>
      </c>
      <c r="F38" s="22" t="s">
        <v>240</v>
      </c>
      <c r="G38" s="22">
        <v>20374365</v>
      </c>
      <c r="H38" s="22" t="s">
        <v>243</v>
      </c>
      <c r="I38" s="22">
        <v>2</v>
      </c>
      <c r="J38" s="30" t="s">
        <v>242</v>
      </c>
      <c r="K38" s="20">
        <v>1</v>
      </c>
      <c r="L38" s="21">
        <v>28</v>
      </c>
      <c r="M38" s="57">
        <v>28</v>
      </c>
      <c r="N38" s="57">
        <v>56</v>
      </c>
    </row>
    <row r="39" spans="4:14">
      <c r="D39" s="29">
        <v>46184</v>
      </c>
      <c r="E39" s="22">
        <v>1611505</v>
      </c>
      <c r="F39" s="22" t="s">
        <v>240</v>
      </c>
      <c r="G39" s="22">
        <v>20363669</v>
      </c>
      <c r="H39" s="22" t="s">
        <v>249</v>
      </c>
      <c r="I39" s="22">
        <v>2</v>
      </c>
      <c r="J39" s="30" t="s">
        <v>242</v>
      </c>
      <c r="K39" s="20">
        <v>1</v>
      </c>
      <c r="L39" s="21">
        <v>28</v>
      </c>
      <c r="M39" s="57">
        <v>28</v>
      </c>
      <c r="N39" s="57">
        <v>56</v>
      </c>
    </row>
    <row r="40" spans="4:14">
      <c r="D40" s="29">
        <v>46184</v>
      </c>
      <c r="E40" s="22">
        <v>1611505</v>
      </c>
      <c r="F40" s="22" t="s">
        <v>240</v>
      </c>
      <c r="G40" s="22">
        <v>20374363</v>
      </c>
      <c r="H40" s="22" t="s">
        <v>241</v>
      </c>
      <c r="I40" s="22">
        <v>1</v>
      </c>
      <c r="J40" s="30" t="s">
        <v>242</v>
      </c>
      <c r="K40" s="20">
        <v>1</v>
      </c>
      <c r="L40" s="21">
        <v>28</v>
      </c>
      <c r="M40" s="57">
        <v>28</v>
      </c>
      <c r="N40" s="57">
        <v>28</v>
      </c>
    </row>
    <row r="41" spans="4:14">
      <c r="D41" s="29">
        <v>46184</v>
      </c>
      <c r="E41" s="22">
        <v>1611505</v>
      </c>
      <c r="F41" s="22" t="s">
        <v>240</v>
      </c>
      <c r="G41" s="22">
        <v>20363668</v>
      </c>
      <c r="H41" s="22" t="s">
        <v>247</v>
      </c>
      <c r="I41" s="22">
        <v>1</v>
      </c>
      <c r="J41" s="30" t="s">
        <v>242</v>
      </c>
      <c r="K41" s="20">
        <v>1</v>
      </c>
      <c r="L41" s="21">
        <v>28</v>
      </c>
      <c r="M41" s="57">
        <v>28</v>
      </c>
      <c r="N41" s="57">
        <v>28</v>
      </c>
    </row>
    <row r="42" spans="4:14">
      <c r="D42" s="29">
        <v>46184</v>
      </c>
      <c r="E42" s="22">
        <v>1611505</v>
      </c>
      <c r="F42" s="22" t="s">
        <v>240</v>
      </c>
      <c r="G42" s="22">
        <v>20374365</v>
      </c>
      <c r="H42" s="22" t="s">
        <v>243</v>
      </c>
      <c r="I42" s="22">
        <v>1</v>
      </c>
      <c r="J42" s="30" t="s">
        <v>242</v>
      </c>
      <c r="K42" s="20">
        <v>1</v>
      </c>
      <c r="L42" s="21">
        <v>28</v>
      </c>
      <c r="M42" s="57">
        <v>28</v>
      </c>
      <c r="N42" s="57">
        <v>28</v>
      </c>
    </row>
    <row r="43" spans="4:14">
      <c r="D43" s="29">
        <v>46184</v>
      </c>
      <c r="E43" s="22">
        <v>1611505</v>
      </c>
      <c r="F43" s="22" t="s">
        <v>240</v>
      </c>
      <c r="G43" s="22">
        <v>20374368</v>
      </c>
      <c r="H43" s="22" t="s">
        <v>245</v>
      </c>
      <c r="I43" s="22">
        <v>1</v>
      </c>
      <c r="J43" s="30" t="s">
        <v>242</v>
      </c>
      <c r="K43" s="20">
        <v>1</v>
      </c>
      <c r="L43" s="21">
        <v>28</v>
      </c>
      <c r="M43" s="57">
        <v>28</v>
      </c>
      <c r="N43" s="57">
        <v>28</v>
      </c>
    </row>
    <row r="44" spans="4:14">
      <c r="D44" s="29">
        <v>46185</v>
      </c>
      <c r="E44" s="22">
        <v>1611835</v>
      </c>
      <c r="F44" s="22" t="s">
        <v>240</v>
      </c>
      <c r="G44" s="22">
        <v>20374364</v>
      </c>
      <c r="H44" s="22" t="s">
        <v>252</v>
      </c>
      <c r="I44" s="22">
        <v>1</v>
      </c>
      <c r="J44" s="30" t="s">
        <v>242</v>
      </c>
      <c r="K44" s="20">
        <v>1</v>
      </c>
      <c r="L44" s="21">
        <v>28</v>
      </c>
      <c r="M44" s="57">
        <v>28</v>
      </c>
      <c r="N44" s="57">
        <v>28</v>
      </c>
    </row>
    <row r="45" spans="4:14">
      <c r="D45" s="29">
        <v>46185</v>
      </c>
      <c r="E45" s="22">
        <v>1611835</v>
      </c>
      <c r="F45" s="22" t="s">
        <v>240</v>
      </c>
      <c r="G45" s="22">
        <v>20363669</v>
      </c>
      <c r="H45" s="22" t="s">
        <v>249</v>
      </c>
      <c r="I45" s="22">
        <v>2</v>
      </c>
      <c r="J45" s="30" t="s">
        <v>242</v>
      </c>
      <c r="K45" s="20">
        <v>1</v>
      </c>
      <c r="L45" s="21">
        <v>28</v>
      </c>
      <c r="M45" s="57">
        <v>28</v>
      </c>
      <c r="N45" s="57">
        <v>56</v>
      </c>
    </row>
    <row r="46" spans="4:14">
      <c r="D46" s="29">
        <v>46185</v>
      </c>
      <c r="E46" s="22">
        <v>1611835</v>
      </c>
      <c r="F46" s="22" t="s">
        <v>240</v>
      </c>
      <c r="G46" s="22">
        <v>20374363</v>
      </c>
      <c r="H46" s="22" t="s">
        <v>241</v>
      </c>
      <c r="I46" s="22">
        <v>2</v>
      </c>
      <c r="J46" s="30" t="s">
        <v>242</v>
      </c>
      <c r="K46" s="20">
        <v>1</v>
      </c>
      <c r="L46" s="21">
        <v>28</v>
      </c>
      <c r="M46" s="57">
        <v>28</v>
      </c>
      <c r="N46" s="57">
        <v>56</v>
      </c>
    </row>
    <row r="47" spans="4:14">
      <c r="D47" s="29">
        <v>46185</v>
      </c>
      <c r="E47" s="22">
        <v>1611835</v>
      </c>
      <c r="F47" s="22" t="s">
        <v>240</v>
      </c>
      <c r="G47" s="22">
        <v>20374365</v>
      </c>
      <c r="H47" s="22" t="s">
        <v>243</v>
      </c>
      <c r="I47" s="22">
        <v>2</v>
      </c>
      <c r="J47" s="30" t="s">
        <v>242</v>
      </c>
      <c r="K47" s="20">
        <v>1</v>
      </c>
      <c r="L47" s="21">
        <v>28</v>
      </c>
      <c r="M47" s="57">
        <v>28</v>
      </c>
      <c r="N47" s="57">
        <v>56</v>
      </c>
    </row>
    <row r="48" spans="4:14">
      <c r="D48" s="29">
        <v>46185</v>
      </c>
      <c r="E48" s="22">
        <v>1611835</v>
      </c>
      <c r="F48" s="22" t="s">
        <v>240</v>
      </c>
      <c r="G48" s="22">
        <v>20424438</v>
      </c>
      <c r="H48" s="22" t="s">
        <v>250</v>
      </c>
      <c r="I48" s="22">
        <v>1</v>
      </c>
      <c r="J48" s="30" t="s">
        <v>242</v>
      </c>
      <c r="K48" s="20">
        <v>1</v>
      </c>
      <c r="L48" s="21">
        <v>28</v>
      </c>
      <c r="M48" s="57">
        <v>28</v>
      </c>
      <c r="N48" s="57">
        <v>28</v>
      </c>
    </row>
    <row r="49" spans="4:14">
      <c r="D49" s="29">
        <v>46188</v>
      </c>
      <c r="E49" s="22">
        <v>1612350</v>
      </c>
      <c r="F49" s="22" t="s">
        <v>240</v>
      </c>
      <c r="G49" s="22">
        <v>20363669</v>
      </c>
      <c r="H49" s="22" t="s">
        <v>249</v>
      </c>
      <c r="I49" s="22">
        <v>1</v>
      </c>
      <c r="J49" s="30" t="s">
        <v>242</v>
      </c>
      <c r="K49" s="20">
        <v>1</v>
      </c>
      <c r="L49" s="21">
        <v>28</v>
      </c>
      <c r="M49" s="57">
        <v>28</v>
      </c>
      <c r="N49" s="57">
        <v>28</v>
      </c>
    </row>
    <row r="50" spans="4:14">
      <c r="D50" s="29">
        <v>46188</v>
      </c>
      <c r="E50" s="22">
        <v>1612350</v>
      </c>
      <c r="F50" s="22" t="s">
        <v>240</v>
      </c>
      <c r="G50" s="22">
        <v>20374365</v>
      </c>
      <c r="H50" s="22" t="s">
        <v>243</v>
      </c>
      <c r="I50" s="22">
        <v>1</v>
      </c>
      <c r="J50" s="30" t="s">
        <v>242</v>
      </c>
      <c r="K50" s="20">
        <v>1</v>
      </c>
      <c r="L50" s="21">
        <v>28</v>
      </c>
      <c r="M50" s="57">
        <v>28</v>
      </c>
      <c r="N50" s="57">
        <v>28</v>
      </c>
    </row>
    <row r="51" spans="4:14">
      <c r="D51" s="29">
        <v>46188</v>
      </c>
      <c r="E51" s="22">
        <v>1612350</v>
      </c>
      <c r="F51" s="22" t="s">
        <v>240</v>
      </c>
      <c r="G51" s="22">
        <v>20424438</v>
      </c>
      <c r="H51" s="22" t="s">
        <v>250</v>
      </c>
      <c r="I51" s="22">
        <v>2</v>
      </c>
      <c r="J51" s="30" t="s">
        <v>242</v>
      </c>
      <c r="K51" s="20">
        <v>1</v>
      </c>
      <c r="L51" s="21">
        <v>28</v>
      </c>
      <c r="M51" s="57">
        <v>28</v>
      </c>
      <c r="N51" s="57">
        <v>56</v>
      </c>
    </row>
    <row r="52" spans="4:14">
      <c r="D52" s="29">
        <v>46189</v>
      </c>
      <c r="E52" s="22">
        <v>1612733</v>
      </c>
      <c r="F52" s="22" t="s">
        <v>240</v>
      </c>
      <c r="G52" s="22">
        <v>20363669</v>
      </c>
      <c r="H52" s="22" t="s">
        <v>249</v>
      </c>
      <c r="I52" s="22">
        <v>2</v>
      </c>
      <c r="J52" s="30" t="s">
        <v>242</v>
      </c>
      <c r="K52" s="20">
        <v>1</v>
      </c>
      <c r="L52" s="21">
        <v>28</v>
      </c>
      <c r="M52" s="57">
        <v>28</v>
      </c>
      <c r="N52" s="57">
        <v>56</v>
      </c>
    </row>
    <row r="53" spans="4:14">
      <c r="D53" s="29">
        <v>46189</v>
      </c>
      <c r="E53" s="22">
        <v>1612733</v>
      </c>
      <c r="F53" s="22" t="s">
        <v>240</v>
      </c>
      <c r="G53" s="22">
        <v>20374363</v>
      </c>
      <c r="H53" s="22" t="s">
        <v>241</v>
      </c>
      <c r="I53" s="22">
        <v>2</v>
      </c>
      <c r="J53" s="30" t="s">
        <v>242</v>
      </c>
      <c r="K53" s="20">
        <v>1</v>
      </c>
      <c r="L53" s="21">
        <v>28</v>
      </c>
      <c r="M53" s="57">
        <v>28</v>
      </c>
      <c r="N53" s="57">
        <v>56</v>
      </c>
    </row>
    <row r="54" spans="4:14">
      <c r="D54" s="29">
        <v>46189</v>
      </c>
      <c r="E54" s="22">
        <v>1612733</v>
      </c>
      <c r="F54" s="22" t="s">
        <v>240</v>
      </c>
      <c r="G54" s="22">
        <v>20363668</v>
      </c>
      <c r="H54" s="22" t="s">
        <v>247</v>
      </c>
      <c r="I54" s="22">
        <v>1</v>
      </c>
      <c r="J54" s="30" t="s">
        <v>242</v>
      </c>
      <c r="K54" s="20">
        <v>1</v>
      </c>
      <c r="L54" s="21">
        <v>28</v>
      </c>
      <c r="M54" s="57">
        <v>28</v>
      </c>
      <c r="N54" s="57">
        <v>28</v>
      </c>
    </row>
    <row r="55" spans="4:14">
      <c r="D55" s="29">
        <v>46189</v>
      </c>
      <c r="E55" s="22">
        <v>1612733</v>
      </c>
      <c r="F55" s="22" t="s">
        <v>240</v>
      </c>
      <c r="G55" s="22">
        <v>20374365</v>
      </c>
      <c r="H55" s="22" t="s">
        <v>243</v>
      </c>
      <c r="I55" s="22">
        <v>2</v>
      </c>
      <c r="J55" s="30" t="s">
        <v>242</v>
      </c>
      <c r="K55" s="20">
        <v>1</v>
      </c>
      <c r="L55" s="21">
        <v>28</v>
      </c>
      <c r="M55" s="57">
        <v>28</v>
      </c>
      <c r="N55" s="57">
        <v>56</v>
      </c>
    </row>
    <row r="56" spans="4:14">
      <c r="D56" s="29">
        <v>46189</v>
      </c>
      <c r="E56" s="22">
        <v>1612733</v>
      </c>
      <c r="F56" s="22" t="s">
        <v>240</v>
      </c>
      <c r="G56" s="22">
        <v>20374368</v>
      </c>
      <c r="H56" s="22" t="s">
        <v>245</v>
      </c>
      <c r="I56" s="22">
        <v>1</v>
      </c>
      <c r="J56" s="30" t="s">
        <v>242</v>
      </c>
      <c r="K56" s="20">
        <v>1</v>
      </c>
      <c r="L56" s="21">
        <v>28</v>
      </c>
      <c r="M56" s="57">
        <v>28</v>
      </c>
      <c r="N56" s="57">
        <v>28</v>
      </c>
    </row>
    <row r="57" spans="4:14">
      <c r="D57" s="29">
        <v>46190</v>
      </c>
      <c r="E57" s="22">
        <v>1613060</v>
      </c>
      <c r="F57" s="22" t="s">
        <v>240</v>
      </c>
      <c r="G57" s="22">
        <v>20374363</v>
      </c>
      <c r="H57" s="22" t="s">
        <v>241</v>
      </c>
      <c r="I57" s="22">
        <v>1</v>
      </c>
      <c r="J57" s="30" t="s">
        <v>242</v>
      </c>
      <c r="K57" s="20">
        <v>1</v>
      </c>
      <c r="L57" s="21">
        <v>28</v>
      </c>
      <c r="M57" s="57">
        <v>28</v>
      </c>
      <c r="N57" s="57">
        <v>28</v>
      </c>
    </row>
    <row r="58" spans="4:14">
      <c r="D58" s="29">
        <v>46190</v>
      </c>
      <c r="E58" s="22">
        <v>1613060</v>
      </c>
      <c r="F58" s="22" t="s">
        <v>240</v>
      </c>
      <c r="G58" s="22">
        <v>20363667</v>
      </c>
      <c r="H58" s="22" t="s">
        <v>243</v>
      </c>
      <c r="I58" s="22">
        <v>2</v>
      </c>
      <c r="J58" s="30" t="s">
        <v>242</v>
      </c>
      <c r="K58" s="20">
        <v>1</v>
      </c>
      <c r="L58" s="21">
        <v>28</v>
      </c>
      <c r="M58" s="57">
        <v>28</v>
      </c>
      <c r="N58" s="57">
        <v>56</v>
      </c>
    </row>
    <row r="59" spans="4:14">
      <c r="D59" s="29">
        <v>46190</v>
      </c>
      <c r="E59" s="22">
        <v>1613060</v>
      </c>
      <c r="F59" s="22" t="s">
        <v>240</v>
      </c>
      <c r="G59" s="22">
        <v>20374367</v>
      </c>
      <c r="H59" s="22" t="s">
        <v>244</v>
      </c>
      <c r="I59" s="22">
        <v>2</v>
      </c>
      <c r="J59" s="30" t="s">
        <v>242</v>
      </c>
      <c r="K59" s="20">
        <v>1</v>
      </c>
      <c r="L59" s="21">
        <v>28</v>
      </c>
      <c r="M59" s="57">
        <v>28</v>
      </c>
      <c r="N59" s="57">
        <v>56</v>
      </c>
    </row>
    <row r="60" spans="4:14">
      <c r="D60" s="29">
        <v>46190</v>
      </c>
      <c r="E60" s="22">
        <v>1613060</v>
      </c>
      <c r="F60" s="22" t="s">
        <v>240</v>
      </c>
      <c r="G60" s="22">
        <v>20374368</v>
      </c>
      <c r="H60" s="22" t="s">
        <v>245</v>
      </c>
      <c r="I60" s="22">
        <v>1</v>
      </c>
      <c r="J60" s="30" t="s">
        <v>242</v>
      </c>
      <c r="K60" s="20">
        <v>1</v>
      </c>
      <c r="L60" s="21">
        <v>28</v>
      </c>
      <c r="M60" s="57">
        <v>28</v>
      </c>
      <c r="N60" s="57">
        <v>28</v>
      </c>
    </row>
    <row r="61" spans="4:14">
      <c r="D61" s="29">
        <v>46191</v>
      </c>
      <c r="E61" s="22">
        <v>1613524</v>
      </c>
      <c r="F61" s="22" t="s">
        <v>240</v>
      </c>
      <c r="G61" s="22">
        <v>20374363</v>
      </c>
      <c r="H61" s="22" t="s">
        <v>241</v>
      </c>
      <c r="I61" s="22">
        <v>1</v>
      </c>
      <c r="J61" s="30" t="s">
        <v>242</v>
      </c>
      <c r="K61" s="20">
        <v>1</v>
      </c>
      <c r="L61" s="21">
        <v>28</v>
      </c>
      <c r="M61" s="57">
        <v>28</v>
      </c>
      <c r="N61" s="57">
        <v>28</v>
      </c>
    </row>
    <row r="62" spans="4:14">
      <c r="D62" s="29">
        <v>46191</v>
      </c>
      <c r="E62" s="22">
        <v>1613524</v>
      </c>
      <c r="F62" s="22" t="s">
        <v>240</v>
      </c>
      <c r="G62" s="22">
        <v>20363667</v>
      </c>
      <c r="H62" s="22" t="s">
        <v>243</v>
      </c>
      <c r="I62" s="22">
        <v>1</v>
      </c>
      <c r="J62" s="30" t="s">
        <v>242</v>
      </c>
      <c r="K62" s="20">
        <v>1</v>
      </c>
      <c r="L62" s="21">
        <v>28</v>
      </c>
      <c r="M62" s="57">
        <v>28</v>
      </c>
      <c r="N62" s="57">
        <v>28</v>
      </c>
    </row>
    <row r="63" spans="4:14">
      <c r="D63" s="29">
        <v>46191</v>
      </c>
      <c r="E63" s="22">
        <v>1613524</v>
      </c>
      <c r="F63" s="22" t="s">
        <v>240</v>
      </c>
      <c r="G63" s="22">
        <v>20374367</v>
      </c>
      <c r="H63" s="22" t="s">
        <v>244</v>
      </c>
      <c r="I63" s="22">
        <v>1</v>
      </c>
      <c r="J63" s="30" t="s">
        <v>242</v>
      </c>
      <c r="K63" s="20">
        <v>1</v>
      </c>
      <c r="L63" s="21">
        <v>28</v>
      </c>
      <c r="M63" s="57">
        <v>28</v>
      </c>
      <c r="N63" s="57">
        <v>28</v>
      </c>
    </row>
    <row r="64" spans="4:14">
      <c r="D64" s="29">
        <v>46191</v>
      </c>
      <c r="E64" s="22">
        <v>1613524</v>
      </c>
      <c r="F64" s="22" t="s">
        <v>240</v>
      </c>
      <c r="G64" s="22">
        <v>20424438</v>
      </c>
      <c r="H64" s="22" t="s">
        <v>250</v>
      </c>
      <c r="I64" s="22">
        <v>1</v>
      </c>
      <c r="J64" s="30" t="s">
        <v>242</v>
      </c>
      <c r="K64" s="20">
        <v>1</v>
      </c>
      <c r="L64" s="21">
        <v>28</v>
      </c>
      <c r="M64" s="57">
        <v>28</v>
      </c>
      <c r="N64" s="57">
        <v>28</v>
      </c>
    </row>
    <row r="65" spans="4:14">
      <c r="D65" s="29">
        <v>46195</v>
      </c>
      <c r="E65" s="22">
        <v>1614098</v>
      </c>
      <c r="F65" s="22" t="s">
        <v>240</v>
      </c>
      <c r="G65" s="22">
        <v>20374363</v>
      </c>
      <c r="H65" s="22" t="s">
        <v>241</v>
      </c>
      <c r="I65" s="22">
        <v>1</v>
      </c>
      <c r="J65" s="30" t="s">
        <v>242</v>
      </c>
      <c r="K65" s="20">
        <v>1</v>
      </c>
      <c r="L65" s="21">
        <v>28</v>
      </c>
      <c r="M65" s="57">
        <v>28</v>
      </c>
      <c r="N65" s="57">
        <v>28</v>
      </c>
    </row>
    <row r="66" spans="4:14">
      <c r="D66" s="29">
        <v>46195</v>
      </c>
      <c r="E66" s="22">
        <v>1614098</v>
      </c>
      <c r="F66" s="22" t="s">
        <v>240</v>
      </c>
      <c r="G66" s="22">
        <v>20363667</v>
      </c>
      <c r="H66" s="22" t="s">
        <v>243</v>
      </c>
      <c r="I66" s="22">
        <v>2</v>
      </c>
      <c r="J66" s="30" t="s">
        <v>242</v>
      </c>
      <c r="K66" s="20">
        <v>1</v>
      </c>
      <c r="L66" s="21">
        <v>28</v>
      </c>
      <c r="M66" s="57">
        <v>28</v>
      </c>
      <c r="N66" s="57">
        <v>56</v>
      </c>
    </row>
    <row r="67" spans="4:14">
      <c r="D67" s="29">
        <v>46195</v>
      </c>
      <c r="E67" s="22">
        <v>1614098</v>
      </c>
      <c r="F67" s="22" t="s">
        <v>240</v>
      </c>
      <c r="G67" s="22">
        <v>20374367</v>
      </c>
      <c r="H67" s="22" t="s">
        <v>244</v>
      </c>
      <c r="I67" s="22">
        <v>2</v>
      </c>
      <c r="J67" s="30" t="s">
        <v>242</v>
      </c>
      <c r="K67" s="20">
        <v>1</v>
      </c>
      <c r="L67" s="21">
        <v>28</v>
      </c>
      <c r="M67" s="57">
        <v>28</v>
      </c>
      <c r="N67" s="57">
        <v>56</v>
      </c>
    </row>
    <row r="68" spans="4:14">
      <c r="D68" s="29">
        <v>46195</v>
      </c>
      <c r="E68" s="22">
        <v>1614098</v>
      </c>
      <c r="F68" s="22" t="s">
        <v>240</v>
      </c>
      <c r="G68" s="22">
        <v>20374368</v>
      </c>
      <c r="H68" s="22" t="s">
        <v>245</v>
      </c>
      <c r="I68" s="22">
        <v>1</v>
      </c>
      <c r="J68" s="30" t="s">
        <v>242</v>
      </c>
      <c r="K68" s="20">
        <v>1</v>
      </c>
      <c r="L68" s="21">
        <v>28</v>
      </c>
      <c r="M68" s="57">
        <v>28</v>
      </c>
      <c r="N68" s="57">
        <v>28</v>
      </c>
    </row>
    <row r="69" spans="4:14">
      <c r="D69" s="29">
        <v>46196</v>
      </c>
      <c r="E69" s="22">
        <v>1614511</v>
      </c>
      <c r="F69" s="22" t="s">
        <v>240</v>
      </c>
      <c r="G69" s="22">
        <v>20374365</v>
      </c>
      <c r="H69" s="22" t="s">
        <v>243</v>
      </c>
      <c r="I69" s="22">
        <v>2</v>
      </c>
      <c r="J69" s="30" t="s">
        <v>242</v>
      </c>
      <c r="K69" s="20">
        <v>1</v>
      </c>
      <c r="L69" s="21">
        <v>28</v>
      </c>
      <c r="M69" s="57">
        <v>28</v>
      </c>
      <c r="N69" s="57">
        <v>56</v>
      </c>
    </row>
    <row r="70" spans="4:14">
      <c r="D70" s="29">
        <v>46196</v>
      </c>
      <c r="E70" s="22">
        <v>1614511</v>
      </c>
      <c r="F70" s="22" t="s">
        <v>240</v>
      </c>
      <c r="G70" s="22">
        <v>20374367</v>
      </c>
      <c r="H70" s="22" t="s">
        <v>244</v>
      </c>
      <c r="I70" s="22">
        <v>2</v>
      </c>
      <c r="J70" s="30" t="s">
        <v>242</v>
      </c>
      <c r="K70" s="20">
        <v>1</v>
      </c>
      <c r="L70" s="21">
        <v>28</v>
      </c>
      <c r="M70" s="57">
        <v>28</v>
      </c>
      <c r="N70" s="57">
        <v>56</v>
      </c>
    </row>
    <row r="71" spans="4:14">
      <c r="D71" s="29">
        <v>46196</v>
      </c>
      <c r="E71" s="22">
        <v>1614511</v>
      </c>
      <c r="F71" s="22" t="s">
        <v>240</v>
      </c>
      <c r="G71" s="22">
        <v>20424438</v>
      </c>
      <c r="H71" s="22" t="s">
        <v>250</v>
      </c>
      <c r="I71" s="22">
        <v>2</v>
      </c>
      <c r="J71" s="30" t="s">
        <v>242</v>
      </c>
      <c r="K71" s="20">
        <v>1</v>
      </c>
      <c r="L71" s="21">
        <v>28</v>
      </c>
      <c r="M71" s="57">
        <v>28</v>
      </c>
      <c r="N71" s="57">
        <v>56</v>
      </c>
    </row>
    <row r="72" spans="4:14">
      <c r="D72" s="29">
        <v>46197</v>
      </c>
      <c r="E72" s="22">
        <v>1614866</v>
      </c>
      <c r="F72" s="22" t="s">
        <v>240</v>
      </c>
      <c r="G72" s="22">
        <v>20363669</v>
      </c>
      <c r="H72" s="22" t="s">
        <v>249</v>
      </c>
      <c r="I72" s="22">
        <v>1</v>
      </c>
      <c r="J72" s="30" t="s">
        <v>242</v>
      </c>
      <c r="K72" s="20">
        <v>1</v>
      </c>
      <c r="L72" s="21">
        <v>28</v>
      </c>
      <c r="M72" s="57">
        <v>28</v>
      </c>
      <c r="N72" s="57">
        <v>28</v>
      </c>
    </row>
    <row r="73" spans="4:14">
      <c r="D73" s="29">
        <v>46197</v>
      </c>
      <c r="E73" s="22">
        <v>1614866</v>
      </c>
      <c r="F73" s="22" t="s">
        <v>240</v>
      </c>
      <c r="G73" s="22">
        <v>20374363</v>
      </c>
      <c r="H73" s="22" t="s">
        <v>241</v>
      </c>
      <c r="I73" s="22">
        <v>1</v>
      </c>
      <c r="J73" s="30" t="s">
        <v>242</v>
      </c>
      <c r="K73" s="20">
        <v>1</v>
      </c>
      <c r="L73" s="21">
        <v>28</v>
      </c>
      <c r="M73" s="57">
        <v>28</v>
      </c>
      <c r="N73" s="57">
        <v>28</v>
      </c>
    </row>
    <row r="74" spans="4:14">
      <c r="D74" s="29">
        <v>46197</v>
      </c>
      <c r="E74" s="22">
        <v>1614866</v>
      </c>
      <c r="F74" s="22" t="s">
        <v>240</v>
      </c>
      <c r="G74" s="22">
        <v>20374365</v>
      </c>
      <c r="H74" s="22" t="s">
        <v>243</v>
      </c>
      <c r="I74" s="22">
        <v>1</v>
      </c>
      <c r="J74" s="30" t="s">
        <v>242</v>
      </c>
      <c r="K74" s="20">
        <v>1</v>
      </c>
      <c r="L74" s="21">
        <v>28</v>
      </c>
      <c r="M74" s="57">
        <v>28</v>
      </c>
      <c r="N74" s="57">
        <v>28</v>
      </c>
    </row>
    <row r="75" spans="4:14">
      <c r="D75" s="29">
        <v>46197</v>
      </c>
      <c r="E75" s="22">
        <v>1614866</v>
      </c>
      <c r="F75" s="22" t="s">
        <v>240</v>
      </c>
      <c r="G75" s="22">
        <v>20374368</v>
      </c>
      <c r="H75" s="22" t="s">
        <v>245</v>
      </c>
      <c r="I75" s="22">
        <v>1</v>
      </c>
      <c r="J75" s="30" t="s">
        <v>242</v>
      </c>
      <c r="K75" s="20">
        <v>1</v>
      </c>
      <c r="L75" s="21">
        <v>28</v>
      </c>
      <c r="M75" s="57">
        <v>28</v>
      </c>
      <c r="N75" s="57">
        <v>28</v>
      </c>
    </row>
    <row r="76" spans="4:14">
      <c r="D76" s="29">
        <v>46198</v>
      </c>
      <c r="E76" s="22">
        <v>1615258</v>
      </c>
      <c r="F76" s="22" t="s">
        <v>240</v>
      </c>
      <c r="G76" s="22">
        <v>20374363</v>
      </c>
      <c r="H76" s="22" t="s">
        <v>241</v>
      </c>
      <c r="I76" s="22">
        <v>1</v>
      </c>
      <c r="J76" s="30" t="s">
        <v>242</v>
      </c>
      <c r="K76" s="20">
        <v>1</v>
      </c>
      <c r="L76" s="21">
        <v>28</v>
      </c>
      <c r="M76" s="57">
        <v>28</v>
      </c>
      <c r="N76" s="57">
        <v>28</v>
      </c>
    </row>
    <row r="77" spans="4:14">
      <c r="D77" s="29">
        <v>46198</v>
      </c>
      <c r="E77" s="22">
        <v>1615258</v>
      </c>
      <c r="F77" s="22" t="s">
        <v>240</v>
      </c>
      <c r="G77" s="22">
        <v>20363667</v>
      </c>
      <c r="H77" s="22" t="s">
        <v>243</v>
      </c>
      <c r="I77" s="22">
        <v>1</v>
      </c>
      <c r="J77" s="30" t="s">
        <v>242</v>
      </c>
      <c r="K77" s="20">
        <v>1</v>
      </c>
      <c r="L77" s="21">
        <v>28</v>
      </c>
      <c r="M77" s="57">
        <v>28</v>
      </c>
      <c r="N77" s="57">
        <v>28</v>
      </c>
    </row>
    <row r="78" spans="4:14">
      <c r="D78" s="29">
        <v>46198</v>
      </c>
      <c r="E78" s="22">
        <v>1615258</v>
      </c>
      <c r="F78" s="22" t="s">
        <v>240</v>
      </c>
      <c r="G78" s="22">
        <v>20374367</v>
      </c>
      <c r="H78" s="22" t="s">
        <v>244</v>
      </c>
      <c r="I78" s="22">
        <v>1</v>
      </c>
      <c r="J78" s="30" t="s">
        <v>242</v>
      </c>
      <c r="K78" s="20">
        <v>1</v>
      </c>
      <c r="L78" s="21">
        <v>28</v>
      </c>
      <c r="M78" s="57">
        <v>28</v>
      </c>
      <c r="N78" s="57">
        <v>28</v>
      </c>
    </row>
    <row r="79" spans="4:14">
      <c r="D79" s="29">
        <v>46198</v>
      </c>
      <c r="E79" s="22">
        <v>1615258</v>
      </c>
      <c r="F79" s="22" t="s">
        <v>240</v>
      </c>
      <c r="G79" s="22">
        <v>20424438</v>
      </c>
      <c r="H79" s="22" t="s">
        <v>250</v>
      </c>
      <c r="I79" s="22">
        <v>3</v>
      </c>
      <c r="J79" s="30" t="s">
        <v>242</v>
      </c>
      <c r="K79" s="20">
        <v>1</v>
      </c>
      <c r="L79" s="21">
        <v>28</v>
      </c>
      <c r="M79" s="57">
        <v>28</v>
      </c>
      <c r="N79" s="57">
        <v>84</v>
      </c>
    </row>
    <row r="80" spans="4:14">
      <c r="D80" s="29">
        <v>46199</v>
      </c>
      <c r="E80" s="22">
        <v>1615523</v>
      </c>
      <c r="F80" s="22" t="s">
        <v>240</v>
      </c>
      <c r="G80" s="22">
        <v>20363667</v>
      </c>
      <c r="H80" s="22" t="s">
        <v>243</v>
      </c>
      <c r="I80" s="22">
        <v>1</v>
      </c>
      <c r="J80" s="30" t="s">
        <v>242</v>
      </c>
      <c r="K80" s="20">
        <v>1</v>
      </c>
      <c r="L80" s="21">
        <v>28</v>
      </c>
      <c r="M80" s="57">
        <v>28</v>
      </c>
      <c r="N80" s="57">
        <v>28</v>
      </c>
    </row>
    <row r="81" spans="4:14">
      <c r="D81" s="29">
        <v>46199</v>
      </c>
      <c r="E81" s="22">
        <v>1615523</v>
      </c>
      <c r="F81" s="22" t="s">
        <v>240</v>
      </c>
      <c r="G81" s="22">
        <v>20374368</v>
      </c>
      <c r="H81" s="22" t="s">
        <v>245</v>
      </c>
      <c r="I81" s="22">
        <v>2</v>
      </c>
      <c r="J81" s="30" t="s">
        <v>242</v>
      </c>
      <c r="K81" s="20">
        <v>1</v>
      </c>
      <c r="L81" s="21">
        <v>28</v>
      </c>
      <c r="M81" s="57">
        <v>28</v>
      </c>
      <c r="N81" s="57">
        <v>56</v>
      </c>
    </row>
    <row r="82" spans="4:14">
      <c r="D82" s="29">
        <v>46199</v>
      </c>
      <c r="E82" s="22">
        <v>1615531</v>
      </c>
      <c r="F82" s="22" t="s">
        <v>240</v>
      </c>
      <c r="G82" s="22">
        <v>20374367</v>
      </c>
      <c r="H82" s="22" t="s">
        <v>244</v>
      </c>
      <c r="I82" s="22">
        <v>1</v>
      </c>
      <c r="J82" s="30" t="s">
        <v>242</v>
      </c>
      <c r="K82" s="20">
        <v>1</v>
      </c>
      <c r="L82" s="21">
        <v>28</v>
      </c>
      <c r="M82" s="57">
        <v>28</v>
      </c>
      <c r="N82" s="57">
        <v>28</v>
      </c>
    </row>
    <row r="83" spans="4:14">
      <c r="D83" s="29">
        <v>46200</v>
      </c>
      <c r="E83" s="22">
        <v>1615643</v>
      </c>
      <c r="F83" s="22" t="s">
        <v>240</v>
      </c>
      <c r="G83" s="22">
        <v>20374363</v>
      </c>
      <c r="H83" s="22" t="s">
        <v>241</v>
      </c>
      <c r="I83" s="22">
        <v>1</v>
      </c>
      <c r="J83" s="30" t="s">
        <v>242</v>
      </c>
      <c r="K83" s="20">
        <v>1</v>
      </c>
      <c r="L83" s="21">
        <v>28</v>
      </c>
      <c r="M83" s="57">
        <v>28</v>
      </c>
      <c r="N83" s="57">
        <v>28</v>
      </c>
    </row>
    <row r="84" spans="4:14">
      <c r="D84" s="29">
        <v>46202</v>
      </c>
      <c r="E84" s="22">
        <v>1616092</v>
      </c>
      <c r="F84" s="22" t="s">
        <v>240</v>
      </c>
      <c r="G84" s="22">
        <v>20374364</v>
      </c>
      <c r="H84" s="22" t="s">
        <v>252</v>
      </c>
      <c r="I84" s="22">
        <v>1</v>
      </c>
      <c r="J84" s="30" t="s">
        <v>242</v>
      </c>
      <c r="K84" s="20">
        <v>1</v>
      </c>
      <c r="L84" s="21">
        <v>28</v>
      </c>
      <c r="M84" s="57">
        <v>28</v>
      </c>
      <c r="N84" s="57">
        <v>28</v>
      </c>
    </row>
    <row r="85" spans="4:14">
      <c r="D85" s="29">
        <v>46202</v>
      </c>
      <c r="E85" s="22">
        <v>1616092</v>
      </c>
      <c r="F85" s="22" t="s">
        <v>240</v>
      </c>
      <c r="G85" s="22">
        <v>20363669</v>
      </c>
      <c r="H85" s="22" t="s">
        <v>249</v>
      </c>
      <c r="I85" s="22">
        <v>1</v>
      </c>
      <c r="J85" s="30" t="s">
        <v>242</v>
      </c>
      <c r="K85" s="20">
        <v>1</v>
      </c>
      <c r="L85" s="21">
        <v>28</v>
      </c>
      <c r="M85" s="57">
        <v>28</v>
      </c>
      <c r="N85" s="57">
        <v>28</v>
      </c>
    </row>
    <row r="86" spans="4:14">
      <c r="D86" s="29">
        <v>46202</v>
      </c>
      <c r="E86" s="22">
        <v>1616092</v>
      </c>
      <c r="F86" s="22" t="s">
        <v>240</v>
      </c>
      <c r="G86" s="22">
        <v>20374365</v>
      </c>
      <c r="H86" s="22" t="s">
        <v>243</v>
      </c>
      <c r="I86" s="22">
        <v>1</v>
      </c>
      <c r="J86" s="30" t="s">
        <v>242</v>
      </c>
      <c r="K86" s="20">
        <v>1</v>
      </c>
      <c r="L86" s="21">
        <v>28</v>
      </c>
      <c r="M86" s="57">
        <v>28</v>
      </c>
      <c r="N86" s="57">
        <v>28</v>
      </c>
    </row>
    <row r="87" spans="4:14">
      <c r="D87" s="29">
        <v>46202</v>
      </c>
      <c r="E87" s="22">
        <v>1616092</v>
      </c>
      <c r="F87" s="22" t="s">
        <v>240</v>
      </c>
      <c r="G87" s="22">
        <v>20374368</v>
      </c>
      <c r="H87" s="22" t="s">
        <v>245</v>
      </c>
      <c r="I87" s="22">
        <v>1</v>
      </c>
      <c r="J87" s="30" t="s">
        <v>242</v>
      </c>
      <c r="K87" s="20">
        <v>1</v>
      </c>
      <c r="L87" s="21">
        <v>28</v>
      </c>
      <c r="M87" s="57">
        <v>28</v>
      </c>
      <c r="N87" s="57">
        <v>28</v>
      </c>
    </row>
  </sheetData>
  <autoFilter xmlns:etc="http://www.wps.cn/officeDocument/2017/etCustomData" ref="A7:N87" etc:filterBottomFollowUsedRange="0">
    <extLst/>
  </autoFilter>
  <mergeCells count="5">
    <mergeCell ref="D8:H8"/>
    <mergeCell ref="C7:C87"/>
    <mergeCell ref="B4:H5"/>
    <mergeCell ref="A7:B87"/>
    <mergeCell ref="C1:H2"/>
  </mergeCells>
  <pageMargins left="0.25" right="0.25" top="0.75" bottom="0.75" header="0.298611111111111" footer="0.298611111111111"/>
  <pageSetup paperSize="9" scale="93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view="pageBreakPreview" zoomScaleNormal="100" workbookViewId="0">
      <pane ySplit="6" topLeftCell="A7" activePane="bottomLeft" state="frozen"/>
      <selection/>
      <selection pane="bottomLeft" activeCell="J31" sqref="J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75" customWidth="1"/>
    <col min="12" max="12" width="13.7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253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16</v>
      </c>
      <c r="J8" s="42"/>
      <c r="K8" s="43"/>
      <c r="L8" s="43"/>
      <c r="M8" s="43"/>
      <c r="N8" s="43">
        <v>735.6</v>
      </c>
    </row>
    <row r="9" spans="1:14">
      <c r="D9" s="13">
        <v>46177</v>
      </c>
      <c r="E9" s="14">
        <v>1609080</v>
      </c>
      <c r="F9" s="14" t="s">
        <v>16</v>
      </c>
      <c r="G9" s="14">
        <v>20324716</v>
      </c>
      <c r="H9" s="14" t="s">
        <v>254</v>
      </c>
      <c r="I9" s="14">
        <v>1</v>
      </c>
      <c r="J9" s="14" t="s">
        <v>18</v>
      </c>
      <c r="K9" s="16">
        <v>1</v>
      </c>
      <c r="L9" s="17">
        <v>6.4</v>
      </c>
      <c r="M9" s="17">
        <v>10.8</v>
      </c>
      <c r="N9" s="17">
        <v>10.8</v>
      </c>
    </row>
    <row r="10" spans="1:14">
      <c r="D10" s="18"/>
      <c r="E10" s="6"/>
      <c r="F10" s="6"/>
      <c r="G10" s="6"/>
      <c r="H10" s="6"/>
      <c r="I10" s="6"/>
      <c r="J10" s="6" t="s">
        <v>124</v>
      </c>
      <c r="K10" s="20">
        <v>1</v>
      </c>
      <c r="L10" s="21">
        <v>4.4</v>
      </c>
      <c r="M10" s="21"/>
      <c r="N10" s="21"/>
    </row>
    <row r="11" spans="1:14">
      <c r="D11" s="18">
        <v>46177</v>
      </c>
      <c r="E11" s="6">
        <v>1609080</v>
      </c>
      <c r="F11" s="6" t="s">
        <v>26</v>
      </c>
      <c r="G11" s="6">
        <v>20373761</v>
      </c>
      <c r="H11" s="6" t="s">
        <v>255</v>
      </c>
      <c r="I11" s="6">
        <v>2</v>
      </c>
      <c r="J11" s="32" t="s">
        <v>28</v>
      </c>
      <c r="K11" s="20">
        <f>M11/L11</f>
        <v>24</v>
      </c>
      <c r="L11" s="21">
        <v>4.4</v>
      </c>
      <c r="M11" s="21">
        <v>105.6</v>
      </c>
      <c r="N11" s="21">
        <v>211.2</v>
      </c>
    </row>
    <row r="12" spans="1:14">
      <c r="D12" s="18">
        <v>46178</v>
      </c>
      <c r="E12" s="6">
        <v>1609421</v>
      </c>
      <c r="F12" s="6" t="s">
        <v>26</v>
      </c>
      <c r="G12" s="6">
        <v>20365170</v>
      </c>
      <c r="H12" s="6" t="s">
        <v>129</v>
      </c>
      <c r="I12" s="6">
        <v>1</v>
      </c>
      <c r="J12" s="32" t="s">
        <v>28</v>
      </c>
      <c r="K12" s="20">
        <f>M12/L12</f>
        <v>9</v>
      </c>
      <c r="L12" s="21">
        <v>4.4</v>
      </c>
      <c r="M12" s="21">
        <v>39.6</v>
      </c>
      <c r="N12" s="21">
        <v>39.6</v>
      </c>
    </row>
    <row r="13" spans="1:14">
      <c r="D13" s="18">
        <v>46181</v>
      </c>
      <c r="E13" s="6">
        <v>1610178</v>
      </c>
      <c r="F13" s="6" t="s">
        <v>16</v>
      </c>
      <c r="G13" s="6">
        <v>20324716</v>
      </c>
      <c r="H13" s="6" t="s">
        <v>254</v>
      </c>
      <c r="I13" s="6">
        <v>3</v>
      </c>
      <c r="J13" s="6" t="s">
        <v>18</v>
      </c>
      <c r="K13" s="20">
        <v>1</v>
      </c>
      <c r="L13" s="21">
        <v>6.4</v>
      </c>
      <c r="M13" s="21">
        <v>10.8</v>
      </c>
      <c r="N13" s="21">
        <v>32.4</v>
      </c>
    </row>
    <row r="14" spans="1:14">
      <c r="D14" s="18"/>
      <c r="E14" s="6"/>
      <c r="F14" s="6"/>
      <c r="G14" s="6"/>
      <c r="H14" s="6"/>
      <c r="I14" s="6"/>
      <c r="J14" s="6" t="s">
        <v>124</v>
      </c>
      <c r="K14" s="20">
        <v>1</v>
      </c>
      <c r="L14" s="21">
        <v>4.4</v>
      </c>
      <c r="M14" s="21"/>
      <c r="N14" s="21"/>
    </row>
    <row r="15" spans="1:14">
      <c r="D15" s="18">
        <v>46181</v>
      </c>
      <c r="E15" s="6">
        <v>1610178</v>
      </c>
      <c r="F15" s="6" t="s">
        <v>26</v>
      </c>
      <c r="G15" s="6">
        <v>20365170</v>
      </c>
      <c r="H15" s="6" t="s">
        <v>129</v>
      </c>
      <c r="I15" s="6">
        <v>1</v>
      </c>
      <c r="J15" s="32" t="s">
        <v>28</v>
      </c>
      <c r="K15" s="20">
        <f>M15/L15</f>
        <v>9</v>
      </c>
      <c r="L15" s="21">
        <v>4.4</v>
      </c>
      <c r="M15" s="21">
        <v>39.6</v>
      </c>
      <c r="N15" s="21">
        <v>39.6</v>
      </c>
    </row>
    <row r="16" spans="1:14">
      <c r="D16" s="18">
        <v>46181</v>
      </c>
      <c r="E16" s="6">
        <v>1610178</v>
      </c>
      <c r="F16" s="6" t="s">
        <v>26</v>
      </c>
      <c r="G16" s="6">
        <v>20373761</v>
      </c>
      <c r="H16" s="6" t="s">
        <v>255</v>
      </c>
      <c r="I16" s="6">
        <v>1</v>
      </c>
      <c r="J16" s="32" t="s">
        <v>28</v>
      </c>
      <c r="K16" s="20">
        <f>M16/L16</f>
        <v>24</v>
      </c>
      <c r="L16" s="21">
        <v>4.4</v>
      </c>
      <c r="M16" s="21">
        <v>105.6</v>
      </c>
      <c r="N16" s="21">
        <v>105.6</v>
      </c>
    </row>
    <row r="17" ht="25.5" spans="4:14">
      <c r="D17" s="18">
        <v>46185</v>
      </c>
      <c r="E17" s="6">
        <v>1611893</v>
      </c>
      <c r="F17" s="6" t="s">
        <v>16</v>
      </c>
      <c r="G17" s="6">
        <v>20365168</v>
      </c>
      <c r="H17" s="6" t="s">
        <v>256</v>
      </c>
      <c r="I17" s="6">
        <v>1</v>
      </c>
      <c r="J17" s="6" t="s">
        <v>124</v>
      </c>
      <c r="K17" s="20">
        <f>M17/L17</f>
        <v>3</v>
      </c>
      <c r="L17" s="21">
        <v>4.4</v>
      </c>
      <c r="M17" s="21">
        <v>13.2</v>
      </c>
      <c r="N17" s="21">
        <v>13.2</v>
      </c>
    </row>
    <row r="18" spans="4:14">
      <c r="D18" s="18">
        <v>46185</v>
      </c>
      <c r="E18" s="6">
        <v>1611893</v>
      </c>
      <c r="F18" s="6" t="s">
        <v>16</v>
      </c>
      <c r="G18" s="6">
        <v>20324716</v>
      </c>
      <c r="H18" s="6" t="s">
        <v>254</v>
      </c>
      <c r="I18" s="6">
        <v>1</v>
      </c>
      <c r="J18" s="6" t="s">
        <v>18</v>
      </c>
      <c r="K18" s="20">
        <v>1</v>
      </c>
      <c r="L18" s="21">
        <v>6.4</v>
      </c>
      <c r="M18" s="21">
        <v>10.8</v>
      </c>
      <c r="N18" s="21">
        <v>10.8</v>
      </c>
    </row>
    <row r="19" spans="4:14">
      <c r="D19" s="18"/>
      <c r="E19" s="6"/>
      <c r="F19" s="6"/>
      <c r="G19" s="6"/>
      <c r="H19" s="6"/>
      <c r="I19" s="6"/>
      <c r="J19" s="6" t="s">
        <v>124</v>
      </c>
      <c r="K19" s="20">
        <v>1</v>
      </c>
      <c r="L19" s="21">
        <v>4.4</v>
      </c>
      <c r="M19" s="21"/>
      <c r="N19" s="21"/>
    </row>
    <row r="20" spans="4:14">
      <c r="D20" s="18">
        <v>46190</v>
      </c>
      <c r="E20" s="6">
        <v>1612793</v>
      </c>
      <c r="F20" s="6" t="s">
        <v>16</v>
      </c>
      <c r="G20" s="6">
        <v>20324716</v>
      </c>
      <c r="H20" s="6" t="s">
        <v>254</v>
      </c>
      <c r="I20" s="6">
        <v>1</v>
      </c>
      <c r="J20" s="6" t="s">
        <v>18</v>
      </c>
      <c r="K20" s="20">
        <v>1</v>
      </c>
      <c r="L20" s="21">
        <v>6.4</v>
      </c>
      <c r="M20" s="21">
        <v>10.8</v>
      </c>
      <c r="N20" s="21">
        <v>10.8</v>
      </c>
    </row>
    <row r="21" spans="4:14">
      <c r="D21" s="18"/>
      <c r="E21" s="6"/>
      <c r="F21" s="6"/>
      <c r="G21" s="6"/>
      <c r="H21" s="6"/>
      <c r="I21" s="6"/>
      <c r="J21" s="6" t="s">
        <v>124</v>
      </c>
      <c r="K21" s="20">
        <v>1</v>
      </c>
      <c r="L21" s="21">
        <v>4.4</v>
      </c>
      <c r="M21" s="21"/>
      <c r="N21" s="21"/>
    </row>
    <row r="22" spans="4:14">
      <c r="D22" s="18">
        <v>46190</v>
      </c>
      <c r="E22" s="6">
        <v>1612793</v>
      </c>
      <c r="F22" s="6" t="s">
        <v>26</v>
      </c>
      <c r="G22" s="6">
        <v>20365170</v>
      </c>
      <c r="H22" s="6" t="s">
        <v>129</v>
      </c>
      <c r="I22" s="6">
        <v>1</v>
      </c>
      <c r="J22" s="32" t="s">
        <v>28</v>
      </c>
      <c r="K22" s="20">
        <f>M22/L22</f>
        <v>9</v>
      </c>
      <c r="L22" s="21">
        <v>4.4</v>
      </c>
      <c r="M22" s="21">
        <v>39.6</v>
      </c>
      <c r="N22" s="21">
        <v>39.6</v>
      </c>
    </row>
    <row r="23" spans="4:14">
      <c r="D23" s="18">
        <v>46190</v>
      </c>
      <c r="E23" s="6">
        <v>1612793</v>
      </c>
      <c r="F23" s="6" t="s">
        <v>26</v>
      </c>
      <c r="G23" s="6">
        <v>20373761</v>
      </c>
      <c r="H23" s="6" t="s">
        <v>255</v>
      </c>
      <c r="I23" s="6">
        <v>1</v>
      </c>
      <c r="J23" s="32" t="s">
        <v>28</v>
      </c>
      <c r="K23" s="20">
        <f>M23/L23</f>
        <v>24</v>
      </c>
      <c r="L23" s="21">
        <v>4.4</v>
      </c>
      <c r="M23" s="21">
        <v>105.6</v>
      </c>
      <c r="N23" s="21">
        <v>105.6</v>
      </c>
    </row>
    <row r="24" spans="4:14">
      <c r="D24" s="18">
        <v>46199</v>
      </c>
      <c r="E24" s="6">
        <v>1615574</v>
      </c>
      <c r="F24" s="6" t="s">
        <v>16</v>
      </c>
      <c r="G24" s="6">
        <v>20324716</v>
      </c>
      <c r="H24" s="6" t="s">
        <v>254</v>
      </c>
      <c r="I24" s="6">
        <v>1</v>
      </c>
      <c r="J24" s="6" t="s">
        <v>18</v>
      </c>
      <c r="K24" s="20">
        <v>1</v>
      </c>
      <c r="L24" s="21">
        <v>6.4</v>
      </c>
      <c r="M24" s="21">
        <v>10.8</v>
      </c>
      <c r="N24" s="21">
        <v>10.8</v>
      </c>
    </row>
    <row r="25" spans="4:14">
      <c r="D25" s="18"/>
      <c r="E25" s="6"/>
      <c r="F25" s="6"/>
      <c r="G25" s="6"/>
      <c r="H25" s="6"/>
      <c r="I25" s="6"/>
      <c r="J25" s="6" t="s">
        <v>124</v>
      </c>
      <c r="K25" s="20">
        <v>1</v>
      </c>
      <c r="L25" s="21">
        <v>4.4</v>
      </c>
      <c r="M25" s="21"/>
      <c r="N25" s="21"/>
    </row>
    <row r="26" spans="4:14">
      <c r="D26" s="18">
        <v>46199</v>
      </c>
      <c r="E26" s="6">
        <v>1615574</v>
      </c>
      <c r="F26" s="6" t="s">
        <v>26</v>
      </c>
      <c r="G26" s="6">
        <v>20373761</v>
      </c>
      <c r="H26" s="6" t="s">
        <v>255</v>
      </c>
      <c r="I26" s="6">
        <v>1</v>
      </c>
      <c r="J26" s="32" t="s">
        <v>28</v>
      </c>
      <c r="K26" s="20">
        <f>M26/L26</f>
        <v>24</v>
      </c>
      <c r="L26" s="21">
        <v>4.4</v>
      </c>
      <c r="M26" s="21">
        <v>105.6</v>
      </c>
      <c r="N26" s="21">
        <v>105.6</v>
      </c>
    </row>
    <row r="27" ht="0.05" customHeight="1"/>
  </sheetData>
  <autoFilter xmlns:etc="http://www.wps.cn/officeDocument/2017/etCustomData" ref="A7:N26" etc:filterBottomFollowUsedRange="0">
    <extLst/>
  </autoFilter>
  <mergeCells count="45">
    <mergeCell ref="D8:H8"/>
    <mergeCell ref="C7:C26"/>
    <mergeCell ref="D9:D10"/>
    <mergeCell ref="D13:D14"/>
    <mergeCell ref="D18:D19"/>
    <mergeCell ref="D20:D21"/>
    <mergeCell ref="D24:D25"/>
    <mergeCell ref="E9:E10"/>
    <mergeCell ref="E13:E14"/>
    <mergeCell ref="E18:E19"/>
    <mergeCell ref="E20:E21"/>
    <mergeCell ref="E24:E25"/>
    <mergeCell ref="F9:F10"/>
    <mergeCell ref="F13:F14"/>
    <mergeCell ref="F18:F19"/>
    <mergeCell ref="F20:F21"/>
    <mergeCell ref="F24:F25"/>
    <mergeCell ref="G9:G10"/>
    <mergeCell ref="G13:G14"/>
    <mergeCell ref="G18:G19"/>
    <mergeCell ref="G20:G21"/>
    <mergeCell ref="G24:G25"/>
    <mergeCell ref="H9:H10"/>
    <mergeCell ref="H13:H14"/>
    <mergeCell ref="H18:H19"/>
    <mergeCell ref="H20:H21"/>
    <mergeCell ref="H24:H25"/>
    <mergeCell ref="I9:I10"/>
    <mergeCell ref="I13:I14"/>
    <mergeCell ref="I18:I19"/>
    <mergeCell ref="I20:I21"/>
    <mergeCell ref="I24:I25"/>
    <mergeCell ref="M9:M10"/>
    <mergeCell ref="M13:M14"/>
    <mergeCell ref="M18:M19"/>
    <mergeCell ref="M20:M21"/>
    <mergeCell ref="M24:M25"/>
    <mergeCell ref="N9:N10"/>
    <mergeCell ref="N13:N14"/>
    <mergeCell ref="N18:N19"/>
    <mergeCell ref="N20:N21"/>
    <mergeCell ref="N24:N25"/>
    <mergeCell ref="B4:H5"/>
    <mergeCell ref="C1:H2"/>
    <mergeCell ref="A7:B26"/>
  </mergeCells>
  <pageMargins left="0.25" right="0.25" top="0.75" bottom="0.75" header="0.298611111111111" footer="0.298611111111111"/>
  <pageSetup paperSize="9" scale="98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6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I96" sqref="I9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4.25" customWidth="1"/>
    <col min="11" max="11" width="17.75" customWidth="1"/>
    <col min="12" max="12" width="13.7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4" spans="1:14">
      <c r="B4" s="2" t="s">
        <v>1</v>
      </c>
    </row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257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140</v>
      </c>
      <c r="J8" s="42"/>
      <c r="K8" s="43"/>
      <c r="L8" s="43"/>
      <c r="M8" s="43"/>
      <c r="N8" s="43">
        <v>5278.4</v>
      </c>
    </row>
    <row r="9" spans="1:14">
      <c r="D9" s="13">
        <v>46175</v>
      </c>
      <c r="E9" s="14">
        <v>1608264</v>
      </c>
      <c r="F9" s="14" t="s">
        <v>240</v>
      </c>
      <c r="G9" s="14">
        <v>20424838</v>
      </c>
      <c r="H9" s="14" t="s">
        <v>258</v>
      </c>
      <c r="I9" s="14">
        <v>2</v>
      </c>
      <c r="J9" s="58" t="s">
        <v>242</v>
      </c>
      <c r="K9" s="16">
        <v>1</v>
      </c>
      <c r="L9" s="17">
        <v>28</v>
      </c>
      <c r="M9" s="17">
        <v>28</v>
      </c>
      <c r="N9" s="17">
        <v>56</v>
      </c>
    </row>
    <row r="10" spans="1:14">
      <c r="D10" s="18">
        <v>46175</v>
      </c>
      <c r="E10" s="6">
        <v>1608264</v>
      </c>
      <c r="F10" s="6" t="s">
        <v>26</v>
      </c>
      <c r="G10" s="6">
        <v>20324578</v>
      </c>
      <c r="H10" s="6" t="s">
        <v>130</v>
      </c>
      <c r="I10" s="6">
        <v>1</v>
      </c>
      <c r="J10" s="32" t="s">
        <v>28</v>
      </c>
      <c r="K10" s="20">
        <f>M10/L10</f>
        <v>25</v>
      </c>
      <c r="L10" s="21">
        <v>4.4</v>
      </c>
      <c r="M10" s="21">
        <v>110</v>
      </c>
      <c r="N10" s="21">
        <v>110</v>
      </c>
    </row>
    <row r="11" spans="1:14">
      <c r="D11" s="18">
        <v>46175</v>
      </c>
      <c r="E11" s="6">
        <v>1608264</v>
      </c>
      <c r="F11" s="6" t="s">
        <v>51</v>
      </c>
      <c r="G11" s="6">
        <v>20324843</v>
      </c>
      <c r="H11" s="6" t="s">
        <v>259</v>
      </c>
      <c r="I11" s="6">
        <v>10</v>
      </c>
      <c r="J11" s="33" t="s">
        <v>86</v>
      </c>
      <c r="K11" s="20">
        <v>1</v>
      </c>
      <c r="L11" s="21">
        <v>3.2</v>
      </c>
      <c r="M11" s="21">
        <v>3.2</v>
      </c>
      <c r="N11" s="21">
        <v>32</v>
      </c>
    </row>
    <row r="12" spans="1:14">
      <c r="D12" s="18">
        <v>46175</v>
      </c>
      <c r="E12" s="6">
        <v>1608340</v>
      </c>
      <c r="F12" s="6" t="s">
        <v>16</v>
      </c>
      <c r="G12" s="6">
        <v>20356846</v>
      </c>
      <c r="H12" s="6" t="s">
        <v>260</v>
      </c>
      <c r="I12" s="6">
        <v>1</v>
      </c>
      <c r="J12" s="33" t="s">
        <v>183</v>
      </c>
      <c r="K12" s="20">
        <v>1</v>
      </c>
      <c r="L12" s="21">
        <v>28</v>
      </c>
      <c r="M12" s="21">
        <v>28</v>
      </c>
      <c r="N12" s="21">
        <v>28</v>
      </c>
    </row>
    <row r="13" spans="1:14">
      <c r="D13" s="18">
        <v>46175</v>
      </c>
      <c r="E13" s="6">
        <v>1608340</v>
      </c>
      <c r="F13" s="6" t="s">
        <v>16</v>
      </c>
      <c r="G13" s="6">
        <v>20325012</v>
      </c>
      <c r="H13" s="6" t="s">
        <v>261</v>
      </c>
      <c r="I13" s="6">
        <v>1</v>
      </c>
      <c r="J13" s="32" t="s">
        <v>58</v>
      </c>
      <c r="K13" s="20">
        <v>1</v>
      </c>
      <c r="L13" s="21">
        <v>17.6</v>
      </c>
      <c r="M13" s="21">
        <v>35.2</v>
      </c>
      <c r="N13" s="21">
        <v>35.2</v>
      </c>
    </row>
    <row r="14" spans="1:14">
      <c r="D14" s="18"/>
      <c r="E14" s="6"/>
      <c r="F14" s="6"/>
      <c r="G14" s="6"/>
      <c r="H14" s="6"/>
      <c r="I14" s="6"/>
      <c r="J14" s="32" t="s">
        <v>58</v>
      </c>
      <c r="K14" s="20">
        <v>1</v>
      </c>
      <c r="L14" s="21">
        <v>17.6</v>
      </c>
      <c r="M14" s="21"/>
      <c r="N14" s="21"/>
    </row>
    <row r="15" spans="1:14">
      <c r="D15" s="18">
        <v>46175</v>
      </c>
      <c r="E15" s="6">
        <v>1608340</v>
      </c>
      <c r="F15" s="6" t="s">
        <v>34</v>
      </c>
      <c r="G15" s="6">
        <v>20324849</v>
      </c>
      <c r="H15" s="6" t="s">
        <v>262</v>
      </c>
      <c r="I15" s="6">
        <v>1</v>
      </c>
      <c r="J15" s="33" t="s">
        <v>263</v>
      </c>
      <c r="K15" s="20">
        <v>1</v>
      </c>
      <c r="L15" s="21">
        <v>22.4</v>
      </c>
      <c r="M15" s="21">
        <v>22.4</v>
      </c>
      <c r="N15" s="21">
        <v>22.4</v>
      </c>
    </row>
    <row r="16" spans="1:14">
      <c r="D16" s="18">
        <v>46175</v>
      </c>
      <c r="E16" s="6">
        <v>1608340</v>
      </c>
      <c r="F16" s="6" t="s">
        <v>34</v>
      </c>
      <c r="G16" s="6">
        <v>20325010</v>
      </c>
      <c r="H16" s="6" t="s">
        <v>264</v>
      </c>
      <c r="I16" s="6">
        <v>1</v>
      </c>
      <c r="J16" s="32" t="s">
        <v>42</v>
      </c>
      <c r="K16" s="20" t="s">
        <v>43</v>
      </c>
      <c r="L16" s="21">
        <v>70.4</v>
      </c>
      <c r="M16" s="21">
        <v>70.4</v>
      </c>
      <c r="N16" s="21">
        <v>70.4</v>
      </c>
    </row>
    <row r="17" spans="4:14">
      <c r="D17" s="18">
        <v>46178</v>
      </c>
      <c r="E17" s="6">
        <v>1609802</v>
      </c>
      <c r="F17" s="6" t="s">
        <v>26</v>
      </c>
      <c r="G17" s="6">
        <v>20324678</v>
      </c>
      <c r="H17" s="6" t="s">
        <v>265</v>
      </c>
      <c r="I17" s="6">
        <v>1</v>
      </c>
      <c r="J17" s="32" t="s">
        <v>28</v>
      </c>
      <c r="K17" s="20">
        <f>M17/L17</f>
        <v>57</v>
      </c>
      <c r="L17" s="21">
        <v>4.4</v>
      </c>
      <c r="M17" s="21">
        <v>250.8</v>
      </c>
      <c r="N17" s="21">
        <v>250.8</v>
      </c>
    </row>
    <row r="18" spans="4:14">
      <c r="D18" s="18">
        <v>46178</v>
      </c>
      <c r="E18" s="6">
        <v>1609802</v>
      </c>
      <c r="F18" s="6" t="s">
        <v>26</v>
      </c>
      <c r="G18" s="6">
        <v>20365639</v>
      </c>
      <c r="H18" s="6" t="s">
        <v>266</v>
      </c>
      <c r="I18" s="6">
        <v>1</v>
      </c>
      <c r="J18" s="32" t="s">
        <v>28</v>
      </c>
      <c r="K18" s="20">
        <f t="shared" ref="K18:K24" si="0">M18/L18</f>
        <v>21</v>
      </c>
      <c r="L18" s="21">
        <v>4.4</v>
      </c>
      <c r="M18" s="21">
        <v>92.4</v>
      </c>
      <c r="N18" s="21">
        <v>92.4</v>
      </c>
    </row>
    <row r="19" spans="4:14">
      <c r="D19" s="18">
        <v>46178</v>
      </c>
      <c r="E19" s="6">
        <v>1609802</v>
      </c>
      <c r="F19" s="6" t="s">
        <v>240</v>
      </c>
      <c r="G19" s="6">
        <v>20424838</v>
      </c>
      <c r="H19" s="6" t="s">
        <v>258</v>
      </c>
      <c r="I19" s="6">
        <v>1</v>
      </c>
      <c r="J19" s="32" t="s">
        <v>242</v>
      </c>
      <c r="K19" s="20">
        <v>1</v>
      </c>
      <c r="L19" s="21">
        <v>28</v>
      </c>
      <c r="M19" s="21">
        <v>28</v>
      </c>
      <c r="N19" s="21">
        <v>28</v>
      </c>
    </row>
    <row r="20" spans="4:14">
      <c r="D20" s="18">
        <v>46179</v>
      </c>
      <c r="E20" s="6">
        <v>1609862</v>
      </c>
      <c r="F20" s="6" t="s">
        <v>16</v>
      </c>
      <c r="G20" s="6">
        <v>20331287</v>
      </c>
      <c r="H20" s="6" t="s">
        <v>267</v>
      </c>
      <c r="I20" s="6">
        <v>1</v>
      </c>
      <c r="J20" s="19" t="s">
        <v>18</v>
      </c>
      <c r="K20" s="20">
        <v>1</v>
      </c>
      <c r="L20" s="21">
        <v>6.4</v>
      </c>
      <c r="M20" s="21">
        <v>6.4</v>
      </c>
      <c r="N20" s="21">
        <v>6.4</v>
      </c>
    </row>
    <row r="21" spans="4:14">
      <c r="D21" s="18">
        <v>46179</v>
      </c>
      <c r="E21" s="6">
        <v>1609862</v>
      </c>
      <c r="F21" s="6" t="s">
        <v>16</v>
      </c>
      <c r="G21" s="6">
        <v>20324699</v>
      </c>
      <c r="H21" s="6" t="s">
        <v>268</v>
      </c>
      <c r="I21" s="6">
        <v>1</v>
      </c>
      <c r="J21" s="32" t="s">
        <v>28</v>
      </c>
      <c r="K21" s="20">
        <f t="shared" si="0"/>
        <v>5</v>
      </c>
      <c r="L21" s="21">
        <v>4.4</v>
      </c>
      <c r="M21" s="21">
        <v>22</v>
      </c>
      <c r="N21" s="21">
        <v>22</v>
      </c>
    </row>
    <row r="22" spans="4:14">
      <c r="D22" s="18">
        <v>46179</v>
      </c>
      <c r="E22" s="6">
        <v>1609862</v>
      </c>
      <c r="F22" s="6" t="s">
        <v>16</v>
      </c>
      <c r="G22" s="6">
        <v>20326916</v>
      </c>
      <c r="H22" s="6" t="s">
        <v>269</v>
      </c>
      <c r="I22" s="6">
        <v>1</v>
      </c>
      <c r="J22" s="32" t="s">
        <v>28</v>
      </c>
      <c r="K22" s="20">
        <f t="shared" si="0"/>
        <v>3</v>
      </c>
      <c r="L22" s="21">
        <v>4.4</v>
      </c>
      <c r="M22" s="21">
        <v>13.2</v>
      </c>
      <c r="N22" s="21">
        <v>13.2</v>
      </c>
    </row>
    <row r="23" spans="4:14">
      <c r="D23" s="18">
        <v>46182</v>
      </c>
      <c r="E23" s="6">
        <v>1610415</v>
      </c>
      <c r="F23" s="6" t="s">
        <v>26</v>
      </c>
      <c r="G23" s="6">
        <v>20324034</v>
      </c>
      <c r="H23" s="6" t="s">
        <v>270</v>
      </c>
      <c r="I23" s="6">
        <v>2</v>
      </c>
      <c r="J23" s="32" t="s">
        <v>28</v>
      </c>
      <c r="K23" s="20">
        <f t="shared" si="0"/>
        <v>47</v>
      </c>
      <c r="L23" s="21">
        <v>4.4</v>
      </c>
      <c r="M23" s="21">
        <v>206.8</v>
      </c>
      <c r="N23" s="21">
        <v>413.6</v>
      </c>
    </row>
    <row r="24" spans="4:14">
      <c r="D24" s="18">
        <v>46186</v>
      </c>
      <c r="E24" s="6">
        <v>1612018</v>
      </c>
      <c r="F24" s="6" t="s">
        <v>26</v>
      </c>
      <c r="G24" s="6">
        <v>20324463</v>
      </c>
      <c r="H24" s="6" t="s">
        <v>271</v>
      </c>
      <c r="I24" s="6">
        <v>1</v>
      </c>
      <c r="J24" s="32" t="s">
        <v>28</v>
      </c>
      <c r="K24" s="20">
        <f t="shared" si="0"/>
        <v>35</v>
      </c>
      <c r="L24" s="21">
        <v>4.4</v>
      </c>
      <c r="M24" s="21">
        <v>154</v>
      </c>
      <c r="N24" s="21">
        <v>154</v>
      </c>
    </row>
    <row r="25" spans="4:14">
      <c r="D25" s="18">
        <v>46186</v>
      </c>
      <c r="E25" s="6">
        <v>1612018</v>
      </c>
      <c r="F25" s="6" t="s">
        <v>16</v>
      </c>
      <c r="G25" s="6">
        <v>20324826</v>
      </c>
      <c r="H25" s="6" t="s">
        <v>272</v>
      </c>
      <c r="I25" s="6">
        <v>1</v>
      </c>
      <c r="J25" s="6" t="s">
        <v>222</v>
      </c>
      <c r="K25" s="20">
        <v>1</v>
      </c>
      <c r="L25" s="8">
        <v>10.4</v>
      </c>
      <c r="M25" s="21">
        <v>10.4</v>
      </c>
      <c r="N25" s="21">
        <v>10.4</v>
      </c>
    </row>
    <row r="26" spans="4:14">
      <c r="D26" s="18">
        <v>46186</v>
      </c>
      <c r="E26" s="6">
        <v>1612018</v>
      </c>
      <c r="F26" s="6" t="s">
        <v>16</v>
      </c>
      <c r="G26" s="6">
        <v>20324823</v>
      </c>
      <c r="H26" s="6" t="s">
        <v>273</v>
      </c>
      <c r="I26" s="6">
        <v>1</v>
      </c>
      <c r="J26" s="19" t="s">
        <v>18</v>
      </c>
      <c r="K26" s="20">
        <v>1</v>
      </c>
      <c r="L26" s="21">
        <v>6.4</v>
      </c>
      <c r="M26" s="21">
        <v>6.4</v>
      </c>
      <c r="N26" s="21">
        <v>6.4</v>
      </c>
    </row>
    <row r="27" spans="4:14">
      <c r="D27" s="18">
        <v>46186</v>
      </c>
      <c r="E27" s="6">
        <v>1612018</v>
      </c>
      <c r="F27" s="6" t="s">
        <v>26</v>
      </c>
      <c r="G27" s="6">
        <v>20324578</v>
      </c>
      <c r="H27" s="6" t="s">
        <v>130</v>
      </c>
      <c r="I27" s="6">
        <v>1</v>
      </c>
      <c r="J27" s="32" t="s">
        <v>28</v>
      </c>
      <c r="K27" s="20">
        <f>M27/L27</f>
        <v>25</v>
      </c>
      <c r="L27" s="21">
        <v>4.4</v>
      </c>
      <c r="M27" s="21">
        <v>110</v>
      </c>
      <c r="N27" s="21">
        <v>110</v>
      </c>
    </row>
    <row r="28" spans="4:14">
      <c r="D28" s="18">
        <v>46186</v>
      </c>
      <c r="E28" s="6">
        <v>1612018</v>
      </c>
      <c r="F28" s="6" t="s">
        <v>16</v>
      </c>
      <c r="G28" s="6">
        <v>20324699</v>
      </c>
      <c r="H28" s="6" t="s">
        <v>268</v>
      </c>
      <c r="I28" s="6">
        <v>1</v>
      </c>
      <c r="J28" s="32" t="s">
        <v>28</v>
      </c>
      <c r="K28" s="20">
        <f>M28/L28</f>
        <v>5</v>
      </c>
      <c r="L28" s="21">
        <v>4.4</v>
      </c>
      <c r="M28" s="21">
        <v>22</v>
      </c>
      <c r="N28" s="21">
        <v>22</v>
      </c>
    </row>
    <row r="29" spans="4:14">
      <c r="D29" s="18">
        <v>46186</v>
      </c>
      <c r="E29" s="6">
        <v>1612027</v>
      </c>
      <c r="F29" s="6" t="s">
        <v>16</v>
      </c>
      <c r="G29" s="6">
        <v>20330344</v>
      </c>
      <c r="H29" s="6" t="s">
        <v>274</v>
      </c>
      <c r="I29" s="6">
        <v>2</v>
      </c>
      <c r="J29" s="33" t="s">
        <v>183</v>
      </c>
      <c r="K29" s="20">
        <v>1</v>
      </c>
      <c r="L29" s="21">
        <v>28</v>
      </c>
      <c r="M29" s="21">
        <v>28</v>
      </c>
      <c r="N29" s="21">
        <v>56</v>
      </c>
    </row>
    <row r="30" spans="4:14">
      <c r="D30" s="18">
        <v>46186</v>
      </c>
      <c r="E30" s="6">
        <v>1612027</v>
      </c>
      <c r="F30" s="6" t="s">
        <v>16</v>
      </c>
      <c r="G30" s="6">
        <v>20347443</v>
      </c>
      <c r="H30" s="6" t="s">
        <v>275</v>
      </c>
      <c r="I30" s="6">
        <v>1</v>
      </c>
      <c r="J30" s="33" t="s">
        <v>263</v>
      </c>
      <c r="K30" s="20">
        <v>1</v>
      </c>
      <c r="L30" s="21">
        <v>22.4</v>
      </c>
      <c r="M30" s="21">
        <v>22.4</v>
      </c>
      <c r="N30" s="21">
        <v>22.4</v>
      </c>
    </row>
    <row r="31" spans="4:14">
      <c r="D31" s="18">
        <v>46186</v>
      </c>
      <c r="E31" s="6">
        <v>1612027</v>
      </c>
      <c r="F31" s="6" t="s">
        <v>16</v>
      </c>
      <c r="G31" s="6">
        <v>20343369</v>
      </c>
      <c r="H31" s="6" t="s">
        <v>276</v>
      </c>
      <c r="I31" s="6">
        <v>1</v>
      </c>
      <c r="J31" s="32" t="s">
        <v>58</v>
      </c>
      <c r="K31" s="20">
        <v>1</v>
      </c>
      <c r="L31" s="21">
        <v>17.6</v>
      </c>
      <c r="M31" s="21">
        <v>17.6</v>
      </c>
      <c r="N31" s="21">
        <v>17.6</v>
      </c>
    </row>
    <row r="32" spans="4:14">
      <c r="D32" s="18">
        <v>46186</v>
      </c>
      <c r="E32" s="6">
        <v>1612027</v>
      </c>
      <c r="F32" s="6" t="s">
        <v>16</v>
      </c>
      <c r="G32" s="6">
        <v>20343370</v>
      </c>
      <c r="H32" s="6" t="s">
        <v>277</v>
      </c>
      <c r="I32" s="6">
        <v>1</v>
      </c>
      <c r="J32" s="33" t="s">
        <v>183</v>
      </c>
      <c r="K32" s="20">
        <v>1</v>
      </c>
      <c r="L32" s="21">
        <v>28</v>
      </c>
      <c r="M32" s="21">
        <v>28</v>
      </c>
      <c r="N32" s="21">
        <v>28</v>
      </c>
    </row>
    <row r="33" spans="4:14">
      <c r="D33" s="18">
        <v>46186</v>
      </c>
      <c r="E33" s="6">
        <v>1612027</v>
      </c>
      <c r="F33" s="6" t="s">
        <v>16</v>
      </c>
      <c r="G33" s="6">
        <v>20338704</v>
      </c>
      <c r="H33" s="6" t="s">
        <v>278</v>
      </c>
      <c r="I33" s="6">
        <v>1</v>
      </c>
      <c r="J33" s="33" t="s">
        <v>263</v>
      </c>
      <c r="K33" s="20">
        <v>1</v>
      </c>
      <c r="L33" s="21">
        <v>22.4</v>
      </c>
      <c r="M33" s="21">
        <v>22.4</v>
      </c>
      <c r="N33" s="21">
        <v>22.4</v>
      </c>
    </row>
    <row r="34" spans="4:14">
      <c r="D34" s="18">
        <v>46186</v>
      </c>
      <c r="E34" s="6">
        <v>1612027</v>
      </c>
      <c r="F34" s="6" t="s">
        <v>16</v>
      </c>
      <c r="G34" s="6">
        <v>20330343</v>
      </c>
      <c r="H34" s="6" t="s">
        <v>279</v>
      </c>
      <c r="I34" s="6">
        <v>1</v>
      </c>
      <c r="J34" s="33" t="s">
        <v>263</v>
      </c>
      <c r="K34" s="20">
        <v>1</v>
      </c>
      <c r="L34" s="21">
        <v>22.4</v>
      </c>
      <c r="M34" s="21">
        <v>22.4</v>
      </c>
      <c r="N34" s="21">
        <v>22.4</v>
      </c>
    </row>
    <row r="35" spans="4:14">
      <c r="D35" s="18">
        <v>46189</v>
      </c>
      <c r="E35" s="6">
        <v>1612421</v>
      </c>
      <c r="F35" s="6" t="s">
        <v>16</v>
      </c>
      <c r="G35" s="6">
        <v>20382735</v>
      </c>
      <c r="H35" s="6" t="s">
        <v>280</v>
      </c>
      <c r="I35" s="6">
        <v>1</v>
      </c>
      <c r="J35" s="6" t="s">
        <v>124</v>
      </c>
      <c r="K35" s="20">
        <f>M35/L35</f>
        <v>3</v>
      </c>
      <c r="L35" s="21">
        <v>4.4</v>
      </c>
      <c r="M35" s="21">
        <v>13.2</v>
      </c>
      <c r="N35" s="21">
        <v>13.2</v>
      </c>
    </row>
    <row r="36" spans="4:14">
      <c r="D36" s="18">
        <v>46189</v>
      </c>
      <c r="E36" s="6">
        <v>1612421</v>
      </c>
      <c r="F36" s="6" t="s">
        <v>16</v>
      </c>
      <c r="G36" s="6">
        <v>20324403</v>
      </c>
      <c r="H36" s="6" t="s">
        <v>121</v>
      </c>
      <c r="I36" s="6">
        <v>1</v>
      </c>
      <c r="J36" s="19" t="s">
        <v>18</v>
      </c>
      <c r="K36" s="20">
        <v>1</v>
      </c>
      <c r="L36" s="21">
        <v>6.4</v>
      </c>
      <c r="M36" s="21">
        <v>6.4</v>
      </c>
      <c r="N36" s="21">
        <v>6.4</v>
      </c>
    </row>
    <row r="37" spans="4:14">
      <c r="D37" s="18">
        <v>46189</v>
      </c>
      <c r="E37" s="6">
        <v>1612421</v>
      </c>
      <c r="F37" s="6" t="s">
        <v>16</v>
      </c>
      <c r="G37" s="6">
        <v>20324402</v>
      </c>
      <c r="H37" s="6" t="s">
        <v>24</v>
      </c>
      <c r="I37" s="6">
        <v>1</v>
      </c>
      <c r="J37" s="6" t="s">
        <v>20</v>
      </c>
      <c r="K37" s="20">
        <v>1</v>
      </c>
      <c r="L37" s="21">
        <v>8.8</v>
      </c>
      <c r="M37" s="21">
        <v>8.8</v>
      </c>
      <c r="N37" s="21">
        <v>8.8</v>
      </c>
    </row>
    <row r="38" spans="4:14">
      <c r="D38" s="18">
        <v>46189</v>
      </c>
      <c r="E38" s="6">
        <v>1612421</v>
      </c>
      <c r="F38" s="6" t="s">
        <v>240</v>
      </c>
      <c r="G38" s="6">
        <v>20401663</v>
      </c>
      <c r="H38" s="6" t="s">
        <v>281</v>
      </c>
      <c r="I38" s="6">
        <v>1</v>
      </c>
      <c r="J38" s="32" t="s">
        <v>242</v>
      </c>
      <c r="K38" s="20">
        <v>1</v>
      </c>
      <c r="L38" s="21">
        <v>28</v>
      </c>
      <c r="M38" s="21">
        <v>28</v>
      </c>
      <c r="N38" s="21">
        <v>28</v>
      </c>
    </row>
    <row r="39" spans="4:14">
      <c r="D39" s="18">
        <v>46189</v>
      </c>
      <c r="E39" s="6">
        <v>1612421</v>
      </c>
      <c r="F39" s="6" t="s">
        <v>26</v>
      </c>
      <c r="G39" s="6">
        <v>20324578</v>
      </c>
      <c r="H39" s="6" t="s">
        <v>130</v>
      </c>
      <c r="I39" s="6">
        <v>2</v>
      </c>
      <c r="J39" s="32" t="s">
        <v>28</v>
      </c>
      <c r="K39" s="20">
        <f>M39/L39</f>
        <v>25</v>
      </c>
      <c r="L39" s="21">
        <v>4.4</v>
      </c>
      <c r="M39" s="21">
        <v>110</v>
      </c>
      <c r="N39" s="21">
        <v>220</v>
      </c>
    </row>
    <row r="40" spans="4:14">
      <c r="D40" s="18">
        <v>46189</v>
      </c>
      <c r="E40" s="6">
        <v>1612470</v>
      </c>
      <c r="F40" s="6" t="s">
        <v>16</v>
      </c>
      <c r="G40" s="6">
        <v>20324722</v>
      </c>
      <c r="H40" s="6" t="s">
        <v>282</v>
      </c>
      <c r="I40" s="6">
        <v>1</v>
      </c>
      <c r="J40" s="33" t="s">
        <v>183</v>
      </c>
      <c r="K40" s="20">
        <v>1</v>
      </c>
      <c r="L40" s="21">
        <v>28</v>
      </c>
      <c r="M40" s="21">
        <v>28</v>
      </c>
      <c r="N40" s="21">
        <v>28</v>
      </c>
    </row>
    <row r="41" spans="4:14">
      <c r="D41" s="18">
        <v>46189</v>
      </c>
      <c r="E41" s="6">
        <v>1612470</v>
      </c>
      <c r="F41" s="6" t="s">
        <v>16</v>
      </c>
      <c r="G41" s="6">
        <v>20356846</v>
      </c>
      <c r="H41" s="6" t="s">
        <v>260</v>
      </c>
      <c r="I41" s="6">
        <v>1</v>
      </c>
      <c r="J41" s="33" t="s">
        <v>183</v>
      </c>
      <c r="K41" s="20">
        <v>1</v>
      </c>
      <c r="L41" s="21">
        <v>28</v>
      </c>
      <c r="M41" s="21">
        <v>28</v>
      </c>
      <c r="N41" s="21">
        <v>28</v>
      </c>
    </row>
    <row r="42" spans="4:14">
      <c r="D42" s="18">
        <v>46189</v>
      </c>
      <c r="E42" s="6">
        <v>1612470</v>
      </c>
      <c r="F42" s="6" t="s">
        <v>16</v>
      </c>
      <c r="G42" s="6">
        <v>20326911</v>
      </c>
      <c r="H42" s="6" t="s">
        <v>283</v>
      </c>
      <c r="I42" s="6">
        <v>1</v>
      </c>
      <c r="J42" s="32" t="s">
        <v>58</v>
      </c>
      <c r="K42" s="20">
        <v>1</v>
      </c>
      <c r="L42" s="21">
        <v>17.6</v>
      </c>
      <c r="M42" s="21">
        <v>52.8</v>
      </c>
      <c r="N42" s="21">
        <v>52.8</v>
      </c>
    </row>
    <row r="43" spans="4:14">
      <c r="D43" s="18"/>
      <c r="E43" s="6"/>
      <c r="F43" s="6"/>
      <c r="G43" s="6"/>
      <c r="H43" s="6"/>
      <c r="I43" s="6"/>
      <c r="J43" s="32" t="s">
        <v>58</v>
      </c>
      <c r="K43" s="20">
        <v>1</v>
      </c>
      <c r="L43" s="21">
        <v>17.6</v>
      </c>
      <c r="M43" s="21"/>
      <c r="N43" s="21"/>
    </row>
    <row r="44" spans="4:14">
      <c r="D44" s="18"/>
      <c r="E44" s="6"/>
      <c r="F44" s="6"/>
      <c r="G44" s="6"/>
      <c r="H44" s="6"/>
      <c r="I44" s="6"/>
      <c r="J44" s="32" t="s">
        <v>58</v>
      </c>
      <c r="K44" s="20">
        <v>1</v>
      </c>
      <c r="L44" s="21">
        <v>17.6</v>
      </c>
      <c r="M44" s="21"/>
      <c r="N44" s="21"/>
    </row>
    <row r="45" spans="4:14">
      <c r="D45" s="18">
        <v>46189</v>
      </c>
      <c r="E45" s="6">
        <v>1612470</v>
      </c>
      <c r="F45" s="6" t="s">
        <v>34</v>
      </c>
      <c r="G45" s="6">
        <v>20324849</v>
      </c>
      <c r="H45" s="6" t="s">
        <v>262</v>
      </c>
      <c r="I45" s="6">
        <v>1</v>
      </c>
      <c r="J45" s="33" t="s">
        <v>263</v>
      </c>
      <c r="K45" s="20">
        <v>1</v>
      </c>
      <c r="L45" s="21">
        <v>22.4</v>
      </c>
      <c r="M45" s="21">
        <v>22.4</v>
      </c>
      <c r="N45" s="21">
        <v>22.4</v>
      </c>
    </row>
    <row r="46" spans="4:14">
      <c r="D46" s="18">
        <v>46189</v>
      </c>
      <c r="E46" s="6">
        <v>1612470</v>
      </c>
      <c r="F46" s="6" t="s">
        <v>34</v>
      </c>
      <c r="G46" s="6">
        <v>20325010</v>
      </c>
      <c r="H46" s="6" t="s">
        <v>264</v>
      </c>
      <c r="I46" s="6">
        <v>2</v>
      </c>
      <c r="J46" s="32" t="s">
        <v>42</v>
      </c>
      <c r="K46" s="20" t="s">
        <v>43</v>
      </c>
      <c r="L46" s="21">
        <v>70.4</v>
      </c>
      <c r="M46" s="21">
        <v>70.4</v>
      </c>
      <c r="N46" s="21">
        <v>140.8</v>
      </c>
    </row>
    <row r="47" spans="4:14">
      <c r="D47" s="18">
        <v>46191</v>
      </c>
      <c r="E47" s="6">
        <v>1613221</v>
      </c>
      <c r="F47" s="6" t="s">
        <v>16</v>
      </c>
      <c r="G47" s="6">
        <v>20324403</v>
      </c>
      <c r="H47" s="6" t="s">
        <v>121</v>
      </c>
      <c r="I47" s="6">
        <v>1</v>
      </c>
      <c r="J47" s="19" t="s">
        <v>18</v>
      </c>
      <c r="K47" s="20">
        <v>1</v>
      </c>
      <c r="L47" s="21">
        <v>6.4</v>
      </c>
      <c r="M47" s="21">
        <v>6.4</v>
      </c>
      <c r="N47" s="21">
        <v>6.4</v>
      </c>
    </row>
    <row r="48" spans="4:14">
      <c r="D48" s="18">
        <v>46191</v>
      </c>
      <c r="E48" s="6">
        <v>1613221</v>
      </c>
      <c r="F48" s="6" t="s">
        <v>26</v>
      </c>
      <c r="G48" s="6">
        <v>20324578</v>
      </c>
      <c r="H48" s="6" t="s">
        <v>130</v>
      </c>
      <c r="I48" s="6">
        <v>1</v>
      </c>
      <c r="J48" s="32" t="s">
        <v>28</v>
      </c>
      <c r="K48" s="20">
        <f>M48/L48</f>
        <v>25</v>
      </c>
      <c r="L48" s="21">
        <v>4.4</v>
      </c>
      <c r="M48" s="21">
        <v>110</v>
      </c>
      <c r="N48" s="21">
        <v>110</v>
      </c>
    </row>
    <row r="49" spans="4:14">
      <c r="D49" s="18">
        <v>46191</v>
      </c>
      <c r="E49" s="6">
        <v>1613269</v>
      </c>
      <c r="F49" s="6" t="s">
        <v>16</v>
      </c>
      <c r="G49" s="6">
        <v>20324637</v>
      </c>
      <c r="H49" s="6" t="s">
        <v>284</v>
      </c>
      <c r="I49" s="6">
        <v>1</v>
      </c>
      <c r="J49" s="33" t="s">
        <v>183</v>
      </c>
      <c r="K49" s="20">
        <v>1</v>
      </c>
      <c r="L49" s="21">
        <v>28</v>
      </c>
      <c r="M49" s="21">
        <v>28</v>
      </c>
      <c r="N49" s="21">
        <v>28</v>
      </c>
    </row>
    <row r="50" spans="4:14">
      <c r="D50" s="18">
        <v>46191</v>
      </c>
      <c r="E50" s="6">
        <v>1613269</v>
      </c>
      <c r="F50" s="6" t="s">
        <v>16</v>
      </c>
      <c r="G50" s="6">
        <v>20324890</v>
      </c>
      <c r="H50" s="6" t="s">
        <v>285</v>
      </c>
      <c r="I50" s="6">
        <v>1</v>
      </c>
      <c r="J50" s="32" t="s">
        <v>58</v>
      </c>
      <c r="K50" s="20">
        <v>1</v>
      </c>
      <c r="L50" s="21">
        <v>17.6</v>
      </c>
      <c r="M50" s="21">
        <v>17.6</v>
      </c>
      <c r="N50" s="21">
        <v>17.6</v>
      </c>
    </row>
    <row r="51" spans="4:14">
      <c r="D51" s="18">
        <v>46191</v>
      </c>
      <c r="E51" s="6">
        <v>1613269</v>
      </c>
      <c r="F51" s="6" t="s">
        <v>16</v>
      </c>
      <c r="G51" s="6">
        <v>20324725</v>
      </c>
      <c r="H51" s="6" t="s">
        <v>286</v>
      </c>
      <c r="I51" s="6">
        <v>1</v>
      </c>
      <c r="J51" s="33" t="s">
        <v>183</v>
      </c>
      <c r="K51" s="20">
        <v>1</v>
      </c>
      <c r="L51" s="21">
        <v>28</v>
      </c>
      <c r="M51" s="21">
        <v>28</v>
      </c>
      <c r="N51" s="21">
        <v>28</v>
      </c>
    </row>
    <row r="52" spans="4:14">
      <c r="D52" s="18">
        <v>46191</v>
      </c>
      <c r="E52" s="6">
        <v>1613269</v>
      </c>
      <c r="F52" s="6" t="s">
        <v>16</v>
      </c>
      <c r="G52" s="6">
        <v>20356846</v>
      </c>
      <c r="H52" s="6" t="s">
        <v>260</v>
      </c>
      <c r="I52" s="6">
        <v>1</v>
      </c>
      <c r="J52" s="33" t="s">
        <v>183</v>
      </c>
      <c r="K52" s="20">
        <v>1</v>
      </c>
      <c r="L52" s="21">
        <v>28</v>
      </c>
      <c r="M52" s="21">
        <v>28</v>
      </c>
      <c r="N52" s="21">
        <v>28</v>
      </c>
    </row>
    <row r="53" spans="4:14">
      <c r="D53" s="18">
        <v>46191</v>
      </c>
      <c r="E53" s="6">
        <v>1613269</v>
      </c>
      <c r="F53" s="6" t="s">
        <v>16</v>
      </c>
      <c r="G53" s="6">
        <v>20348036</v>
      </c>
      <c r="H53" s="6" t="s">
        <v>287</v>
      </c>
      <c r="I53" s="6">
        <v>1</v>
      </c>
      <c r="J53" s="32" t="s">
        <v>42</v>
      </c>
      <c r="K53" s="20" t="s">
        <v>43</v>
      </c>
      <c r="L53" s="21">
        <v>70.4</v>
      </c>
      <c r="M53" s="21">
        <v>70.4</v>
      </c>
      <c r="N53" s="21">
        <v>70.4</v>
      </c>
    </row>
    <row r="54" spans="4:14">
      <c r="D54" s="18">
        <v>46191</v>
      </c>
      <c r="E54" s="6">
        <v>1613269</v>
      </c>
      <c r="F54" s="6" t="s">
        <v>34</v>
      </c>
      <c r="G54" s="6">
        <v>20325010</v>
      </c>
      <c r="H54" s="6" t="s">
        <v>264</v>
      </c>
      <c r="I54" s="6">
        <v>1</v>
      </c>
      <c r="J54" s="32" t="s">
        <v>42</v>
      </c>
      <c r="K54" s="20" t="s">
        <v>43</v>
      </c>
      <c r="L54" s="21">
        <v>70.4</v>
      </c>
      <c r="M54" s="21">
        <v>70.4</v>
      </c>
      <c r="N54" s="21">
        <v>70.4</v>
      </c>
    </row>
    <row r="55" spans="4:14">
      <c r="D55" s="18">
        <v>46192</v>
      </c>
      <c r="E55" s="6">
        <v>1613593</v>
      </c>
      <c r="F55" s="6" t="s">
        <v>26</v>
      </c>
      <c r="G55" s="6">
        <v>20324463</v>
      </c>
      <c r="H55" s="6" t="s">
        <v>271</v>
      </c>
      <c r="I55" s="6">
        <v>1</v>
      </c>
      <c r="J55" s="32" t="s">
        <v>28</v>
      </c>
      <c r="K55" s="20">
        <f>M55/L55</f>
        <v>35</v>
      </c>
      <c r="L55" s="21">
        <v>4.4</v>
      </c>
      <c r="M55" s="21">
        <v>154</v>
      </c>
      <c r="N55" s="21">
        <v>154</v>
      </c>
    </row>
    <row r="56" spans="4:14">
      <c r="D56" s="18">
        <v>46192</v>
      </c>
      <c r="E56" s="6">
        <v>1613593</v>
      </c>
      <c r="F56" s="6" t="s">
        <v>26</v>
      </c>
      <c r="G56" s="6">
        <v>20324789</v>
      </c>
      <c r="H56" s="6" t="s">
        <v>288</v>
      </c>
      <c r="I56" s="6">
        <v>1</v>
      </c>
      <c r="J56" s="32" t="s">
        <v>28</v>
      </c>
      <c r="K56" s="20">
        <f>M56/L56</f>
        <v>39</v>
      </c>
      <c r="L56" s="21">
        <v>4.4</v>
      </c>
      <c r="M56" s="21">
        <v>171.6</v>
      </c>
      <c r="N56" s="21">
        <v>171.6</v>
      </c>
    </row>
    <row r="57" spans="4:14">
      <c r="D57" s="18">
        <v>46192</v>
      </c>
      <c r="E57" s="6">
        <v>1613593</v>
      </c>
      <c r="F57" s="6" t="s">
        <v>16</v>
      </c>
      <c r="G57" s="6">
        <v>20324826</v>
      </c>
      <c r="H57" s="6" t="s">
        <v>272</v>
      </c>
      <c r="I57" s="6">
        <v>1</v>
      </c>
      <c r="J57" s="6" t="s">
        <v>222</v>
      </c>
      <c r="K57" s="20">
        <v>1</v>
      </c>
      <c r="L57" s="8">
        <v>10.4</v>
      </c>
      <c r="M57" s="21">
        <v>10.4</v>
      </c>
      <c r="N57" s="21">
        <v>10.4</v>
      </c>
    </row>
    <row r="58" spans="4:14">
      <c r="D58" s="18">
        <v>46192</v>
      </c>
      <c r="E58" s="6">
        <v>1613593</v>
      </c>
      <c r="F58" s="6" t="s">
        <v>16</v>
      </c>
      <c r="G58" s="6">
        <v>20324405</v>
      </c>
      <c r="H58" s="6" t="s">
        <v>30</v>
      </c>
      <c r="I58" s="6">
        <v>1</v>
      </c>
      <c r="J58" s="6" t="s">
        <v>20</v>
      </c>
      <c r="K58" s="20">
        <v>1</v>
      </c>
      <c r="L58" s="21">
        <v>8.8</v>
      </c>
      <c r="M58" s="21">
        <v>8.8</v>
      </c>
      <c r="N58" s="21">
        <v>8.8</v>
      </c>
    </row>
    <row r="59" spans="4:14">
      <c r="D59" s="18">
        <v>46192</v>
      </c>
      <c r="E59" s="6">
        <v>1613593</v>
      </c>
      <c r="F59" s="6" t="s">
        <v>16</v>
      </c>
      <c r="G59" s="6">
        <v>20324823</v>
      </c>
      <c r="H59" s="6" t="s">
        <v>273</v>
      </c>
      <c r="I59" s="6">
        <v>1</v>
      </c>
      <c r="J59" s="19" t="s">
        <v>18</v>
      </c>
      <c r="K59" s="20">
        <v>1</v>
      </c>
      <c r="L59" s="21">
        <v>6.4</v>
      </c>
      <c r="M59" s="21">
        <v>6.4</v>
      </c>
      <c r="N59" s="21">
        <v>6.4</v>
      </c>
    </row>
    <row r="60" spans="4:14">
      <c r="D60" s="18">
        <v>46192</v>
      </c>
      <c r="E60" s="6">
        <v>1613593</v>
      </c>
      <c r="F60" s="6" t="s">
        <v>16</v>
      </c>
      <c r="G60" s="6">
        <v>20324402</v>
      </c>
      <c r="H60" s="6" t="s">
        <v>24</v>
      </c>
      <c r="I60" s="6">
        <v>1</v>
      </c>
      <c r="J60" s="6" t="s">
        <v>20</v>
      </c>
      <c r="K60" s="20">
        <v>1</v>
      </c>
      <c r="L60" s="21">
        <v>8.8</v>
      </c>
      <c r="M60" s="21">
        <v>8.8</v>
      </c>
      <c r="N60" s="21">
        <v>8.8</v>
      </c>
    </row>
    <row r="61" spans="4:14">
      <c r="D61" s="18">
        <v>46192</v>
      </c>
      <c r="E61" s="6">
        <v>1613593</v>
      </c>
      <c r="F61" s="6" t="s">
        <v>26</v>
      </c>
      <c r="G61" s="6">
        <v>20324578</v>
      </c>
      <c r="H61" s="6" t="s">
        <v>130</v>
      </c>
      <c r="I61" s="6">
        <v>1</v>
      </c>
      <c r="J61" s="32" t="s">
        <v>28</v>
      </c>
      <c r="K61" s="20">
        <f>M61/L61</f>
        <v>25</v>
      </c>
      <c r="L61" s="21">
        <v>4.4</v>
      </c>
      <c r="M61" s="21">
        <v>110</v>
      </c>
      <c r="N61" s="21">
        <v>110</v>
      </c>
    </row>
    <row r="62" spans="4:14">
      <c r="D62" s="18">
        <v>46192</v>
      </c>
      <c r="E62" s="6">
        <v>1613593</v>
      </c>
      <c r="F62" s="6" t="s">
        <v>16</v>
      </c>
      <c r="G62" s="6">
        <v>20324699</v>
      </c>
      <c r="H62" s="6" t="s">
        <v>268</v>
      </c>
      <c r="I62" s="6">
        <v>3</v>
      </c>
      <c r="J62" s="32" t="s">
        <v>28</v>
      </c>
      <c r="K62" s="20">
        <f>M62/L62</f>
        <v>5</v>
      </c>
      <c r="L62" s="21">
        <v>4.4</v>
      </c>
      <c r="M62" s="21">
        <v>22</v>
      </c>
      <c r="N62" s="21">
        <v>66</v>
      </c>
    </row>
    <row r="63" spans="4:14">
      <c r="D63" s="18">
        <v>46192</v>
      </c>
      <c r="E63" s="6">
        <v>1613635</v>
      </c>
      <c r="F63" s="6" t="s">
        <v>16</v>
      </c>
      <c r="G63" s="6">
        <v>20324637</v>
      </c>
      <c r="H63" s="6" t="s">
        <v>284</v>
      </c>
      <c r="I63" s="6">
        <v>1</v>
      </c>
      <c r="J63" s="33" t="s">
        <v>183</v>
      </c>
      <c r="K63" s="20">
        <v>1</v>
      </c>
      <c r="L63" s="21">
        <v>28</v>
      </c>
      <c r="M63" s="21">
        <v>28</v>
      </c>
      <c r="N63" s="21">
        <v>28</v>
      </c>
    </row>
    <row r="64" spans="4:14">
      <c r="D64" s="18">
        <v>46192</v>
      </c>
      <c r="E64" s="6">
        <v>1613635</v>
      </c>
      <c r="F64" s="6" t="s">
        <v>16</v>
      </c>
      <c r="G64" s="6">
        <v>20324723</v>
      </c>
      <c r="H64" s="6" t="s">
        <v>275</v>
      </c>
      <c r="I64" s="6">
        <v>1</v>
      </c>
      <c r="J64" s="33" t="s">
        <v>263</v>
      </c>
      <c r="K64" s="20">
        <v>1</v>
      </c>
      <c r="L64" s="21">
        <v>22.4</v>
      </c>
      <c r="M64" s="21">
        <v>22.4</v>
      </c>
      <c r="N64" s="21">
        <v>22.4</v>
      </c>
    </row>
    <row r="65" spans="4:14">
      <c r="D65" s="18">
        <v>46192</v>
      </c>
      <c r="E65" s="6">
        <v>1613635</v>
      </c>
      <c r="F65" s="6" t="s">
        <v>16</v>
      </c>
      <c r="G65" s="6">
        <v>20324835</v>
      </c>
      <c r="H65" s="6" t="s">
        <v>289</v>
      </c>
      <c r="I65" s="6">
        <v>1</v>
      </c>
      <c r="J65" s="32" t="s">
        <v>290</v>
      </c>
      <c r="K65" s="20">
        <v>1</v>
      </c>
      <c r="L65" s="21">
        <v>20</v>
      </c>
      <c r="M65" s="21">
        <v>20</v>
      </c>
      <c r="N65" s="21">
        <v>20</v>
      </c>
    </row>
    <row r="66" spans="4:14">
      <c r="D66" s="18">
        <v>46192</v>
      </c>
      <c r="E66" s="6">
        <v>1613635</v>
      </c>
      <c r="F66" s="6" t="s">
        <v>16</v>
      </c>
      <c r="G66" s="6">
        <v>20324722</v>
      </c>
      <c r="H66" s="6" t="s">
        <v>282</v>
      </c>
      <c r="I66" s="6">
        <v>1</v>
      </c>
      <c r="J66" s="33" t="s">
        <v>183</v>
      </c>
      <c r="K66" s="20">
        <v>1</v>
      </c>
      <c r="L66" s="21">
        <v>28</v>
      </c>
      <c r="M66" s="21">
        <v>28</v>
      </c>
      <c r="N66" s="21">
        <v>28</v>
      </c>
    </row>
    <row r="67" spans="4:14">
      <c r="D67" s="18">
        <v>46192</v>
      </c>
      <c r="E67" s="6">
        <v>1613635</v>
      </c>
      <c r="F67" s="6" t="s">
        <v>16</v>
      </c>
      <c r="G67" s="6">
        <v>20341762</v>
      </c>
      <c r="H67" s="6" t="s">
        <v>291</v>
      </c>
      <c r="I67" s="6">
        <v>1</v>
      </c>
      <c r="J67" s="33" t="s">
        <v>183</v>
      </c>
      <c r="K67" s="20">
        <v>1</v>
      </c>
      <c r="L67" s="21">
        <v>28</v>
      </c>
      <c r="M67" s="21">
        <v>28</v>
      </c>
      <c r="N67" s="21">
        <v>28</v>
      </c>
    </row>
    <row r="68" spans="4:14">
      <c r="D68" s="18">
        <v>46192</v>
      </c>
      <c r="E68" s="6">
        <v>1613635</v>
      </c>
      <c r="F68" s="6" t="s">
        <v>16</v>
      </c>
      <c r="G68" s="6">
        <v>20326911</v>
      </c>
      <c r="H68" s="6" t="s">
        <v>283</v>
      </c>
      <c r="I68" s="6">
        <v>1</v>
      </c>
      <c r="J68" s="32" t="s">
        <v>58</v>
      </c>
      <c r="K68" s="20">
        <v>1</v>
      </c>
      <c r="L68" s="21">
        <v>17.6</v>
      </c>
      <c r="M68" s="21">
        <v>52.8</v>
      </c>
      <c r="N68" s="21">
        <v>52.8</v>
      </c>
    </row>
    <row r="69" spans="4:14">
      <c r="D69" s="18"/>
      <c r="E69" s="6"/>
      <c r="F69" s="6"/>
      <c r="G69" s="6"/>
      <c r="H69" s="6"/>
      <c r="I69" s="6"/>
      <c r="J69" s="32" t="s">
        <v>58</v>
      </c>
      <c r="K69" s="20">
        <v>1</v>
      </c>
      <c r="L69" s="21">
        <v>17.6</v>
      </c>
      <c r="M69" s="21"/>
      <c r="N69" s="21"/>
    </row>
    <row r="70" spans="4:14">
      <c r="D70" s="18"/>
      <c r="E70" s="6"/>
      <c r="F70" s="6"/>
      <c r="G70" s="6"/>
      <c r="H70" s="6"/>
      <c r="I70" s="6"/>
      <c r="J70" s="32" t="s">
        <v>58</v>
      </c>
      <c r="K70" s="20">
        <v>1</v>
      </c>
      <c r="L70" s="21">
        <v>17.6</v>
      </c>
      <c r="M70" s="21"/>
      <c r="N70" s="21"/>
    </row>
    <row r="71" spans="4:14">
      <c r="D71" s="18">
        <v>46192</v>
      </c>
      <c r="E71" s="6">
        <v>1613635</v>
      </c>
      <c r="F71" s="6" t="s">
        <v>16</v>
      </c>
      <c r="G71" s="6">
        <v>20324644</v>
      </c>
      <c r="H71" s="6" t="s">
        <v>292</v>
      </c>
      <c r="I71" s="6">
        <v>1</v>
      </c>
      <c r="J71" s="33" t="s">
        <v>263</v>
      </c>
      <c r="K71" s="20">
        <v>1</v>
      </c>
      <c r="L71" s="21">
        <v>22.4</v>
      </c>
      <c r="M71" s="21">
        <v>22.4</v>
      </c>
      <c r="N71" s="21">
        <v>22.4</v>
      </c>
    </row>
    <row r="72" spans="4:14">
      <c r="D72" s="18">
        <v>46192</v>
      </c>
      <c r="E72" s="6">
        <v>1613635</v>
      </c>
      <c r="F72" s="6" t="s">
        <v>16</v>
      </c>
      <c r="G72" s="6">
        <v>20324814</v>
      </c>
      <c r="H72" s="6" t="s">
        <v>293</v>
      </c>
      <c r="I72" s="6">
        <v>1</v>
      </c>
      <c r="J72" s="33" t="s">
        <v>263</v>
      </c>
      <c r="K72" s="20">
        <v>1</v>
      </c>
      <c r="L72" s="21">
        <v>22.4</v>
      </c>
      <c r="M72" s="21">
        <v>22.4</v>
      </c>
      <c r="N72" s="21">
        <v>22.4</v>
      </c>
    </row>
    <row r="73" spans="4:14">
      <c r="D73" s="18">
        <v>46192</v>
      </c>
      <c r="E73" s="6">
        <v>1613635</v>
      </c>
      <c r="F73" s="6" t="s">
        <v>34</v>
      </c>
      <c r="G73" s="6">
        <v>20324849</v>
      </c>
      <c r="H73" s="6" t="s">
        <v>262</v>
      </c>
      <c r="I73" s="6">
        <v>1</v>
      </c>
      <c r="J73" s="33" t="s">
        <v>263</v>
      </c>
      <c r="K73" s="20">
        <v>1</v>
      </c>
      <c r="L73" s="21">
        <v>22.4</v>
      </c>
      <c r="M73" s="21">
        <v>22.4</v>
      </c>
      <c r="N73" s="21">
        <v>22.4</v>
      </c>
    </row>
    <row r="74" spans="4:14">
      <c r="D74" s="18">
        <v>46193</v>
      </c>
      <c r="E74" s="6">
        <v>1613752</v>
      </c>
      <c r="F74" s="6" t="s">
        <v>16</v>
      </c>
      <c r="G74" s="6">
        <v>20324826</v>
      </c>
      <c r="H74" s="6" t="s">
        <v>272</v>
      </c>
      <c r="I74" s="6">
        <v>1</v>
      </c>
      <c r="J74" s="6" t="s">
        <v>222</v>
      </c>
      <c r="K74" s="20">
        <v>1</v>
      </c>
      <c r="L74" s="8">
        <v>10.4</v>
      </c>
      <c r="M74" s="21">
        <v>10.4</v>
      </c>
      <c r="N74" s="21">
        <v>10.4</v>
      </c>
    </row>
    <row r="75" spans="4:14">
      <c r="D75" s="18">
        <v>46193</v>
      </c>
      <c r="E75" s="6">
        <v>1613752</v>
      </c>
      <c r="F75" s="6" t="s">
        <v>16</v>
      </c>
      <c r="G75" s="6">
        <v>20324823</v>
      </c>
      <c r="H75" s="6" t="s">
        <v>273</v>
      </c>
      <c r="I75" s="6">
        <v>1</v>
      </c>
      <c r="J75" s="19" t="s">
        <v>18</v>
      </c>
      <c r="K75" s="20">
        <v>1</v>
      </c>
      <c r="L75" s="21">
        <v>6.4</v>
      </c>
      <c r="M75" s="21">
        <v>6.4</v>
      </c>
      <c r="N75" s="21">
        <v>6.4</v>
      </c>
    </row>
    <row r="76" spans="4:14">
      <c r="D76" s="18">
        <v>46193</v>
      </c>
      <c r="E76" s="6">
        <v>1613752</v>
      </c>
      <c r="F76" s="6" t="s">
        <v>16</v>
      </c>
      <c r="G76" s="6">
        <v>20324699</v>
      </c>
      <c r="H76" s="6" t="s">
        <v>268</v>
      </c>
      <c r="I76" s="6">
        <v>1</v>
      </c>
      <c r="J76" s="32" t="s">
        <v>28</v>
      </c>
      <c r="K76" s="20">
        <f>M76/L76</f>
        <v>5</v>
      </c>
      <c r="L76" s="21">
        <v>4.4</v>
      </c>
      <c r="M76" s="21">
        <v>22</v>
      </c>
      <c r="N76" s="21">
        <v>22</v>
      </c>
    </row>
    <row r="77" spans="4:14">
      <c r="D77" s="18">
        <v>46193</v>
      </c>
      <c r="E77" s="6">
        <v>1613753</v>
      </c>
      <c r="F77" s="6" t="s">
        <v>16</v>
      </c>
      <c r="G77" s="6">
        <v>20330344</v>
      </c>
      <c r="H77" s="6" t="s">
        <v>274</v>
      </c>
      <c r="I77" s="6">
        <v>1</v>
      </c>
      <c r="J77" s="33" t="s">
        <v>183</v>
      </c>
      <c r="K77" s="20">
        <v>1</v>
      </c>
      <c r="L77" s="21">
        <v>28</v>
      </c>
      <c r="M77" s="21">
        <v>28</v>
      </c>
      <c r="N77" s="21">
        <v>28</v>
      </c>
    </row>
    <row r="78" spans="4:14">
      <c r="D78" s="18">
        <v>46193</v>
      </c>
      <c r="E78" s="6">
        <v>1613753</v>
      </c>
      <c r="F78" s="6" t="s">
        <v>16</v>
      </c>
      <c r="G78" s="6">
        <v>20347443</v>
      </c>
      <c r="H78" s="6" t="s">
        <v>275</v>
      </c>
      <c r="I78" s="6">
        <v>1</v>
      </c>
      <c r="J78" s="33" t="s">
        <v>263</v>
      </c>
      <c r="K78" s="20">
        <v>1</v>
      </c>
      <c r="L78" s="21">
        <v>22.4</v>
      </c>
      <c r="M78" s="21">
        <v>22.4</v>
      </c>
      <c r="N78" s="21">
        <v>22.4</v>
      </c>
    </row>
    <row r="79" spans="4:14">
      <c r="D79" s="18">
        <v>46193</v>
      </c>
      <c r="E79" s="6">
        <v>1613753</v>
      </c>
      <c r="F79" s="6" t="s">
        <v>16</v>
      </c>
      <c r="G79" s="6">
        <v>20343369</v>
      </c>
      <c r="H79" s="6" t="s">
        <v>276</v>
      </c>
      <c r="I79" s="6">
        <v>1</v>
      </c>
      <c r="J79" s="32" t="s">
        <v>58</v>
      </c>
      <c r="K79" s="20">
        <v>1</v>
      </c>
      <c r="L79" s="21">
        <v>17.6</v>
      </c>
      <c r="M79" s="21">
        <v>17.6</v>
      </c>
      <c r="N79" s="21">
        <v>17.6</v>
      </c>
    </row>
    <row r="80" spans="4:14">
      <c r="D80" s="18">
        <v>46193</v>
      </c>
      <c r="E80" s="6">
        <v>1613753</v>
      </c>
      <c r="F80" s="6" t="s">
        <v>16</v>
      </c>
      <c r="G80" s="6">
        <v>20343370</v>
      </c>
      <c r="H80" s="6" t="s">
        <v>277</v>
      </c>
      <c r="I80" s="6">
        <v>1</v>
      </c>
      <c r="J80" s="33" t="s">
        <v>183</v>
      </c>
      <c r="K80" s="20">
        <v>1</v>
      </c>
      <c r="L80" s="21">
        <v>28</v>
      </c>
      <c r="M80" s="21">
        <v>28</v>
      </c>
      <c r="N80" s="21">
        <v>28</v>
      </c>
    </row>
    <row r="81" spans="4:14">
      <c r="D81" s="18">
        <v>46193</v>
      </c>
      <c r="E81" s="6">
        <v>1613753</v>
      </c>
      <c r="F81" s="6" t="s">
        <v>16</v>
      </c>
      <c r="G81" s="6">
        <v>20338704</v>
      </c>
      <c r="H81" s="6" t="s">
        <v>278</v>
      </c>
      <c r="I81" s="6">
        <v>1</v>
      </c>
      <c r="J81" s="33" t="s">
        <v>263</v>
      </c>
      <c r="K81" s="20">
        <v>1</v>
      </c>
      <c r="L81" s="21">
        <v>22.4</v>
      </c>
      <c r="M81" s="21">
        <v>22.4</v>
      </c>
      <c r="N81" s="21">
        <v>22.4</v>
      </c>
    </row>
    <row r="82" spans="4:14">
      <c r="D82" s="18">
        <v>46193</v>
      </c>
      <c r="E82" s="6">
        <v>1613753</v>
      </c>
      <c r="F82" s="6" t="s">
        <v>16</v>
      </c>
      <c r="G82" s="6">
        <v>20330343</v>
      </c>
      <c r="H82" s="6" t="s">
        <v>279</v>
      </c>
      <c r="I82" s="6">
        <v>1</v>
      </c>
      <c r="J82" s="33" t="s">
        <v>263</v>
      </c>
      <c r="K82" s="20">
        <v>1</v>
      </c>
      <c r="L82" s="21">
        <v>22.4</v>
      </c>
      <c r="M82" s="21">
        <v>22.4</v>
      </c>
      <c r="N82" s="21">
        <v>22.4</v>
      </c>
    </row>
    <row r="83" spans="4:14">
      <c r="D83" s="18">
        <v>46193</v>
      </c>
      <c r="E83" s="6">
        <v>1613754</v>
      </c>
      <c r="F83" s="6" t="s">
        <v>26</v>
      </c>
      <c r="G83" s="6">
        <v>20324463</v>
      </c>
      <c r="H83" s="6" t="s">
        <v>271</v>
      </c>
      <c r="I83" s="6">
        <v>1</v>
      </c>
      <c r="J83" s="32" t="s">
        <v>28</v>
      </c>
      <c r="K83" s="20">
        <f>M83/L83</f>
        <v>35</v>
      </c>
      <c r="L83" s="21">
        <v>4.4</v>
      </c>
      <c r="M83" s="21">
        <v>154</v>
      </c>
      <c r="N83" s="21">
        <v>154</v>
      </c>
    </row>
    <row r="84" spans="4:14">
      <c r="D84" s="18">
        <v>46196</v>
      </c>
      <c r="E84" s="6">
        <v>1614512</v>
      </c>
      <c r="F84" s="6" t="s">
        <v>240</v>
      </c>
      <c r="G84" s="6">
        <v>20401663</v>
      </c>
      <c r="H84" s="6" t="s">
        <v>281</v>
      </c>
      <c r="I84" s="6">
        <v>2</v>
      </c>
      <c r="J84" s="32" t="s">
        <v>242</v>
      </c>
      <c r="K84" s="20">
        <v>1</v>
      </c>
      <c r="L84" s="21">
        <v>28</v>
      </c>
      <c r="M84" s="21">
        <v>28</v>
      </c>
      <c r="N84" s="21">
        <v>56</v>
      </c>
    </row>
    <row r="85" spans="4:14">
      <c r="D85" s="18">
        <v>46196</v>
      </c>
      <c r="E85" s="6">
        <v>1614512</v>
      </c>
      <c r="F85" s="6" t="s">
        <v>51</v>
      </c>
      <c r="G85" s="6">
        <v>20324843</v>
      </c>
      <c r="H85" s="6" t="s">
        <v>259</v>
      </c>
      <c r="I85" s="6">
        <v>8</v>
      </c>
      <c r="J85" s="33" t="s">
        <v>86</v>
      </c>
      <c r="K85" s="20">
        <v>1</v>
      </c>
      <c r="L85" s="21">
        <v>3.2</v>
      </c>
      <c r="M85" s="21">
        <v>3.2</v>
      </c>
      <c r="N85" s="21">
        <v>25.6</v>
      </c>
    </row>
    <row r="86" spans="4:14">
      <c r="D86" s="18">
        <v>46196</v>
      </c>
      <c r="E86" s="6">
        <v>1614523</v>
      </c>
      <c r="F86" s="6" t="s">
        <v>16</v>
      </c>
      <c r="G86" s="6">
        <v>20324402</v>
      </c>
      <c r="H86" s="6" t="s">
        <v>24</v>
      </c>
      <c r="I86" s="6">
        <v>1</v>
      </c>
      <c r="J86" s="6" t="s">
        <v>20</v>
      </c>
      <c r="K86" s="20">
        <v>1</v>
      </c>
      <c r="L86" s="21">
        <v>8.8</v>
      </c>
      <c r="M86" s="21">
        <v>8.8</v>
      </c>
      <c r="N86" s="21">
        <v>8.8</v>
      </c>
    </row>
    <row r="87" spans="4:14">
      <c r="D87" s="18">
        <v>46196</v>
      </c>
      <c r="E87" s="6">
        <v>1614523</v>
      </c>
      <c r="F87" s="6" t="s">
        <v>26</v>
      </c>
      <c r="G87" s="6">
        <v>20324578</v>
      </c>
      <c r="H87" s="6" t="s">
        <v>130</v>
      </c>
      <c r="I87" s="6">
        <v>1</v>
      </c>
      <c r="J87" s="32" t="s">
        <v>28</v>
      </c>
      <c r="K87" s="20">
        <f>M87/L87</f>
        <v>25</v>
      </c>
      <c r="L87" s="21">
        <v>4.4</v>
      </c>
      <c r="M87" s="21">
        <v>110</v>
      </c>
      <c r="N87" s="21">
        <v>110</v>
      </c>
    </row>
    <row r="88" spans="4:14">
      <c r="D88" s="18">
        <v>46197</v>
      </c>
      <c r="E88" s="6">
        <v>1614611</v>
      </c>
      <c r="F88" s="6" t="s">
        <v>16</v>
      </c>
      <c r="G88" s="6">
        <v>20324722</v>
      </c>
      <c r="H88" s="6" t="s">
        <v>282</v>
      </c>
      <c r="I88" s="6">
        <v>1</v>
      </c>
      <c r="J88" s="33" t="s">
        <v>183</v>
      </c>
      <c r="K88" s="20">
        <v>1</v>
      </c>
      <c r="L88" s="21">
        <v>28</v>
      </c>
      <c r="M88" s="21">
        <v>28</v>
      </c>
      <c r="N88" s="21">
        <v>28</v>
      </c>
    </row>
    <row r="89" spans="4:14">
      <c r="D89" s="18">
        <v>46197</v>
      </c>
      <c r="E89" s="6">
        <v>1614611</v>
      </c>
      <c r="F89" s="6" t="s">
        <v>16</v>
      </c>
      <c r="G89" s="6">
        <v>20325012</v>
      </c>
      <c r="H89" s="6" t="s">
        <v>261</v>
      </c>
      <c r="I89" s="6">
        <v>1</v>
      </c>
      <c r="J89" s="32" t="s">
        <v>58</v>
      </c>
      <c r="K89" s="20">
        <v>1</v>
      </c>
      <c r="L89" s="21">
        <v>17.6</v>
      </c>
      <c r="M89" s="21">
        <v>35.2</v>
      </c>
      <c r="N89" s="21">
        <v>35.2</v>
      </c>
    </row>
    <row r="90" spans="4:14">
      <c r="D90" s="18"/>
      <c r="E90" s="6"/>
      <c r="F90" s="6"/>
      <c r="G90" s="6"/>
      <c r="H90" s="6"/>
      <c r="I90" s="6"/>
      <c r="J90" s="32" t="s">
        <v>58</v>
      </c>
      <c r="K90" s="20">
        <v>1</v>
      </c>
      <c r="L90" s="21">
        <v>17.6</v>
      </c>
      <c r="M90" s="21"/>
      <c r="N90" s="21"/>
    </row>
    <row r="91" spans="4:14">
      <c r="D91" s="18">
        <v>46197</v>
      </c>
      <c r="E91" s="6">
        <v>1614611</v>
      </c>
      <c r="F91" s="6" t="s">
        <v>34</v>
      </c>
      <c r="G91" s="6">
        <v>20324849</v>
      </c>
      <c r="H91" s="6" t="s">
        <v>262</v>
      </c>
      <c r="I91" s="6">
        <v>1</v>
      </c>
      <c r="J91" s="33" t="s">
        <v>263</v>
      </c>
      <c r="K91" s="20">
        <v>1</v>
      </c>
      <c r="L91" s="21">
        <v>22.4</v>
      </c>
      <c r="M91" s="21">
        <v>22.4</v>
      </c>
      <c r="N91" s="21">
        <v>22.4</v>
      </c>
    </row>
    <row r="92" spans="4:14">
      <c r="D92" s="18">
        <v>46198</v>
      </c>
      <c r="E92" s="6">
        <v>1615300</v>
      </c>
      <c r="F92" s="6" t="s">
        <v>26</v>
      </c>
      <c r="G92" s="6">
        <v>20324789</v>
      </c>
      <c r="H92" s="6" t="s">
        <v>288</v>
      </c>
      <c r="I92" s="6">
        <v>1</v>
      </c>
      <c r="J92" s="32" t="s">
        <v>28</v>
      </c>
      <c r="K92" s="20">
        <f>M92/L92</f>
        <v>39</v>
      </c>
      <c r="L92" s="21">
        <v>4.4</v>
      </c>
      <c r="M92" s="21">
        <v>171.6</v>
      </c>
      <c r="N92" s="21">
        <v>171.6</v>
      </c>
    </row>
    <row r="93" spans="4:14">
      <c r="D93" s="18">
        <v>46198</v>
      </c>
      <c r="E93" s="6">
        <v>1615300</v>
      </c>
      <c r="F93" s="6" t="s">
        <v>16</v>
      </c>
      <c r="G93" s="6">
        <v>20324405</v>
      </c>
      <c r="H93" s="6" t="s">
        <v>30</v>
      </c>
      <c r="I93" s="6">
        <v>1</v>
      </c>
      <c r="J93" s="6" t="s">
        <v>20</v>
      </c>
      <c r="K93" s="20">
        <v>1</v>
      </c>
      <c r="L93" s="21">
        <v>8.8</v>
      </c>
      <c r="M93" s="21">
        <v>8.8</v>
      </c>
      <c r="N93" s="21">
        <v>8.8</v>
      </c>
    </row>
    <row r="94" spans="4:14">
      <c r="D94" s="18">
        <v>46198</v>
      </c>
      <c r="E94" s="6">
        <v>1615300</v>
      </c>
      <c r="F94" s="6" t="s">
        <v>26</v>
      </c>
      <c r="G94" s="6">
        <v>20324578</v>
      </c>
      <c r="H94" s="6" t="s">
        <v>130</v>
      </c>
      <c r="I94" s="6">
        <v>1</v>
      </c>
      <c r="J94" s="32" t="s">
        <v>28</v>
      </c>
      <c r="K94" s="20">
        <f>M94/L94</f>
        <v>25</v>
      </c>
      <c r="L94" s="21">
        <v>4.4</v>
      </c>
      <c r="M94" s="21">
        <v>110</v>
      </c>
      <c r="N94" s="21">
        <v>110</v>
      </c>
    </row>
    <row r="95" spans="4:14">
      <c r="D95" s="18">
        <v>46198</v>
      </c>
      <c r="E95" s="6">
        <v>1615300</v>
      </c>
      <c r="F95" s="6" t="s">
        <v>16</v>
      </c>
      <c r="G95" s="6">
        <v>20324699</v>
      </c>
      <c r="H95" s="6" t="s">
        <v>268</v>
      </c>
      <c r="I95" s="6">
        <v>1</v>
      </c>
      <c r="J95" s="32" t="s">
        <v>28</v>
      </c>
      <c r="K95" s="20">
        <f>M95/L95</f>
        <v>5</v>
      </c>
      <c r="L95" s="21">
        <v>4.4</v>
      </c>
      <c r="M95" s="21">
        <v>22</v>
      </c>
      <c r="N95" s="21">
        <v>22</v>
      </c>
    </row>
    <row r="96" spans="4:14">
      <c r="D96" s="18">
        <v>46199</v>
      </c>
      <c r="E96" s="6">
        <v>1615306</v>
      </c>
      <c r="F96" s="6" t="s">
        <v>16</v>
      </c>
      <c r="G96" s="6">
        <v>20324402</v>
      </c>
      <c r="H96" s="6" t="s">
        <v>24</v>
      </c>
      <c r="I96" s="6">
        <v>1</v>
      </c>
      <c r="J96" s="6" t="s">
        <v>20</v>
      </c>
      <c r="K96" s="20">
        <v>1</v>
      </c>
      <c r="L96" s="21">
        <v>8.8</v>
      </c>
      <c r="M96" s="21">
        <v>8.8</v>
      </c>
      <c r="N96" s="21">
        <v>8.8</v>
      </c>
    </row>
    <row r="97" spans="4:14">
      <c r="D97" s="18">
        <v>46199</v>
      </c>
      <c r="E97" s="6">
        <v>1615359</v>
      </c>
      <c r="F97" s="6" t="s">
        <v>16</v>
      </c>
      <c r="G97" s="6">
        <v>20324722</v>
      </c>
      <c r="H97" s="6" t="s">
        <v>282</v>
      </c>
      <c r="I97" s="6">
        <v>1</v>
      </c>
      <c r="J97" s="33" t="s">
        <v>183</v>
      </c>
      <c r="K97" s="20">
        <v>1</v>
      </c>
      <c r="L97" s="21">
        <v>28</v>
      </c>
      <c r="M97" s="21">
        <v>28</v>
      </c>
      <c r="N97" s="21">
        <v>28</v>
      </c>
    </row>
    <row r="98" spans="4:14">
      <c r="D98" s="18">
        <v>46199</v>
      </c>
      <c r="E98" s="6">
        <v>1615359</v>
      </c>
      <c r="F98" s="6" t="s">
        <v>16</v>
      </c>
      <c r="G98" s="6">
        <v>20325012</v>
      </c>
      <c r="H98" s="6" t="s">
        <v>261</v>
      </c>
      <c r="I98" s="6">
        <v>1</v>
      </c>
      <c r="J98" s="32" t="s">
        <v>58</v>
      </c>
      <c r="K98" s="20">
        <v>1</v>
      </c>
      <c r="L98" s="21">
        <v>17.6</v>
      </c>
      <c r="M98" s="21">
        <v>35.2</v>
      </c>
      <c r="N98" s="21">
        <v>35.2</v>
      </c>
    </row>
    <row r="99" spans="4:14">
      <c r="D99" s="18"/>
      <c r="E99" s="6"/>
      <c r="F99" s="6"/>
      <c r="G99" s="6"/>
      <c r="H99" s="6"/>
      <c r="I99" s="6"/>
      <c r="J99" s="32" t="s">
        <v>58</v>
      </c>
      <c r="K99" s="20">
        <v>1</v>
      </c>
      <c r="L99" s="21">
        <v>17.6</v>
      </c>
      <c r="M99" s="21"/>
      <c r="N99" s="21"/>
    </row>
    <row r="100" spans="4:14">
      <c r="D100" s="18">
        <v>46199</v>
      </c>
      <c r="E100" s="6">
        <v>1615359</v>
      </c>
      <c r="F100" s="6" t="s">
        <v>34</v>
      </c>
      <c r="G100" s="6">
        <v>20324849</v>
      </c>
      <c r="H100" s="6" t="s">
        <v>262</v>
      </c>
      <c r="I100" s="6">
        <v>1</v>
      </c>
      <c r="J100" s="33" t="s">
        <v>263</v>
      </c>
      <c r="K100" s="20">
        <v>1</v>
      </c>
      <c r="L100" s="21">
        <v>22.4</v>
      </c>
      <c r="M100" s="21">
        <v>22.4</v>
      </c>
      <c r="N100" s="21">
        <v>22.4</v>
      </c>
    </row>
    <row r="101" spans="4:14">
      <c r="D101" s="18">
        <v>46199</v>
      </c>
      <c r="E101" s="6">
        <v>1615359</v>
      </c>
      <c r="F101" s="6" t="s">
        <v>34</v>
      </c>
      <c r="G101" s="6">
        <v>20325010</v>
      </c>
      <c r="H101" s="6" t="s">
        <v>264</v>
      </c>
      <c r="I101" s="6">
        <v>1</v>
      </c>
      <c r="J101" s="32" t="s">
        <v>42</v>
      </c>
      <c r="K101" s="20" t="s">
        <v>43</v>
      </c>
      <c r="L101" s="21">
        <v>70.4</v>
      </c>
      <c r="M101" s="21">
        <v>70.4</v>
      </c>
      <c r="N101" s="21">
        <v>70.4</v>
      </c>
    </row>
    <row r="102" spans="4:14">
      <c r="D102" s="18">
        <v>46200</v>
      </c>
      <c r="E102" s="6">
        <v>1615711</v>
      </c>
      <c r="F102" s="6" t="s">
        <v>240</v>
      </c>
      <c r="G102" s="6">
        <v>20431365</v>
      </c>
      <c r="H102" s="6" t="s">
        <v>294</v>
      </c>
      <c r="I102" s="6">
        <v>2</v>
      </c>
      <c r="J102" s="32" t="s">
        <v>242</v>
      </c>
      <c r="K102" s="20">
        <v>1</v>
      </c>
      <c r="L102" s="21">
        <v>28</v>
      </c>
      <c r="M102" s="21">
        <v>28</v>
      </c>
      <c r="N102" s="21">
        <f>M102*I102</f>
        <v>56</v>
      </c>
    </row>
    <row r="103" spans="4:14">
      <c r="D103" s="18">
        <v>46200</v>
      </c>
      <c r="E103" s="6">
        <v>1615711</v>
      </c>
      <c r="F103" s="6" t="s">
        <v>240</v>
      </c>
      <c r="G103" s="6">
        <v>20431366</v>
      </c>
      <c r="H103" s="6" t="s">
        <v>295</v>
      </c>
      <c r="I103" s="6">
        <v>10</v>
      </c>
      <c r="J103" s="32" t="s">
        <v>242</v>
      </c>
      <c r="K103" s="20">
        <v>1</v>
      </c>
      <c r="L103" s="21">
        <v>28</v>
      </c>
      <c r="M103" s="21">
        <v>28</v>
      </c>
      <c r="N103" s="21">
        <f>M103*I103</f>
        <v>280</v>
      </c>
    </row>
    <row r="104" spans="4:14">
      <c r="D104" s="18">
        <v>46200</v>
      </c>
      <c r="E104" s="6">
        <v>1615711</v>
      </c>
      <c r="F104" s="6" t="s">
        <v>240</v>
      </c>
      <c r="G104" s="6">
        <v>20431367</v>
      </c>
      <c r="H104" s="6" t="s">
        <v>296</v>
      </c>
      <c r="I104" s="6">
        <v>8</v>
      </c>
      <c r="J104" s="32" t="s">
        <v>242</v>
      </c>
      <c r="K104" s="20">
        <v>1</v>
      </c>
      <c r="L104" s="21">
        <v>28</v>
      </c>
      <c r="M104" s="21">
        <v>28</v>
      </c>
      <c r="N104" s="21">
        <f>M104*I104</f>
        <v>224</v>
      </c>
    </row>
    <row r="105" spans="4:14">
      <c r="D105" s="18">
        <v>46200</v>
      </c>
      <c r="E105" s="6">
        <v>1615711</v>
      </c>
      <c r="F105" s="6" t="s">
        <v>240</v>
      </c>
      <c r="G105" s="6">
        <v>20424838</v>
      </c>
      <c r="H105" s="6" t="s">
        <v>258</v>
      </c>
      <c r="I105" s="6">
        <v>10</v>
      </c>
      <c r="J105" s="32" t="s">
        <v>242</v>
      </c>
      <c r="K105" s="20">
        <v>1</v>
      </c>
      <c r="L105" s="21">
        <v>28</v>
      </c>
      <c r="M105" s="21">
        <v>28</v>
      </c>
      <c r="N105" s="21">
        <v>280</v>
      </c>
    </row>
    <row r="106" spans="4:14">
      <c r="D106" s="117"/>
      <c r="E106" s="117"/>
      <c r="F106" s="117"/>
      <c r="G106" s="117"/>
      <c r="H106" s="117"/>
      <c r="I106" s="117"/>
      <c r="J106" s="117"/>
    </row>
  </sheetData>
  <autoFilter xmlns:etc="http://www.wps.cn/officeDocument/2017/etCustomData" ref="A7:N105" etc:filterBottomFollowUsedRange="0">
    <extLst/>
  </autoFilter>
  <mergeCells count="45">
    <mergeCell ref="D8:H8"/>
    <mergeCell ref="C7:C105"/>
    <mergeCell ref="D13:D14"/>
    <mergeCell ref="D42:D44"/>
    <mergeCell ref="D68:D70"/>
    <mergeCell ref="D89:D90"/>
    <mergeCell ref="D98:D99"/>
    <mergeCell ref="E13:E14"/>
    <mergeCell ref="E42:E44"/>
    <mergeCell ref="E68:E70"/>
    <mergeCell ref="E89:E90"/>
    <mergeCell ref="E98:E99"/>
    <mergeCell ref="F13:F14"/>
    <mergeCell ref="F42:F44"/>
    <mergeCell ref="F68:F70"/>
    <mergeCell ref="F89:F90"/>
    <mergeCell ref="F98:F99"/>
    <mergeCell ref="G13:G14"/>
    <mergeCell ref="G42:G44"/>
    <mergeCell ref="G68:G70"/>
    <mergeCell ref="G89:G90"/>
    <mergeCell ref="G98:G99"/>
    <mergeCell ref="H13:H14"/>
    <mergeCell ref="H42:H44"/>
    <mergeCell ref="H68:H70"/>
    <mergeCell ref="H89:H90"/>
    <mergeCell ref="H98:H99"/>
    <mergeCell ref="I13:I14"/>
    <mergeCell ref="I42:I44"/>
    <mergeCell ref="I68:I70"/>
    <mergeCell ref="I89:I90"/>
    <mergeCell ref="I98:I99"/>
    <mergeCell ref="M13:M14"/>
    <mergeCell ref="M42:M44"/>
    <mergeCell ref="M68:M70"/>
    <mergeCell ref="M89:M90"/>
    <mergeCell ref="M98:M99"/>
    <mergeCell ref="N13:N14"/>
    <mergeCell ref="N42:N44"/>
    <mergeCell ref="N68:N70"/>
    <mergeCell ref="N89:N90"/>
    <mergeCell ref="N98:N99"/>
    <mergeCell ref="B4:H5"/>
    <mergeCell ref="C1:H2"/>
    <mergeCell ref="A7:B105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6"/>
  <sheetViews>
    <sheetView showGridLines="0" view="pageBreakPreview" zoomScaleNormal="100" workbookViewId="0">
      <pane ySplit="6" topLeftCell="A7" activePane="bottomLeft" state="frozen"/>
      <selection/>
      <selection pane="bottomLeft" activeCell="O10" sqref="O10"/>
    </sheetView>
  </sheetViews>
  <sheetFormatPr defaultColWidth="9" defaultRowHeight="13.5"/>
  <cols>
    <col min="1" max="2" width="0.225" customWidth="1"/>
    <col min="3" max="3" width="0.433333333333333" customWidth="1"/>
    <col min="4" max="4" width="11.125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125" customWidth="1"/>
    <col min="10" max="10" width="25.125" customWidth="1"/>
    <col min="11" max="11" width="19.625" customWidth="1"/>
    <col min="12" max="12" width="12.25" customWidth="1"/>
    <col min="13" max="13" width="10.625" customWidth="1"/>
    <col min="14" max="14" width="11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297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1051</v>
      </c>
      <c r="J8" s="42"/>
      <c r="K8" s="43"/>
      <c r="L8" s="43"/>
      <c r="M8" s="43"/>
      <c r="N8" s="43">
        <f>40544-28+2904.8</f>
        <v>43420.8</v>
      </c>
    </row>
    <row r="9" spans="1:14">
      <c r="D9" s="13">
        <v>46175</v>
      </c>
      <c r="E9" s="14">
        <v>1608316</v>
      </c>
      <c r="F9" s="14" t="s">
        <v>26</v>
      </c>
      <c r="G9" s="14">
        <v>20324039</v>
      </c>
      <c r="H9" s="14" t="s">
        <v>298</v>
      </c>
      <c r="I9" s="14">
        <v>1</v>
      </c>
      <c r="J9" s="58" t="s">
        <v>28</v>
      </c>
      <c r="K9" s="16">
        <f t="shared" ref="K9:K12" si="0">M9/L9</f>
        <v>37</v>
      </c>
      <c r="L9" s="17">
        <v>4.4</v>
      </c>
      <c r="M9" s="17">
        <v>162.8</v>
      </c>
      <c r="N9" s="17">
        <v>162.8</v>
      </c>
    </row>
    <row r="10" spans="1:14">
      <c r="D10" s="18">
        <v>46175</v>
      </c>
      <c r="E10" s="6">
        <v>1608316</v>
      </c>
      <c r="F10" s="6" t="s">
        <v>26</v>
      </c>
      <c r="G10" s="6">
        <v>20324036</v>
      </c>
      <c r="H10" s="6" t="s">
        <v>299</v>
      </c>
      <c r="I10" s="6">
        <v>1</v>
      </c>
      <c r="J10" s="32" t="s">
        <v>28</v>
      </c>
      <c r="K10" s="20">
        <f t="shared" si="0"/>
        <v>45</v>
      </c>
      <c r="L10" s="21">
        <v>4.4</v>
      </c>
      <c r="M10" s="21">
        <v>198</v>
      </c>
      <c r="N10" s="21">
        <v>198</v>
      </c>
    </row>
    <row r="11" spans="1:14">
      <c r="D11" s="18">
        <v>46175</v>
      </c>
      <c r="E11" s="6">
        <v>1608316</v>
      </c>
      <c r="F11" s="6" t="s">
        <v>26</v>
      </c>
      <c r="G11" s="6">
        <v>20324046</v>
      </c>
      <c r="H11" s="6" t="s">
        <v>176</v>
      </c>
      <c r="I11" s="6">
        <v>1</v>
      </c>
      <c r="J11" s="32" t="s">
        <v>28</v>
      </c>
      <c r="K11" s="20">
        <f t="shared" si="0"/>
        <v>49</v>
      </c>
      <c r="L11" s="21">
        <v>4.4</v>
      </c>
      <c r="M11" s="21">
        <v>215.6</v>
      </c>
      <c r="N11" s="21">
        <v>215.6</v>
      </c>
    </row>
    <row r="12" spans="1:14">
      <c r="D12" s="18">
        <v>46175</v>
      </c>
      <c r="E12" s="6">
        <v>1608316</v>
      </c>
      <c r="F12" s="6" t="s">
        <v>26</v>
      </c>
      <c r="G12" s="6">
        <v>20324045</v>
      </c>
      <c r="H12" s="6" t="s">
        <v>266</v>
      </c>
      <c r="I12" s="6">
        <v>1</v>
      </c>
      <c r="J12" s="32" t="s">
        <v>28</v>
      </c>
      <c r="K12" s="20">
        <f t="shared" si="0"/>
        <v>19</v>
      </c>
      <c r="L12" s="21">
        <v>4.4</v>
      </c>
      <c r="M12" s="21">
        <v>83.6</v>
      </c>
      <c r="N12" s="21">
        <v>83.6</v>
      </c>
    </row>
    <row r="13" spans="1:14">
      <c r="D13" s="18">
        <v>46175</v>
      </c>
      <c r="E13" s="6">
        <v>1608316</v>
      </c>
      <c r="F13" s="6" t="s">
        <v>16</v>
      </c>
      <c r="G13" s="6">
        <v>20427908</v>
      </c>
      <c r="H13" s="6" t="s">
        <v>300</v>
      </c>
      <c r="I13" s="6">
        <v>1</v>
      </c>
      <c r="J13" s="19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18">
        <v>46175</v>
      </c>
      <c r="E14" s="6">
        <v>1608316</v>
      </c>
      <c r="F14" s="6" t="s">
        <v>16</v>
      </c>
      <c r="G14" s="6">
        <v>20325529</v>
      </c>
      <c r="H14" s="6" t="s">
        <v>301</v>
      </c>
      <c r="I14" s="6">
        <v>1</v>
      </c>
      <c r="J14" s="32" t="s">
        <v>28</v>
      </c>
      <c r="K14" s="20">
        <f>M14/L14</f>
        <v>4</v>
      </c>
      <c r="L14" s="21">
        <v>4.4</v>
      </c>
      <c r="M14" s="21">
        <v>17.6</v>
      </c>
      <c r="N14" s="21">
        <v>17.6</v>
      </c>
    </row>
    <row r="15" spans="1:14">
      <c r="D15" s="18">
        <v>46175</v>
      </c>
      <c r="E15" s="6">
        <v>1608316</v>
      </c>
      <c r="F15" s="6" t="s">
        <v>16</v>
      </c>
      <c r="G15" s="6">
        <v>20324699</v>
      </c>
      <c r="H15" s="6" t="s">
        <v>268</v>
      </c>
      <c r="I15" s="6">
        <v>4</v>
      </c>
      <c r="J15" s="32" t="s">
        <v>28</v>
      </c>
      <c r="K15" s="20">
        <f>M15/L15</f>
        <v>5</v>
      </c>
      <c r="L15" s="21">
        <v>4.4</v>
      </c>
      <c r="M15" s="21">
        <v>22</v>
      </c>
      <c r="N15" s="21">
        <v>88</v>
      </c>
    </row>
    <row r="16" spans="1:14">
      <c r="D16" s="18">
        <v>46175</v>
      </c>
      <c r="E16" s="6">
        <v>1608341</v>
      </c>
      <c r="F16" s="6" t="s">
        <v>16</v>
      </c>
      <c r="G16" s="6">
        <v>20325758</v>
      </c>
      <c r="H16" s="6" t="s">
        <v>302</v>
      </c>
      <c r="I16" s="6">
        <v>1</v>
      </c>
      <c r="J16" s="32" t="s">
        <v>290</v>
      </c>
      <c r="K16" s="20">
        <v>1</v>
      </c>
      <c r="L16" s="21">
        <v>20</v>
      </c>
      <c r="M16" s="21">
        <v>20</v>
      </c>
      <c r="N16" s="21">
        <v>20</v>
      </c>
    </row>
    <row r="17" spans="4:14">
      <c r="D17" s="18">
        <v>46175</v>
      </c>
      <c r="E17" s="6">
        <v>1608341</v>
      </c>
      <c r="F17" s="6" t="s">
        <v>16</v>
      </c>
      <c r="G17" s="6">
        <v>20325858</v>
      </c>
      <c r="H17" s="6" t="s">
        <v>303</v>
      </c>
      <c r="I17" s="6">
        <v>1</v>
      </c>
      <c r="J17" s="33" t="s">
        <v>183</v>
      </c>
      <c r="K17" s="20">
        <v>1</v>
      </c>
      <c r="L17" s="21">
        <v>28</v>
      </c>
      <c r="M17" s="21">
        <v>28</v>
      </c>
      <c r="N17" s="21">
        <v>28</v>
      </c>
    </row>
    <row r="18" spans="4:14">
      <c r="D18" s="18">
        <v>46175</v>
      </c>
      <c r="E18" s="6">
        <v>1608341</v>
      </c>
      <c r="F18" s="6" t="s">
        <v>16</v>
      </c>
      <c r="G18" s="6">
        <v>20330954</v>
      </c>
      <c r="H18" s="6" t="s">
        <v>304</v>
      </c>
      <c r="I18" s="6">
        <v>1</v>
      </c>
      <c r="J18" s="33" t="s">
        <v>263</v>
      </c>
      <c r="K18" s="20">
        <v>1</v>
      </c>
      <c r="L18" s="21">
        <v>22.4</v>
      </c>
      <c r="M18" s="21">
        <v>22.4</v>
      </c>
      <c r="N18" s="21">
        <v>22.4</v>
      </c>
    </row>
    <row r="19" spans="4:14">
      <c r="D19" s="18">
        <v>46175</v>
      </c>
      <c r="E19" s="6">
        <v>1608341</v>
      </c>
      <c r="F19" s="6" t="s">
        <v>16</v>
      </c>
      <c r="G19" s="6">
        <v>20387685</v>
      </c>
      <c r="H19" s="6" t="s">
        <v>305</v>
      </c>
      <c r="I19" s="6">
        <v>1</v>
      </c>
      <c r="J19" s="32" t="s">
        <v>58</v>
      </c>
      <c r="K19" s="20">
        <v>1</v>
      </c>
      <c r="L19" s="21">
        <v>17.6</v>
      </c>
      <c r="M19" s="21">
        <v>52.8</v>
      </c>
      <c r="N19" s="21">
        <v>52.8</v>
      </c>
    </row>
    <row r="20" spans="4:14">
      <c r="D20" s="18"/>
      <c r="E20" s="6"/>
      <c r="F20" s="6"/>
      <c r="G20" s="6"/>
      <c r="H20" s="6"/>
      <c r="I20" s="6"/>
      <c r="J20" s="32" t="s">
        <v>58</v>
      </c>
      <c r="K20" s="20">
        <v>1</v>
      </c>
      <c r="L20" s="21">
        <v>17.6</v>
      </c>
      <c r="M20" s="21"/>
      <c r="N20" s="21"/>
    </row>
    <row r="21" spans="4:14">
      <c r="D21" s="18"/>
      <c r="E21" s="6"/>
      <c r="F21" s="6"/>
      <c r="G21" s="6"/>
      <c r="H21" s="6"/>
      <c r="I21" s="6"/>
      <c r="J21" s="32" t="s">
        <v>58</v>
      </c>
      <c r="K21" s="20">
        <v>1</v>
      </c>
      <c r="L21" s="21">
        <v>17.6</v>
      </c>
      <c r="M21" s="21"/>
      <c r="N21" s="21"/>
    </row>
    <row r="22" spans="4:14">
      <c r="D22" s="18">
        <v>46175</v>
      </c>
      <c r="E22" s="6">
        <v>1608341</v>
      </c>
      <c r="F22" s="6" t="s">
        <v>16</v>
      </c>
      <c r="G22" s="6">
        <v>20325857</v>
      </c>
      <c r="H22" s="6" t="s">
        <v>306</v>
      </c>
      <c r="I22" s="6">
        <v>1</v>
      </c>
      <c r="J22" s="33" t="s">
        <v>263</v>
      </c>
      <c r="K22" s="20">
        <v>1</v>
      </c>
      <c r="L22" s="21">
        <v>22.4</v>
      </c>
      <c r="M22" s="21">
        <v>22.4</v>
      </c>
      <c r="N22" s="21">
        <v>22.4</v>
      </c>
    </row>
    <row r="23" spans="4:14">
      <c r="D23" s="18">
        <v>46176</v>
      </c>
      <c r="E23" s="6">
        <v>1608708</v>
      </c>
      <c r="F23" s="6" t="s">
        <v>26</v>
      </c>
      <c r="G23" s="6">
        <v>20324463</v>
      </c>
      <c r="H23" s="6" t="s">
        <v>271</v>
      </c>
      <c r="I23" s="6">
        <v>1</v>
      </c>
      <c r="J23" s="32" t="s">
        <v>28</v>
      </c>
      <c r="K23" s="20">
        <f t="shared" ref="K23:K29" si="1">M23/L23</f>
        <v>35</v>
      </c>
      <c r="L23" s="21">
        <v>4.4</v>
      </c>
      <c r="M23" s="21">
        <v>154</v>
      </c>
      <c r="N23" s="21">
        <v>154</v>
      </c>
    </row>
    <row r="24" spans="4:14">
      <c r="D24" s="18">
        <v>46176</v>
      </c>
      <c r="E24" s="6">
        <v>1608708</v>
      </c>
      <c r="F24" s="6" t="s">
        <v>26</v>
      </c>
      <c r="G24" s="6">
        <v>20324039</v>
      </c>
      <c r="H24" s="6" t="s">
        <v>298</v>
      </c>
      <c r="I24" s="6">
        <v>2</v>
      </c>
      <c r="J24" s="32" t="s">
        <v>28</v>
      </c>
      <c r="K24" s="20">
        <f t="shared" si="1"/>
        <v>37</v>
      </c>
      <c r="L24" s="21">
        <v>4.4</v>
      </c>
      <c r="M24" s="21">
        <v>162.8</v>
      </c>
      <c r="N24" s="21">
        <v>325.6</v>
      </c>
    </row>
    <row r="25" spans="4:14">
      <c r="D25" s="18">
        <v>46176</v>
      </c>
      <c r="E25" s="6">
        <v>1608708</v>
      </c>
      <c r="F25" s="6" t="s">
        <v>26</v>
      </c>
      <c r="G25" s="6">
        <v>20324028</v>
      </c>
      <c r="H25" s="6" t="s">
        <v>307</v>
      </c>
      <c r="I25" s="6">
        <v>3</v>
      </c>
      <c r="J25" s="32" t="s">
        <v>28</v>
      </c>
      <c r="K25" s="20">
        <f t="shared" si="1"/>
        <v>42</v>
      </c>
      <c r="L25" s="21">
        <v>4.4</v>
      </c>
      <c r="M25" s="21">
        <v>184.8</v>
      </c>
      <c r="N25" s="21">
        <v>554.4</v>
      </c>
    </row>
    <row r="26" spans="4:14">
      <c r="D26" s="18">
        <v>46176</v>
      </c>
      <c r="E26" s="6">
        <v>1608708</v>
      </c>
      <c r="F26" s="6" t="s">
        <v>26</v>
      </c>
      <c r="G26" s="6">
        <v>20324737</v>
      </c>
      <c r="H26" s="6" t="s">
        <v>308</v>
      </c>
      <c r="I26" s="6">
        <v>1</v>
      </c>
      <c r="J26" s="32" t="s">
        <v>28</v>
      </c>
      <c r="K26" s="20">
        <f t="shared" si="1"/>
        <v>22</v>
      </c>
      <c r="L26" s="21">
        <v>4.4</v>
      </c>
      <c r="M26" s="21">
        <v>96.8</v>
      </c>
      <c r="N26" s="21">
        <v>96.8</v>
      </c>
    </row>
    <row r="27" spans="4:14">
      <c r="D27" s="18">
        <v>46176</v>
      </c>
      <c r="E27" s="6">
        <v>1608708</v>
      </c>
      <c r="F27" s="6" t="s">
        <v>26</v>
      </c>
      <c r="G27" s="6">
        <v>20324045</v>
      </c>
      <c r="H27" s="6" t="s">
        <v>266</v>
      </c>
      <c r="I27" s="6">
        <v>3</v>
      </c>
      <c r="J27" s="32" t="s">
        <v>28</v>
      </c>
      <c r="K27" s="20">
        <f t="shared" si="1"/>
        <v>19</v>
      </c>
      <c r="L27" s="21">
        <v>4.4</v>
      </c>
      <c r="M27" s="21">
        <v>83.6</v>
      </c>
      <c r="N27" s="21">
        <v>250.8</v>
      </c>
    </row>
    <row r="28" spans="4:14">
      <c r="D28" s="18">
        <v>46176</v>
      </c>
      <c r="E28" s="6">
        <v>1608708</v>
      </c>
      <c r="F28" s="6" t="s">
        <v>34</v>
      </c>
      <c r="G28" s="6">
        <v>20384646</v>
      </c>
      <c r="H28" s="6" t="s">
        <v>309</v>
      </c>
      <c r="I28" s="6">
        <v>1</v>
      </c>
      <c r="J28" s="32" t="s">
        <v>28</v>
      </c>
      <c r="K28" s="20">
        <f t="shared" si="1"/>
        <v>5</v>
      </c>
      <c r="L28" s="21">
        <v>4.4</v>
      </c>
      <c r="M28" s="21">
        <v>22</v>
      </c>
      <c r="N28" s="21">
        <v>22</v>
      </c>
    </row>
    <row r="29" spans="4:14">
      <c r="D29" s="18">
        <v>46176</v>
      </c>
      <c r="E29" s="6">
        <v>1608708</v>
      </c>
      <c r="F29" s="6" t="s">
        <v>34</v>
      </c>
      <c r="G29" s="6">
        <v>20324739</v>
      </c>
      <c r="H29" s="6" t="s">
        <v>309</v>
      </c>
      <c r="I29" s="6">
        <v>1</v>
      </c>
      <c r="J29" s="32" t="s">
        <v>28</v>
      </c>
      <c r="K29" s="20">
        <f t="shared" si="1"/>
        <v>5</v>
      </c>
      <c r="L29" s="21">
        <v>4.4</v>
      </c>
      <c r="M29" s="21">
        <v>22</v>
      </c>
      <c r="N29" s="21">
        <v>22</v>
      </c>
    </row>
    <row r="30" spans="4:14">
      <c r="D30" s="18">
        <v>46176</v>
      </c>
      <c r="E30" s="6">
        <v>1608708</v>
      </c>
      <c r="F30" s="6" t="s">
        <v>16</v>
      </c>
      <c r="G30" s="6">
        <v>20324800</v>
      </c>
      <c r="H30" s="6" t="s">
        <v>310</v>
      </c>
      <c r="I30" s="6">
        <v>1</v>
      </c>
      <c r="J30" s="19" t="s">
        <v>18</v>
      </c>
      <c r="K30" s="20">
        <v>1</v>
      </c>
      <c r="L30" s="21">
        <v>6.4</v>
      </c>
      <c r="M30" s="21">
        <v>6.4</v>
      </c>
      <c r="N30" s="21">
        <v>6.4</v>
      </c>
    </row>
    <row r="31" spans="4:14">
      <c r="D31" s="18">
        <v>46176</v>
      </c>
      <c r="E31" s="6">
        <v>1608708</v>
      </c>
      <c r="F31" s="6" t="s">
        <v>16</v>
      </c>
      <c r="G31" s="6">
        <v>20329152</v>
      </c>
      <c r="H31" s="6" t="s">
        <v>311</v>
      </c>
      <c r="I31" s="6">
        <v>1</v>
      </c>
      <c r="J31" s="32" t="s">
        <v>28</v>
      </c>
      <c r="K31" s="20">
        <f>M31/L31</f>
        <v>11</v>
      </c>
      <c r="L31" s="21">
        <v>4.4</v>
      </c>
      <c r="M31" s="21">
        <v>48.4</v>
      </c>
      <c r="N31" s="21">
        <v>48.4</v>
      </c>
    </row>
    <row r="32" spans="4:14">
      <c r="D32" s="18">
        <v>46176</v>
      </c>
      <c r="E32" s="6">
        <v>1608708</v>
      </c>
      <c r="F32" s="6" t="s">
        <v>16</v>
      </c>
      <c r="G32" s="6">
        <v>20324699</v>
      </c>
      <c r="H32" s="6" t="s">
        <v>268</v>
      </c>
      <c r="I32" s="6">
        <v>10</v>
      </c>
      <c r="J32" s="32" t="s">
        <v>28</v>
      </c>
      <c r="K32" s="20">
        <f>M32/L32</f>
        <v>5</v>
      </c>
      <c r="L32" s="21">
        <v>4.4</v>
      </c>
      <c r="M32" s="21">
        <v>22</v>
      </c>
      <c r="N32" s="21">
        <v>220</v>
      </c>
    </row>
    <row r="33" spans="4:14">
      <c r="D33" s="18">
        <v>46176</v>
      </c>
      <c r="E33" s="6">
        <v>1608708</v>
      </c>
      <c r="F33" s="6" t="s">
        <v>16</v>
      </c>
      <c r="G33" s="6">
        <v>20325524</v>
      </c>
      <c r="H33" s="6" t="s">
        <v>312</v>
      </c>
      <c r="I33" s="6">
        <v>1</v>
      </c>
      <c r="J33" s="32" t="s">
        <v>28</v>
      </c>
      <c r="K33" s="20">
        <f>M33/L33</f>
        <v>3</v>
      </c>
      <c r="L33" s="21">
        <v>4.4</v>
      </c>
      <c r="M33" s="21">
        <v>13.2</v>
      </c>
      <c r="N33" s="21">
        <v>13.2</v>
      </c>
    </row>
    <row r="34" spans="4:14">
      <c r="D34" s="18">
        <v>46176</v>
      </c>
      <c r="E34" s="6">
        <v>1608762</v>
      </c>
      <c r="F34" s="6" t="s">
        <v>16</v>
      </c>
      <c r="G34" s="6">
        <v>20342188</v>
      </c>
      <c r="H34" s="6" t="s">
        <v>313</v>
      </c>
      <c r="I34" s="6">
        <v>1</v>
      </c>
      <c r="J34" s="33" t="s">
        <v>263</v>
      </c>
      <c r="K34" s="20">
        <v>1</v>
      </c>
      <c r="L34" s="21">
        <v>22.4</v>
      </c>
      <c r="M34" s="21">
        <v>22.4</v>
      </c>
      <c r="N34" s="21">
        <v>22.4</v>
      </c>
    </row>
    <row r="35" spans="4:14">
      <c r="D35" s="18">
        <v>46176</v>
      </c>
      <c r="E35" s="6">
        <v>1608762</v>
      </c>
      <c r="F35" s="6" t="s">
        <v>16</v>
      </c>
      <c r="G35" s="6">
        <v>20328011</v>
      </c>
      <c r="H35" s="6" t="s">
        <v>314</v>
      </c>
      <c r="I35" s="6">
        <v>1</v>
      </c>
      <c r="J35" s="32" t="s">
        <v>58</v>
      </c>
      <c r="K35" s="20">
        <v>1</v>
      </c>
      <c r="L35" s="21">
        <v>17.6</v>
      </c>
      <c r="M35" s="21">
        <v>52.8</v>
      </c>
      <c r="N35" s="21">
        <v>52.8</v>
      </c>
    </row>
    <row r="36" spans="4:14">
      <c r="D36" s="18"/>
      <c r="E36" s="6"/>
      <c r="F36" s="6"/>
      <c r="G36" s="6"/>
      <c r="H36" s="6"/>
      <c r="I36" s="6"/>
      <c r="J36" s="32" t="s">
        <v>58</v>
      </c>
      <c r="K36" s="20">
        <v>1</v>
      </c>
      <c r="L36" s="21">
        <v>17.6</v>
      </c>
      <c r="M36" s="21"/>
      <c r="N36" s="21"/>
    </row>
    <row r="37" spans="4:14">
      <c r="D37" s="18"/>
      <c r="E37" s="6"/>
      <c r="F37" s="6"/>
      <c r="G37" s="6"/>
      <c r="H37" s="6"/>
      <c r="I37" s="6"/>
      <c r="J37" s="32" t="s">
        <v>58</v>
      </c>
      <c r="K37" s="20">
        <v>1</v>
      </c>
      <c r="L37" s="21">
        <v>17.6</v>
      </c>
      <c r="M37" s="21"/>
      <c r="N37" s="21"/>
    </row>
    <row r="38" spans="4:14">
      <c r="D38" s="18">
        <v>46176</v>
      </c>
      <c r="E38" s="6">
        <v>1608762</v>
      </c>
      <c r="F38" s="6" t="s">
        <v>16</v>
      </c>
      <c r="G38" s="6">
        <v>20324643</v>
      </c>
      <c r="H38" s="6" t="s">
        <v>315</v>
      </c>
      <c r="I38" s="6">
        <v>1</v>
      </c>
      <c r="J38" s="33" t="s">
        <v>263</v>
      </c>
      <c r="K38" s="20">
        <v>1</v>
      </c>
      <c r="L38" s="21">
        <v>22.4</v>
      </c>
      <c r="M38" s="21">
        <v>22.4</v>
      </c>
      <c r="N38" s="21">
        <v>22.4</v>
      </c>
    </row>
    <row r="39" spans="4:14">
      <c r="D39" s="18">
        <v>46176</v>
      </c>
      <c r="E39" s="6">
        <v>1608762</v>
      </c>
      <c r="F39" s="6" t="s">
        <v>16</v>
      </c>
      <c r="G39" s="6">
        <v>20325758</v>
      </c>
      <c r="H39" s="6" t="s">
        <v>302</v>
      </c>
      <c r="I39" s="6">
        <v>1</v>
      </c>
      <c r="J39" s="32" t="s">
        <v>290</v>
      </c>
      <c r="K39" s="20">
        <v>1</v>
      </c>
      <c r="L39" s="21">
        <v>20</v>
      </c>
      <c r="M39" s="21">
        <v>20</v>
      </c>
      <c r="N39" s="21">
        <v>20</v>
      </c>
    </row>
    <row r="40" spans="4:14">
      <c r="D40" s="18">
        <v>46176</v>
      </c>
      <c r="E40" s="6">
        <v>1608762</v>
      </c>
      <c r="F40" s="6" t="s">
        <v>16</v>
      </c>
      <c r="G40" s="6">
        <v>20329253</v>
      </c>
      <c r="H40" s="6" t="s">
        <v>316</v>
      </c>
      <c r="I40" s="6">
        <v>1</v>
      </c>
      <c r="J40" s="32" t="s">
        <v>58</v>
      </c>
      <c r="K40" s="20">
        <v>1</v>
      </c>
      <c r="L40" s="21">
        <v>17.6</v>
      </c>
      <c r="M40" s="21">
        <v>17.6</v>
      </c>
      <c r="N40" s="21">
        <v>17.6</v>
      </c>
    </row>
    <row r="41" spans="4:14">
      <c r="D41" s="18">
        <v>46176</v>
      </c>
      <c r="E41" s="6">
        <v>1608762</v>
      </c>
      <c r="F41" s="6" t="s">
        <v>16</v>
      </c>
      <c r="G41" s="6">
        <v>20324822</v>
      </c>
      <c r="H41" s="6" t="s">
        <v>317</v>
      </c>
      <c r="I41" s="6">
        <v>1</v>
      </c>
      <c r="J41" s="33" t="s">
        <v>183</v>
      </c>
      <c r="K41" s="20">
        <v>1</v>
      </c>
      <c r="L41" s="21">
        <v>28</v>
      </c>
      <c r="M41" s="21">
        <v>28</v>
      </c>
      <c r="N41" s="21">
        <v>28</v>
      </c>
    </row>
    <row r="42" spans="4:14">
      <c r="D42" s="18">
        <v>46176</v>
      </c>
      <c r="E42" s="6">
        <v>1608762</v>
      </c>
      <c r="F42" s="6" t="s">
        <v>16</v>
      </c>
      <c r="G42" s="6">
        <v>20325858</v>
      </c>
      <c r="H42" s="6" t="s">
        <v>303</v>
      </c>
      <c r="I42" s="6">
        <v>3</v>
      </c>
      <c r="J42" s="33" t="s">
        <v>183</v>
      </c>
      <c r="K42" s="20">
        <v>1</v>
      </c>
      <c r="L42" s="21">
        <v>28</v>
      </c>
      <c r="M42" s="21">
        <v>28</v>
      </c>
      <c r="N42" s="21">
        <v>84</v>
      </c>
    </row>
    <row r="43" spans="4:14">
      <c r="D43" s="18">
        <v>46176</v>
      </c>
      <c r="E43" s="6">
        <v>1608762</v>
      </c>
      <c r="F43" s="6" t="s">
        <v>16</v>
      </c>
      <c r="G43" s="6">
        <v>20324645</v>
      </c>
      <c r="H43" s="6" t="s">
        <v>318</v>
      </c>
      <c r="I43" s="6">
        <v>1</v>
      </c>
      <c r="J43" s="33" t="s">
        <v>263</v>
      </c>
      <c r="K43" s="20">
        <v>1</v>
      </c>
      <c r="L43" s="21">
        <v>22.4</v>
      </c>
      <c r="M43" s="21">
        <v>22.4</v>
      </c>
      <c r="N43" s="21">
        <v>22.4</v>
      </c>
    </row>
    <row r="44" spans="4:14">
      <c r="D44" s="18">
        <v>46176</v>
      </c>
      <c r="E44" s="6">
        <v>1608762</v>
      </c>
      <c r="F44" s="6" t="s">
        <v>16</v>
      </c>
      <c r="G44" s="6">
        <v>20380443</v>
      </c>
      <c r="H44" s="6" t="s">
        <v>319</v>
      </c>
      <c r="I44" s="6">
        <v>1</v>
      </c>
      <c r="J44" s="33" t="s">
        <v>263</v>
      </c>
      <c r="K44" s="20">
        <v>1</v>
      </c>
      <c r="L44" s="21">
        <v>22.4</v>
      </c>
      <c r="M44" s="21">
        <v>22.4</v>
      </c>
      <c r="N44" s="21">
        <v>22.4</v>
      </c>
    </row>
    <row r="45" spans="4:14">
      <c r="D45" s="18">
        <v>46176</v>
      </c>
      <c r="E45" s="6">
        <v>1608762</v>
      </c>
      <c r="F45" s="6" t="s">
        <v>16</v>
      </c>
      <c r="G45" s="6">
        <v>20324636</v>
      </c>
      <c r="H45" s="6" t="s">
        <v>320</v>
      </c>
      <c r="I45" s="6">
        <v>1</v>
      </c>
      <c r="J45" s="33" t="s">
        <v>183</v>
      </c>
      <c r="K45" s="20">
        <v>1</v>
      </c>
      <c r="L45" s="21">
        <v>28</v>
      </c>
      <c r="M45" s="21">
        <v>28</v>
      </c>
      <c r="N45" s="21">
        <v>28</v>
      </c>
    </row>
    <row r="46" spans="4:14">
      <c r="D46" s="18">
        <v>46176</v>
      </c>
      <c r="E46" s="6">
        <v>1608762</v>
      </c>
      <c r="F46" s="6" t="s">
        <v>16</v>
      </c>
      <c r="G46" s="6">
        <v>20324642</v>
      </c>
      <c r="H46" s="6" t="s">
        <v>321</v>
      </c>
      <c r="I46" s="6">
        <v>1</v>
      </c>
      <c r="J46" s="32" t="s">
        <v>58</v>
      </c>
      <c r="K46" s="20">
        <v>1</v>
      </c>
      <c r="L46" s="21">
        <v>17.6</v>
      </c>
      <c r="M46" s="21">
        <v>17.6</v>
      </c>
      <c r="N46" s="21">
        <v>17.6</v>
      </c>
    </row>
    <row r="47" spans="4:14">
      <c r="D47" s="18">
        <v>46176</v>
      </c>
      <c r="E47" s="6">
        <v>1608762</v>
      </c>
      <c r="F47" s="6" t="s">
        <v>16</v>
      </c>
      <c r="G47" s="6">
        <v>20325857</v>
      </c>
      <c r="H47" s="6" t="s">
        <v>306</v>
      </c>
      <c r="I47" s="6">
        <v>2</v>
      </c>
      <c r="J47" s="33" t="s">
        <v>263</v>
      </c>
      <c r="K47" s="20">
        <v>1</v>
      </c>
      <c r="L47" s="21">
        <v>22.4</v>
      </c>
      <c r="M47" s="21">
        <v>22.4</v>
      </c>
      <c r="N47" s="21">
        <v>44.8</v>
      </c>
    </row>
    <row r="48" spans="4:14">
      <c r="D48" s="18">
        <v>46176</v>
      </c>
      <c r="E48" s="6">
        <v>1608762</v>
      </c>
      <c r="F48" s="6" t="s">
        <v>16</v>
      </c>
      <c r="G48" s="6">
        <v>20324732</v>
      </c>
      <c r="H48" s="6" t="s">
        <v>322</v>
      </c>
      <c r="I48" s="6">
        <v>1</v>
      </c>
      <c r="J48" s="33" t="s">
        <v>263</v>
      </c>
      <c r="K48" s="20">
        <v>1</v>
      </c>
      <c r="L48" s="21">
        <v>22.4</v>
      </c>
      <c r="M48" s="21">
        <v>22.4</v>
      </c>
      <c r="N48" s="21">
        <v>22.4</v>
      </c>
    </row>
    <row r="49" spans="4:14">
      <c r="D49" s="18">
        <v>46176</v>
      </c>
      <c r="E49" s="6">
        <v>1608762</v>
      </c>
      <c r="F49" s="6" t="s">
        <v>16</v>
      </c>
      <c r="G49" s="6">
        <v>20336648</v>
      </c>
      <c r="H49" s="6" t="s">
        <v>323</v>
      </c>
      <c r="I49" s="6">
        <v>2</v>
      </c>
      <c r="J49" s="32" t="s">
        <v>58</v>
      </c>
      <c r="K49" s="20">
        <v>1</v>
      </c>
      <c r="L49" s="21">
        <v>17.6</v>
      </c>
      <c r="M49" s="21">
        <v>35.2</v>
      </c>
      <c r="N49" s="21">
        <v>70.4</v>
      </c>
    </row>
    <row r="50" spans="4:14">
      <c r="D50" s="18"/>
      <c r="E50" s="6"/>
      <c r="F50" s="6"/>
      <c r="G50" s="6"/>
      <c r="H50" s="6"/>
      <c r="I50" s="6"/>
      <c r="J50" s="32" t="s">
        <v>58</v>
      </c>
      <c r="K50" s="20">
        <v>1</v>
      </c>
      <c r="L50" s="21">
        <v>17.6</v>
      </c>
      <c r="M50" s="21"/>
      <c r="N50" s="21"/>
    </row>
    <row r="51" spans="4:14">
      <c r="D51" s="18">
        <v>46176</v>
      </c>
      <c r="E51" s="6">
        <v>1608762</v>
      </c>
      <c r="F51" s="6" t="s">
        <v>16</v>
      </c>
      <c r="G51" s="6">
        <v>20428136</v>
      </c>
      <c r="H51" s="6" t="s">
        <v>324</v>
      </c>
      <c r="I51" s="6">
        <v>3</v>
      </c>
      <c r="J51" s="32" t="s">
        <v>290</v>
      </c>
      <c r="K51" s="20">
        <v>1</v>
      </c>
      <c r="L51" s="21">
        <v>20</v>
      </c>
      <c r="M51" s="21">
        <v>20</v>
      </c>
      <c r="N51" s="21">
        <v>60</v>
      </c>
    </row>
    <row r="52" spans="4:14">
      <c r="D52" s="18">
        <v>46176</v>
      </c>
      <c r="E52" s="6">
        <v>1608762</v>
      </c>
      <c r="F52" s="6" t="s">
        <v>16</v>
      </c>
      <c r="G52" s="6">
        <v>20324644</v>
      </c>
      <c r="H52" s="6" t="s">
        <v>292</v>
      </c>
      <c r="I52" s="6">
        <v>1</v>
      </c>
      <c r="J52" s="33" t="s">
        <v>263</v>
      </c>
      <c r="K52" s="20">
        <v>1</v>
      </c>
      <c r="L52" s="21">
        <v>22.4</v>
      </c>
      <c r="M52" s="21">
        <v>22.4</v>
      </c>
      <c r="N52" s="21">
        <v>22.4</v>
      </c>
    </row>
    <row r="53" spans="4:14">
      <c r="D53" s="18">
        <v>46176</v>
      </c>
      <c r="E53" s="6">
        <v>1608762</v>
      </c>
      <c r="F53" s="6" t="s">
        <v>16</v>
      </c>
      <c r="G53" s="6">
        <v>20330332</v>
      </c>
      <c r="H53" s="6" t="s">
        <v>325</v>
      </c>
      <c r="I53" s="6">
        <v>1</v>
      </c>
      <c r="J53" s="33" t="s">
        <v>263</v>
      </c>
      <c r="K53" s="20">
        <v>1</v>
      </c>
      <c r="L53" s="21">
        <v>22.4</v>
      </c>
      <c r="M53" s="21">
        <v>22.4</v>
      </c>
      <c r="N53" s="21">
        <v>22.4</v>
      </c>
    </row>
    <row r="54" spans="4:14">
      <c r="D54" s="18">
        <v>46176</v>
      </c>
      <c r="E54" s="6">
        <v>1608762</v>
      </c>
      <c r="F54" s="6" t="s">
        <v>16</v>
      </c>
      <c r="G54" s="6">
        <v>20324814</v>
      </c>
      <c r="H54" s="6" t="s">
        <v>293</v>
      </c>
      <c r="I54" s="6">
        <v>1</v>
      </c>
      <c r="J54" s="33" t="s">
        <v>263</v>
      </c>
      <c r="K54" s="20">
        <v>1</v>
      </c>
      <c r="L54" s="21">
        <v>22.4</v>
      </c>
      <c r="M54" s="21">
        <v>22.4</v>
      </c>
      <c r="N54" s="21">
        <v>22.4</v>
      </c>
    </row>
    <row r="55" spans="4:14">
      <c r="D55" s="18">
        <v>46176</v>
      </c>
      <c r="E55" s="6">
        <v>1608762</v>
      </c>
      <c r="F55" s="6" t="s">
        <v>16</v>
      </c>
      <c r="G55" s="6">
        <v>20324646</v>
      </c>
      <c r="H55" s="6" t="s">
        <v>326</v>
      </c>
      <c r="I55" s="6">
        <v>1</v>
      </c>
      <c r="J55" s="32" t="s">
        <v>290</v>
      </c>
      <c r="K55" s="20">
        <v>1</v>
      </c>
      <c r="L55" s="21">
        <v>20</v>
      </c>
      <c r="M55" s="21">
        <v>20</v>
      </c>
      <c r="N55" s="21">
        <v>20</v>
      </c>
    </row>
    <row r="56" spans="4:14">
      <c r="D56" s="89">
        <v>46176</v>
      </c>
      <c r="E56" s="90">
        <v>1608762</v>
      </c>
      <c r="F56" s="90" t="s">
        <v>34</v>
      </c>
      <c r="G56" s="90">
        <v>20324638</v>
      </c>
      <c r="H56" s="90" t="s">
        <v>327</v>
      </c>
      <c r="I56" s="90">
        <v>1</v>
      </c>
      <c r="J56" s="33" t="s">
        <v>328</v>
      </c>
      <c r="K56" s="20" t="s">
        <v>329</v>
      </c>
      <c r="L56" s="21">
        <v>22.4</v>
      </c>
      <c r="M56" s="21">
        <f>L56+L57</f>
        <v>30.4</v>
      </c>
      <c r="N56" s="21">
        <f>M56+M57</f>
        <v>30.4</v>
      </c>
    </row>
    <row r="57" spans="4:14">
      <c r="D57" s="91"/>
      <c r="E57" s="92"/>
      <c r="F57" s="92"/>
      <c r="G57" s="92"/>
      <c r="H57" s="92"/>
      <c r="I57" s="92"/>
      <c r="J57" s="6" t="s">
        <v>330</v>
      </c>
      <c r="K57" s="20" t="s">
        <v>329</v>
      </c>
      <c r="L57" s="21">
        <v>8</v>
      </c>
      <c r="M57" s="21"/>
      <c r="N57" s="21"/>
    </row>
    <row r="58" spans="4:14">
      <c r="D58" s="18">
        <v>46177</v>
      </c>
      <c r="E58" s="6">
        <v>1609081</v>
      </c>
      <c r="F58" s="6" t="s">
        <v>26</v>
      </c>
      <c r="G58" s="6">
        <v>20324463</v>
      </c>
      <c r="H58" s="6" t="s">
        <v>271</v>
      </c>
      <c r="I58" s="6">
        <v>2</v>
      </c>
      <c r="J58" s="32" t="s">
        <v>28</v>
      </c>
      <c r="K58" s="20">
        <f t="shared" ref="K58:K64" si="2">M58/L58</f>
        <v>35</v>
      </c>
      <c r="L58" s="21">
        <v>4.4</v>
      </c>
      <c r="M58" s="21">
        <v>154</v>
      </c>
      <c r="N58" s="21">
        <v>308</v>
      </c>
    </row>
    <row r="59" spans="4:14">
      <c r="D59" s="18">
        <v>46177</v>
      </c>
      <c r="E59" s="6">
        <v>1609081</v>
      </c>
      <c r="F59" s="6" t="s">
        <v>26</v>
      </c>
      <c r="G59" s="6">
        <v>20324028</v>
      </c>
      <c r="H59" s="6" t="s">
        <v>307</v>
      </c>
      <c r="I59" s="6">
        <v>1</v>
      </c>
      <c r="J59" s="32" t="s">
        <v>28</v>
      </c>
      <c r="K59" s="20">
        <f t="shared" si="2"/>
        <v>42</v>
      </c>
      <c r="L59" s="21">
        <v>4.4</v>
      </c>
      <c r="M59" s="21">
        <v>184.8</v>
      </c>
      <c r="N59" s="21">
        <v>184.8</v>
      </c>
    </row>
    <row r="60" spans="4:14">
      <c r="D60" s="18">
        <v>46177</v>
      </c>
      <c r="E60" s="6">
        <v>1609081</v>
      </c>
      <c r="F60" s="6" t="s">
        <v>26</v>
      </c>
      <c r="G60" s="6">
        <v>20324036</v>
      </c>
      <c r="H60" s="6" t="s">
        <v>299</v>
      </c>
      <c r="I60" s="6">
        <v>1</v>
      </c>
      <c r="J60" s="32" t="s">
        <v>28</v>
      </c>
      <c r="K60" s="20">
        <f t="shared" si="2"/>
        <v>45</v>
      </c>
      <c r="L60" s="21">
        <v>4.4</v>
      </c>
      <c r="M60" s="21">
        <v>198</v>
      </c>
      <c r="N60" s="21">
        <v>198</v>
      </c>
    </row>
    <row r="61" spans="4:14">
      <c r="D61" s="18">
        <v>46177</v>
      </c>
      <c r="E61" s="6">
        <v>1609081</v>
      </c>
      <c r="F61" s="6" t="s">
        <v>26</v>
      </c>
      <c r="G61" s="6">
        <v>20405201</v>
      </c>
      <c r="H61" s="6" t="s">
        <v>331</v>
      </c>
      <c r="I61" s="6">
        <v>1</v>
      </c>
      <c r="J61" s="32" t="s">
        <v>28</v>
      </c>
      <c r="K61" s="20">
        <f t="shared" si="2"/>
        <v>17</v>
      </c>
      <c r="L61" s="21">
        <v>4.4</v>
      </c>
      <c r="M61" s="21">
        <v>74.8</v>
      </c>
      <c r="N61" s="21">
        <v>74.8</v>
      </c>
    </row>
    <row r="62" spans="4:14">
      <c r="D62" s="18">
        <v>46177</v>
      </c>
      <c r="E62" s="6">
        <v>1609081</v>
      </c>
      <c r="F62" s="6" t="s">
        <v>26</v>
      </c>
      <c r="G62" s="6">
        <v>20336544</v>
      </c>
      <c r="H62" s="6" t="s">
        <v>332</v>
      </c>
      <c r="I62" s="6">
        <v>1</v>
      </c>
      <c r="J62" s="32" t="s">
        <v>28</v>
      </c>
      <c r="K62" s="20">
        <f t="shared" si="2"/>
        <v>19</v>
      </c>
      <c r="L62" s="21">
        <v>4.4</v>
      </c>
      <c r="M62" s="21">
        <v>83.6</v>
      </c>
      <c r="N62" s="21">
        <v>83.6</v>
      </c>
    </row>
    <row r="63" spans="4:14">
      <c r="D63" s="18">
        <v>46177</v>
      </c>
      <c r="E63" s="6">
        <v>1609081</v>
      </c>
      <c r="F63" s="6" t="s">
        <v>26</v>
      </c>
      <c r="G63" s="6">
        <v>20324046</v>
      </c>
      <c r="H63" s="6" t="s">
        <v>176</v>
      </c>
      <c r="I63" s="6">
        <v>1</v>
      </c>
      <c r="J63" s="32" t="s">
        <v>28</v>
      </c>
      <c r="K63" s="20">
        <f t="shared" si="2"/>
        <v>49</v>
      </c>
      <c r="L63" s="21">
        <v>4.4</v>
      </c>
      <c r="M63" s="21">
        <v>215.6</v>
      </c>
      <c r="N63" s="21">
        <v>215.6</v>
      </c>
    </row>
    <row r="64" spans="4:14">
      <c r="D64" s="18">
        <v>46177</v>
      </c>
      <c r="E64" s="6">
        <v>1609081</v>
      </c>
      <c r="F64" s="6" t="s">
        <v>26</v>
      </c>
      <c r="G64" s="6">
        <v>20324045</v>
      </c>
      <c r="H64" s="6" t="s">
        <v>266</v>
      </c>
      <c r="I64" s="6">
        <v>2</v>
      </c>
      <c r="J64" s="32" t="s">
        <v>28</v>
      </c>
      <c r="K64" s="20">
        <f t="shared" si="2"/>
        <v>19</v>
      </c>
      <c r="L64" s="21">
        <v>4.4</v>
      </c>
      <c r="M64" s="21">
        <v>83.6</v>
      </c>
      <c r="N64" s="21">
        <v>167.2</v>
      </c>
    </row>
    <row r="65" spans="4:14">
      <c r="D65" s="18">
        <v>46177</v>
      </c>
      <c r="E65" s="6">
        <v>1609081</v>
      </c>
      <c r="F65" s="6" t="s">
        <v>16</v>
      </c>
      <c r="G65" s="6">
        <v>20326197</v>
      </c>
      <c r="H65" s="6" t="s">
        <v>333</v>
      </c>
      <c r="I65" s="6">
        <v>2</v>
      </c>
      <c r="J65" s="6" t="s">
        <v>124</v>
      </c>
      <c r="K65" s="20">
        <f t="shared" ref="K65:K71" si="3">M65/L65</f>
        <v>3</v>
      </c>
      <c r="L65" s="21">
        <v>4.4</v>
      </c>
      <c r="M65" s="21">
        <v>13.2</v>
      </c>
      <c r="N65" s="21">
        <v>26.4</v>
      </c>
    </row>
    <row r="66" spans="4:14">
      <c r="D66" s="18">
        <v>46177</v>
      </c>
      <c r="E66" s="6">
        <v>1609081</v>
      </c>
      <c r="F66" s="6" t="s">
        <v>16</v>
      </c>
      <c r="G66" s="6">
        <v>20358566</v>
      </c>
      <c r="H66" s="6" t="s">
        <v>334</v>
      </c>
      <c r="I66" s="6">
        <v>2</v>
      </c>
      <c r="J66" s="32" t="s">
        <v>28</v>
      </c>
      <c r="K66" s="20">
        <f t="shared" si="3"/>
        <v>4</v>
      </c>
      <c r="L66" s="21">
        <v>4.4</v>
      </c>
      <c r="M66" s="21">
        <v>17.6</v>
      </c>
      <c r="N66" s="21">
        <v>35.2</v>
      </c>
    </row>
    <row r="67" spans="4:14">
      <c r="D67" s="18">
        <v>46177</v>
      </c>
      <c r="E67" s="6">
        <v>1609081</v>
      </c>
      <c r="F67" s="6" t="s">
        <v>16</v>
      </c>
      <c r="G67" s="6">
        <v>20358758</v>
      </c>
      <c r="H67" s="6" t="s">
        <v>335</v>
      </c>
      <c r="I67" s="6">
        <v>2</v>
      </c>
      <c r="J67" s="19" t="s">
        <v>18</v>
      </c>
      <c r="K67" s="20">
        <v>1</v>
      </c>
      <c r="L67" s="21">
        <v>6.4</v>
      </c>
      <c r="M67" s="21">
        <v>6.4</v>
      </c>
      <c r="N67" s="21">
        <v>12.8</v>
      </c>
    </row>
    <row r="68" spans="4:14">
      <c r="D68" s="18">
        <v>46177</v>
      </c>
      <c r="E68" s="6">
        <v>1609081</v>
      </c>
      <c r="F68" s="6" t="s">
        <v>26</v>
      </c>
      <c r="G68" s="6">
        <v>20325204</v>
      </c>
      <c r="H68" s="6" t="s">
        <v>336</v>
      </c>
      <c r="I68" s="6">
        <v>2</v>
      </c>
      <c r="J68" s="32" t="s">
        <v>28</v>
      </c>
      <c r="K68" s="20">
        <f t="shared" si="3"/>
        <v>13</v>
      </c>
      <c r="L68" s="21">
        <v>4.4</v>
      </c>
      <c r="M68" s="21">
        <v>57.2</v>
      </c>
      <c r="N68" s="21">
        <v>114.4</v>
      </c>
    </row>
    <row r="69" spans="4:14">
      <c r="D69" s="18">
        <v>46177</v>
      </c>
      <c r="E69" s="6">
        <v>1609081</v>
      </c>
      <c r="F69" s="6" t="s">
        <v>16</v>
      </c>
      <c r="G69" s="6">
        <v>20325131</v>
      </c>
      <c r="H69" s="6" t="s">
        <v>337</v>
      </c>
      <c r="I69" s="6">
        <v>1</v>
      </c>
      <c r="J69" s="32" t="s">
        <v>28</v>
      </c>
      <c r="K69" s="20">
        <f t="shared" si="3"/>
        <v>8</v>
      </c>
      <c r="L69" s="21">
        <v>4.4</v>
      </c>
      <c r="M69" s="21">
        <v>35.2</v>
      </c>
      <c r="N69" s="21">
        <v>35.2</v>
      </c>
    </row>
    <row r="70" spans="4:14">
      <c r="D70" s="18">
        <v>46177</v>
      </c>
      <c r="E70" s="6">
        <v>1609081</v>
      </c>
      <c r="F70" s="6" t="s">
        <v>16</v>
      </c>
      <c r="G70" s="6">
        <v>20324699</v>
      </c>
      <c r="H70" s="6" t="s">
        <v>268</v>
      </c>
      <c r="I70" s="6">
        <v>7</v>
      </c>
      <c r="J70" s="32" t="s">
        <v>28</v>
      </c>
      <c r="K70" s="20">
        <f t="shared" si="3"/>
        <v>5</v>
      </c>
      <c r="L70" s="21">
        <v>4.4</v>
      </c>
      <c r="M70" s="21">
        <v>22</v>
      </c>
      <c r="N70" s="21">
        <v>154</v>
      </c>
    </row>
    <row r="71" spans="4:14">
      <c r="D71" s="18">
        <v>46177</v>
      </c>
      <c r="E71" s="6">
        <v>1609081</v>
      </c>
      <c r="F71" s="6" t="s">
        <v>16</v>
      </c>
      <c r="G71" s="6">
        <v>20326916</v>
      </c>
      <c r="H71" s="6" t="s">
        <v>269</v>
      </c>
      <c r="I71" s="6">
        <v>1</v>
      </c>
      <c r="J71" s="32" t="s">
        <v>28</v>
      </c>
      <c r="K71" s="20">
        <f t="shared" si="3"/>
        <v>3</v>
      </c>
      <c r="L71" s="21">
        <v>4.4</v>
      </c>
      <c r="M71" s="21">
        <v>13.2</v>
      </c>
      <c r="N71" s="21">
        <v>13.2</v>
      </c>
    </row>
    <row r="72" spans="4:14">
      <c r="D72" s="18">
        <v>46177</v>
      </c>
      <c r="E72" s="6">
        <v>1609081</v>
      </c>
      <c r="F72" s="6" t="s">
        <v>51</v>
      </c>
      <c r="G72" s="6">
        <v>20354932</v>
      </c>
      <c r="H72" s="6" t="s">
        <v>210</v>
      </c>
      <c r="I72" s="6">
        <v>20</v>
      </c>
      <c r="J72" s="33" t="s">
        <v>86</v>
      </c>
      <c r="K72" s="20">
        <v>1</v>
      </c>
      <c r="L72" s="21">
        <v>3.2</v>
      </c>
      <c r="M72" s="21">
        <v>3.2</v>
      </c>
      <c r="N72" s="21">
        <v>64</v>
      </c>
    </row>
    <row r="73" spans="4:14">
      <c r="D73" s="18">
        <v>46177</v>
      </c>
      <c r="E73" s="6">
        <v>1609129</v>
      </c>
      <c r="F73" s="6" t="s">
        <v>16</v>
      </c>
      <c r="G73" s="6">
        <v>20324643</v>
      </c>
      <c r="H73" s="6" t="s">
        <v>315</v>
      </c>
      <c r="I73" s="6">
        <v>2</v>
      </c>
      <c r="J73" s="33" t="s">
        <v>263</v>
      </c>
      <c r="K73" s="20">
        <v>1</v>
      </c>
      <c r="L73" s="21">
        <v>22.4</v>
      </c>
      <c r="M73" s="21">
        <v>22.4</v>
      </c>
      <c r="N73" s="21">
        <v>44.8</v>
      </c>
    </row>
    <row r="74" spans="4:14">
      <c r="D74" s="18">
        <v>46177</v>
      </c>
      <c r="E74" s="6">
        <v>1609129</v>
      </c>
      <c r="F74" s="6" t="s">
        <v>16</v>
      </c>
      <c r="G74" s="6">
        <v>20324637</v>
      </c>
      <c r="H74" s="6" t="s">
        <v>284</v>
      </c>
      <c r="I74" s="6">
        <v>2</v>
      </c>
      <c r="J74" s="33" t="s">
        <v>183</v>
      </c>
      <c r="K74" s="20">
        <v>1</v>
      </c>
      <c r="L74" s="21">
        <v>28</v>
      </c>
      <c r="M74" s="21">
        <v>28</v>
      </c>
      <c r="N74" s="21">
        <v>56</v>
      </c>
    </row>
    <row r="75" spans="4:14">
      <c r="D75" s="18">
        <v>46177</v>
      </c>
      <c r="E75" s="6">
        <v>1609129</v>
      </c>
      <c r="F75" s="6" t="s">
        <v>16</v>
      </c>
      <c r="G75" s="6">
        <v>20325443</v>
      </c>
      <c r="H75" s="6" t="s">
        <v>338</v>
      </c>
      <c r="I75" s="6">
        <v>2</v>
      </c>
      <c r="J75" s="33" t="s">
        <v>183</v>
      </c>
      <c r="K75" s="20">
        <v>1</v>
      </c>
      <c r="L75" s="21">
        <v>28</v>
      </c>
      <c r="M75" s="21">
        <v>28</v>
      </c>
      <c r="N75" s="21">
        <v>56</v>
      </c>
    </row>
    <row r="76" spans="4:14">
      <c r="D76" s="18">
        <v>46177</v>
      </c>
      <c r="E76" s="6">
        <v>1609129</v>
      </c>
      <c r="F76" s="6" t="s">
        <v>16</v>
      </c>
      <c r="G76" s="6">
        <v>20324944</v>
      </c>
      <c r="H76" s="6" t="s">
        <v>339</v>
      </c>
      <c r="I76" s="6">
        <v>1</v>
      </c>
      <c r="J76" s="33" t="s">
        <v>48</v>
      </c>
      <c r="K76" s="20" t="s">
        <v>49</v>
      </c>
      <c r="L76" s="21">
        <v>240</v>
      </c>
      <c r="M76" s="21">
        <v>240</v>
      </c>
      <c r="N76" s="21">
        <v>240</v>
      </c>
    </row>
    <row r="77" spans="4:14">
      <c r="D77" s="18">
        <v>46177</v>
      </c>
      <c r="E77" s="6">
        <v>1609129</v>
      </c>
      <c r="F77" s="6" t="s">
        <v>16</v>
      </c>
      <c r="G77" s="6">
        <v>20324645</v>
      </c>
      <c r="H77" s="6" t="s">
        <v>318</v>
      </c>
      <c r="I77" s="6">
        <v>2</v>
      </c>
      <c r="J77" s="33" t="s">
        <v>263</v>
      </c>
      <c r="K77" s="20">
        <v>1</v>
      </c>
      <c r="L77" s="21">
        <v>22.4</v>
      </c>
      <c r="M77" s="21">
        <v>22.4</v>
      </c>
      <c r="N77" s="21">
        <v>44.8</v>
      </c>
    </row>
    <row r="78" spans="4:14">
      <c r="D78" s="18">
        <v>46177</v>
      </c>
      <c r="E78" s="6">
        <v>1609129</v>
      </c>
      <c r="F78" s="6" t="s">
        <v>16</v>
      </c>
      <c r="G78" s="6">
        <v>20324636</v>
      </c>
      <c r="H78" s="6" t="s">
        <v>320</v>
      </c>
      <c r="I78" s="6">
        <v>2</v>
      </c>
      <c r="J78" s="33" t="s">
        <v>183</v>
      </c>
      <c r="K78" s="20">
        <v>1</v>
      </c>
      <c r="L78" s="21">
        <v>28</v>
      </c>
      <c r="M78" s="21">
        <v>28</v>
      </c>
      <c r="N78" s="21">
        <v>56</v>
      </c>
    </row>
    <row r="79" spans="4:14">
      <c r="D79" s="18">
        <v>46177</v>
      </c>
      <c r="E79" s="6">
        <v>1609129</v>
      </c>
      <c r="F79" s="6" t="s">
        <v>16</v>
      </c>
      <c r="G79" s="6">
        <v>20324642</v>
      </c>
      <c r="H79" s="6" t="s">
        <v>321</v>
      </c>
      <c r="I79" s="6">
        <v>1</v>
      </c>
      <c r="J79" s="32" t="s">
        <v>58</v>
      </c>
      <c r="K79" s="20">
        <v>1</v>
      </c>
      <c r="L79" s="21">
        <v>17.6</v>
      </c>
      <c r="M79" s="21">
        <v>17.6</v>
      </c>
      <c r="N79" s="21">
        <v>17.6</v>
      </c>
    </row>
    <row r="80" spans="4:14">
      <c r="D80" s="18">
        <v>46177</v>
      </c>
      <c r="E80" s="6">
        <v>1609129</v>
      </c>
      <c r="F80" s="6" t="s">
        <v>16</v>
      </c>
      <c r="G80" s="6">
        <v>20324732</v>
      </c>
      <c r="H80" s="6" t="s">
        <v>322</v>
      </c>
      <c r="I80" s="6">
        <v>1</v>
      </c>
      <c r="J80" s="33" t="s">
        <v>263</v>
      </c>
      <c r="K80" s="20">
        <v>1</v>
      </c>
      <c r="L80" s="21">
        <v>22.4</v>
      </c>
      <c r="M80" s="21">
        <v>22.4</v>
      </c>
      <c r="N80" s="21">
        <v>22.4</v>
      </c>
    </row>
    <row r="81" spans="4:14">
      <c r="D81" s="18">
        <v>46177</v>
      </c>
      <c r="E81" s="6">
        <v>1609129</v>
      </c>
      <c r="F81" s="6" t="s">
        <v>16</v>
      </c>
      <c r="G81" s="6">
        <v>20324644</v>
      </c>
      <c r="H81" s="6" t="s">
        <v>292</v>
      </c>
      <c r="I81" s="6">
        <v>2</v>
      </c>
      <c r="J81" s="33" t="s">
        <v>263</v>
      </c>
      <c r="K81" s="20">
        <v>1</v>
      </c>
      <c r="L81" s="21">
        <v>22.4</v>
      </c>
      <c r="M81" s="21">
        <v>22.4</v>
      </c>
      <c r="N81" s="21">
        <v>44.8</v>
      </c>
    </row>
    <row r="82" spans="4:14">
      <c r="D82" s="18">
        <v>46177</v>
      </c>
      <c r="E82" s="6">
        <v>1609129</v>
      </c>
      <c r="F82" s="6" t="s">
        <v>16</v>
      </c>
      <c r="G82" s="6">
        <v>20326625</v>
      </c>
      <c r="H82" s="6" t="s">
        <v>340</v>
      </c>
      <c r="I82" s="6">
        <v>1</v>
      </c>
      <c r="J82" s="33" t="s">
        <v>263</v>
      </c>
      <c r="K82" s="20">
        <v>1</v>
      </c>
      <c r="L82" s="21">
        <v>22.4</v>
      </c>
      <c r="M82" s="21">
        <v>22.4</v>
      </c>
      <c r="N82" s="21">
        <v>22.4</v>
      </c>
    </row>
    <row r="83" spans="4:14">
      <c r="D83" s="18">
        <v>46177</v>
      </c>
      <c r="E83" s="6">
        <v>1609129</v>
      </c>
      <c r="F83" s="6" t="s">
        <v>16</v>
      </c>
      <c r="G83" s="6">
        <v>20330728</v>
      </c>
      <c r="H83" s="6" t="s">
        <v>341</v>
      </c>
      <c r="I83" s="6">
        <v>1</v>
      </c>
      <c r="J83" s="33" t="s">
        <v>48</v>
      </c>
      <c r="K83" s="20" t="s">
        <v>49</v>
      </c>
      <c r="L83" s="21">
        <v>240</v>
      </c>
      <c r="M83" s="21">
        <v>328</v>
      </c>
      <c r="N83" s="21">
        <v>328</v>
      </c>
    </row>
    <row r="84" spans="4:14">
      <c r="D84" s="18"/>
      <c r="E84" s="6"/>
      <c r="F84" s="6"/>
      <c r="G84" s="6"/>
      <c r="H84" s="6"/>
      <c r="I84" s="6"/>
      <c r="J84" s="32" t="s">
        <v>42</v>
      </c>
      <c r="K84" s="20" t="s">
        <v>43</v>
      </c>
      <c r="L84" s="21">
        <v>70.4</v>
      </c>
      <c r="M84" s="21"/>
      <c r="N84" s="21"/>
    </row>
    <row r="85" spans="4:14">
      <c r="D85" s="18"/>
      <c r="E85" s="6"/>
      <c r="F85" s="6"/>
      <c r="G85" s="6"/>
      <c r="H85" s="6"/>
      <c r="I85" s="6"/>
      <c r="J85" s="32" t="s">
        <v>58</v>
      </c>
      <c r="K85" s="20">
        <v>1</v>
      </c>
      <c r="L85" s="21">
        <v>17.6</v>
      </c>
      <c r="M85" s="21"/>
      <c r="N85" s="21"/>
    </row>
    <row r="86" spans="4:14">
      <c r="D86" s="18">
        <v>46177</v>
      </c>
      <c r="E86" s="6">
        <v>1609129</v>
      </c>
      <c r="F86" s="6" t="s">
        <v>16</v>
      </c>
      <c r="G86" s="6">
        <v>20324814</v>
      </c>
      <c r="H86" s="6" t="s">
        <v>293</v>
      </c>
      <c r="I86" s="6">
        <v>2</v>
      </c>
      <c r="J86" s="33" t="s">
        <v>263</v>
      </c>
      <c r="K86" s="20">
        <v>1</v>
      </c>
      <c r="L86" s="21">
        <v>22.4</v>
      </c>
      <c r="M86" s="21">
        <v>22.4</v>
      </c>
      <c r="N86" s="21">
        <v>44.8</v>
      </c>
    </row>
    <row r="87" spans="4:14">
      <c r="D87" s="18">
        <v>46177</v>
      </c>
      <c r="E87" s="6">
        <v>1609129</v>
      </c>
      <c r="F87" s="6" t="s">
        <v>16</v>
      </c>
      <c r="G87" s="6">
        <v>20324646</v>
      </c>
      <c r="H87" s="6" t="s">
        <v>326</v>
      </c>
      <c r="I87" s="6">
        <v>2</v>
      </c>
      <c r="J87" s="32" t="s">
        <v>290</v>
      </c>
      <c r="K87" s="20">
        <v>1</v>
      </c>
      <c r="L87" s="21">
        <v>20</v>
      </c>
      <c r="M87" s="21">
        <v>20</v>
      </c>
      <c r="N87" s="21">
        <v>40</v>
      </c>
    </row>
    <row r="88" spans="4:14">
      <c r="D88" s="18">
        <v>46177</v>
      </c>
      <c r="E88" s="6">
        <v>1609129</v>
      </c>
      <c r="F88" s="6" t="s">
        <v>16</v>
      </c>
      <c r="G88" s="6">
        <v>20332069</v>
      </c>
      <c r="H88" s="6" t="s">
        <v>342</v>
      </c>
      <c r="I88" s="6">
        <v>1</v>
      </c>
      <c r="J88" s="33" t="s">
        <v>263</v>
      </c>
      <c r="K88" s="20">
        <v>1</v>
      </c>
      <c r="L88" s="21">
        <v>22.4</v>
      </c>
      <c r="M88" s="21">
        <v>22.4</v>
      </c>
      <c r="N88" s="21">
        <v>22.4</v>
      </c>
    </row>
    <row r="89" spans="4:14">
      <c r="D89" s="89">
        <v>46177</v>
      </c>
      <c r="E89" s="90">
        <v>1609129</v>
      </c>
      <c r="F89" s="90" t="s">
        <v>34</v>
      </c>
      <c r="G89" s="90">
        <v>20324638</v>
      </c>
      <c r="H89" s="90" t="s">
        <v>327</v>
      </c>
      <c r="I89" s="90">
        <v>2</v>
      </c>
      <c r="J89" s="33" t="s">
        <v>328</v>
      </c>
      <c r="K89" s="20" t="s">
        <v>329</v>
      </c>
      <c r="L89" s="21">
        <v>22.4</v>
      </c>
      <c r="M89" s="21">
        <f>L89+L90</f>
        <v>30.4</v>
      </c>
      <c r="N89" s="93">
        <f>M89*I89</f>
        <v>60.8</v>
      </c>
    </row>
    <row r="90" spans="4:14">
      <c r="D90" s="91"/>
      <c r="E90" s="92"/>
      <c r="F90" s="92"/>
      <c r="G90" s="92"/>
      <c r="H90" s="92"/>
      <c r="I90" s="92"/>
      <c r="J90" s="6" t="s">
        <v>330</v>
      </c>
      <c r="K90" s="20" t="s">
        <v>329</v>
      </c>
      <c r="L90" s="21">
        <v>8</v>
      </c>
      <c r="M90" s="21"/>
      <c r="N90" s="36"/>
    </row>
    <row r="91" spans="4:14">
      <c r="D91" s="18">
        <v>46177</v>
      </c>
      <c r="E91" s="6">
        <v>1609129</v>
      </c>
      <c r="F91" s="6" t="s">
        <v>34</v>
      </c>
      <c r="G91" s="6">
        <v>20326178</v>
      </c>
      <c r="H91" s="6" t="s">
        <v>343</v>
      </c>
      <c r="I91" s="6">
        <v>1</v>
      </c>
      <c r="J91" s="33" t="s">
        <v>183</v>
      </c>
      <c r="K91" s="20">
        <v>1</v>
      </c>
      <c r="L91" s="21">
        <v>28</v>
      </c>
      <c r="M91" s="21">
        <v>28</v>
      </c>
      <c r="N91" s="21">
        <v>28</v>
      </c>
    </row>
    <row r="92" spans="4:14">
      <c r="D92" s="18">
        <v>46177</v>
      </c>
      <c r="E92" s="6">
        <v>1609224</v>
      </c>
      <c r="F92" s="6" t="s">
        <v>16</v>
      </c>
      <c r="G92" s="6">
        <v>20326197</v>
      </c>
      <c r="H92" s="6" t="s">
        <v>333</v>
      </c>
      <c r="I92" s="6">
        <v>2</v>
      </c>
      <c r="J92" s="6" t="s">
        <v>124</v>
      </c>
      <c r="K92" s="20">
        <f t="shared" ref="K92:K96" si="4">M92/L92</f>
        <v>3</v>
      </c>
      <c r="L92" s="21">
        <v>4.4</v>
      </c>
      <c r="M92" s="21">
        <v>13.2</v>
      </c>
      <c r="N92" s="21">
        <v>26.4</v>
      </c>
    </row>
    <row r="93" spans="4:14">
      <c r="D93" s="18">
        <v>46177</v>
      </c>
      <c r="E93" s="6">
        <v>1609224</v>
      </c>
      <c r="F93" s="6" t="s">
        <v>16</v>
      </c>
      <c r="G93" s="6">
        <v>20358566</v>
      </c>
      <c r="H93" s="6" t="s">
        <v>334</v>
      </c>
      <c r="I93" s="6">
        <v>2</v>
      </c>
      <c r="J93" s="32" t="s">
        <v>28</v>
      </c>
      <c r="K93" s="20">
        <f t="shared" si="4"/>
        <v>4</v>
      </c>
      <c r="L93" s="21">
        <v>4.4</v>
      </c>
      <c r="M93" s="21">
        <v>17.6</v>
      </c>
      <c r="N93" s="21">
        <v>35.2</v>
      </c>
    </row>
    <row r="94" spans="4:14">
      <c r="D94" s="18">
        <v>46177</v>
      </c>
      <c r="E94" s="6">
        <v>1609224</v>
      </c>
      <c r="F94" s="6" t="s">
        <v>16</v>
      </c>
      <c r="G94" s="6">
        <v>20367310</v>
      </c>
      <c r="H94" s="6" t="s">
        <v>344</v>
      </c>
      <c r="I94" s="6">
        <v>2</v>
      </c>
      <c r="J94" s="19" t="s">
        <v>18</v>
      </c>
      <c r="K94" s="20">
        <v>1</v>
      </c>
      <c r="L94" s="21">
        <v>6.4</v>
      </c>
      <c r="M94" s="21">
        <v>6.4</v>
      </c>
      <c r="N94" s="21">
        <v>12.8</v>
      </c>
    </row>
    <row r="95" spans="4:14">
      <c r="D95" s="18">
        <v>46177</v>
      </c>
      <c r="E95" s="6">
        <v>1609224</v>
      </c>
      <c r="F95" s="6" t="s">
        <v>26</v>
      </c>
      <c r="G95" s="6">
        <v>20325204</v>
      </c>
      <c r="H95" s="6" t="s">
        <v>336</v>
      </c>
      <c r="I95" s="6">
        <v>2</v>
      </c>
      <c r="J95" s="32" t="s">
        <v>28</v>
      </c>
      <c r="K95" s="20">
        <f t="shared" si="4"/>
        <v>13</v>
      </c>
      <c r="L95" s="21">
        <v>4.4</v>
      </c>
      <c r="M95" s="21">
        <v>57.2</v>
      </c>
      <c r="N95" s="21">
        <v>114.4</v>
      </c>
    </row>
    <row r="96" spans="4:14">
      <c r="D96" s="18">
        <v>46177</v>
      </c>
      <c r="E96" s="6">
        <v>1609224</v>
      </c>
      <c r="F96" s="6" t="s">
        <v>16</v>
      </c>
      <c r="G96" s="6">
        <v>20325131</v>
      </c>
      <c r="H96" s="6" t="s">
        <v>337</v>
      </c>
      <c r="I96" s="6">
        <v>1</v>
      </c>
      <c r="J96" s="32" t="s">
        <v>28</v>
      </c>
      <c r="K96" s="20">
        <f t="shared" si="4"/>
        <v>8</v>
      </c>
      <c r="L96" s="21">
        <v>4.4</v>
      </c>
      <c r="M96" s="21">
        <v>35.2</v>
      </c>
      <c r="N96" s="21">
        <v>35.2</v>
      </c>
    </row>
    <row r="97" spans="4:14">
      <c r="D97" s="18">
        <v>46177</v>
      </c>
      <c r="E97" s="6">
        <v>1609359</v>
      </c>
      <c r="F97" s="19" t="s">
        <v>51</v>
      </c>
      <c r="G97" s="6">
        <v>20418592</v>
      </c>
      <c r="H97" s="6" t="s">
        <v>251</v>
      </c>
      <c r="I97" s="6">
        <v>2</v>
      </c>
      <c r="J97" s="32" t="s">
        <v>242</v>
      </c>
      <c r="K97" s="20">
        <v>1</v>
      </c>
      <c r="L97" s="21">
        <v>28</v>
      </c>
      <c r="M97" s="21">
        <v>28</v>
      </c>
      <c r="N97" s="21">
        <v>56</v>
      </c>
    </row>
    <row r="98" spans="4:14">
      <c r="D98" s="18">
        <v>46178</v>
      </c>
      <c r="E98" s="6">
        <v>1609422</v>
      </c>
      <c r="F98" s="6" t="s">
        <v>26</v>
      </c>
      <c r="G98" s="6">
        <v>20324463</v>
      </c>
      <c r="H98" s="6" t="s">
        <v>271</v>
      </c>
      <c r="I98" s="6">
        <v>1</v>
      </c>
      <c r="J98" s="32" t="s">
        <v>28</v>
      </c>
      <c r="K98" s="20">
        <f t="shared" ref="K98:K103" si="5">M98/L98</f>
        <v>35</v>
      </c>
      <c r="L98" s="21">
        <v>4.4</v>
      </c>
      <c r="M98" s="21">
        <v>154</v>
      </c>
      <c r="N98" s="21">
        <v>154</v>
      </c>
    </row>
    <row r="99" spans="4:14">
      <c r="D99" s="18">
        <v>46178</v>
      </c>
      <c r="E99" s="6">
        <v>1609422</v>
      </c>
      <c r="F99" s="6" t="s">
        <v>26</v>
      </c>
      <c r="G99" s="6">
        <v>20324028</v>
      </c>
      <c r="H99" s="6" t="s">
        <v>307</v>
      </c>
      <c r="I99" s="6">
        <v>1</v>
      </c>
      <c r="J99" s="32" t="s">
        <v>28</v>
      </c>
      <c r="K99" s="20">
        <f t="shared" si="5"/>
        <v>42</v>
      </c>
      <c r="L99" s="21">
        <v>4.4</v>
      </c>
      <c r="M99" s="21">
        <v>184.8</v>
      </c>
      <c r="N99" s="21">
        <v>184.8</v>
      </c>
    </row>
    <row r="100" spans="4:14">
      <c r="D100" s="18">
        <v>46178</v>
      </c>
      <c r="E100" s="6">
        <v>1609422</v>
      </c>
      <c r="F100" s="6" t="s">
        <v>26</v>
      </c>
      <c r="G100" s="6">
        <v>20336544</v>
      </c>
      <c r="H100" s="6" t="s">
        <v>332</v>
      </c>
      <c r="I100" s="6">
        <v>1</v>
      </c>
      <c r="J100" s="32" t="s">
        <v>28</v>
      </c>
      <c r="K100" s="20">
        <f t="shared" si="5"/>
        <v>19</v>
      </c>
      <c r="L100" s="21">
        <v>4.4</v>
      </c>
      <c r="M100" s="21">
        <v>83.6</v>
      </c>
      <c r="N100" s="21">
        <v>83.6</v>
      </c>
    </row>
    <row r="101" spans="4:14">
      <c r="D101" s="18">
        <v>46178</v>
      </c>
      <c r="E101" s="6">
        <v>1609422</v>
      </c>
      <c r="F101" s="6" t="s">
        <v>26</v>
      </c>
      <c r="G101" s="6">
        <v>20324043</v>
      </c>
      <c r="H101" s="6" t="s">
        <v>345</v>
      </c>
      <c r="I101" s="6">
        <v>1</v>
      </c>
      <c r="J101" s="32" t="s">
        <v>28</v>
      </c>
      <c r="K101" s="20">
        <f t="shared" si="5"/>
        <v>15</v>
      </c>
      <c r="L101" s="21">
        <v>4.4</v>
      </c>
      <c r="M101" s="21">
        <v>66</v>
      </c>
      <c r="N101" s="21">
        <v>66</v>
      </c>
    </row>
    <row r="102" spans="4:14">
      <c r="D102" s="18">
        <v>46178</v>
      </c>
      <c r="E102" s="6">
        <v>1609422</v>
      </c>
      <c r="F102" s="6" t="s">
        <v>26</v>
      </c>
      <c r="G102" s="6">
        <v>20324045</v>
      </c>
      <c r="H102" s="6" t="s">
        <v>266</v>
      </c>
      <c r="I102" s="6">
        <v>5</v>
      </c>
      <c r="J102" s="32" t="s">
        <v>28</v>
      </c>
      <c r="K102" s="20">
        <f t="shared" si="5"/>
        <v>19</v>
      </c>
      <c r="L102" s="21">
        <v>4.4</v>
      </c>
      <c r="M102" s="21">
        <v>83.6</v>
      </c>
      <c r="N102" s="21">
        <v>418</v>
      </c>
    </row>
    <row r="103" spans="4:14">
      <c r="D103" s="18">
        <v>46178</v>
      </c>
      <c r="E103" s="6">
        <v>1609422</v>
      </c>
      <c r="F103" s="6" t="s">
        <v>34</v>
      </c>
      <c r="G103" s="6">
        <v>20325528</v>
      </c>
      <c r="H103" s="6" t="s">
        <v>346</v>
      </c>
      <c r="I103" s="6">
        <v>1</v>
      </c>
      <c r="J103" s="32" t="s">
        <v>28</v>
      </c>
      <c r="K103" s="20">
        <f t="shared" si="5"/>
        <v>17</v>
      </c>
      <c r="L103" s="21">
        <v>4.4</v>
      </c>
      <c r="M103" s="21">
        <v>74.8</v>
      </c>
      <c r="N103" s="21">
        <v>74.8</v>
      </c>
    </row>
    <row r="104" spans="4:14">
      <c r="D104" s="18">
        <v>46178</v>
      </c>
      <c r="E104" s="6">
        <v>1609422</v>
      </c>
      <c r="F104" s="6" t="s">
        <v>16</v>
      </c>
      <c r="G104" s="6">
        <v>20326197</v>
      </c>
      <c r="H104" s="6" t="s">
        <v>333</v>
      </c>
      <c r="I104" s="6">
        <v>1</v>
      </c>
      <c r="J104" s="6" t="s">
        <v>124</v>
      </c>
      <c r="K104" s="20">
        <f t="shared" ref="K104:K108" si="6">M104/L104</f>
        <v>3</v>
      </c>
      <c r="L104" s="21">
        <v>4.4</v>
      </c>
      <c r="M104" s="21">
        <v>13.2</v>
      </c>
      <c r="N104" s="21">
        <v>13.2</v>
      </c>
    </row>
    <row r="105" spans="4:14">
      <c r="D105" s="18">
        <v>46178</v>
      </c>
      <c r="E105" s="6">
        <v>1609422</v>
      </c>
      <c r="F105" s="6" t="s">
        <v>16</v>
      </c>
      <c r="G105" s="6">
        <v>20358566</v>
      </c>
      <c r="H105" s="6" t="s">
        <v>334</v>
      </c>
      <c r="I105" s="6">
        <v>1</v>
      </c>
      <c r="J105" s="32" t="s">
        <v>28</v>
      </c>
      <c r="K105" s="20">
        <f t="shared" si="6"/>
        <v>4</v>
      </c>
      <c r="L105" s="21">
        <v>4.4</v>
      </c>
      <c r="M105" s="21">
        <v>17.6</v>
      </c>
      <c r="N105" s="21">
        <v>17.6</v>
      </c>
    </row>
    <row r="106" spans="4:14">
      <c r="D106" s="18">
        <v>46178</v>
      </c>
      <c r="E106" s="6">
        <v>1609422</v>
      </c>
      <c r="F106" s="6" t="s">
        <v>16</v>
      </c>
      <c r="G106" s="6">
        <v>20327777</v>
      </c>
      <c r="H106" s="6" t="s">
        <v>347</v>
      </c>
      <c r="I106" s="6">
        <v>1</v>
      </c>
      <c r="J106" s="6" t="s">
        <v>18</v>
      </c>
      <c r="K106" s="20">
        <v>1</v>
      </c>
      <c r="L106" s="21">
        <v>6.4</v>
      </c>
      <c r="M106" s="21">
        <v>10.8</v>
      </c>
      <c r="N106" s="21">
        <v>10.8</v>
      </c>
    </row>
    <row r="107" spans="4:14">
      <c r="D107" s="18"/>
      <c r="E107" s="6"/>
      <c r="F107" s="6"/>
      <c r="G107" s="6"/>
      <c r="H107" s="6"/>
      <c r="I107" s="6"/>
      <c r="J107" s="6" t="s">
        <v>124</v>
      </c>
      <c r="K107" s="20">
        <v>1</v>
      </c>
      <c r="L107" s="21">
        <v>4.4</v>
      </c>
      <c r="M107" s="21"/>
      <c r="N107" s="21"/>
    </row>
    <row r="108" spans="4:14">
      <c r="D108" s="18">
        <v>46178</v>
      </c>
      <c r="E108" s="6">
        <v>1609422</v>
      </c>
      <c r="F108" s="6" t="s">
        <v>16</v>
      </c>
      <c r="G108" s="6">
        <v>20324710</v>
      </c>
      <c r="H108" s="6" t="s">
        <v>348</v>
      </c>
      <c r="I108" s="6">
        <v>1</v>
      </c>
      <c r="J108" s="32" t="s">
        <v>28</v>
      </c>
      <c r="K108" s="20">
        <f t="shared" si="6"/>
        <v>4</v>
      </c>
      <c r="L108" s="21">
        <v>4.4</v>
      </c>
      <c r="M108" s="21">
        <v>17.6</v>
      </c>
      <c r="N108" s="21">
        <v>17.6</v>
      </c>
    </row>
    <row r="109" spans="4:14">
      <c r="D109" s="18">
        <v>46178</v>
      </c>
      <c r="E109" s="6">
        <v>1609422</v>
      </c>
      <c r="F109" s="6" t="s">
        <v>16</v>
      </c>
      <c r="G109" s="6">
        <v>20358758</v>
      </c>
      <c r="H109" s="6" t="s">
        <v>335</v>
      </c>
      <c r="I109" s="6">
        <v>1</v>
      </c>
      <c r="J109" s="19" t="s">
        <v>18</v>
      </c>
      <c r="K109" s="20">
        <v>1</v>
      </c>
      <c r="L109" s="21">
        <v>6.4</v>
      </c>
      <c r="M109" s="21">
        <v>6.4</v>
      </c>
      <c r="N109" s="21">
        <v>6.4</v>
      </c>
    </row>
    <row r="110" spans="4:14">
      <c r="D110" s="18">
        <v>46178</v>
      </c>
      <c r="E110" s="6">
        <v>1609422</v>
      </c>
      <c r="F110" s="6" t="s">
        <v>26</v>
      </c>
      <c r="G110" s="6">
        <v>20325204</v>
      </c>
      <c r="H110" s="6" t="s">
        <v>336</v>
      </c>
      <c r="I110" s="6">
        <v>1</v>
      </c>
      <c r="J110" s="32" t="s">
        <v>28</v>
      </c>
      <c r="K110" s="20">
        <f t="shared" ref="K110:K114" si="7">M110/L110</f>
        <v>13</v>
      </c>
      <c r="L110" s="21">
        <v>4.4</v>
      </c>
      <c r="M110" s="21">
        <v>57.2</v>
      </c>
      <c r="N110" s="21">
        <v>57.2</v>
      </c>
    </row>
    <row r="111" spans="4:14">
      <c r="D111" s="18">
        <v>46178</v>
      </c>
      <c r="E111" s="6">
        <v>1609422</v>
      </c>
      <c r="F111" s="6" t="s">
        <v>16</v>
      </c>
      <c r="G111" s="6">
        <v>20325131</v>
      </c>
      <c r="H111" s="6" t="s">
        <v>337</v>
      </c>
      <c r="I111" s="6">
        <v>1</v>
      </c>
      <c r="J111" s="32" t="s">
        <v>28</v>
      </c>
      <c r="K111" s="20">
        <f t="shared" si="7"/>
        <v>8</v>
      </c>
      <c r="L111" s="21">
        <v>4.4</v>
      </c>
      <c r="M111" s="21">
        <v>35.2</v>
      </c>
      <c r="N111" s="21">
        <v>35.2</v>
      </c>
    </row>
    <row r="112" spans="4:14">
      <c r="D112" s="18">
        <v>46178</v>
      </c>
      <c r="E112" s="6">
        <v>1609422</v>
      </c>
      <c r="F112" s="6" t="s">
        <v>16</v>
      </c>
      <c r="G112" s="6">
        <v>20324711</v>
      </c>
      <c r="H112" s="6" t="s">
        <v>349</v>
      </c>
      <c r="I112" s="6">
        <v>1</v>
      </c>
      <c r="J112" s="32" t="s">
        <v>28</v>
      </c>
      <c r="K112" s="20">
        <f t="shared" si="7"/>
        <v>14</v>
      </c>
      <c r="L112" s="21">
        <v>4.4</v>
      </c>
      <c r="M112" s="21">
        <v>61.6</v>
      </c>
      <c r="N112" s="21">
        <v>61.6</v>
      </c>
    </row>
    <row r="113" spans="4:14">
      <c r="D113" s="18">
        <v>46178</v>
      </c>
      <c r="E113" s="6">
        <v>1609422</v>
      </c>
      <c r="F113" s="6" t="s">
        <v>16</v>
      </c>
      <c r="G113" s="6">
        <v>20325759</v>
      </c>
      <c r="H113" s="6" t="s">
        <v>350</v>
      </c>
      <c r="I113" s="6">
        <v>1</v>
      </c>
      <c r="J113" s="32" t="s">
        <v>28</v>
      </c>
      <c r="K113" s="20">
        <f t="shared" si="7"/>
        <v>9</v>
      </c>
      <c r="L113" s="21">
        <v>4.4</v>
      </c>
      <c r="M113" s="21">
        <v>39.6</v>
      </c>
      <c r="N113" s="21">
        <v>39.6</v>
      </c>
    </row>
    <row r="114" spans="4:14">
      <c r="D114" s="18">
        <v>46178</v>
      </c>
      <c r="E114" s="6">
        <v>1609422</v>
      </c>
      <c r="F114" s="6" t="s">
        <v>16</v>
      </c>
      <c r="G114" s="6">
        <v>20324699</v>
      </c>
      <c r="H114" s="6" t="s">
        <v>268</v>
      </c>
      <c r="I114" s="6">
        <v>7</v>
      </c>
      <c r="J114" s="32" t="s">
        <v>28</v>
      </c>
      <c r="K114" s="20">
        <f t="shared" si="7"/>
        <v>5</v>
      </c>
      <c r="L114" s="21">
        <v>4.4</v>
      </c>
      <c r="M114" s="21">
        <v>22</v>
      </c>
      <c r="N114" s="21">
        <v>154</v>
      </c>
    </row>
    <row r="115" spans="4:14">
      <c r="D115" s="18">
        <v>46178</v>
      </c>
      <c r="E115" s="6">
        <v>1609519</v>
      </c>
      <c r="F115" s="6" t="s">
        <v>16</v>
      </c>
      <c r="G115" s="6">
        <v>20324643</v>
      </c>
      <c r="H115" s="6" t="s">
        <v>315</v>
      </c>
      <c r="I115" s="6">
        <v>1</v>
      </c>
      <c r="J115" s="33" t="s">
        <v>263</v>
      </c>
      <c r="K115" s="20">
        <v>1</v>
      </c>
      <c r="L115" s="21">
        <v>22.4</v>
      </c>
      <c r="M115" s="21">
        <v>22.4</v>
      </c>
      <c r="N115" s="21">
        <v>22.4</v>
      </c>
    </row>
    <row r="116" spans="4:14">
      <c r="D116" s="18">
        <v>46178</v>
      </c>
      <c r="E116" s="6">
        <v>1609519</v>
      </c>
      <c r="F116" s="6" t="s">
        <v>16</v>
      </c>
      <c r="G116" s="6">
        <v>20324637</v>
      </c>
      <c r="H116" s="6" t="s">
        <v>284</v>
      </c>
      <c r="I116" s="6">
        <v>1</v>
      </c>
      <c r="J116" s="33" t="s">
        <v>183</v>
      </c>
      <c r="K116" s="20">
        <v>1</v>
      </c>
      <c r="L116" s="21">
        <v>28</v>
      </c>
      <c r="M116" s="21">
        <v>28</v>
      </c>
      <c r="N116" s="21">
        <v>28</v>
      </c>
    </row>
    <row r="117" spans="4:14">
      <c r="D117" s="18">
        <v>46178</v>
      </c>
      <c r="E117" s="6">
        <v>1609519</v>
      </c>
      <c r="F117" s="6" t="s">
        <v>16</v>
      </c>
      <c r="G117" s="6">
        <v>20330449</v>
      </c>
      <c r="H117" s="6" t="s">
        <v>351</v>
      </c>
      <c r="I117" s="6">
        <v>1</v>
      </c>
      <c r="J117" s="33" t="s">
        <v>263</v>
      </c>
      <c r="K117" s="20">
        <v>1</v>
      </c>
      <c r="L117" s="21">
        <v>22.4</v>
      </c>
      <c r="M117" s="21">
        <v>22.4</v>
      </c>
      <c r="N117" s="21">
        <v>22.4</v>
      </c>
    </row>
    <row r="118" spans="4:14">
      <c r="D118" s="18">
        <v>46178</v>
      </c>
      <c r="E118" s="6">
        <v>1609519</v>
      </c>
      <c r="F118" s="6" t="s">
        <v>16</v>
      </c>
      <c r="G118" s="6">
        <v>20325443</v>
      </c>
      <c r="H118" s="6" t="s">
        <v>338</v>
      </c>
      <c r="I118" s="6">
        <v>2</v>
      </c>
      <c r="J118" s="33" t="s">
        <v>183</v>
      </c>
      <c r="K118" s="20">
        <v>1</v>
      </c>
      <c r="L118" s="21">
        <v>28</v>
      </c>
      <c r="M118" s="21">
        <v>28</v>
      </c>
      <c r="N118" s="21">
        <v>56</v>
      </c>
    </row>
    <row r="119" spans="4:14">
      <c r="D119" s="18">
        <v>46178</v>
      </c>
      <c r="E119" s="6">
        <v>1609519</v>
      </c>
      <c r="F119" s="6" t="s">
        <v>16</v>
      </c>
      <c r="G119" s="6">
        <v>20324645</v>
      </c>
      <c r="H119" s="6" t="s">
        <v>318</v>
      </c>
      <c r="I119" s="6">
        <v>1</v>
      </c>
      <c r="J119" s="33" t="s">
        <v>263</v>
      </c>
      <c r="K119" s="20">
        <v>1</v>
      </c>
      <c r="L119" s="21">
        <v>22.4</v>
      </c>
      <c r="M119" s="21">
        <v>22.4</v>
      </c>
      <c r="N119" s="21">
        <v>22.4</v>
      </c>
    </row>
    <row r="120" spans="4:14">
      <c r="D120" s="18">
        <v>46178</v>
      </c>
      <c r="E120" s="6">
        <v>1609519</v>
      </c>
      <c r="F120" s="6" t="s">
        <v>16</v>
      </c>
      <c r="G120" s="6">
        <v>20324636</v>
      </c>
      <c r="H120" s="6" t="s">
        <v>320</v>
      </c>
      <c r="I120" s="6">
        <v>1</v>
      </c>
      <c r="J120" s="33" t="s">
        <v>183</v>
      </c>
      <c r="K120" s="20">
        <v>1</v>
      </c>
      <c r="L120" s="21">
        <v>28</v>
      </c>
      <c r="M120" s="21">
        <v>28</v>
      </c>
      <c r="N120" s="21">
        <v>28</v>
      </c>
    </row>
    <row r="121" spans="4:14">
      <c r="D121" s="18">
        <v>46178</v>
      </c>
      <c r="E121" s="6">
        <v>1609519</v>
      </c>
      <c r="F121" s="6" t="s">
        <v>16</v>
      </c>
      <c r="G121" s="6">
        <v>20324642</v>
      </c>
      <c r="H121" s="6" t="s">
        <v>321</v>
      </c>
      <c r="I121" s="6">
        <v>1</v>
      </c>
      <c r="J121" s="32" t="s">
        <v>58</v>
      </c>
      <c r="K121" s="20">
        <v>1</v>
      </c>
      <c r="L121" s="21">
        <v>17.6</v>
      </c>
      <c r="M121" s="21">
        <v>17.6</v>
      </c>
      <c r="N121" s="21">
        <v>17.6</v>
      </c>
    </row>
    <row r="122" spans="4:14">
      <c r="D122" s="18">
        <v>46178</v>
      </c>
      <c r="E122" s="6">
        <v>1609519</v>
      </c>
      <c r="F122" s="6" t="s">
        <v>16</v>
      </c>
      <c r="G122" s="6">
        <v>20324732</v>
      </c>
      <c r="H122" s="6" t="s">
        <v>322</v>
      </c>
      <c r="I122" s="6">
        <v>1</v>
      </c>
      <c r="J122" s="33" t="s">
        <v>263</v>
      </c>
      <c r="K122" s="20">
        <v>1</v>
      </c>
      <c r="L122" s="21">
        <v>22.4</v>
      </c>
      <c r="M122" s="21">
        <v>22.4</v>
      </c>
      <c r="N122" s="21">
        <v>22.4</v>
      </c>
    </row>
    <row r="123" spans="4:14">
      <c r="D123" s="18">
        <v>46178</v>
      </c>
      <c r="E123" s="6">
        <v>1609519</v>
      </c>
      <c r="F123" s="6" t="s">
        <v>16</v>
      </c>
      <c r="G123" s="6">
        <v>20324644</v>
      </c>
      <c r="H123" s="6" t="s">
        <v>292</v>
      </c>
      <c r="I123" s="6">
        <v>1</v>
      </c>
      <c r="J123" s="33" t="s">
        <v>263</v>
      </c>
      <c r="K123" s="20">
        <v>1</v>
      </c>
      <c r="L123" s="21">
        <v>22.4</v>
      </c>
      <c r="M123" s="21">
        <v>22.4</v>
      </c>
      <c r="N123" s="21">
        <v>22.4</v>
      </c>
    </row>
    <row r="124" spans="4:14">
      <c r="D124" s="18">
        <v>46178</v>
      </c>
      <c r="E124" s="6">
        <v>1609519</v>
      </c>
      <c r="F124" s="6" t="s">
        <v>16</v>
      </c>
      <c r="G124" s="6">
        <v>20324814</v>
      </c>
      <c r="H124" s="6" t="s">
        <v>293</v>
      </c>
      <c r="I124" s="6">
        <v>1</v>
      </c>
      <c r="J124" s="33" t="s">
        <v>263</v>
      </c>
      <c r="K124" s="20">
        <v>1</v>
      </c>
      <c r="L124" s="21">
        <v>22.4</v>
      </c>
      <c r="M124" s="21">
        <v>22.4</v>
      </c>
      <c r="N124" s="21">
        <v>22.4</v>
      </c>
    </row>
    <row r="125" spans="4:14">
      <c r="D125" s="18">
        <v>46178</v>
      </c>
      <c r="E125" s="6">
        <v>1609519</v>
      </c>
      <c r="F125" s="6" t="s">
        <v>16</v>
      </c>
      <c r="G125" s="6">
        <v>20324646</v>
      </c>
      <c r="H125" s="6" t="s">
        <v>326</v>
      </c>
      <c r="I125" s="6">
        <v>1</v>
      </c>
      <c r="J125" s="32" t="s">
        <v>290</v>
      </c>
      <c r="K125" s="20">
        <v>1</v>
      </c>
      <c r="L125" s="21">
        <v>20</v>
      </c>
      <c r="M125" s="21">
        <v>20</v>
      </c>
      <c r="N125" s="21">
        <v>20</v>
      </c>
    </row>
    <row r="126" spans="4:14">
      <c r="D126" s="89">
        <v>46178</v>
      </c>
      <c r="E126" s="90">
        <v>1609519</v>
      </c>
      <c r="F126" s="90" t="s">
        <v>34</v>
      </c>
      <c r="G126" s="90">
        <v>20324638</v>
      </c>
      <c r="H126" s="90" t="s">
        <v>327</v>
      </c>
      <c r="I126" s="90">
        <v>1</v>
      </c>
      <c r="J126" s="33" t="s">
        <v>328</v>
      </c>
      <c r="K126" s="20" t="s">
        <v>329</v>
      </c>
      <c r="L126" s="21">
        <v>22.4</v>
      </c>
      <c r="M126" s="21">
        <f>L126+L127</f>
        <v>30.4</v>
      </c>
      <c r="N126" s="93">
        <f>M126*I126</f>
        <v>30.4</v>
      </c>
    </row>
    <row r="127" spans="4:14">
      <c r="D127" s="91"/>
      <c r="E127" s="92"/>
      <c r="F127" s="92"/>
      <c r="G127" s="92"/>
      <c r="H127" s="92"/>
      <c r="I127" s="92"/>
      <c r="J127" s="6" t="s">
        <v>330</v>
      </c>
      <c r="K127" s="20" t="s">
        <v>329</v>
      </c>
      <c r="L127" s="21">
        <v>8</v>
      </c>
      <c r="M127" s="21"/>
      <c r="N127" s="36"/>
    </row>
    <row r="128" spans="4:14">
      <c r="D128" s="18">
        <v>46178</v>
      </c>
      <c r="E128" s="6">
        <v>1609754</v>
      </c>
      <c r="F128" s="6" t="s">
        <v>240</v>
      </c>
      <c r="G128" s="6">
        <v>20352875</v>
      </c>
      <c r="H128" s="6" t="s">
        <v>352</v>
      </c>
      <c r="I128" s="6">
        <v>1</v>
      </c>
      <c r="J128" s="32" t="s">
        <v>242</v>
      </c>
      <c r="K128" s="20">
        <v>1</v>
      </c>
      <c r="L128" s="21">
        <v>28</v>
      </c>
      <c r="M128" s="21">
        <v>28</v>
      </c>
      <c r="N128" s="21">
        <v>28</v>
      </c>
    </row>
    <row r="129" spans="4:14">
      <c r="D129" s="18">
        <v>46178</v>
      </c>
      <c r="E129" s="6">
        <v>1609754</v>
      </c>
      <c r="F129" s="6" t="s">
        <v>240</v>
      </c>
      <c r="G129" s="6">
        <v>20424838</v>
      </c>
      <c r="H129" s="6" t="s">
        <v>258</v>
      </c>
      <c r="I129" s="6">
        <v>1</v>
      </c>
      <c r="J129" s="32" t="s">
        <v>242</v>
      </c>
      <c r="K129" s="20">
        <v>1</v>
      </c>
      <c r="L129" s="21">
        <v>28</v>
      </c>
      <c r="M129" s="21">
        <v>28</v>
      </c>
      <c r="N129" s="21">
        <v>28</v>
      </c>
    </row>
    <row r="130" spans="4:14">
      <c r="D130" s="18">
        <v>46178</v>
      </c>
      <c r="E130" s="6">
        <v>1609754</v>
      </c>
      <c r="F130" s="6" t="s">
        <v>240</v>
      </c>
      <c r="G130" s="6">
        <v>20418592</v>
      </c>
      <c r="H130" s="6" t="s">
        <v>251</v>
      </c>
      <c r="I130" s="6">
        <v>3</v>
      </c>
      <c r="J130" s="32" t="s">
        <v>242</v>
      </c>
      <c r="K130" s="20">
        <v>1</v>
      </c>
      <c r="L130" s="21">
        <v>28</v>
      </c>
      <c r="M130" s="21">
        <v>28</v>
      </c>
      <c r="N130" s="21">
        <v>84</v>
      </c>
    </row>
    <row r="131" spans="4:14">
      <c r="D131" s="18">
        <v>46178</v>
      </c>
      <c r="E131" s="6">
        <v>1609801</v>
      </c>
      <c r="F131" s="6" t="s">
        <v>26</v>
      </c>
      <c r="G131" s="6">
        <v>20324463</v>
      </c>
      <c r="H131" s="6" t="s">
        <v>271</v>
      </c>
      <c r="I131" s="6">
        <v>3</v>
      </c>
      <c r="J131" s="32" t="s">
        <v>28</v>
      </c>
      <c r="K131" s="20">
        <f t="shared" ref="K131:K134" si="8">M131/L131</f>
        <v>35</v>
      </c>
      <c r="L131" s="21">
        <v>4.4</v>
      </c>
      <c r="M131" s="21">
        <v>154</v>
      </c>
      <c r="N131" s="21">
        <v>462</v>
      </c>
    </row>
    <row r="132" spans="4:14">
      <c r="D132" s="18">
        <v>46178</v>
      </c>
      <c r="E132" s="6">
        <v>1609801</v>
      </c>
      <c r="F132" s="6" t="s">
        <v>26</v>
      </c>
      <c r="G132" s="6">
        <v>20324045</v>
      </c>
      <c r="H132" s="6" t="s">
        <v>266</v>
      </c>
      <c r="I132" s="6">
        <v>4</v>
      </c>
      <c r="J132" s="32" t="s">
        <v>28</v>
      </c>
      <c r="K132" s="20">
        <f t="shared" si="8"/>
        <v>19</v>
      </c>
      <c r="L132" s="21">
        <v>4.4</v>
      </c>
      <c r="M132" s="21">
        <v>83.6</v>
      </c>
      <c r="N132" s="21">
        <v>334.4</v>
      </c>
    </row>
    <row r="133" spans="4:14">
      <c r="D133" s="18">
        <v>46178</v>
      </c>
      <c r="E133" s="6">
        <v>1609801</v>
      </c>
      <c r="F133" s="6" t="s">
        <v>16</v>
      </c>
      <c r="G133" s="6">
        <v>20324699</v>
      </c>
      <c r="H133" s="6" t="s">
        <v>268</v>
      </c>
      <c r="I133" s="6">
        <v>6</v>
      </c>
      <c r="J133" s="32" t="s">
        <v>28</v>
      </c>
      <c r="K133" s="20">
        <f t="shared" si="8"/>
        <v>5</v>
      </c>
      <c r="L133" s="21">
        <v>4.4</v>
      </c>
      <c r="M133" s="21">
        <v>22</v>
      </c>
      <c r="N133" s="21">
        <v>132</v>
      </c>
    </row>
    <row r="134" spans="4:14">
      <c r="D134" s="18">
        <v>46178</v>
      </c>
      <c r="E134" s="6">
        <v>1609801</v>
      </c>
      <c r="F134" s="6" t="s">
        <v>16</v>
      </c>
      <c r="G134" s="6">
        <v>20428710</v>
      </c>
      <c r="H134" s="6" t="s">
        <v>353</v>
      </c>
      <c r="I134" s="6">
        <v>2</v>
      </c>
      <c r="J134" s="32" t="s">
        <v>28</v>
      </c>
      <c r="K134" s="20">
        <f t="shared" si="8"/>
        <v>4</v>
      </c>
      <c r="L134" s="21">
        <v>4.4</v>
      </c>
      <c r="M134" s="21">
        <v>17.6</v>
      </c>
      <c r="N134" s="21">
        <v>35.2</v>
      </c>
    </row>
    <row r="135" spans="4:14">
      <c r="D135" s="18">
        <v>46178</v>
      </c>
      <c r="E135" s="6">
        <v>1609801</v>
      </c>
      <c r="F135" s="6" t="s">
        <v>51</v>
      </c>
      <c r="G135" s="6">
        <v>20354932</v>
      </c>
      <c r="H135" s="6" t="s">
        <v>210</v>
      </c>
      <c r="I135" s="6">
        <v>12</v>
      </c>
      <c r="J135" s="33" t="s">
        <v>86</v>
      </c>
      <c r="K135" s="20">
        <v>1</v>
      </c>
      <c r="L135" s="21">
        <v>3.2</v>
      </c>
      <c r="M135" s="21">
        <v>3.2</v>
      </c>
      <c r="N135" s="21">
        <v>38.4</v>
      </c>
    </row>
    <row r="136" spans="4:14">
      <c r="D136" s="18">
        <v>46179</v>
      </c>
      <c r="E136" s="6">
        <v>1609863</v>
      </c>
      <c r="F136" s="6" t="s">
        <v>26</v>
      </c>
      <c r="G136" s="6">
        <v>20324474</v>
      </c>
      <c r="H136" s="6" t="s">
        <v>354</v>
      </c>
      <c r="I136" s="6">
        <v>1</v>
      </c>
      <c r="J136" s="32" t="s">
        <v>28</v>
      </c>
      <c r="K136" s="20">
        <f t="shared" ref="K136:K141" si="9">M136/L136</f>
        <v>72</v>
      </c>
      <c r="L136" s="21">
        <v>4.4</v>
      </c>
      <c r="M136" s="21">
        <v>316.8</v>
      </c>
      <c r="N136" s="21">
        <v>316.8</v>
      </c>
    </row>
    <row r="137" spans="4:14">
      <c r="D137" s="18">
        <v>46179</v>
      </c>
      <c r="E137" s="6">
        <v>1609863</v>
      </c>
      <c r="F137" s="6" t="s">
        <v>26</v>
      </c>
      <c r="G137" s="6">
        <v>20324043</v>
      </c>
      <c r="H137" s="6" t="s">
        <v>345</v>
      </c>
      <c r="I137" s="6">
        <v>1</v>
      </c>
      <c r="J137" s="32" t="s">
        <v>28</v>
      </c>
      <c r="K137" s="20">
        <f t="shared" si="9"/>
        <v>15</v>
      </c>
      <c r="L137" s="21">
        <v>4.4</v>
      </c>
      <c r="M137" s="21">
        <v>66</v>
      </c>
      <c r="N137" s="21">
        <v>66</v>
      </c>
    </row>
    <row r="138" spans="4:14">
      <c r="D138" s="18">
        <v>46179</v>
      </c>
      <c r="E138" s="6">
        <v>1609863</v>
      </c>
      <c r="F138" s="6" t="s">
        <v>16</v>
      </c>
      <c r="G138" s="6">
        <v>20327777</v>
      </c>
      <c r="H138" s="6" t="s">
        <v>347</v>
      </c>
      <c r="I138" s="6">
        <v>1</v>
      </c>
      <c r="J138" s="6" t="s">
        <v>18</v>
      </c>
      <c r="K138" s="20">
        <v>1</v>
      </c>
      <c r="L138" s="21">
        <v>6.4</v>
      </c>
      <c r="M138" s="21">
        <v>10.8</v>
      </c>
      <c r="N138" s="21">
        <v>10.8</v>
      </c>
    </row>
    <row r="139" spans="4:14">
      <c r="D139" s="18"/>
      <c r="E139" s="6"/>
      <c r="F139" s="6"/>
      <c r="G139" s="6"/>
      <c r="H139" s="6"/>
      <c r="I139" s="6"/>
      <c r="J139" s="6" t="s">
        <v>124</v>
      </c>
      <c r="K139" s="20">
        <v>1</v>
      </c>
      <c r="L139" s="21">
        <v>4.4</v>
      </c>
      <c r="M139" s="21"/>
      <c r="N139" s="21"/>
    </row>
    <row r="140" spans="4:14">
      <c r="D140" s="18">
        <v>46179</v>
      </c>
      <c r="E140" s="6">
        <v>1609863</v>
      </c>
      <c r="F140" s="6" t="s">
        <v>16</v>
      </c>
      <c r="G140" s="6">
        <v>20329152</v>
      </c>
      <c r="H140" s="6" t="s">
        <v>311</v>
      </c>
      <c r="I140" s="6">
        <v>1</v>
      </c>
      <c r="J140" s="32" t="s">
        <v>28</v>
      </c>
      <c r="K140" s="20">
        <f t="shared" si="9"/>
        <v>11</v>
      </c>
      <c r="L140" s="21">
        <v>4.4</v>
      </c>
      <c r="M140" s="21">
        <v>48.4</v>
      </c>
      <c r="N140" s="21">
        <v>48.4</v>
      </c>
    </row>
    <row r="141" spans="4:14">
      <c r="D141" s="18">
        <v>46179</v>
      </c>
      <c r="E141" s="6">
        <v>1609863</v>
      </c>
      <c r="F141" s="6" t="s">
        <v>16</v>
      </c>
      <c r="G141" s="6">
        <v>20324699</v>
      </c>
      <c r="H141" s="6" t="s">
        <v>268</v>
      </c>
      <c r="I141" s="6">
        <v>2</v>
      </c>
      <c r="J141" s="32" t="s">
        <v>28</v>
      </c>
      <c r="K141" s="20">
        <f t="shared" si="9"/>
        <v>5</v>
      </c>
      <c r="L141" s="21">
        <v>4.4</v>
      </c>
      <c r="M141" s="21">
        <v>22</v>
      </c>
      <c r="N141" s="21">
        <v>44</v>
      </c>
    </row>
    <row r="142" spans="4:14">
      <c r="D142" s="18">
        <v>46179</v>
      </c>
      <c r="E142" s="6">
        <v>1609899</v>
      </c>
      <c r="F142" s="6" t="s">
        <v>16</v>
      </c>
      <c r="G142" s="6">
        <v>20324643</v>
      </c>
      <c r="H142" s="6" t="s">
        <v>315</v>
      </c>
      <c r="I142" s="6">
        <v>3</v>
      </c>
      <c r="J142" s="33" t="s">
        <v>263</v>
      </c>
      <c r="K142" s="20">
        <v>1</v>
      </c>
      <c r="L142" s="21">
        <v>22.4</v>
      </c>
      <c r="M142" s="21">
        <v>22.4</v>
      </c>
      <c r="N142" s="21">
        <v>67.2</v>
      </c>
    </row>
    <row r="143" spans="4:14">
      <c r="D143" s="18">
        <v>46179</v>
      </c>
      <c r="E143" s="6">
        <v>1609899</v>
      </c>
      <c r="F143" s="6" t="s">
        <v>16</v>
      </c>
      <c r="G143" s="6">
        <v>20324637</v>
      </c>
      <c r="H143" s="6" t="s">
        <v>284</v>
      </c>
      <c r="I143" s="6">
        <v>2</v>
      </c>
      <c r="J143" s="33" t="s">
        <v>183</v>
      </c>
      <c r="K143" s="20">
        <v>1</v>
      </c>
      <c r="L143" s="21">
        <v>28</v>
      </c>
      <c r="M143" s="21">
        <v>28</v>
      </c>
      <c r="N143" s="21">
        <v>56</v>
      </c>
    </row>
    <row r="144" spans="4:14">
      <c r="D144" s="18">
        <v>46179</v>
      </c>
      <c r="E144" s="6">
        <v>1609899</v>
      </c>
      <c r="F144" s="6" t="s">
        <v>16</v>
      </c>
      <c r="G144" s="6">
        <v>20330449</v>
      </c>
      <c r="H144" s="6" t="s">
        <v>351</v>
      </c>
      <c r="I144" s="6">
        <v>2</v>
      </c>
      <c r="J144" s="33" t="s">
        <v>263</v>
      </c>
      <c r="K144" s="20">
        <v>1</v>
      </c>
      <c r="L144" s="21">
        <v>22.4</v>
      </c>
      <c r="M144" s="21">
        <v>22.4</v>
      </c>
      <c r="N144" s="21">
        <v>44.8</v>
      </c>
    </row>
    <row r="145" spans="4:14">
      <c r="D145" s="18">
        <v>46179</v>
      </c>
      <c r="E145" s="6">
        <v>1609899</v>
      </c>
      <c r="F145" s="6" t="s">
        <v>16</v>
      </c>
      <c r="G145" s="6">
        <v>20382023</v>
      </c>
      <c r="H145" s="6" t="s">
        <v>355</v>
      </c>
      <c r="I145" s="6">
        <v>1</v>
      </c>
      <c r="J145" s="32" t="s">
        <v>58</v>
      </c>
      <c r="K145" s="20">
        <v>1</v>
      </c>
      <c r="L145" s="21">
        <v>17.6</v>
      </c>
      <c r="M145" s="21">
        <v>17.6</v>
      </c>
      <c r="N145" s="21">
        <v>17.6</v>
      </c>
    </row>
    <row r="146" spans="4:14">
      <c r="D146" s="18">
        <v>46179</v>
      </c>
      <c r="E146" s="6">
        <v>1609899</v>
      </c>
      <c r="F146" s="6" t="s">
        <v>16</v>
      </c>
      <c r="G146" s="6">
        <v>20329253</v>
      </c>
      <c r="H146" s="6" t="s">
        <v>316</v>
      </c>
      <c r="I146" s="6">
        <v>2</v>
      </c>
      <c r="J146" s="32" t="s">
        <v>58</v>
      </c>
      <c r="K146" s="20">
        <v>1</v>
      </c>
      <c r="L146" s="21">
        <v>17.6</v>
      </c>
      <c r="M146" s="21">
        <v>17.6</v>
      </c>
      <c r="N146" s="21">
        <v>35.2</v>
      </c>
    </row>
    <row r="147" spans="4:14">
      <c r="D147" s="18">
        <v>46179</v>
      </c>
      <c r="E147" s="6">
        <v>1609899</v>
      </c>
      <c r="F147" s="6" t="s">
        <v>16</v>
      </c>
      <c r="G147" s="6">
        <v>20324822</v>
      </c>
      <c r="H147" s="6" t="s">
        <v>317</v>
      </c>
      <c r="I147" s="6">
        <v>3</v>
      </c>
      <c r="J147" s="33" t="s">
        <v>183</v>
      </c>
      <c r="K147" s="20">
        <v>1</v>
      </c>
      <c r="L147" s="21">
        <v>28</v>
      </c>
      <c r="M147" s="21">
        <v>28</v>
      </c>
      <c r="N147" s="21">
        <v>84</v>
      </c>
    </row>
    <row r="148" spans="4:14">
      <c r="D148" s="18">
        <v>46179</v>
      </c>
      <c r="E148" s="6">
        <v>1609899</v>
      </c>
      <c r="F148" s="6" t="s">
        <v>16</v>
      </c>
      <c r="G148" s="6">
        <v>20354181</v>
      </c>
      <c r="H148" s="6" t="s">
        <v>356</v>
      </c>
      <c r="I148" s="6">
        <v>1</v>
      </c>
      <c r="J148" s="33" t="s">
        <v>48</v>
      </c>
      <c r="K148" s="20" t="s">
        <v>49</v>
      </c>
      <c r="L148" s="21">
        <v>240</v>
      </c>
      <c r="M148" s="21">
        <v>240</v>
      </c>
      <c r="N148" s="21">
        <v>240</v>
      </c>
    </row>
    <row r="149" spans="4:14">
      <c r="D149" s="18">
        <v>46179</v>
      </c>
      <c r="E149" s="6">
        <v>1609899</v>
      </c>
      <c r="F149" s="6" t="s">
        <v>16</v>
      </c>
      <c r="G149" s="6">
        <v>20324645</v>
      </c>
      <c r="H149" s="6" t="s">
        <v>318</v>
      </c>
      <c r="I149" s="6">
        <v>3</v>
      </c>
      <c r="J149" s="33" t="s">
        <v>263</v>
      </c>
      <c r="K149" s="20">
        <v>1</v>
      </c>
      <c r="L149" s="21">
        <v>22.4</v>
      </c>
      <c r="M149" s="21">
        <v>22.4</v>
      </c>
      <c r="N149" s="21">
        <v>67.2</v>
      </c>
    </row>
    <row r="150" spans="4:14">
      <c r="D150" s="18">
        <v>46179</v>
      </c>
      <c r="E150" s="6">
        <v>1609899</v>
      </c>
      <c r="F150" s="6" t="s">
        <v>16</v>
      </c>
      <c r="G150" s="6">
        <v>20329652</v>
      </c>
      <c r="H150" s="6" t="s">
        <v>357</v>
      </c>
      <c r="I150" s="6">
        <v>1</v>
      </c>
      <c r="J150" s="33" t="s">
        <v>263</v>
      </c>
      <c r="K150" s="20">
        <v>1</v>
      </c>
      <c r="L150" s="21">
        <v>22.4</v>
      </c>
      <c r="M150" s="21">
        <v>22.4</v>
      </c>
      <c r="N150" s="21">
        <v>22.4</v>
      </c>
    </row>
    <row r="151" spans="4:14">
      <c r="D151" s="18">
        <v>46179</v>
      </c>
      <c r="E151" s="6">
        <v>1609899</v>
      </c>
      <c r="F151" s="6" t="s">
        <v>16</v>
      </c>
      <c r="G151" s="6">
        <v>20324723</v>
      </c>
      <c r="H151" s="6" t="s">
        <v>275</v>
      </c>
      <c r="I151" s="6">
        <v>2</v>
      </c>
      <c r="J151" s="33" t="s">
        <v>263</v>
      </c>
      <c r="K151" s="20">
        <v>1</v>
      </c>
      <c r="L151" s="21">
        <v>22.4</v>
      </c>
      <c r="M151" s="21">
        <v>22.4</v>
      </c>
      <c r="N151" s="21">
        <v>44.8</v>
      </c>
    </row>
    <row r="152" spans="4:14">
      <c r="D152" s="18">
        <v>46179</v>
      </c>
      <c r="E152" s="6">
        <v>1609899</v>
      </c>
      <c r="F152" s="6" t="s">
        <v>16</v>
      </c>
      <c r="G152" s="6">
        <v>20324636</v>
      </c>
      <c r="H152" s="6" t="s">
        <v>320</v>
      </c>
      <c r="I152" s="6">
        <v>3</v>
      </c>
      <c r="J152" s="33" t="s">
        <v>183</v>
      </c>
      <c r="K152" s="20">
        <v>1</v>
      </c>
      <c r="L152" s="21">
        <v>28</v>
      </c>
      <c r="M152" s="21">
        <v>28</v>
      </c>
      <c r="N152" s="21">
        <v>84</v>
      </c>
    </row>
    <row r="153" spans="4:14">
      <c r="D153" s="18">
        <v>46179</v>
      </c>
      <c r="E153" s="6">
        <v>1609899</v>
      </c>
      <c r="F153" s="6" t="s">
        <v>16</v>
      </c>
      <c r="G153" s="6">
        <v>20324642</v>
      </c>
      <c r="H153" s="6" t="s">
        <v>321</v>
      </c>
      <c r="I153" s="6">
        <v>1</v>
      </c>
      <c r="J153" s="32" t="s">
        <v>58</v>
      </c>
      <c r="K153" s="20">
        <v>1</v>
      </c>
      <c r="L153" s="21">
        <v>17.6</v>
      </c>
      <c r="M153" s="21">
        <v>17.6</v>
      </c>
      <c r="N153" s="21">
        <v>17.6</v>
      </c>
    </row>
    <row r="154" spans="4:14">
      <c r="D154" s="18">
        <v>46179</v>
      </c>
      <c r="E154" s="6">
        <v>1609899</v>
      </c>
      <c r="F154" s="6" t="s">
        <v>16</v>
      </c>
      <c r="G154" s="6">
        <v>20324732</v>
      </c>
      <c r="H154" s="6" t="s">
        <v>322</v>
      </c>
      <c r="I154" s="6">
        <v>2</v>
      </c>
      <c r="J154" s="33" t="s">
        <v>263</v>
      </c>
      <c r="K154" s="20">
        <v>1</v>
      </c>
      <c r="L154" s="21">
        <v>22.4</v>
      </c>
      <c r="M154" s="21">
        <v>22.4</v>
      </c>
      <c r="N154" s="21">
        <v>44.8</v>
      </c>
    </row>
    <row r="155" spans="4:14">
      <c r="D155" s="18">
        <v>46179</v>
      </c>
      <c r="E155" s="6">
        <v>1609899</v>
      </c>
      <c r="F155" s="6" t="s">
        <v>16</v>
      </c>
      <c r="G155" s="6">
        <v>20324644</v>
      </c>
      <c r="H155" s="6" t="s">
        <v>292</v>
      </c>
      <c r="I155" s="6">
        <v>5</v>
      </c>
      <c r="J155" s="33" t="s">
        <v>263</v>
      </c>
      <c r="K155" s="20">
        <v>1</v>
      </c>
      <c r="L155" s="21">
        <v>22.4</v>
      </c>
      <c r="M155" s="21">
        <v>22.4</v>
      </c>
      <c r="N155" s="21">
        <v>112</v>
      </c>
    </row>
    <row r="156" spans="4:14">
      <c r="D156" s="18">
        <v>46179</v>
      </c>
      <c r="E156" s="6">
        <v>1609899</v>
      </c>
      <c r="F156" s="6" t="s">
        <v>16</v>
      </c>
      <c r="G156" s="6">
        <v>20324814</v>
      </c>
      <c r="H156" s="6" t="s">
        <v>293</v>
      </c>
      <c r="I156" s="6">
        <v>3</v>
      </c>
      <c r="J156" s="33" t="s">
        <v>263</v>
      </c>
      <c r="K156" s="20">
        <v>1</v>
      </c>
      <c r="L156" s="21">
        <v>22.4</v>
      </c>
      <c r="M156" s="21">
        <v>22.4</v>
      </c>
      <c r="N156" s="21">
        <v>67.2</v>
      </c>
    </row>
    <row r="157" spans="4:14">
      <c r="D157" s="18">
        <v>46179</v>
      </c>
      <c r="E157" s="6">
        <v>1609899</v>
      </c>
      <c r="F157" s="6" t="s">
        <v>16</v>
      </c>
      <c r="G157" s="6">
        <v>20324646</v>
      </c>
      <c r="H157" s="6" t="s">
        <v>326</v>
      </c>
      <c r="I157" s="6">
        <v>3</v>
      </c>
      <c r="J157" s="32" t="s">
        <v>290</v>
      </c>
      <c r="K157" s="20">
        <v>1</v>
      </c>
      <c r="L157" s="21">
        <v>20</v>
      </c>
      <c r="M157" s="21">
        <v>20</v>
      </c>
      <c r="N157" s="21">
        <v>60</v>
      </c>
    </row>
    <row r="158" spans="4:14">
      <c r="D158" s="89">
        <v>46179</v>
      </c>
      <c r="E158" s="90">
        <v>1609899</v>
      </c>
      <c r="F158" s="90" t="s">
        <v>34</v>
      </c>
      <c r="G158" s="90">
        <v>20324638</v>
      </c>
      <c r="H158" s="90" t="s">
        <v>327</v>
      </c>
      <c r="I158" s="90">
        <v>1</v>
      </c>
      <c r="J158" s="33" t="s">
        <v>328</v>
      </c>
      <c r="K158" s="20" t="s">
        <v>329</v>
      </c>
      <c r="L158" s="21">
        <v>22.4</v>
      </c>
      <c r="M158" s="21">
        <f>L158+L159</f>
        <v>30.4</v>
      </c>
      <c r="N158" s="93">
        <f>M158*I158</f>
        <v>30.4</v>
      </c>
    </row>
    <row r="159" spans="4:14">
      <c r="D159" s="91"/>
      <c r="E159" s="92"/>
      <c r="F159" s="92"/>
      <c r="G159" s="92"/>
      <c r="H159" s="92"/>
      <c r="I159" s="92"/>
      <c r="J159" s="6" t="s">
        <v>330</v>
      </c>
      <c r="K159" s="20" t="s">
        <v>329</v>
      </c>
      <c r="L159" s="21">
        <v>8</v>
      </c>
      <c r="M159" s="21"/>
      <c r="N159" s="36"/>
    </row>
    <row r="160" spans="4:14">
      <c r="D160" s="18">
        <v>46180</v>
      </c>
      <c r="E160" s="6">
        <v>1610029</v>
      </c>
      <c r="F160" s="6" t="s">
        <v>26</v>
      </c>
      <c r="G160" s="6">
        <v>20324463</v>
      </c>
      <c r="H160" s="6" t="s">
        <v>271</v>
      </c>
      <c r="I160" s="6">
        <v>1</v>
      </c>
      <c r="J160" s="32" t="s">
        <v>28</v>
      </c>
      <c r="K160" s="20">
        <f>M160/L160</f>
        <v>35</v>
      </c>
      <c r="L160" s="21">
        <v>4.4</v>
      </c>
      <c r="M160" s="21">
        <v>154</v>
      </c>
      <c r="N160" s="21">
        <v>154</v>
      </c>
    </row>
    <row r="161" spans="4:14">
      <c r="D161" s="18">
        <v>46180</v>
      </c>
      <c r="E161" s="6">
        <v>1610029</v>
      </c>
      <c r="F161" s="6" t="s">
        <v>16</v>
      </c>
      <c r="G161" s="6">
        <v>20324699</v>
      </c>
      <c r="H161" s="6" t="s">
        <v>268</v>
      </c>
      <c r="I161" s="6">
        <v>1</v>
      </c>
      <c r="J161" s="32" t="s">
        <v>28</v>
      </c>
      <c r="K161" s="20">
        <f>M161/L161</f>
        <v>5</v>
      </c>
      <c r="L161" s="21">
        <v>4.4</v>
      </c>
      <c r="M161" s="21">
        <v>22</v>
      </c>
      <c r="N161" s="21">
        <v>22</v>
      </c>
    </row>
    <row r="162" spans="4:14">
      <c r="D162" s="18">
        <v>46180</v>
      </c>
      <c r="E162" s="6">
        <v>1610032</v>
      </c>
      <c r="F162" s="6" t="s">
        <v>358</v>
      </c>
      <c r="G162" s="6">
        <v>20328267</v>
      </c>
      <c r="H162" s="6" t="s">
        <v>359</v>
      </c>
      <c r="I162" s="6">
        <v>1</v>
      </c>
      <c r="J162" s="33" t="s">
        <v>263</v>
      </c>
      <c r="K162" s="20">
        <v>1</v>
      </c>
      <c r="L162" s="21">
        <v>22.4</v>
      </c>
      <c r="M162" s="21">
        <v>22.4</v>
      </c>
      <c r="N162" s="21">
        <v>22.4</v>
      </c>
    </row>
    <row r="163" spans="4:14">
      <c r="D163" s="18">
        <v>46180</v>
      </c>
      <c r="E163" s="6">
        <v>1610032</v>
      </c>
      <c r="F163" s="6" t="s">
        <v>358</v>
      </c>
      <c r="G163" s="6">
        <v>20357239</v>
      </c>
      <c r="H163" s="6" t="s">
        <v>274</v>
      </c>
      <c r="I163" s="6">
        <v>1</v>
      </c>
      <c r="J163" s="33" t="s">
        <v>183</v>
      </c>
      <c r="K163" s="20">
        <v>1</v>
      </c>
      <c r="L163" s="21">
        <v>28</v>
      </c>
      <c r="M163" s="21">
        <v>28</v>
      </c>
      <c r="N163" s="21">
        <v>28</v>
      </c>
    </row>
    <row r="164" spans="4:14">
      <c r="D164" s="18">
        <v>46180</v>
      </c>
      <c r="E164" s="6">
        <v>1610032</v>
      </c>
      <c r="F164" s="6" t="s">
        <v>358</v>
      </c>
      <c r="G164" s="6">
        <v>20345154</v>
      </c>
      <c r="H164" s="6" t="s">
        <v>360</v>
      </c>
      <c r="I164" s="6">
        <v>1</v>
      </c>
      <c r="J164" s="33" t="s">
        <v>263</v>
      </c>
      <c r="K164" s="20">
        <v>1</v>
      </c>
      <c r="L164" s="21">
        <v>22.4</v>
      </c>
      <c r="M164" s="21">
        <v>22.4</v>
      </c>
      <c r="N164" s="21">
        <v>22.4</v>
      </c>
    </row>
    <row r="165" spans="4:14">
      <c r="D165" s="18">
        <v>46180</v>
      </c>
      <c r="E165" s="6">
        <v>1610032</v>
      </c>
      <c r="F165" s="6" t="s">
        <v>358</v>
      </c>
      <c r="G165" s="6">
        <v>20382055</v>
      </c>
      <c r="H165" s="6" t="s">
        <v>275</v>
      </c>
      <c r="I165" s="6">
        <v>1</v>
      </c>
      <c r="J165" s="32" t="s">
        <v>58</v>
      </c>
      <c r="K165" s="20">
        <v>1</v>
      </c>
      <c r="L165" s="21">
        <v>17.6</v>
      </c>
      <c r="M165" s="21">
        <v>17.6</v>
      </c>
      <c r="N165" s="21">
        <v>17.6</v>
      </c>
    </row>
    <row r="166" spans="4:14">
      <c r="D166" s="18">
        <v>46180</v>
      </c>
      <c r="E166" s="6">
        <v>1610032</v>
      </c>
      <c r="F166" s="6" t="s">
        <v>358</v>
      </c>
      <c r="G166" s="6">
        <v>20328266</v>
      </c>
      <c r="H166" s="6" t="s">
        <v>361</v>
      </c>
      <c r="I166" s="6">
        <v>1</v>
      </c>
      <c r="J166" s="33" t="s">
        <v>183</v>
      </c>
      <c r="K166" s="20">
        <v>1</v>
      </c>
      <c r="L166" s="21">
        <v>28</v>
      </c>
      <c r="M166" s="21">
        <v>28</v>
      </c>
      <c r="N166" s="21">
        <v>28</v>
      </c>
    </row>
    <row r="167" spans="4:14">
      <c r="D167" s="18">
        <v>46180</v>
      </c>
      <c r="E167" s="6">
        <v>1610032</v>
      </c>
      <c r="F167" s="6" t="s">
        <v>358</v>
      </c>
      <c r="G167" s="6">
        <v>20341396</v>
      </c>
      <c r="H167" s="6" t="s">
        <v>362</v>
      </c>
      <c r="I167" s="6">
        <v>1</v>
      </c>
      <c r="J167" s="32" t="s">
        <v>58</v>
      </c>
      <c r="K167" s="20">
        <v>1</v>
      </c>
      <c r="L167" s="21">
        <v>17.6</v>
      </c>
      <c r="M167" s="21">
        <v>17.6</v>
      </c>
      <c r="N167" s="21">
        <v>17.6</v>
      </c>
    </row>
    <row r="168" spans="4:14">
      <c r="D168" s="18">
        <v>46180</v>
      </c>
      <c r="E168" s="6">
        <v>1610032</v>
      </c>
      <c r="F168" s="6" t="s">
        <v>358</v>
      </c>
      <c r="G168" s="6">
        <v>20338703</v>
      </c>
      <c r="H168" s="6" t="s">
        <v>363</v>
      </c>
      <c r="I168" s="6">
        <v>1</v>
      </c>
      <c r="J168" s="33" t="s">
        <v>263</v>
      </c>
      <c r="K168" s="20">
        <v>1</v>
      </c>
      <c r="L168" s="21">
        <v>22.4</v>
      </c>
      <c r="M168" s="21">
        <v>22.4</v>
      </c>
      <c r="N168" s="21">
        <v>22.4</v>
      </c>
    </row>
    <row r="169" spans="4:14">
      <c r="D169" s="18">
        <v>46180</v>
      </c>
      <c r="E169" s="6">
        <v>1610032</v>
      </c>
      <c r="F169" s="6" t="s">
        <v>358</v>
      </c>
      <c r="G169" s="6">
        <v>20350751</v>
      </c>
      <c r="H169" s="6" t="s">
        <v>364</v>
      </c>
      <c r="I169" s="6">
        <v>1</v>
      </c>
      <c r="J169" s="32" t="s">
        <v>290</v>
      </c>
      <c r="K169" s="20">
        <v>1</v>
      </c>
      <c r="L169" s="21">
        <v>20</v>
      </c>
      <c r="M169" s="21">
        <v>20</v>
      </c>
      <c r="N169" s="21">
        <v>20</v>
      </c>
    </row>
    <row r="170" spans="4:14">
      <c r="D170" s="18">
        <v>46180</v>
      </c>
      <c r="E170" s="6">
        <v>1610032</v>
      </c>
      <c r="F170" s="6" t="s">
        <v>358</v>
      </c>
      <c r="G170" s="6">
        <v>20427718</v>
      </c>
      <c r="H170" s="6" t="s">
        <v>365</v>
      </c>
      <c r="I170" s="6">
        <v>1</v>
      </c>
      <c r="J170" s="33" t="s">
        <v>263</v>
      </c>
      <c r="K170" s="20">
        <v>1</v>
      </c>
      <c r="L170" s="21">
        <v>22.4</v>
      </c>
      <c r="M170" s="21">
        <v>22.4</v>
      </c>
      <c r="N170" s="21">
        <v>22.4</v>
      </c>
    </row>
    <row r="171" spans="4:14">
      <c r="D171" s="18">
        <v>46180</v>
      </c>
      <c r="E171" s="6">
        <v>1610032</v>
      </c>
      <c r="F171" s="6" t="s">
        <v>358</v>
      </c>
      <c r="G171" s="6">
        <v>20398299</v>
      </c>
      <c r="H171" s="6" t="s">
        <v>366</v>
      </c>
      <c r="I171" s="6">
        <v>1</v>
      </c>
      <c r="J171" s="33" t="s">
        <v>263</v>
      </c>
      <c r="K171" s="20">
        <v>1</v>
      </c>
      <c r="L171" s="21">
        <v>22.4</v>
      </c>
      <c r="M171" s="21">
        <v>22.4</v>
      </c>
      <c r="N171" s="21">
        <v>22.4</v>
      </c>
    </row>
    <row r="172" spans="4:14">
      <c r="D172" s="18">
        <v>46181</v>
      </c>
      <c r="E172" s="6">
        <v>1610098</v>
      </c>
      <c r="F172" s="6" t="s">
        <v>16</v>
      </c>
      <c r="G172" s="6">
        <v>20395301</v>
      </c>
      <c r="H172" s="6" t="s">
        <v>367</v>
      </c>
      <c r="I172" s="6">
        <v>2</v>
      </c>
      <c r="J172" s="19" t="s">
        <v>18</v>
      </c>
      <c r="K172" s="20">
        <v>1</v>
      </c>
      <c r="L172" s="21">
        <v>6.4</v>
      </c>
      <c r="M172" s="21">
        <v>6.4</v>
      </c>
      <c r="N172" s="21">
        <v>12.8</v>
      </c>
    </row>
    <row r="173" spans="4:14">
      <c r="D173" s="18">
        <v>46182</v>
      </c>
      <c r="E173" s="6">
        <v>1610416</v>
      </c>
      <c r="F173" s="6" t="s">
        <v>26</v>
      </c>
      <c r="G173" s="6">
        <v>20324463</v>
      </c>
      <c r="H173" s="6" t="s">
        <v>271</v>
      </c>
      <c r="I173" s="6">
        <v>3</v>
      </c>
      <c r="J173" s="32" t="s">
        <v>28</v>
      </c>
      <c r="K173" s="20">
        <f t="shared" ref="K173:K175" si="10">M173/L173</f>
        <v>35</v>
      </c>
      <c r="L173" s="21">
        <v>4.4</v>
      </c>
      <c r="M173" s="21">
        <v>154</v>
      </c>
      <c r="N173" s="21">
        <v>462</v>
      </c>
    </row>
    <row r="174" spans="4:14">
      <c r="D174" s="18">
        <v>46182</v>
      </c>
      <c r="E174" s="6">
        <v>1610416</v>
      </c>
      <c r="F174" s="6" t="s">
        <v>26</v>
      </c>
      <c r="G174" s="6">
        <v>20324046</v>
      </c>
      <c r="H174" s="6" t="s">
        <v>176</v>
      </c>
      <c r="I174" s="6">
        <v>2</v>
      </c>
      <c r="J174" s="32" t="s">
        <v>28</v>
      </c>
      <c r="K174" s="20">
        <f t="shared" si="10"/>
        <v>49</v>
      </c>
      <c r="L174" s="21">
        <v>4.4</v>
      </c>
      <c r="M174" s="21">
        <v>215.6</v>
      </c>
      <c r="N174" s="21">
        <v>431.2</v>
      </c>
    </row>
    <row r="175" spans="4:14">
      <c r="D175" s="18">
        <v>46182</v>
      </c>
      <c r="E175" s="6">
        <v>1610416</v>
      </c>
      <c r="F175" s="6" t="s">
        <v>26</v>
      </c>
      <c r="G175" s="6">
        <v>20324045</v>
      </c>
      <c r="H175" s="6" t="s">
        <v>266</v>
      </c>
      <c r="I175" s="6">
        <v>2</v>
      </c>
      <c r="J175" s="32" t="s">
        <v>28</v>
      </c>
      <c r="K175" s="20">
        <f t="shared" si="10"/>
        <v>19</v>
      </c>
      <c r="L175" s="21">
        <v>4.4</v>
      </c>
      <c r="M175" s="21">
        <v>83.6</v>
      </c>
      <c r="N175" s="21">
        <v>167.2</v>
      </c>
    </row>
    <row r="176" spans="4:14">
      <c r="D176" s="18">
        <v>46182</v>
      </c>
      <c r="E176" s="6">
        <v>1610416</v>
      </c>
      <c r="F176" s="6" t="s">
        <v>16</v>
      </c>
      <c r="G176" s="6">
        <v>20326197</v>
      </c>
      <c r="H176" s="6" t="s">
        <v>333</v>
      </c>
      <c r="I176" s="6">
        <v>1</v>
      </c>
      <c r="J176" s="6" t="s">
        <v>124</v>
      </c>
      <c r="K176" s="20">
        <f t="shared" ref="K176:K180" si="11">M176/L176</f>
        <v>3</v>
      </c>
      <c r="L176" s="21">
        <v>4.4</v>
      </c>
      <c r="M176" s="21">
        <v>13.2</v>
      </c>
      <c r="N176" s="21">
        <v>13.2</v>
      </c>
    </row>
    <row r="177" spans="4:14">
      <c r="D177" s="18">
        <v>46182</v>
      </c>
      <c r="E177" s="6">
        <v>1610416</v>
      </c>
      <c r="F177" s="6" t="s">
        <v>16</v>
      </c>
      <c r="G177" s="6">
        <v>20358566</v>
      </c>
      <c r="H177" s="6" t="s">
        <v>334</v>
      </c>
      <c r="I177" s="6">
        <v>1</v>
      </c>
      <c r="J177" s="32" t="s">
        <v>28</v>
      </c>
      <c r="K177" s="20">
        <f t="shared" si="11"/>
        <v>4</v>
      </c>
      <c r="L177" s="21">
        <v>4.4</v>
      </c>
      <c r="M177" s="21">
        <v>17.6</v>
      </c>
      <c r="N177" s="21">
        <v>17.6</v>
      </c>
    </row>
    <row r="178" spans="4:14">
      <c r="D178" s="18">
        <v>46182</v>
      </c>
      <c r="E178" s="6">
        <v>1610416</v>
      </c>
      <c r="F178" s="6" t="s">
        <v>16</v>
      </c>
      <c r="G178" s="6">
        <v>20395301</v>
      </c>
      <c r="H178" s="6" t="s">
        <v>367</v>
      </c>
      <c r="I178" s="6">
        <v>1</v>
      </c>
      <c r="J178" s="19" t="s">
        <v>18</v>
      </c>
      <c r="K178" s="20">
        <v>1</v>
      </c>
      <c r="L178" s="21">
        <v>6.4</v>
      </c>
      <c r="M178" s="21">
        <v>6.4</v>
      </c>
      <c r="N178" s="21">
        <v>6.4</v>
      </c>
    </row>
    <row r="179" spans="4:14">
      <c r="D179" s="18">
        <v>46182</v>
      </c>
      <c r="E179" s="6">
        <v>1610416</v>
      </c>
      <c r="F179" s="6" t="s">
        <v>16</v>
      </c>
      <c r="G179" s="6">
        <v>20358758</v>
      </c>
      <c r="H179" s="6" t="s">
        <v>335</v>
      </c>
      <c r="I179" s="6">
        <v>1</v>
      </c>
      <c r="J179" s="19" t="s">
        <v>18</v>
      </c>
      <c r="K179" s="20">
        <v>1</v>
      </c>
      <c r="L179" s="21">
        <v>6.4</v>
      </c>
      <c r="M179" s="21">
        <v>6.4</v>
      </c>
      <c r="N179" s="21">
        <v>6.4</v>
      </c>
    </row>
    <row r="180" spans="4:14">
      <c r="D180" s="18">
        <v>46182</v>
      </c>
      <c r="E180" s="6">
        <v>1610416</v>
      </c>
      <c r="F180" s="6" t="s">
        <v>26</v>
      </c>
      <c r="G180" s="6">
        <v>20325204</v>
      </c>
      <c r="H180" s="6" t="s">
        <v>336</v>
      </c>
      <c r="I180" s="6">
        <v>1</v>
      </c>
      <c r="J180" s="32" t="s">
        <v>28</v>
      </c>
      <c r="K180" s="20">
        <f t="shared" si="11"/>
        <v>13</v>
      </c>
      <c r="L180" s="21">
        <v>4.4</v>
      </c>
      <c r="M180" s="21">
        <v>57.2</v>
      </c>
      <c r="N180" s="21">
        <v>57.2</v>
      </c>
    </row>
    <row r="181" spans="4:14">
      <c r="D181" s="18">
        <v>46182</v>
      </c>
      <c r="E181" s="6">
        <v>1610416</v>
      </c>
      <c r="F181" s="6" t="s">
        <v>16</v>
      </c>
      <c r="G181" s="6">
        <v>20329966</v>
      </c>
      <c r="H181" s="6" t="s">
        <v>368</v>
      </c>
      <c r="I181" s="6">
        <v>1</v>
      </c>
      <c r="J181" s="32" t="s">
        <v>28</v>
      </c>
      <c r="K181" s="20">
        <f t="shared" ref="K181:K189" si="12">M181/L181</f>
        <v>3</v>
      </c>
      <c r="L181" s="21">
        <v>4.4</v>
      </c>
      <c r="M181" s="21">
        <v>13.2</v>
      </c>
      <c r="N181" s="21">
        <v>13.2</v>
      </c>
    </row>
    <row r="182" spans="4:14">
      <c r="D182" s="18">
        <v>46182</v>
      </c>
      <c r="E182" s="6">
        <v>1610416</v>
      </c>
      <c r="F182" s="6" t="s">
        <v>16</v>
      </c>
      <c r="G182" s="6">
        <v>20325131</v>
      </c>
      <c r="H182" s="6" t="s">
        <v>337</v>
      </c>
      <c r="I182" s="6">
        <v>1</v>
      </c>
      <c r="J182" s="32" t="s">
        <v>28</v>
      </c>
      <c r="K182" s="20">
        <f t="shared" si="12"/>
        <v>8</v>
      </c>
      <c r="L182" s="21">
        <v>4.4</v>
      </c>
      <c r="M182" s="21">
        <v>35.2</v>
      </c>
      <c r="N182" s="21">
        <v>35.2</v>
      </c>
    </row>
    <row r="183" spans="4:14">
      <c r="D183" s="18">
        <v>46182</v>
      </c>
      <c r="E183" s="6">
        <v>1610416</v>
      </c>
      <c r="F183" s="6" t="s">
        <v>16</v>
      </c>
      <c r="G183" s="6">
        <v>20428982</v>
      </c>
      <c r="H183" s="6" t="s">
        <v>369</v>
      </c>
      <c r="I183" s="6">
        <v>4</v>
      </c>
      <c r="J183" s="32" t="s">
        <v>28</v>
      </c>
      <c r="K183" s="20">
        <f t="shared" si="12"/>
        <v>21</v>
      </c>
      <c r="L183" s="21">
        <v>4.4</v>
      </c>
      <c r="M183" s="21">
        <v>92.4</v>
      </c>
      <c r="N183" s="21">
        <v>369.6</v>
      </c>
    </row>
    <row r="184" ht="25.5" spans="4:14">
      <c r="D184" s="18">
        <v>46182</v>
      </c>
      <c r="E184" s="6">
        <v>1610416</v>
      </c>
      <c r="F184" s="6" t="s">
        <v>16</v>
      </c>
      <c r="G184" s="6">
        <v>20428989</v>
      </c>
      <c r="H184" s="6" t="s">
        <v>370</v>
      </c>
      <c r="I184" s="6">
        <v>1</v>
      </c>
      <c r="J184" s="32" t="s">
        <v>28</v>
      </c>
      <c r="K184" s="20">
        <f t="shared" si="12"/>
        <v>18</v>
      </c>
      <c r="L184" s="21">
        <v>4.4</v>
      </c>
      <c r="M184" s="21">
        <v>79.2</v>
      </c>
      <c r="N184" s="21">
        <v>79.2</v>
      </c>
    </row>
    <row r="185" spans="4:14">
      <c r="D185" s="18">
        <v>46182</v>
      </c>
      <c r="E185" s="6">
        <v>1610416</v>
      </c>
      <c r="F185" s="6" t="s">
        <v>16</v>
      </c>
      <c r="G185" s="6">
        <v>20372910</v>
      </c>
      <c r="H185" s="6" t="s">
        <v>371</v>
      </c>
      <c r="I185" s="6">
        <v>1</v>
      </c>
      <c r="J185" s="32" t="s">
        <v>28</v>
      </c>
      <c r="K185" s="20">
        <f t="shared" si="12"/>
        <v>47</v>
      </c>
      <c r="L185" s="21">
        <v>4.4</v>
      </c>
      <c r="M185" s="21">
        <v>206.8</v>
      </c>
      <c r="N185" s="21">
        <v>206.8</v>
      </c>
    </row>
    <row r="186" spans="4:14">
      <c r="D186" s="18">
        <v>46182</v>
      </c>
      <c r="E186" s="6">
        <v>1610416</v>
      </c>
      <c r="F186" s="6" t="s">
        <v>16</v>
      </c>
      <c r="G186" s="6">
        <v>20341071</v>
      </c>
      <c r="H186" s="6" t="s">
        <v>372</v>
      </c>
      <c r="I186" s="6">
        <v>1</v>
      </c>
      <c r="J186" s="32" t="s">
        <v>28</v>
      </c>
      <c r="K186" s="20">
        <f t="shared" si="12"/>
        <v>9</v>
      </c>
      <c r="L186" s="21">
        <v>4.4</v>
      </c>
      <c r="M186" s="21">
        <v>39.6</v>
      </c>
      <c r="N186" s="21">
        <v>39.6</v>
      </c>
    </row>
    <row r="187" spans="4:14">
      <c r="D187" s="18">
        <v>46182</v>
      </c>
      <c r="E187" s="6">
        <v>1610416</v>
      </c>
      <c r="F187" s="6" t="s">
        <v>16</v>
      </c>
      <c r="G187" s="6">
        <v>20324699</v>
      </c>
      <c r="H187" s="6" t="s">
        <v>268</v>
      </c>
      <c r="I187" s="6">
        <v>7</v>
      </c>
      <c r="J187" s="32" t="s">
        <v>28</v>
      </c>
      <c r="K187" s="20">
        <f t="shared" si="12"/>
        <v>5</v>
      </c>
      <c r="L187" s="21">
        <v>4.4</v>
      </c>
      <c r="M187" s="21">
        <v>22</v>
      </c>
      <c r="N187" s="21">
        <v>154</v>
      </c>
    </row>
    <row r="188" spans="4:14">
      <c r="D188" s="18">
        <v>46182</v>
      </c>
      <c r="E188" s="6">
        <v>1610416</v>
      </c>
      <c r="F188" s="6" t="s">
        <v>16</v>
      </c>
      <c r="G188" s="6">
        <v>20324699</v>
      </c>
      <c r="H188" s="6" t="s">
        <v>268</v>
      </c>
      <c r="I188" s="6">
        <v>1</v>
      </c>
      <c r="J188" s="32" t="s">
        <v>28</v>
      </c>
      <c r="K188" s="20">
        <f t="shared" si="12"/>
        <v>5</v>
      </c>
      <c r="L188" s="21">
        <v>4.4</v>
      </c>
      <c r="M188" s="21">
        <v>22</v>
      </c>
      <c r="N188" s="21">
        <v>22</v>
      </c>
    </row>
    <row r="189" spans="4:14">
      <c r="D189" s="18">
        <v>46182</v>
      </c>
      <c r="E189" s="6">
        <v>1610416</v>
      </c>
      <c r="F189" s="6" t="s">
        <v>16</v>
      </c>
      <c r="G189" s="6">
        <v>20428981</v>
      </c>
      <c r="H189" s="6" t="s">
        <v>373</v>
      </c>
      <c r="I189" s="6">
        <v>1</v>
      </c>
      <c r="J189" s="32" t="s">
        <v>28</v>
      </c>
      <c r="K189" s="20">
        <f t="shared" si="12"/>
        <v>3</v>
      </c>
      <c r="L189" s="21">
        <v>4.4</v>
      </c>
      <c r="M189" s="21">
        <v>13.2</v>
      </c>
      <c r="N189" s="21">
        <v>13.2</v>
      </c>
    </row>
    <row r="190" spans="4:14">
      <c r="D190" s="18">
        <v>46182</v>
      </c>
      <c r="E190" s="6">
        <v>1610470</v>
      </c>
      <c r="F190" s="6" t="s">
        <v>358</v>
      </c>
      <c r="G190" s="6">
        <v>20366789</v>
      </c>
      <c r="H190" s="6" t="s">
        <v>338</v>
      </c>
      <c r="I190" s="6">
        <v>1</v>
      </c>
      <c r="J190" s="33" t="s">
        <v>183</v>
      </c>
      <c r="K190" s="20">
        <v>1</v>
      </c>
      <c r="L190" s="21">
        <v>28</v>
      </c>
      <c r="M190" s="21">
        <v>28</v>
      </c>
      <c r="N190" s="21">
        <v>28</v>
      </c>
    </row>
    <row r="191" spans="4:14">
      <c r="D191" s="18">
        <v>46182</v>
      </c>
      <c r="E191" s="6">
        <v>1610470</v>
      </c>
      <c r="F191" s="6" t="s">
        <v>358</v>
      </c>
      <c r="G191" s="6">
        <v>20406210</v>
      </c>
      <c r="H191" s="6" t="s">
        <v>374</v>
      </c>
      <c r="I191" s="6">
        <v>1</v>
      </c>
      <c r="J191" s="32" t="s">
        <v>58</v>
      </c>
      <c r="K191" s="20">
        <v>1</v>
      </c>
      <c r="L191" s="21">
        <v>17.6</v>
      </c>
      <c r="M191" s="21">
        <v>17.6</v>
      </c>
      <c r="N191" s="21">
        <v>17.6</v>
      </c>
    </row>
    <row r="192" spans="4:14">
      <c r="D192" s="18">
        <v>46182</v>
      </c>
      <c r="E192" s="6">
        <v>1610480</v>
      </c>
      <c r="F192" s="6" t="s">
        <v>16</v>
      </c>
      <c r="G192" s="6">
        <v>20324643</v>
      </c>
      <c r="H192" s="6" t="s">
        <v>315</v>
      </c>
      <c r="I192" s="6">
        <v>1</v>
      </c>
      <c r="J192" s="33" t="s">
        <v>263</v>
      </c>
      <c r="K192" s="20">
        <v>1</v>
      </c>
      <c r="L192" s="21">
        <v>22.4</v>
      </c>
      <c r="M192" s="21">
        <v>22.4</v>
      </c>
      <c r="N192" s="21">
        <v>22.4</v>
      </c>
    </row>
    <row r="193" spans="4:14">
      <c r="D193" s="18">
        <v>46182</v>
      </c>
      <c r="E193" s="6">
        <v>1610480</v>
      </c>
      <c r="F193" s="6" t="s">
        <v>16</v>
      </c>
      <c r="G193" s="6">
        <v>20324637</v>
      </c>
      <c r="H193" s="6" t="s">
        <v>284</v>
      </c>
      <c r="I193" s="6">
        <v>1</v>
      </c>
      <c r="J193" s="33" t="s">
        <v>183</v>
      </c>
      <c r="K193" s="20">
        <v>1</v>
      </c>
      <c r="L193" s="21">
        <v>28</v>
      </c>
      <c r="M193" s="21">
        <v>28</v>
      </c>
      <c r="N193" s="21">
        <v>28</v>
      </c>
    </row>
    <row r="194" spans="4:14">
      <c r="D194" s="18">
        <v>46182</v>
      </c>
      <c r="E194" s="6">
        <v>1610480</v>
      </c>
      <c r="F194" s="6" t="s">
        <v>16</v>
      </c>
      <c r="G194" s="6">
        <v>20330449</v>
      </c>
      <c r="H194" s="6" t="s">
        <v>351</v>
      </c>
      <c r="I194" s="6">
        <v>1</v>
      </c>
      <c r="J194" s="33" t="s">
        <v>263</v>
      </c>
      <c r="K194" s="20">
        <v>1</v>
      </c>
      <c r="L194" s="21">
        <v>22.4</v>
      </c>
      <c r="M194" s="21">
        <v>22.4</v>
      </c>
      <c r="N194" s="21">
        <v>22.4</v>
      </c>
    </row>
    <row r="195" spans="4:14">
      <c r="D195" s="18">
        <v>46182</v>
      </c>
      <c r="E195" s="6">
        <v>1610480</v>
      </c>
      <c r="F195" s="6" t="s">
        <v>16</v>
      </c>
      <c r="G195" s="6">
        <v>20324645</v>
      </c>
      <c r="H195" s="6" t="s">
        <v>318</v>
      </c>
      <c r="I195" s="6">
        <v>1</v>
      </c>
      <c r="J195" s="33" t="s">
        <v>263</v>
      </c>
      <c r="K195" s="20">
        <v>1</v>
      </c>
      <c r="L195" s="21">
        <v>22.4</v>
      </c>
      <c r="M195" s="21">
        <v>22.4</v>
      </c>
      <c r="N195" s="21">
        <v>22.4</v>
      </c>
    </row>
    <row r="196" spans="4:14">
      <c r="D196" s="18">
        <v>46182</v>
      </c>
      <c r="E196" s="6">
        <v>1610480</v>
      </c>
      <c r="F196" s="6" t="s">
        <v>16</v>
      </c>
      <c r="G196" s="6">
        <v>20324636</v>
      </c>
      <c r="H196" s="6" t="s">
        <v>320</v>
      </c>
      <c r="I196" s="6">
        <v>1</v>
      </c>
      <c r="J196" s="33" t="s">
        <v>183</v>
      </c>
      <c r="K196" s="20">
        <v>1</v>
      </c>
      <c r="L196" s="21">
        <v>28</v>
      </c>
      <c r="M196" s="21">
        <v>28</v>
      </c>
      <c r="N196" s="21">
        <v>28</v>
      </c>
    </row>
    <row r="197" spans="4:14">
      <c r="D197" s="18">
        <v>46182</v>
      </c>
      <c r="E197" s="6">
        <v>1610480</v>
      </c>
      <c r="F197" s="6" t="s">
        <v>16</v>
      </c>
      <c r="G197" s="6">
        <v>20324642</v>
      </c>
      <c r="H197" s="6" t="s">
        <v>321</v>
      </c>
      <c r="I197" s="6">
        <v>1</v>
      </c>
      <c r="J197" s="32" t="s">
        <v>58</v>
      </c>
      <c r="K197" s="20">
        <v>1</v>
      </c>
      <c r="L197" s="21">
        <v>17.6</v>
      </c>
      <c r="M197" s="21">
        <v>17.6</v>
      </c>
      <c r="N197" s="21">
        <v>17.6</v>
      </c>
    </row>
    <row r="198" spans="4:14">
      <c r="D198" s="94">
        <v>46182</v>
      </c>
      <c r="E198" s="95">
        <v>1610407</v>
      </c>
      <c r="F198" s="96" t="s">
        <v>16</v>
      </c>
      <c r="G198" s="95">
        <v>20428982</v>
      </c>
      <c r="H198" s="96" t="s">
        <v>375</v>
      </c>
      <c r="I198" s="95">
        <v>1</v>
      </c>
      <c r="J198" s="97" t="s">
        <v>28</v>
      </c>
      <c r="K198" s="98">
        <f>M198/L198</f>
        <v>21</v>
      </c>
      <c r="L198" s="99">
        <v>4.4</v>
      </c>
      <c r="M198" s="99">
        <v>92.4</v>
      </c>
      <c r="N198" s="99">
        <v>92.4</v>
      </c>
    </row>
    <row r="199" spans="4:14">
      <c r="D199" s="94">
        <v>46182</v>
      </c>
      <c r="E199" s="95">
        <v>1610407</v>
      </c>
      <c r="F199" s="96" t="s">
        <v>16</v>
      </c>
      <c r="G199" s="95">
        <v>20324699</v>
      </c>
      <c r="H199" s="96" t="s">
        <v>376</v>
      </c>
      <c r="I199" s="95">
        <v>1</v>
      </c>
      <c r="J199" s="97" t="s">
        <v>28</v>
      </c>
      <c r="K199" s="98">
        <f>M199/L199</f>
        <v>5</v>
      </c>
      <c r="L199" s="99">
        <v>4.4</v>
      </c>
      <c r="M199" s="99">
        <v>22</v>
      </c>
      <c r="N199" s="99">
        <v>22</v>
      </c>
    </row>
    <row r="200" spans="4:14">
      <c r="D200" s="18">
        <v>46182</v>
      </c>
      <c r="E200" s="6">
        <v>1610480</v>
      </c>
      <c r="F200" s="6" t="s">
        <v>16</v>
      </c>
      <c r="G200" s="6">
        <v>20324732</v>
      </c>
      <c r="H200" s="6" t="s">
        <v>322</v>
      </c>
      <c r="I200" s="6">
        <v>1</v>
      </c>
      <c r="J200" s="33" t="s">
        <v>263</v>
      </c>
      <c r="K200" s="20">
        <v>1</v>
      </c>
      <c r="L200" s="21">
        <v>22.4</v>
      </c>
      <c r="M200" s="21">
        <v>22.4</v>
      </c>
      <c r="N200" s="21">
        <v>22.4</v>
      </c>
    </row>
    <row r="201" spans="4:14">
      <c r="D201" s="18">
        <v>46182</v>
      </c>
      <c r="E201" s="6">
        <v>1610480</v>
      </c>
      <c r="F201" s="6" t="s">
        <v>16</v>
      </c>
      <c r="G201" s="6">
        <v>20324644</v>
      </c>
      <c r="H201" s="6" t="s">
        <v>292</v>
      </c>
      <c r="I201" s="6">
        <v>1</v>
      </c>
      <c r="J201" s="33" t="s">
        <v>263</v>
      </c>
      <c r="K201" s="20">
        <v>1</v>
      </c>
      <c r="L201" s="21">
        <v>22.4</v>
      </c>
      <c r="M201" s="21">
        <v>22.4</v>
      </c>
      <c r="N201" s="21">
        <v>22.4</v>
      </c>
    </row>
    <row r="202" spans="4:14">
      <c r="D202" s="18">
        <v>46182</v>
      </c>
      <c r="E202" s="6">
        <v>1610480</v>
      </c>
      <c r="F202" s="6" t="s">
        <v>16</v>
      </c>
      <c r="G202" s="6">
        <v>20324814</v>
      </c>
      <c r="H202" s="6" t="s">
        <v>293</v>
      </c>
      <c r="I202" s="6">
        <v>1</v>
      </c>
      <c r="J202" s="33" t="s">
        <v>263</v>
      </c>
      <c r="K202" s="20">
        <v>1</v>
      </c>
      <c r="L202" s="21">
        <v>22.4</v>
      </c>
      <c r="M202" s="21">
        <v>22.4</v>
      </c>
      <c r="N202" s="21">
        <v>22.4</v>
      </c>
    </row>
    <row r="203" spans="4:14">
      <c r="D203" s="18">
        <v>46182</v>
      </c>
      <c r="E203" s="6">
        <v>1610480</v>
      </c>
      <c r="F203" s="6" t="s">
        <v>16</v>
      </c>
      <c r="G203" s="6">
        <v>20324646</v>
      </c>
      <c r="H203" s="6" t="s">
        <v>326</v>
      </c>
      <c r="I203" s="6">
        <v>1</v>
      </c>
      <c r="J203" s="32" t="s">
        <v>290</v>
      </c>
      <c r="K203" s="20">
        <v>1</v>
      </c>
      <c r="L203" s="21">
        <v>20</v>
      </c>
      <c r="M203" s="21">
        <v>20</v>
      </c>
      <c r="N203" s="21">
        <v>20</v>
      </c>
    </row>
    <row r="204" spans="4:14">
      <c r="D204" s="89">
        <v>46182</v>
      </c>
      <c r="E204" s="90">
        <v>1610480</v>
      </c>
      <c r="F204" s="90" t="s">
        <v>34</v>
      </c>
      <c r="G204" s="90">
        <v>20324638</v>
      </c>
      <c r="H204" s="90" t="s">
        <v>327</v>
      </c>
      <c r="I204" s="90">
        <v>1</v>
      </c>
      <c r="J204" s="33" t="s">
        <v>328</v>
      </c>
      <c r="K204" s="20" t="s">
        <v>329</v>
      </c>
      <c r="L204" s="21">
        <v>22.4</v>
      </c>
      <c r="M204" s="21">
        <f>L204+L205</f>
        <v>30.4</v>
      </c>
      <c r="N204" s="93">
        <f>M204*I204</f>
        <v>30.4</v>
      </c>
    </row>
    <row r="205" spans="4:14">
      <c r="D205" s="91"/>
      <c r="E205" s="92"/>
      <c r="F205" s="92"/>
      <c r="G205" s="92"/>
      <c r="H205" s="92"/>
      <c r="I205" s="92"/>
      <c r="J205" s="6" t="s">
        <v>330</v>
      </c>
      <c r="K205" s="20" t="s">
        <v>329</v>
      </c>
      <c r="L205" s="21">
        <v>8</v>
      </c>
      <c r="M205" s="21"/>
      <c r="N205" s="36"/>
    </row>
    <row r="206" spans="4:14">
      <c r="D206" s="18">
        <v>46183</v>
      </c>
      <c r="E206" s="6">
        <v>1610849</v>
      </c>
      <c r="F206" s="6" t="s">
        <v>26</v>
      </c>
      <c r="G206" s="6">
        <v>20324463</v>
      </c>
      <c r="H206" s="6" t="s">
        <v>271</v>
      </c>
      <c r="I206" s="6">
        <v>2</v>
      </c>
      <c r="J206" s="32" t="s">
        <v>28</v>
      </c>
      <c r="K206" s="20">
        <f t="shared" ref="K206:K209" si="13">M206/L206</f>
        <v>35</v>
      </c>
      <c r="L206" s="21">
        <v>4.4</v>
      </c>
      <c r="M206" s="21">
        <v>154</v>
      </c>
      <c r="N206" s="21">
        <v>308</v>
      </c>
    </row>
    <row r="207" spans="4:14">
      <c r="D207" s="18">
        <v>46183</v>
      </c>
      <c r="E207" s="6">
        <v>1610849</v>
      </c>
      <c r="F207" s="6" t="s">
        <v>26</v>
      </c>
      <c r="G207" s="6">
        <v>20324028</v>
      </c>
      <c r="H207" s="6" t="s">
        <v>307</v>
      </c>
      <c r="I207" s="6">
        <v>1</v>
      </c>
      <c r="J207" s="32" t="s">
        <v>28</v>
      </c>
      <c r="K207" s="20">
        <f t="shared" si="13"/>
        <v>42</v>
      </c>
      <c r="L207" s="21">
        <v>4.4</v>
      </c>
      <c r="M207" s="21">
        <v>184.8</v>
      </c>
      <c r="N207" s="21">
        <v>184.8</v>
      </c>
    </row>
    <row r="208" spans="4:14">
      <c r="D208" s="18">
        <v>46183</v>
      </c>
      <c r="E208" s="6">
        <v>1610849</v>
      </c>
      <c r="F208" s="6" t="s">
        <v>26</v>
      </c>
      <c r="G208" s="6">
        <v>20324036</v>
      </c>
      <c r="H208" s="6" t="s">
        <v>299</v>
      </c>
      <c r="I208" s="6">
        <v>1</v>
      </c>
      <c r="J208" s="32" t="s">
        <v>28</v>
      </c>
      <c r="K208" s="20">
        <f t="shared" si="13"/>
        <v>45</v>
      </c>
      <c r="L208" s="21">
        <v>4.4</v>
      </c>
      <c r="M208" s="21">
        <v>198</v>
      </c>
      <c r="N208" s="21">
        <v>198</v>
      </c>
    </row>
    <row r="209" spans="4:14">
      <c r="D209" s="18">
        <v>46183</v>
      </c>
      <c r="E209" s="6">
        <v>1610849</v>
      </c>
      <c r="F209" s="6" t="s">
        <v>26</v>
      </c>
      <c r="G209" s="6">
        <v>20324045</v>
      </c>
      <c r="H209" s="6" t="s">
        <v>266</v>
      </c>
      <c r="I209" s="6">
        <v>3</v>
      </c>
      <c r="J209" s="32" t="s">
        <v>28</v>
      </c>
      <c r="K209" s="20">
        <f t="shared" si="13"/>
        <v>19</v>
      </c>
      <c r="L209" s="21">
        <v>4.4</v>
      </c>
      <c r="M209" s="21">
        <v>83.6</v>
      </c>
      <c r="N209" s="21">
        <v>250.8</v>
      </c>
    </row>
    <row r="210" spans="4:14">
      <c r="D210" s="18">
        <v>46183</v>
      </c>
      <c r="E210" s="6">
        <v>1610849</v>
      </c>
      <c r="F210" s="6" t="s">
        <v>34</v>
      </c>
      <c r="G210" s="6">
        <v>20363595</v>
      </c>
      <c r="H210" s="6" t="s">
        <v>377</v>
      </c>
      <c r="I210" s="6">
        <v>1</v>
      </c>
      <c r="J210" s="32" t="s">
        <v>28</v>
      </c>
      <c r="K210" s="20">
        <f t="shared" ref="K210:K215" si="14">M210/L210</f>
        <v>3</v>
      </c>
      <c r="L210" s="21">
        <v>4.4</v>
      </c>
      <c r="M210" s="21">
        <v>13.2</v>
      </c>
      <c r="N210" s="21">
        <v>13.2</v>
      </c>
    </row>
    <row r="211" spans="4:14">
      <c r="D211" s="18">
        <v>46183</v>
      </c>
      <c r="E211" s="6">
        <v>1610849</v>
      </c>
      <c r="F211" s="6" t="s">
        <v>16</v>
      </c>
      <c r="G211" s="6">
        <v>20325666</v>
      </c>
      <c r="H211" s="6" t="s">
        <v>378</v>
      </c>
      <c r="I211" s="6">
        <v>1</v>
      </c>
      <c r="J211" s="6" t="s">
        <v>20</v>
      </c>
      <c r="K211" s="20">
        <v>1</v>
      </c>
      <c r="L211" s="21">
        <v>8.8</v>
      </c>
      <c r="M211" s="21">
        <v>8.8</v>
      </c>
      <c r="N211" s="21">
        <v>8.8</v>
      </c>
    </row>
    <row r="212" spans="4:14">
      <c r="D212" s="18">
        <v>46183</v>
      </c>
      <c r="E212" s="6">
        <v>1610849</v>
      </c>
      <c r="F212" s="6" t="s">
        <v>16</v>
      </c>
      <c r="G212" s="6">
        <v>20327777</v>
      </c>
      <c r="H212" s="6" t="s">
        <v>347</v>
      </c>
      <c r="I212" s="6">
        <v>1</v>
      </c>
      <c r="J212" s="6" t="s">
        <v>18</v>
      </c>
      <c r="K212" s="20">
        <v>1</v>
      </c>
      <c r="L212" s="21">
        <v>6.4</v>
      </c>
      <c r="M212" s="21">
        <v>10.8</v>
      </c>
      <c r="N212" s="21">
        <v>10.8</v>
      </c>
    </row>
    <row r="213" spans="4:14">
      <c r="D213" s="18"/>
      <c r="E213" s="6"/>
      <c r="F213" s="6"/>
      <c r="G213" s="6"/>
      <c r="H213" s="6"/>
      <c r="I213" s="6"/>
      <c r="J213" s="6" t="s">
        <v>124</v>
      </c>
      <c r="K213" s="20">
        <v>1</v>
      </c>
      <c r="L213" s="21">
        <v>4.4</v>
      </c>
      <c r="M213" s="21"/>
      <c r="N213" s="21"/>
    </row>
    <row r="214" spans="4:14">
      <c r="D214" s="18">
        <v>46183</v>
      </c>
      <c r="E214" s="6">
        <v>1610849</v>
      </c>
      <c r="F214" s="6" t="s">
        <v>16</v>
      </c>
      <c r="G214" s="6">
        <v>20363597</v>
      </c>
      <c r="H214" s="6" t="s">
        <v>379</v>
      </c>
      <c r="I214" s="6">
        <v>1</v>
      </c>
      <c r="J214" s="32" t="s">
        <v>28</v>
      </c>
      <c r="K214" s="20">
        <f t="shared" si="14"/>
        <v>21</v>
      </c>
      <c r="L214" s="21">
        <v>4.4</v>
      </c>
      <c r="M214" s="21">
        <v>92.4</v>
      </c>
      <c r="N214" s="21">
        <v>92.4</v>
      </c>
    </row>
    <row r="215" ht="25.5" spans="4:14">
      <c r="D215" s="18">
        <v>46183</v>
      </c>
      <c r="E215" s="6">
        <v>1610849</v>
      </c>
      <c r="F215" s="6" t="s">
        <v>16</v>
      </c>
      <c r="G215" s="6">
        <v>20428989</v>
      </c>
      <c r="H215" s="6" t="s">
        <v>370</v>
      </c>
      <c r="I215" s="6">
        <v>1</v>
      </c>
      <c r="J215" s="32" t="s">
        <v>28</v>
      </c>
      <c r="K215" s="20">
        <f t="shared" si="14"/>
        <v>18</v>
      </c>
      <c r="L215" s="21">
        <v>4.4</v>
      </c>
      <c r="M215" s="21">
        <v>79.2</v>
      </c>
      <c r="N215" s="21">
        <v>79.2</v>
      </c>
    </row>
    <row r="216" spans="4:14">
      <c r="D216" s="18">
        <v>46183</v>
      </c>
      <c r="E216" s="6">
        <v>1610849</v>
      </c>
      <c r="F216" s="6" t="s">
        <v>16</v>
      </c>
      <c r="G216" s="6">
        <v>20328020</v>
      </c>
      <c r="H216" s="6" t="s">
        <v>380</v>
      </c>
      <c r="I216" s="6">
        <v>1</v>
      </c>
      <c r="J216" s="32" t="s">
        <v>28</v>
      </c>
      <c r="K216" s="20">
        <f t="shared" ref="K216:K219" si="15">M216/L216</f>
        <v>3</v>
      </c>
      <c r="L216" s="21">
        <v>4.4</v>
      </c>
      <c r="M216" s="21">
        <v>13.2</v>
      </c>
      <c r="N216" s="21">
        <v>13.2</v>
      </c>
    </row>
    <row r="217" spans="4:14">
      <c r="D217" s="18">
        <v>46183</v>
      </c>
      <c r="E217" s="6">
        <v>1610849</v>
      </c>
      <c r="F217" s="6" t="s">
        <v>16</v>
      </c>
      <c r="G217" s="6">
        <v>20329152</v>
      </c>
      <c r="H217" s="6" t="s">
        <v>311</v>
      </c>
      <c r="I217" s="6">
        <v>1</v>
      </c>
      <c r="J217" s="32" t="s">
        <v>28</v>
      </c>
      <c r="K217" s="20">
        <f t="shared" si="15"/>
        <v>11</v>
      </c>
      <c r="L217" s="21">
        <v>4.4</v>
      </c>
      <c r="M217" s="21">
        <v>48.4</v>
      </c>
      <c r="N217" s="21">
        <v>48.4</v>
      </c>
    </row>
    <row r="218" spans="4:14">
      <c r="D218" s="18">
        <v>46183</v>
      </c>
      <c r="E218" s="6">
        <v>1610849</v>
      </c>
      <c r="F218" s="6" t="s">
        <v>16</v>
      </c>
      <c r="G218" s="6">
        <v>20325759</v>
      </c>
      <c r="H218" s="6" t="s">
        <v>350</v>
      </c>
      <c r="I218" s="6">
        <v>1</v>
      </c>
      <c r="J218" s="32" t="s">
        <v>28</v>
      </c>
      <c r="K218" s="20">
        <f t="shared" si="15"/>
        <v>9</v>
      </c>
      <c r="L218" s="21">
        <v>4.4</v>
      </c>
      <c r="M218" s="21">
        <v>39.6</v>
      </c>
      <c r="N218" s="21">
        <v>39.6</v>
      </c>
    </row>
    <row r="219" spans="4:14">
      <c r="D219" s="18">
        <v>46183</v>
      </c>
      <c r="E219" s="6">
        <v>1610849</v>
      </c>
      <c r="F219" s="6" t="s">
        <v>16</v>
      </c>
      <c r="G219" s="6">
        <v>20324699</v>
      </c>
      <c r="H219" s="6" t="s">
        <v>268</v>
      </c>
      <c r="I219" s="6">
        <v>8</v>
      </c>
      <c r="J219" s="32" t="s">
        <v>28</v>
      </c>
      <c r="K219" s="20">
        <f t="shared" si="15"/>
        <v>5</v>
      </c>
      <c r="L219" s="21">
        <v>4.4</v>
      </c>
      <c r="M219" s="21">
        <v>22</v>
      </c>
      <c r="N219" s="21">
        <v>176</v>
      </c>
    </row>
    <row r="220" spans="4:14">
      <c r="D220" s="18">
        <v>46183</v>
      </c>
      <c r="E220" s="6">
        <v>1610881</v>
      </c>
      <c r="F220" s="6" t="s">
        <v>26</v>
      </c>
      <c r="G220" s="6">
        <v>20363593</v>
      </c>
      <c r="H220" s="6" t="s">
        <v>381</v>
      </c>
      <c r="I220" s="6">
        <v>1</v>
      </c>
      <c r="J220" s="32" t="s">
        <v>40</v>
      </c>
      <c r="K220" s="20" t="s">
        <v>41</v>
      </c>
      <c r="L220" s="21">
        <v>132</v>
      </c>
      <c r="M220" s="21">
        <v>149.6</v>
      </c>
      <c r="N220" s="21">
        <v>149.6</v>
      </c>
    </row>
    <row r="221" spans="4:14">
      <c r="D221" s="18"/>
      <c r="E221" s="6"/>
      <c r="F221" s="6"/>
      <c r="G221" s="6"/>
      <c r="H221" s="6"/>
      <c r="I221" s="6"/>
      <c r="J221" s="32" t="s">
        <v>58</v>
      </c>
      <c r="K221" s="20">
        <v>1</v>
      </c>
      <c r="L221" s="21">
        <v>17.6</v>
      </c>
      <c r="M221" s="21"/>
      <c r="N221" s="21"/>
    </row>
    <row r="222" spans="4:14">
      <c r="D222" s="18">
        <v>46183</v>
      </c>
      <c r="E222" s="6">
        <v>1610881</v>
      </c>
      <c r="F222" s="6" t="s">
        <v>16</v>
      </c>
      <c r="G222" s="6">
        <v>20324643</v>
      </c>
      <c r="H222" s="6" t="s">
        <v>315</v>
      </c>
      <c r="I222" s="6">
        <v>2</v>
      </c>
      <c r="J222" s="33" t="s">
        <v>263</v>
      </c>
      <c r="K222" s="20">
        <v>1</v>
      </c>
      <c r="L222" s="21">
        <v>22.4</v>
      </c>
      <c r="M222" s="21">
        <v>22.4</v>
      </c>
      <c r="N222" s="21">
        <v>44.8</v>
      </c>
    </row>
    <row r="223" spans="4:14">
      <c r="D223" s="18">
        <v>46183</v>
      </c>
      <c r="E223" s="6">
        <v>1610881</v>
      </c>
      <c r="F223" s="6" t="s">
        <v>16</v>
      </c>
      <c r="G223" s="6">
        <v>20324637</v>
      </c>
      <c r="H223" s="6" t="s">
        <v>284</v>
      </c>
      <c r="I223" s="6">
        <v>2</v>
      </c>
      <c r="J223" s="33" t="s">
        <v>183</v>
      </c>
      <c r="K223" s="20">
        <v>1</v>
      </c>
      <c r="L223" s="21">
        <v>28</v>
      </c>
      <c r="M223" s="21">
        <v>28</v>
      </c>
      <c r="N223" s="21">
        <v>56</v>
      </c>
    </row>
    <row r="224" spans="4:14">
      <c r="D224" s="18">
        <v>46183</v>
      </c>
      <c r="E224" s="6">
        <v>1610881</v>
      </c>
      <c r="F224" s="6" t="s">
        <v>16</v>
      </c>
      <c r="G224" s="6">
        <v>20330462</v>
      </c>
      <c r="H224" s="6" t="s">
        <v>382</v>
      </c>
      <c r="I224" s="6">
        <v>1</v>
      </c>
      <c r="J224" s="32" t="s">
        <v>58</v>
      </c>
      <c r="K224" s="20">
        <v>1</v>
      </c>
      <c r="L224" s="21">
        <v>17.6</v>
      </c>
      <c r="M224" s="21">
        <v>52.8</v>
      </c>
      <c r="N224" s="21">
        <v>52.8</v>
      </c>
    </row>
    <row r="225" spans="4:14">
      <c r="D225" s="18"/>
      <c r="E225" s="6"/>
      <c r="F225" s="6"/>
      <c r="G225" s="6"/>
      <c r="H225" s="6"/>
      <c r="I225" s="6"/>
      <c r="J225" s="32" t="s">
        <v>58</v>
      </c>
      <c r="K225" s="20">
        <v>1</v>
      </c>
      <c r="L225" s="21">
        <v>17.6</v>
      </c>
      <c r="M225" s="21"/>
      <c r="N225" s="21"/>
    </row>
    <row r="226" spans="4:14">
      <c r="D226" s="18"/>
      <c r="E226" s="6"/>
      <c r="F226" s="6"/>
      <c r="G226" s="6"/>
      <c r="H226" s="6"/>
      <c r="I226" s="6"/>
      <c r="J226" s="32" t="s">
        <v>58</v>
      </c>
      <c r="K226" s="20">
        <v>1</v>
      </c>
      <c r="L226" s="21">
        <v>17.6</v>
      </c>
      <c r="M226" s="21"/>
      <c r="N226" s="21"/>
    </row>
    <row r="227" spans="4:14">
      <c r="D227" s="18">
        <v>46183</v>
      </c>
      <c r="E227" s="6">
        <v>1610881</v>
      </c>
      <c r="F227" s="6" t="s">
        <v>16</v>
      </c>
      <c r="G227" s="6">
        <v>20382023</v>
      </c>
      <c r="H227" s="6" t="s">
        <v>355</v>
      </c>
      <c r="I227" s="6">
        <v>2</v>
      </c>
      <c r="J227" s="32" t="s">
        <v>58</v>
      </c>
      <c r="K227" s="20">
        <v>1</v>
      </c>
      <c r="L227" s="21">
        <v>17.6</v>
      </c>
      <c r="M227" s="21">
        <v>17.6</v>
      </c>
      <c r="N227" s="21">
        <v>35.2</v>
      </c>
    </row>
    <row r="228" spans="4:14">
      <c r="D228" s="18">
        <v>46183</v>
      </c>
      <c r="E228" s="6">
        <v>1610881</v>
      </c>
      <c r="F228" s="6" t="s">
        <v>16</v>
      </c>
      <c r="G228" s="6">
        <v>20324822</v>
      </c>
      <c r="H228" s="6" t="s">
        <v>317</v>
      </c>
      <c r="I228" s="6">
        <v>2</v>
      </c>
      <c r="J228" s="33" t="s">
        <v>183</v>
      </c>
      <c r="K228" s="20">
        <v>1</v>
      </c>
      <c r="L228" s="21">
        <v>28</v>
      </c>
      <c r="M228" s="21">
        <v>28</v>
      </c>
      <c r="N228" s="21">
        <v>56</v>
      </c>
    </row>
    <row r="229" spans="4:14">
      <c r="D229" s="18">
        <v>46183</v>
      </c>
      <c r="E229" s="6">
        <v>1610881</v>
      </c>
      <c r="F229" s="6" t="s">
        <v>16</v>
      </c>
      <c r="G229" s="6">
        <v>20325443</v>
      </c>
      <c r="H229" s="6" t="s">
        <v>338</v>
      </c>
      <c r="I229" s="6">
        <v>1</v>
      </c>
      <c r="J229" s="33" t="s">
        <v>183</v>
      </c>
      <c r="K229" s="20">
        <v>1</v>
      </c>
      <c r="L229" s="21">
        <v>28</v>
      </c>
      <c r="M229" s="21">
        <v>28</v>
      </c>
      <c r="N229" s="21">
        <v>28</v>
      </c>
    </row>
    <row r="230" spans="4:14">
      <c r="D230" s="18">
        <v>46183</v>
      </c>
      <c r="E230" s="6">
        <v>1610881</v>
      </c>
      <c r="F230" s="6" t="s">
        <v>16</v>
      </c>
      <c r="G230" s="6">
        <v>20324645</v>
      </c>
      <c r="H230" s="6" t="s">
        <v>318</v>
      </c>
      <c r="I230" s="6">
        <v>2</v>
      </c>
      <c r="J230" s="33" t="s">
        <v>263</v>
      </c>
      <c r="K230" s="20">
        <v>1</v>
      </c>
      <c r="L230" s="21">
        <v>22.4</v>
      </c>
      <c r="M230" s="21">
        <v>22.4</v>
      </c>
      <c r="N230" s="21">
        <v>44.8</v>
      </c>
    </row>
    <row r="231" spans="4:14">
      <c r="D231" s="18">
        <v>46183</v>
      </c>
      <c r="E231" s="6">
        <v>1610881</v>
      </c>
      <c r="F231" s="6" t="s">
        <v>16</v>
      </c>
      <c r="G231" s="6">
        <v>20324723</v>
      </c>
      <c r="H231" s="6" t="s">
        <v>275</v>
      </c>
      <c r="I231" s="6">
        <v>1</v>
      </c>
      <c r="J231" s="33" t="s">
        <v>263</v>
      </c>
      <c r="K231" s="20">
        <v>1</v>
      </c>
      <c r="L231" s="21">
        <v>22.4</v>
      </c>
      <c r="M231" s="21">
        <v>22.4</v>
      </c>
      <c r="N231" s="21">
        <v>22.4</v>
      </c>
    </row>
    <row r="232" spans="4:14">
      <c r="D232" s="18">
        <v>46183</v>
      </c>
      <c r="E232" s="6">
        <v>1610881</v>
      </c>
      <c r="F232" s="6" t="s">
        <v>16</v>
      </c>
      <c r="G232" s="6">
        <v>20324636</v>
      </c>
      <c r="H232" s="6" t="s">
        <v>320</v>
      </c>
      <c r="I232" s="6">
        <v>2</v>
      </c>
      <c r="J232" s="33" t="s">
        <v>183</v>
      </c>
      <c r="K232" s="20">
        <v>1</v>
      </c>
      <c r="L232" s="21">
        <v>28</v>
      </c>
      <c r="M232" s="21">
        <v>28</v>
      </c>
      <c r="N232" s="21">
        <v>56</v>
      </c>
    </row>
    <row r="233" spans="4:14">
      <c r="D233" s="18">
        <v>46183</v>
      </c>
      <c r="E233" s="6">
        <v>1610881</v>
      </c>
      <c r="F233" s="6" t="s">
        <v>16</v>
      </c>
      <c r="G233" s="6">
        <v>20324642</v>
      </c>
      <c r="H233" s="6" t="s">
        <v>321</v>
      </c>
      <c r="I233" s="6">
        <v>1</v>
      </c>
      <c r="J233" s="32" t="s">
        <v>58</v>
      </c>
      <c r="K233" s="20">
        <v>1</v>
      </c>
      <c r="L233" s="21">
        <v>17.6</v>
      </c>
      <c r="M233" s="21">
        <v>17.6</v>
      </c>
      <c r="N233" s="21">
        <v>17.6</v>
      </c>
    </row>
    <row r="234" spans="4:14">
      <c r="D234" s="18">
        <v>46183</v>
      </c>
      <c r="E234" s="6">
        <v>1610881</v>
      </c>
      <c r="F234" s="6" t="s">
        <v>16</v>
      </c>
      <c r="G234" s="6">
        <v>20324732</v>
      </c>
      <c r="H234" s="6" t="s">
        <v>322</v>
      </c>
      <c r="I234" s="6">
        <v>4</v>
      </c>
      <c r="J234" s="33" t="s">
        <v>263</v>
      </c>
      <c r="K234" s="20">
        <v>1</v>
      </c>
      <c r="L234" s="21">
        <v>22.4</v>
      </c>
      <c r="M234" s="21">
        <v>22.4</v>
      </c>
      <c r="N234" s="21">
        <v>89.6</v>
      </c>
    </row>
    <row r="235" spans="4:14">
      <c r="D235" s="18">
        <v>46183</v>
      </c>
      <c r="E235" s="6">
        <v>1610881</v>
      </c>
      <c r="F235" s="6" t="s">
        <v>16</v>
      </c>
      <c r="G235" s="6">
        <v>20324644</v>
      </c>
      <c r="H235" s="6" t="s">
        <v>292</v>
      </c>
      <c r="I235" s="6">
        <v>2</v>
      </c>
      <c r="J235" s="33" t="s">
        <v>263</v>
      </c>
      <c r="K235" s="20">
        <v>1</v>
      </c>
      <c r="L235" s="21">
        <v>22.4</v>
      </c>
      <c r="M235" s="21">
        <v>22.4</v>
      </c>
      <c r="N235" s="21">
        <v>44.8</v>
      </c>
    </row>
    <row r="236" spans="4:14">
      <c r="D236" s="18">
        <v>46183</v>
      </c>
      <c r="E236" s="6">
        <v>1610881</v>
      </c>
      <c r="F236" s="6" t="s">
        <v>16</v>
      </c>
      <c r="G236" s="6">
        <v>20330332</v>
      </c>
      <c r="H236" s="6" t="s">
        <v>325</v>
      </c>
      <c r="I236" s="6">
        <v>1</v>
      </c>
      <c r="J236" s="33" t="s">
        <v>263</v>
      </c>
      <c r="K236" s="20">
        <v>1</v>
      </c>
      <c r="L236" s="21">
        <v>22.4</v>
      </c>
      <c r="M236" s="21">
        <v>22.4</v>
      </c>
      <c r="N236" s="21">
        <v>22.4</v>
      </c>
    </row>
    <row r="237" spans="4:14">
      <c r="D237" s="18">
        <v>46183</v>
      </c>
      <c r="E237" s="6">
        <v>1610881</v>
      </c>
      <c r="F237" s="6" t="s">
        <v>16</v>
      </c>
      <c r="G237" s="6">
        <v>20324814</v>
      </c>
      <c r="H237" s="6" t="s">
        <v>293</v>
      </c>
      <c r="I237" s="6">
        <v>2</v>
      </c>
      <c r="J237" s="33" t="s">
        <v>263</v>
      </c>
      <c r="K237" s="20">
        <v>1</v>
      </c>
      <c r="L237" s="21">
        <v>22.4</v>
      </c>
      <c r="M237" s="21">
        <v>22.4</v>
      </c>
      <c r="N237" s="21">
        <v>44.8</v>
      </c>
    </row>
    <row r="238" spans="4:14">
      <c r="D238" s="18">
        <v>46183</v>
      </c>
      <c r="E238" s="6">
        <v>1610881</v>
      </c>
      <c r="F238" s="6" t="s">
        <v>16</v>
      </c>
      <c r="G238" s="6">
        <v>20324646</v>
      </c>
      <c r="H238" s="6" t="s">
        <v>326</v>
      </c>
      <c r="I238" s="6">
        <v>3</v>
      </c>
      <c r="J238" s="32" t="s">
        <v>290</v>
      </c>
      <c r="K238" s="20">
        <v>1</v>
      </c>
      <c r="L238" s="21">
        <v>20</v>
      </c>
      <c r="M238" s="21">
        <v>20</v>
      </c>
      <c r="N238" s="21">
        <v>60</v>
      </c>
    </row>
    <row r="239" spans="4:14">
      <c r="D239" s="89">
        <v>46183</v>
      </c>
      <c r="E239" s="90">
        <v>1610881</v>
      </c>
      <c r="F239" s="90" t="s">
        <v>34</v>
      </c>
      <c r="G239" s="90">
        <v>20324638</v>
      </c>
      <c r="H239" s="90" t="s">
        <v>327</v>
      </c>
      <c r="I239" s="90">
        <v>1</v>
      </c>
      <c r="J239" s="33" t="s">
        <v>328</v>
      </c>
      <c r="K239" s="20" t="s">
        <v>329</v>
      </c>
      <c r="L239" s="21">
        <v>22.4</v>
      </c>
      <c r="M239" s="21">
        <f>L239+L240</f>
        <v>30.4</v>
      </c>
      <c r="N239" s="93">
        <f>M239*I239</f>
        <v>30.4</v>
      </c>
    </row>
    <row r="240" spans="4:14">
      <c r="D240" s="91"/>
      <c r="E240" s="92"/>
      <c r="F240" s="92"/>
      <c r="G240" s="92"/>
      <c r="H240" s="92"/>
      <c r="I240" s="92"/>
      <c r="J240" s="6" t="s">
        <v>330</v>
      </c>
      <c r="K240" s="20" t="s">
        <v>329</v>
      </c>
      <c r="L240" s="21">
        <v>8</v>
      </c>
      <c r="M240" s="21"/>
      <c r="N240" s="36"/>
    </row>
    <row r="241" spans="4:14">
      <c r="D241" s="18">
        <v>46183</v>
      </c>
      <c r="E241" s="6">
        <v>1610881</v>
      </c>
      <c r="F241" s="6" t="s">
        <v>34</v>
      </c>
      <c r="G241" s="6">
        <v>20363590</v>
      </c>
      <c r="H241" s="6" t="s">
        <v>383</v>
      </c>
      <c r="I241" s="6">
        <v>1</v>
      </c>
      <c r="J241" s="33" t="s">
        <v>263</v>
      </c>
      <c r="K241" s="20">
        <v>1</v>
      </c>
      <c r="L241" s="21">
        <v>22.4</v>
      </c>
      <c r="M241" s="21">
        <v>22.4</v>
      </c>
      <c r="N241" s="21">
        <v>22.4</v>
      </c>
    </row>
    <row r="242" spans="4:14">
      <c r="D242" s="18">
        <v>46183</v>
      </c>
      <c r="E242" s="6">
        <v>1611153</v>
      </c>
      <c r="F242" s="6" t="s">
        <v>26</v>
      </c>
      <c r="G242" s="6">
        <v>20324463</v>
      </c>
      <c r="H242" s="6" t="s">
        <v>271</v>
      </c>
      <c r="I242" s="6">
        <v>1</v>
      </c>
      <c r="J242" s="32" t="s">
        <v>28</v>
      </c>
      <c r="K242" s="20">
        <f t="shared" ref="K242:K245" si="16">M242/L242</f>
        <v>35</v>
      </c>
      <c r="L242" s="21">
        <v>4.4</v>
      </c>
      <c r="M242" s="21">
        <v>154</v>
      </c>
      <c r="N242" s="21">
        <v>154</v>
      </c>
    </row>
    <row r="243" spans="4:14">
      <c r="D243" s="18">
        <v>46183</v>
      </c>
      <c r="E243" s="6">
        <v>1611153</v>
      </c>
      <c r="F243" s="6" t="s">
        <v>26</v>
      </c>
      <c r="G243" s="6">
        <v>20324039</v>
      </c>
      <c r="H243" s="6" t="s">
        <v>384</v>
      </c>
      <c r="I243" s="6">
        <v>1</v>
      </c>
      <c r="J243" s="32" t="s">
        <v>28</v>
      </c>
      <c r="K243" s="20">
        <f t="shared" si="16"/>
        <v>21</v>
      </c>
      <c r="L243" s="21">
        <v>4.4</v>
      </c>
      <c r="M243" s="21">
        <v>92.4</v>
      </c>
      <c r="N243" s="21">
        <v>92.4</v>
      </c>
    </row>
    <row r="244" spans="4:14">
      <c r="D244" s="18">
        <v>46183</v>
      </c>
      <c r="E244" s="6">
        <v>1611153</v>
      </c>
      <c r="F244" s="6" t="s">
        <v>26</v>
      </c>
      <c r="G244" s="6">
        <v>20324036</v>
      </c>
      <c r="H244" s="6" t="s">
        <v>299</v>
      </c>
      <c r="I244" s="6">
        <v>1</v>
      </c>
      <c r="J244" s="32" t="s">
        <v>28</v>
      </c>
      <c r="K244" s="20">
        <f t="shared" si="16"/>
        <v>45</v>
      </c>
      <c r="L244" s="21">
        <v>4.4</v>
      </c>
      <c r="M244" s="21">
        <v>198</v>
      </c>
      <c r="N244" s="21">
        <v>198</v>
      </c>
    </row>
    <row r="245" spans="4:14">
      <c r="D245" s="18">
        <v>46183</v>
      </c>
      <c r="E245" s="6">
        <v>1611153</v>
      </c>
      <c r="F245" s="6" t="s">
        <v>26</v>
      </c>
      <c r="G245" s="6">
        <v>20324045</v>
      </c>
      <c r="H245" s="6" t="s">
        <v>266</v>
      </c>
      <c r="I245" s="6">
        <v>2</v>
      </c>
      <c r="J245" s="32" t="s">
        <v>28</v>
      </c>
      <c r="K245" s="20">
        <f t="shared" si="16"/>
        <v>19</v>
      </c>
      <c r="L245" s="21">
        <v>4.4</v>
      </c>
      <c r="M245" s="21">
        <v>83.6</v>
      </c>
      <c r="N245" s="21">
        <v>167.2</v>
      </c>
    </row>
    <row r="246" spans="4:14">
      <c r="D246" s="18">
        <v>46183</v>
      </c>
      <c r="E246" s="6">
        <v>1611153</v>
      </c>
      <c r="F246" s="6" t="s">
        <v>16</v>
      </c>
      <c r="G246" s="6">
        <v>20326197</v>
      </c>
      <c r="H246" s="6" t="s">
        <v>333</v>
      </c>
      <c r="I246" s="6">
        <v>2</v>
      </c>
      <c r="J246" s="6" t="s">
        <v>124</v>
      </c>
      <c r="K246" s="20">
        <f t="shared" ref="K246:K248" si="17">M246/L246</f>
        <v>3</v>
      </c>
      <c r="L246" s="21">
        <v>4.4</v>
      </c>
      <c r="M246" s="21">
        <v>13.2</v>
      </c>
      <c r="N246" s="21">
        <v>26.4</v>
      </c>
    </row>
    <row r="247" spans="4:14">
      <c r="D247" s="18">
        <v>46183</v>
      </c>
      <c r="E247" s="6">
        <v>1611153</v>
      </c>
      <c r="F247" s="6" t="s">
        <v>16</v>
      </c>
      <c r="G247" s="6">
        <v>20358566</v>
      </c>
      <c r="H247" s="6" t="s">
        <v>334</v>
      </c>
      <c r="I247" s="6">
        <v>2</v>
      </c>
      <c r="J247" s="32" t="s">
        <v>28</v>
      </c>
      <c r="K247" s="20">
        <f t="shared" si="17"/>
        <v>4</v>
      </c>
      <c r="L247" s="21">
        <v>4.4</v>
      </c>
      <c r="M247" s="21">
        <v>17.6</v>
      </c>
      <c r="N247" s="21">
        <v>35.2</v>
      </c>
    </row>
    <row r="248" spans="4:14">
      <c r="D248" s="18">
        <v>46183</v>
      </c>
      <c r="E248" s="6">
        <v>1611153</v>
      </c>
      <c r="F248" s="6" t="s">
        <v>16</v>
      </c>
      <c r="G248" s="6">
        <v>20324710</v>
      </c>
      <c r="H248" s="6" t="s">
        <v>348</v>
      </c>
      <c r="I248" s="6">
        <v>1</v>
      </c>
      <c r="J248" s="32" t="s">
        <v>28</v>
      </c>
      <c r="K248" s="20">
        <f t="shared" si="17"/>
        <v>4</v>
      </c>
      <c r="L248" s="21">
        <v>4.4</v>
      </c>
      <c r="M248" s="21">
        <v>17.6</v>
      </c>
      <c r="N248" s="21">
        <v>17.6</v>
      </c>
    </row>
    <row r="249" spans="4:14">
      <c r="D249" s="18">
        <v>46183</v>
      </c>
      <c r="E249" s="6">
        <v>1611153</v>
      </c>
      <c r="F249" s="6" t="s">
        <v>16</v>
      </c>
      <c r="G249" s="6">
        <v>20358758</v>
      </c>
      <c r="H249" s="6" t="s">
        <v>335</v>
      </c>
      <c r="I249" s="6">
        <v>2</v>
      </c>
      <c r="J249" s="19" t="s">
        <v>18</v>
      </c>
      <c r="K249" s="20">
        <v>1</v>
      </c>
      <c r="L249" s="21">
        <v>6.4</v>
      </c>
      <c r="M249" s="21">
        <v>6.4</v>
      </c>
      <c r="N249" s="21">
        <v>12.8</v>
      </c>
    </row>
    <row r="250" spans="4:14">
      <c r="D250" s="18">
        <v>46183</v>
      </c>
      <c r="E250" s="6">
        <v>1611153</v>
      </c>
      <c r="F250" s="6" t="s">
        <v>240</v>
      </c>
      <c r="G250" s="6">
        <v>20424838</v>
      </c>
      <c r="H250" s="6" t="s">
        <v>258</v>
      </c>
      <c r="I250" s="6">
        <v>1</v>
      </c>
      <c r="J250" s="32" t="s">
        <v>242</v>
      </c>
      <c r="K250" s="20">
        <v>1</v>
      </c>
      <c r="L250" s="21">
        <v>28</v>
      </c>
      <c r="M250" s="21">
        <v>28</v>
      </c>
      <c r="N250" s="21">
        <v>28</v>
      </c>
    </row>
    <row r="251" spans="4:14">
      <c r="D251" s="18">
        <v>46183</v>
      </c>
      <c r="E251" s="6">
        <v>1611153</v>
      </c>
      <c r="F251" s="6" t="s">
        <v>26</v>
      </c>
      <c r="G251" s="6">
        <v>20325204</v>
      </c>
      <c r="H251" s="6" t="s">
        <v>336</v>
      </c>
      <c r="I251" s="6">
        <v>2</v>
      </c>
      <c r="J251" s="32" t="s">
        <v>28</v>
      </c>
      <c r="K251" s="20">
        <f t="shared" ref="K251:K256" si="18">M251/L251</f>
        <v>13</v>
      </c>
      <c r="L251" s="21">
        <v>4.4</v>
      </c>
      <c r="M251" s="21">
        <v>57.2</v>
      </c>
      <c r="N251" s="21">
        <v>114.4</v>
      </c>
    </row>
    <row r="252" spans="4:14">
      <c r="D252" s="18">
        <v>46183</v>
      </c>
      <c r="E252" s="6">
        <v>1611153</v>
      </c>
      <c r="F252" s="6" t="s">
        <v>16</v>
      </c>
      <c r="G252" s="6">
        <v>20325131</v>
      </c>
      <c r="H252" s="6" t="s">
        <v>337</v>
      </c>
      <c r="I252" s="6">
        <v>1</v>
      </c>
      <c r="J252" s="32" t="s">
        <v>28</v>
      </c>
      <c r="K252" s="20">
        <f t="shared" si="18"/>
        <v>8</v>
      </c>
      <c r="L252" s="21">
        <v>4.4</v>
      </c>
      <c r="M252" s="21">
        <v>35.2</v>
      </c>
      <c r="N252" s="21">
        <v>35.2</v>
      </c>
    </row>
    <row r="253" spans="4:14">
      <c r="D253" s="18">
        <v>46183</v>
      </c>
      <c r="E253" s="6">
        <v>1611153</v>
      </c>
      <c r="F253" s="6" t="s">
        <v>16</v>
      </c>
      <c r="G253" s="6">
        <v>20330458</v>
      </c>
      <c r="H253" s="6" t="s">
        <v>385</v>
      </c>
      <c r="I253" s="6">
        <v>1</v>
      </c>
      <c r="J253" s="32" t="s">
        <v>28</v>
      </c>
      <c r="K253" s="20">
        <f t="shared" si="18"/>
        <v>5</v>
      </c>
      <c r="L253" s="21">
        <v>4.4</v>
      </c>
      <c r="M253" s="21">
        <v>22</v>
      </c>
      <c r="N253" s="21">
        <v>22</v>
      </c>
    </row>
    <row r="254" spans="4:14">
      <c r="D254" s="18">
        <v>46183</v>
      </c>
      <c r="E254" s="6">
        <v>1611153</v>
      </c>
      <c r="F254" s="6" t="s">
        <v>16</v>
      </c>
      <c r="G254" s="6">
        <v>20324892</v>
      </c>
      <c r="H254" s="6" t="s">
        <v>386</v>
      </c>
      <c r="I254" s="6">
        <v>1</v>
      </c>
      <c r="J254" s="32" t="s">
        <v>28</v>
      </c>
      <c r="K254" s="20">
        <f t="shared" si="18"/>
        <v>3</v>
      </c>
      <c r="L254" s="21">
        <v>4.4</v>
      </c>
      <c r="M254" s="21">
        <v>13.2</v>
      </c>
      <c r="N254" s="21">
        <v>13.2</v>
      </c>
    </row>
    <row r="255" spans="4:14">
      <c r="D255" s="18">
        <v>46183</v>
      </c>
      <c r="E255" s="6">
        <v>1611153</v>
      </c>
      <c r="F255" s="6" t="s">
        <v>16</v>
      </c>
      <c r="G255" s="6">
        <v>20324699</v>
      </c>
      <c r="H255" s="6" t="s">
        <v>268</v>
      </c>
      <c r="I255" s="6">
        <v>5</v>
      </c>
      <c r="J255" s="32" t="s">
        <v>28</v>
      </c>
      <c r="K255" s="20">
        <f t="shared" si="18"/>
        <v>5</v>
      </c>
      <c r="L255" s="21">
        <v>4.4</v>
      </c>
      <c r="M255" s="21">
        <v>22</v>
      </c>
      <c r="N255" s="21">
        <v>110</v>
      </c>
    </row>
    <row r="256" spans="4:14">
      <c r="D256" s="18">
        <v>46183</v>
      </c>
      <c r="E256" s="6">
        <v>1611153</v>
      </c>
      <c r="F256" s="6" t="s">
        <v>16</v>
      </c>
      <c r="G256" s="6">
        <v>20325524</v>
      </c>
      <c r="H256" s="6" t="s">
        <v>312</v>
      </c>
      <c r="I256" s="6">
        <v>1</v>
      </c>
      <c r="J256" s="32" t="s">
        <v>28</v>
      </c>
      <c r="K256" s="20">
        <f t="shared" si="18"/>
        <v>3</v>
      </c>
      <c r="L256" s="21">
        <v>4.4</v>
      </c>
      <c r="M256" s="21">
        <v>13.2</v>
      </c>
      <c r="N256" s="21">
        <v>13.2</v>
      </c>
    </row>
    <row r="257" spans="4:14">
      <c r="D257" s="18">
        <v>46184</v>
      </c>
      <c r="E257" s="6">
        <v>1611221</v>
      </c>
      <c r="F257" s="6" t="s">
        <v>16</v>
      </c>
      <c r="G257" s="6">
        <v>20342188</v>
      </c>
      <c r="H257" s="6" t="s">
        <v>313</v>
      </c>
      <c r="I257" s="6">
        <v>1</v>
      </c>
      <c r="J257" s="33" t="s">
        <v>263</v>
      </c>
      <c r="K257" s="20">
        <v>1</v>
      </c>
      <c r="L257" s="21">
        <v>22.4</v>
      </c>
      <c r="M257" s="21">
        <v>22.4</v>
      </c>
      <c r="N257" s="21">
        <v>22.4</v>
      </c>
    </row>
    <row r="258" spans="4:14">
      <c r="D258" s="18">
        <v>46184</v>
      </c>
      <c r="E258" s="6">
        <v>1611221</v>
      </c>
      <c r="F258" s="6" t="s">
        <v>16</v>
      </c>
      <c r="G258" s="6">
        <v>20328011</v>
      </c>
      <c r="H258" s="6" t="s">
        <v>314</v>
      </c>
      <c r="I258" s="6">
        <v>2</v>
      </c>
      <c r="J258" s="32" t="s">
        <v>58</v>
      </c>
      <c r="K258" s="20">
        <v>1</v>
      </c>
      <c r="L258" s="21">
        <v>17.6</v>
      </c>
      <c r="M258" s="21">
        <v>52.8</v>
      </c>
      <c r="N258" s="21">
        <v>105.6</v>
      </c>
    </row>
    <row r="259" spans="4:14">
      <c r="D259" s="18"/>
      <c r="E259" s="6"/>
      <c r="F259" s="6"/>
      <c r="G259" s="6"/>
      <c r="H259" s="6"/>
      <c r="I259" s="6"/>
      <c r="J259" s="32" t="s">
        <v>58</v>
      </c>
      <c r="K259" s="20">
        <v>1</v>
      </c>
      <c r="L259" s="21">
        <v>17.6</v>
      </c>
      <c r="M259" s="21"/>
      <c r="N259" s="21"/>
    </row>
    <row r="260" spans="4:14">
      <c r="D260" s="18"/>
      <c r="E260" s="6"/>
      <c r="F260" s="6"/>
      <c r="G260" s="6"/>
      <c r="H260" s="6"/>
      <c r="I260" s="6"/>
      <c r="J260" s="32" t="s">
        <v>58</v>
      </c>
      <c r="K260" s="20">
        <v>1</v>
      </c>
      <c r="L260" s="21">
        <v>17.6</v>
      </c>
      <c r="M260" s="21"/>
      <c r="N260" s="21"/>
    </row>
    <row r="261" spans="4:14">
      <c r="D261" s="18">
        <v>46184</v>
      </c>
      <c r="E261" s="6">
        <v>1611221</v>
      </c>
      <c r="F261" s="6" t="s">
        <v>16</v>
      </c>
      <c r="G261" s="6">
        <v>20324643</v>
      </c>
      <c r="H261" s="6" t="s">
        <v>315</v>
      </c>
      <c r="I261" s="6">
        <v>1</v>
      </c>
      <c r="J261" s="33" t="s">
        <v>263</v>
      </c>
      <c r="K261" s="20">
        <v>1</v>
      </c>
      <c r="L261" s="21">
        <v>22.4</v>
      </c>
      <c r="M261" s="21">
        <v>22.4</v>
      </c>
      <c r="N261" s="21">
        <v>22.4</v>
      </c>
    </row>
    <row r="262" spans="4:14">
      <c r="D262" s="18">
        <v>46184</v>
      </c>
      <c r="E262" s="6">
        <v>1611221</v>
      </c>
      <c r="F262" s="6" t="s">
        <v>16</v>
      </c>
      <c r="G262" s="6">
        <v>20324637</v>
      </c>
      <c r="H262" s="6" t="s">
        <v>284</v>
      </c>
      <c r="I262" s="6">
        <v>1</v>
      </c>
      <c r="J262" s="33" t="s">
        <v>183</v>
      </c>
      <c r="K262" s="20">
        <v>1</v>
      </c>
      <c r="L262" s="21">
        <v>28</v>
      </c>
      <c r="M262" s="21">
        <v>28</v>
      </c>
      <c r="N262" s="21">
        <v>28</v>
      </c>
    </row>
    <row r="263" spans="4:14">
      <c r="D263" s="18">
        <v>46184</v>
      </c>
      <c r="E263" s="6">
        <v>1611221</v>
      </c>
      <c r="F263" s="6" t="s">
        <v>16</v>
      </c>
      <c r="G263" s="6">
        <v>20325758</v>
      </c>
      <c r="H263" s="6" t="s">
        <v>302</v>
      </c>
      <c r="I263" s="6">
        <v>1</v>
      </c>
      <c r="J263" s="32" t="s">
        <v>290</v>
      </c>
      <c r="K263" s="20">
        <v>1</v>
      </c>
      <c r="L263" s="21">
        <v>20</v>
      </c>
      <c r="M263" s="21">
        <v>20</v>
      </c>
      <c r="N263" s="21">
        <v>20</v>
      </c>
    </row>
    <row r="264" spans="4:14">
      <c r="D264" s="18">
        <v>46184</v>
      </c>
      <c r="E264" s="6">
        <v>1611221</v>
      </c>
      <c r="F264" s="6" t="s">
        <v>16</v>
      </c>
      <c r="G264" s="6">
        <v>20382023</v>
      </c>
      <c r="H264" s="6" t="s">
        <v>355</v>
      </c>
      <c r="I264" s="6">
        <v>1</v>
      </c>
      <c r="J264" s="32" t="s">
        <v>58</v>
      </c>
      <c r="K264" s="20">
        <v>1</v>
      </c>
      <c r="L264" s="21">
        <v>17.6</v>
      </c>
      <c r="M264" s="21">
        <v>17.6</v>
      </c>
      <c r="N264" s="21">
        <v>17.6</v>
      </c>
    </row>
    <row r="265" spans="4:14">
      <c r="D265" s="18">
        <v>46184</v>
      </c>
      <c r="E265" s="6">
        <v>1611221</v>
      </c>
      <c r="F265" s="6" t="s">
        <v>16</v>
      </c>
      <c r="G265" s="6">
        <v>20324822</v>
      </c>
      <c r="H265" s="6" t="s">
        <v>317</v>
      </c>
      <c r="I265" s="6">
        <v>1</v>
      </c>
      <c r="J265" s="33" t="s">
        <v>183</v>
      </c>
      <c r="K265" s="20">
        <v>1</v>
      </c>
      <c r="L265" s="21">
        <v>28</v>
      </c>
      <c r="M265" s="21">
        <v>28</v>
      </c>
      <c r="N265" s="21">
        <v>28</v>
      </c>
    </row>
    <row r="266" spans="4:14">
      <c r="D266" s="18">
        <v>46184</v>
      </c>
      <c r="E266" s="6">
        <v>1611221</v>
      </c>
      <c r="F266" s="6" t="s">
        <v>16</v>
      </c>
      <c r="G266" s="6">
        <v>20324645</v>
      </c>
      <c r="H266" s="6" t="s">
        <v>318</v>
      </c>
      <c r="I266" s="6">
        <v>1</v>
      </c>
      <c r="J266" s="33" t="s">
        <v>263</v>
      </c>
      <c r="K266" s="20">
        <v>1</v>
      </c>
      <c r="L266" s="21">
        <v>22.4</v>
      </c>
      <c r="M266" s="21">
        <v>22.4</v>
      </c>
      <c r="N266" s="21">
        <v>22.4</v>
      </c>
    </row>
    <row r="267" spans="4:14">
      <c r="D267" s="18">
        <v>46184</v>
      </c>
      <c r="E267" s="6">
        <v>1611221</v>
      </c>
      <c r="F267" s="6" t="s">
        <v>16</v>
      </c>
      <c r="G267" s="6">
        <v>20324723</v>
      </c>
      <c r="H267" s="6" t="s">
        <v>275</v>
      </c>
      <c r="I267" s="6">
        <v>1</v>
      </c>
      <c r="J267" s="33" t="s">
        <v>263</v>
      </c>
      <c r="K267" s="20">
        <v>1</v>
      </c>
      <c r="L267" s="21">
        <v>22.4</v>
      </c>
      <c r="M267" s="21">
        <v>22.4</v>
      </c>
      <c r="N267" s="21">
        <v>22.4</v>
      </c>
    </row>
    <row r="268" spans="4:14">
      <c r="D268" s="18">
        <v>46184</v>
      </c>
      <c r="E268" s="6">
        <v>1611221</v>
      </c>
      <c r="F268" s="6" t="s">
        <v>16</v>
      </c>
      <c r="G268" s="6">
        <v>20324636</v>
      </c>
      <c r="H268" s="6" t="s">
        <v>320</v>
      </c>
      <c r="I268" s="6">
        <v>1</v>
      </c>
      <c r="J268" s="33" t="s">
        <v>183</v>
      </c>
      <c r="K268" s="20">
        <v>1</v>
      </c>
      <c r="L268" s="21">
        <v>28</v>
      </c>
      <c r="M268" s="21">
        <v>28</v>
      </c>
      <c r="N268" s="21">
        <v>28</v>
      </c>
    </row>
    <row r="269" spans="4:14">
      <c r="D269" s="18">
        <v>46184</v>
      </c>
      <c r="E269" s="6">
        <v>1611221</v>
      </c>
      <c r="F269" s="6" t="s">
        <v>16</v>
      </c>
      <c r="G269" s="6">
        <v>20324642</v>
      </c>
      <c r="H269" s="6" t="s">
        <v>321</v>
      </c>
      <c r="I269" s="6">
        <v>1</v>
      </c>
      <c r="J269" s="32" t="s">
        <v>58</v>
      </c>
      <c r="K269" s="20">
        <v>1</v>
      </c>
      <c r="L269" s="21">
        <v>17.6</v>
      </c>
      <c r="M269" s="21">
        <v>17.6</v>
      </c>
      <c r="N269" s="21">
        <v>17.6</v>
      </c>
    </row>
    <row r="270" spans="4:14">
      <c r="D270" s="18">
        <v>46184</v>
      </c>
      <c r="E270" s="6">
        <v>1611221</v>
      </c>
      <c r="F270" s="6" t="s">
        <v>16</v>
      </c>
      <c r="G270" s="6">
        <v>20324732</v>
      </c>
      <c r="H270" s="6" t="s">
        <v>322</v>
      </c>
      <c r="I270" s="6">
        <v>1</v>
      </c>
      <c r="J270" s="33" t="s">
        <v>263</v>
      </c>
      <c r="K270" s="20">
        <v>1</v>
      </c>
      <c r="L270" s="21">
        <v>22.4</v>
      </c>
      <c r="M270" s="21">
        <v>22.4</v>
      </c>
      <c r="N270" s="21">
        <v>22.4</v>
      </c>
    </row>
    <row r="271" spans="4:14">
      <c r="D271" s="18">
        <v>46184</v>
      </c>
      <c r="E271" s="6">
        <v>1611221</v>
      </c>
      <c r="F271" s="6" t="s">
        <v>16</v>
      </c>
      <c r="G271" s="6">
        <v>20383664</v>
      </c>
      <c r="H271" s="6" t="s">
        <v>387</v>
      </c>
      <c r="I271" s="6">
        <v>1</v>
      </c>
      <c r="J271" s="33" t="s">
        <v>263</v>
      </c>
      <c r="K271" s="20">
        <v>1</v>
      </c>
      <c r="L271" s="21">
        <v>22.4</v>
      </c>
      <c r="M271" s="21">
        <v>22.4</v>
      </c>
      <c r="N271" s="21">
        <v>22.4</v>
      </c>
    </row>
    <row r="272" spans="4:14">
      <c r="D272" s="18">
        <v>46184</v>
      </c>
      <c r="E272" s="6">
        <v>1611221</v>
      </c>
      <c r="F272" s="6" t="s">
        <v>16</v>
      </c>
      <c r="G272" s="6">
        <v>20324644</v>
      </c>
      <c r="H272" s="6" t="s">
        <v>292</v>
      </c>
      <c r="I272" s="6">
        <v>1</v>
      </c>
      <c r="J272" s="33" t="s">
        <v>263</v>
      </c>
      <c r="K272" s="20">
        <v>1</v>
      </c>
      <c r="L272" s="21">
        <v>22.4</v>
      </c>
      <c r="M272" s="21">
        <v>22.4</v>
      </c>
      <c r="N272" s="21">
        <v>22.4</v>
      </c>
    </row>
    <row r="273" spans="4:14">
      <c r="D273" s="18">
        <v>46184</v>
      </c>
      <c r="E273" s="6">
        <v>1611221</v>
      </c>
      <c r="F273" s="6" t="s">
        <v>16</v>
      </c>
      <c r="G273" s="6">
        <v>20324814</v>
      </c>
      <c r="H273" s="6" t="s">
        <v>293</v>
      </c>
      <c r="I273" s="6">
        <v>2</v>
      </c>
      <c r="J273" s="33" t="s">
        <v>263</v>
      </c>
      <c r="K273" s="20">
        <v>1</v>
      </c>
      <c r="L273" s="21">
        <v>22.4</v>
      </c>
      <c r="M273" s="21">
        <v>22.4</v>
      </c>
      <c r="N273" s="21">
        <v>44.8</v>
      </c>
    </row>
    <row r="274" spans="4:14">
      <c r="D274" s="18">
        <v>46184</v>
      </c>
      <c r="E274" s="6">
        <v>1611221</v>
      </c>
      <c r="F274" s="6" t="s">
        <v>16</v>
      </c>
      <c r="G274" s="6">
        <v>20324646</v>
      </c>
      <c r="H274" s="6" t="s">
        <v>326</v>
      </c>
      <c r="I274" s="6">
        <v>1</v>
      </c>
      <c r="J274" s="32" t="s">
        <v>290</v>
      </c>
      <c r="K274" s="20">
        <v>1</v>
      </c>
      <c r="L274" s="21">
        <v>20</v>
      </c>
      <c r="M274" s="21">
        <v>20</v>
      </c>
      <c r="N274" s="21">
        <v>20</v>
      </c>
    </row>
    <row r="275" spans="4:14">
      <c r="D275" s="18">
        <v>46184</v>
      </c>
      <c r="E275" s="6">
        <v>1611221</v>
      </c>
      <c r="F275" s="6" t="s">
        <v>16</v>
      </c>
      <c r="G275" s="6">
        <v>20332069</v>
      </c>
      <c r="H275" s="6" t="s">
        <v>342</v>
      </c>
      <c r="I275" s="6">
        <v>1</v>
      </c>
      <c r="J275" s="33" t="s">
        <v>263</v>
      </c>
      <c r="K275" s="20">
        <v>1</v>
      </c>
      <c r="L275" s="21">
        <v>22.4</v>
      </c>
      <c r="M275" s="21">
        <v>22.4</v>
      </c>
      <c r="N275" s="21">
        <v>22.4</v>
      </c>
    </row>
    <row r="276" spans="4:14">
      <c r="D276" s="18">
        <v>46184</v>
      </c>
      <c r="E276" s="6">
        <v>1611506</v>
      </c>
      <c r="F276" s="6" t="s">
        <v>240</v>
      </c>
      <c r="G276" s="6">
        <v>20424838</v>
      </c>
      <c r="H276" s="6" t="s">
        <v>258</v>
      </c>
      <c r="I276" s="6">
        <v>1</v>
      </c>
      <c r="J276" s="32" t="s">
        <v>242</v>
      </c>
      <c r="K276" s="20">
        <v>1</v>
      </c>
      <c r="L276" s="21">
        <v>28</v>
      </c>
      <c r="M276" s="21">
        <v>28</v>
      </c>
      <c r="N276" s="21">
        <v>28</v>
      </c>
    </row>
    <row r="277" spans="4:14">
      <c r="D277" s="18">
        <v>46184</v>
      </c>
      <c r="E277" s="6">
        <v>1611506</v>
      </c>
      <c r="F277" s="6" t="s">
        <v>240</v>
      </c>
      <c r="G277" s="6">
        <v>20418592</v>
      </c>
      <c r="H277" s="6" t="s">
        <v>251</v>
      </c>
      <c r="I277" s="6">
        <v>2</v>
      </c>
      <c r="J277" s="32" t="s">
        <v>242</v>
      </c>
      <c r="K277" s="20">
        <v>1</v>
      </c>
      <c r="L277" s="21">
        <v>28</v>
      </c>
      <c r="M277" s="21">
        <v>28</v>
      </c>
      <c r="N277" s="21">
        <v>56</v>
      </c>
    </row>
    <row r="278" spans="4:14">
      <c r="D278" s="18">
        <v>46184</v>
      </c>
      <c r="E278" s="6">
        <v>1611506</v>
      </c>
      <c r="F278" s="6" t="s">
        <v>16</v>
      </c>
      <c r="G278" s="6">
        <v>20329152</v>
      </c>
      <c r="H278" s="6" t="s">
        <v>311</v>
      </c>
      <c r="I278" s="6">
        <v>1</v>
      </c>
      <c r="J278" s="32" t="s">
        <v>28</v>
      </c>
      <c r="K278" s="20">
        <f t="shared" ref="K278:K282" si="19">M278/L278</f>
        <v>11</v>
      </c>
      <c r="L278" s="21">
        <v>4.4</v>
      </c>
      <c r="M278" s="21">
        <v>48.4</v>
      </c>
      <c r="N278" s="21">
        <v>48.4</v>
      </c>
    </row>
    <row r="279" spans="4:14">
      <c r="D279" s="18">
        <v>46184</v>
      </c>
      <c r="E279" s="6">
        <v>1611506</v>
      </c>
      <c r="F279" s="6" t="s">
        <v>51</v>
      </c>
      <c r="G279" s="6">
        <v>20354932</v>
      </c>
      <c r="H279" s="6" t="s">
        <v>210</v>
      </c>
      <c r="I279" s="6">
        <v>20</v>
      </c>
      <c r="J279" s="33" t="s">
        <v>86</v>
      </c>
      <c r="K279" s="20">
        <v>1</v>
      </c>
      <c r="L279" s="21">
        <v>3.2</v>
      </c>
      <c r="M279" s="21">
        <v>3.2</v>
      </c>
      <c r="N279" s="21">
        <v>64</v>
      </c>
    </row>
    <row r="280" spans="4:14">
      <c r="D280" s="18">
        <v>46184</v>
      </c>
      <c r="E280" s="6">
        <v>1611528</v>
      </c>
      <c r="F280" s="6" t="s">
        <v>26</v>
      </c>
      <c r="G280" s="6">
        <v>20324028</v>
      </c>
      <c r="H280" s="6" t="s">
        <v>307</v>
      </c>
      <c r="I280" s="6">
        <v>2</v>
      </c>
      <c r="J280" s="32" t="s">
        <v>28</v>
      </c>
      <c r="K280" s="20">
        <f t="shared" si="19"/>
        <v>42</v>
      </c>
      <c r="L280" s="21">
        <v>4.4</v>
      </c>
      <c r="M280" s="21">
        <v>184.8</v>
      </c>
      <c r="N280" s="21">
        <v>369.6</v>
      </c>
    </row>
    <row r="281" spans="4:14">
      <c r="D281" s="18">
        <v>46184</v>
      </c>
      <c r="E281" s="6">
        <v>1611528</v>
      </c>
      <c r="F281" s="6" t="s">
        <v>26</v>
      </c>
      <c r="G281" s="6">
        <v>20324046</v>
      </c>
      <c r="H281" s="6" t="s">
        <v>176</v>
      </c>
      <c r="I281" s="6">
        <v>1</v>
      </c>
      <c r="J281" s="32" t="s">
        <v>28</v>
      </c>
      <c r="K281" s="20">
        <f t="shared" si="19"/>
        <v>49</v>
      </c>
      <c r="L281" s="21">
        <v>4.4</v>
      </c>
      <c r="M281" s="21">
        <v>215.6</v>
      </c>
      <c r="N281" s="21">
        <v>215.6</v>
      </c>
    </row>
    <row r="282" spans="4:14">
      <c r="D282" s="18">
        <v>46184</v>
      </c>
      <c r="E282" s="6">
        <v>1611528</v>
      </c>
      <c r="F282" s="6" t="s">
        <v>26</v>
      </c>
      <c r="G282" s="6">
        <v>20324045</v>
      </c>
      <c r="H282" s="6" t="s">
        <v>266</v>
      </c>
      <c r="I282" s="6">
        <v>3</v>
      </c>
      <c r="J282" s="32" t="s">
        <v>28</v>
      </c>
      <c r="K282" s="20">
        <f t="shared" si="19"/>
        <v>19</v>
      </c>
      <c r="L282" s="21">
        <v>4.4</v>
      </c>
      <c r="M282" s="21">
        <v>83.6</v>
      </c>
      <c r="N282" s="21">
        <v>250.8</v>
      </c>
    </row>
    <row r="283" spans="4:14">
      <c r="D283" s="18">
        <v>46184</v>
      </c>
      <c r="E283" s="6">
        <v>1611528</v>
      </c>
      <c r="F283" s="6" t="s">
        <v>16</v>
      </c>
      <c r="G283" s="6">
        <v>20358758</v>
      </c>
      <c r="H283" s="6" t="s">
        <v>335</v>
      </c>
      <c r="I283" s="6">
        <v>1</v>
      </c>
      <c r="J283" s="19" t="s">
        <v>18</v>
      </c>
      <c r="K283" s="20">
        <v>1</v>
      </c>
      <c r="L283" s="21">
        <v>6.4</v>
      </c>
      <c r="M283" s="21">
        <v>6.4</v>
      </c>
      <c r="N283" s="21">
        <v>6.4</v>
      </c>
    </row>
    <row r="284" spans="4:14">
      <c r="D284" s="18">
        <v>46184</v>
      </c>
      <c r="E284" s="6">
        <v>1611528</v>
      </c>
      <c r="F284" s="6" t="s">
        <v>16</v>
      </c>
      <c r="G284" s="6">
        <v>20325131</v>
      </c>
      <c r="H284" s="6" t="s">
        <v>337</v>
      </c>
      <c r="I284" s="6">
        <v>1</v>
      </c>
      <c r="J284" s="32" t="s">
        <v>28</v>
      </c>
      <c r="K284" s="20">
        <f t="shared" ref="K284:K288" si="20">M284/L284</f>
        <v>8</v>
      </c>
      <c r="L284" s="21">
        <v>4.4</v>
      </c>
      <c r="M284" s="21">
        <v>35.2</v>
      </c>
      <c r="N284" s="21">
        <v>35.2</v>
      </c>
    </row>
    <row r="285" spans="4:14">
      <c r="D285" s="18">
        <v>46184</v>
      </c>
      <c r="E285" s="6">
        <v>1611528</v>
      </c>
      <c r="F285" s="6" t="s">
        <v>16</v>
      </c>
      <c r="G285" s="6">
        <v>20324699</v>
      </c>
      <c r="H285" s="6" t="s">
        <v>268</v>
      </c>
      <c r="I285" s="6">
        <v>6</v>
      </c>
      <c r="J285" s="32" t="s">
        <v>28</v>
      </c>
      <c r="K285" s="20">
        <f t="shared" si="20"/>
        <v>5</v>
      </c>
      <c r="L285" s="21">
        <v>4.4</v>
      </c>
      <c r="M285" s="21">
        <v>22</v>
      </c>
      <c r="N285" s="21">
        <v>132</v>
      </c>
    </row>
    <row r="286" spans="4:14">
      <c r="D286" s="18">
        <v>46184</v>
      </c>
      <c r="E286" s="6">
        <v>1611528</v>
      </c>
      <c r="F286" s="6" t="s">
        <v>16</v>
      </c>
      <c r="G286" s="6">
        <v>20428710</v>
      </c>
      <c r="H286" s="6" t="s">
        <v>353</v>
      </c>
      <c r="I286" s="6">
        <v>1</v>
      </c>
      <c r="J286" s="32" t="s">
        <v>28</v>
      </c>
      <c r="K286" s="20">
        <f t="shared" si="20"/>
        <v>4</v>
      </c>
      <c r="L286" s="21">
        <v>4.4</v>
      </c>
      <c r="M286" s="21">
        <v>17.6</v>
      </c>
      <c r="N286" s="21">
        <v>17.6</v>
      </c>
    </row>
    <row r="287" spans="4:14">
      <c r="D287" s="18">
        <v>46184</v>
      </c>
      <c r="E287" s="6">
        <v>1611593</v>
      </c>
      <c r="F287" s="6" t="s">
        <v>26</v>
      </c>
      <c r="G287" s="6">
        <v>20336544</v>
      </c>
      <c r="H287" s="6" t="s">
        <v>332</v>
      </c>
      <c r="I287" s="6">
        <v>1</v>
      </c>
      <c r="J287" s="32" t="s">
        <v>28</v>
      </c>
      <c r="K287" s="20">
        <f t="shared" si="20"/>
        <v>19</v>
      </c>
      <c r="L287" s="21">
        <v>4.4</v>
      </c>
      <c r="M287" s="21">
        <v>83.6</v>
      </c>
      <c r="N287" s="21">
        <v>83.6</v>
      </c>
    </row>
    <row r="288" spans="4:14">
      <c r="D288" s="18">
        <v>46184</v>
      </c>
      <c r="E288" s="6">
        <v>1611593</v>
      </c>
      <c r="F288" s="6" t="s">
        <v>26</v>
      </c>
      <c r="G288" s="6">
        <v>20324049</v>
      </c>
      <c r="H288" s="6" t="s">
        <v>388</v>
      </c>
      <c r="I288" s="6">
        <v>1</v>
      </c>
      <c r="J288" s="32" t="s">
        <v>28</v>
      </c>
      <c r="K288" s="20">
        <f t="shared" si="20"/>
        <v>25</v>
      </c>
      <c r="L288" s="21">
        <v>4.4</v>
      </c>
      <c r="M288" s="21">
        <v>110</v>
      </c>
      <c r="N288" s="21">
        <v>110</v>
      </c>
    </row>
    <row r="289" spans="4:14">
      <c r="D289" s="18">
        <v>46184</v>
      </c>
      <c r="E289" s="6">
        <v>1611593</v>
      </c>
      <c r="F289" s="6" t="s">
        <v>16</v>
      </c>
      <c r="G289" s="6">
        <v>20326197</v>
      </c>
      <c r="H289" s="6" t="s">
        <v>333</v>
      </c>
      <c r="I289" s="6">
        <v>1</v>
      </c>
      <c r="J289" s="6" t="s">
        <v>124</v>
      </c>
      <c r="K289" s="20">
        <f t="shared" ref="K289:K292" si="21">M289/L289</f>
        <v>3</v>
      </c>
      <c r="L289" s="21">
        <v>4.4</v>
      </c>
      <c r="M289" s="21">
        <v>13.2</v>
      </c>
      <c r="N289" s="21">
        <v>13.2</v>
      </c>
    </row>
    <row r="290" spans="4:14">
      <c r="D290" s="18">
        <v>46184</v>
      </c>
      <c r="E290" s="6">
        <v>1611593</v>
      </c>
      <c r="F290" s="6" t="s">
        <v>16</v>
      </c>
      <c r="G290" s="6">
        <v>20358566</v>
      </c>
      <c r="H290" s="6" t="s">
        <v>334</v>
      </c>
      <c r="I290" s="6">
        <v>1</v>
      </c>
      <c r="J290" s="32" t="s">
        <v>28</v>
      </c>
      <c r="K290" s="20">
        <f t="shared" si="21"/>
        <v>4</v>
      </c>
      <c r="L290" s="21">
        <v>4.4</v>
      </c>
      <c r="M290" s="21">
        <v>17.6</v>
      </c>
      <c r="N290" s="21">
        <v>17.6</v>
      </c>
    </row>
    <row r="291" spans="4:14">
      <c r="D291" s="18">
        <v>46184</v>
      </c>
      <c r="E291" s="6">
        <v>1611593</v>
      </c>
      <c r="F291" s="6" t="s">
        <v>16</v>
      </c>
      <c r="G291" s="6">
        <v>20389912</v>
      </c>
      <c r="H291" s="6" t="s">
        <v>389</v>
      </c>
      <c r="I291" s="6">
        <v>1</v>
      </c>
      <c r="J291" s="19" t="s">
        <v>18</v>
      </c>
      <c r="K291" s="20">
        <v>1</v>
      </c>
      <c r="L291" s="21">
        <v>6.4</v>
      </c>
      <c r="M291" s="21">
        <v>6.4</v>
      </c>
      <c r="N291" s="21">
        <v>6.4</v>
      </c>
    </row>
    <row r="292" spans="4:14">
      <c r="D292" s="18">
        <v>46184</v>
      </c>
      <c r="E292" s="6">
        <v>1611593</v>
      </c>
      <c r="F292" s="6" t="s">
        <v>26</v>
      </c>
      <c r="G292" s="6">
        <v>20325204</v>
      </c>
      <c r="H292" s="6" t="s">
        <v>336</v>
      </c>
      <c r="I292" s="6">
        <v>1</v>
      </c>
      <c r="J292" s="32" t="s">
        <v>28</v>
      </c>
      <c r="K292" s="20">
        <f t="shared" si="21"/>
        <v>13</v>
      </c>
      <c r="L292" s="21">
        <v>4.4</v>
      </c>
      <c r="M292" s="21">
        <v>57.2</v>
      </c>
      <c r="N292" s="21">
        <v>57.2</v>
      </c>
    </row>
    <row r="293" spans="4:14">
      <c r="D293" s="18">
        <v>46185</v>
      </c>
      <c r="E293" s="6">
        <v>1611638</v>
      </c>
      <c r="F293" s="6" t="s">
        <v>16</v>
      </c>
      <c r="G293" s="6">
        <v>20342188</v>
      </c>
      <c r="H293" s="6" t="s">
        <v>313</v>
      </c>
      <c r="I293" s="6">
        <v>1</v>
      </c>
      <c r="J293" s="33" t="s">
        <v>263</v>
      </c>
      <c r="K293" s="20">
        <v>1</v>
      </c>
      <c r="L293" s="21">
        <v>22.4</v>
      </c>
      <c r="M293" s="21">
        <v>22.4</v>
      </c>
      <c r="N293" s="21">
        <v>22.4</v>
      </c>
    </row>
    <row r="294" spans="4:14">
      <c r="D294" s="18">
        <v>46185</v>
      </c>
      <c r="E294" s="6">
        <v>1611638</v>
      </c>
      <c r="F294" s="6" t="s">
        <v>16</v>
      </c>
      <c r="G294" s="6">
        <v>20328011</v>
      </c>
      <c r="H294" s="6" t="s">
        <v>314</v>
      </c>
      <c r="I294" s="6">
        <v>1</v>
      </c>
      <c r="J294" s="32" t="s">
        <v>58</v>
      </c>
      <c r="K294" s="20">
        <v>1</v>
      </c>
      <c r="L294" s="21">
        <v>17.6</v>
      </c>
      <c r="M294" s="21">
        <v>52.8</v>
      </c>
      <c r="N294" s="21">
        <v>52.8</v>
      </c>
    </row>
    <row r="295" spans="4:14">
      <c r="D295" s="18"/>
      <c r="E295" s="6"/>
      <c r="F295" s="6"/>
      <c r="G295" s="6"/>
      <c r="H295" s="6"/>
      <c r="I295" s="6"/>
      <c r="J295" s="32" t="s">
        <v>58</v>
      </c>
      <c r="K295" s="20">
        <v>1</v>
      </c>
      <c r="L295" s="21">
        <v>17.6</v>
      </c>
      <c r="M295" s="21"/>
      <c r="N295" s="21"/>
    </row>
    <row r="296" spans="4:14">
      <c r="D296" s="18"/>
      <c r="E296" s="6"/>
      <c r="F296" s="6"/>
      <c r="G296" s="6"/>
      <c r="H296" s="6"/>
      <c r="I296" s="6"/>
      <c r="J296" s="32" t="s">
        <v>58</v>
      </c>
      <c r="K296" s="20">
        <v>1</v>
      </c>
      <c r="L296" s="21">
        <v>17.6</v>
      </c>
      <c r="M296" s="21"/>
      <c r="N296" s="21"/>
    </row>
    <row r="297" spans="4:14">
      <c r="D297" s="18">
        <v>46185</v>
      </c>
      <c r="E297" s="6">
        <v>1611638</v>
      </c>
      <c r="F297" s="6" t="s">
        <v>16</v>
      </c>
      <c r="G297" s="6">
        <v>20325443</v>
      </c>
      <c r="H297" s="6" t="s">
        <v>338</v>
      </c>
      <c r="I297" s="6">
        <v>1</v>
      </c>
      <c r="J297" s="33" t="s">
        <v>183</v>
      </c>
      <c r="K297" s="20">
        <v>1</v>
      </c>
      <c r="L297" s="21">
        <v>28</v>
      </c>
      <c r="M297" s="21">
        <v>28</v>
      </c>
      <c r="N297" s="21">
        <v>28</v>
      </c>
    </row>
    <row r="298" spans="4:14">
      <c r="D298" s="18">
        <v>46185</v>
      </c>
      <c r="E298" s="6">
        <v>1611638</v>
      </c>
      <c r="F298" s="6" t="s">
        <v>16</v>
      </c>
      <c r="G298" s="6">
        <v>20324944</v>
      </c>
      <c r="H298" s="6" t="s">
        <v>339</v>
      </c>
      <c r="I298" s="6">
        <v>1</v>
      </c>
      <c r="J298" s="33" t="s">
        <v>48</v>
      </c>
      <c r="K298" s="20" t="s">
        <v>49</v>
      </c>
      <c r="L298" s="21">
        <v>240</v>
      </c>
      <c r="M298" s="21">
        <v>240</v>
      </c>
      <c r="N298" s="21">
        <v>240</v>
      </c>
    </row>
    <row r="299" spans="4:14">
      <c r="D299" s="18">
        <v>46185</v>
      </c>
      <c r="E299" s="6">
        <v>1611894</v>
      </c>
      <c r="F299" s="6" t="s">
        <v>26</v>
      </c>
      <c r="G299" s="6">
        <v>20324463</v>
      </c>
      <c r="H299" s="6" t="s">
        <v>271</v>
      </c>
      <c r="I299" s="6">
        <v>4</v>
      </c>
      <c r="J299" s="32" t="s">
        <v>28</v>
      </c>
      <c r="K299" s="20">
        <f t="shared" ref="K299:K303" si="22">M299/L299</f>
        <v>35</v>
      </c>
      <c r="L299" s="21">
        <v>4.4</v>
      </c>
      <c r="M299" s="21">
        <v>154</v>
      </c>
      <c r="N299" s="21">
        <v>616</v>
      </c>
    </row>
    <row r="300" spans="4:14">
      <c r="D300" s="18">
        <v>46185</v>
      </c>
      <c r="E300" s="6">
        <v>1611894</v>
      </c>
      <c r="F300" s="6" t="s">
        <v>26</v>
      </c>
      <c r="G300" s="6">
        <v>20405201</v>
      </c>
      <c r="H300" s="6" t="s">
        <v>331</v>
      </c>
      <c r="I300" s="6">
        <v>1</v>
      </c>
      <c r="J300" s="32" t="s">
        <v>28</v>
      </c>
      <c r="K300" s="20">
        <f t="shared" si="22"/>
        <v>17</v>
      </c>
      <c r="L300" s="21">
        <v>4.4</v>
      </c>
      <c r="M300" s="21">
        <v>74.8</v>
      </c>
      <c r="N300" s="21">
        <v>74.8</v>
      </c>
    </row>
    <row r="301" spans="4:14">
      <c r="D301" s="18">
        <v>46185</v>
      </c>
      <c r="E301" s="6">
        <v>1611894</v>
      </c>
      <c r="F301" s="6" t="s">
        <v>26</v>
      </c>
      <c r="G301" s="6">
        <v>20324049</v>
      </c>
      <c r="H301" s="6" t="s">
        <v>388</v>
      </c>
      <c r="I301" s="6">
        <v>2</v>
      </c>
      <c r="J301" s="32" t="s">
        <v>28</v>
      </c>
      <c r="K301" s="20">
        <f t="shared" si="22"/>
        <v>25</v>
      </c>
      <c r="L301" s="21">
        <v>4.4</v>
      </c>
      <c r="M301" s="21">
        <v>110</v>
      </c>
      <c r="N301" s="21">
        <v>220</v>
      </c>
    </row>
    <row r="302" spans="4:14">
      <c r="D302" s="18">
        <v>46185</v>
      </c>
      <c r="E302" s="6">
        <v>1611894</v>
      </c>
      <c r="F302" s="6" t="s">
        <v>26</v>
      </c>
      <c r="G302" s="6">
        <v>20324045</v>
      </c>
      <c r="H302" s="6" t="s">
        <v>266</v>
      </c>
      <c r="I302" s="6">
        <v>5</v>
      </c>
      <c r="J302" s="32" t="s">
        <v>28</v>
      </c>
      <c r="K302" s="20">
        <f t="shared" si="22"/>
        <v>19</v>
      </c>
      <c r="L302" s="21">
        <v>4.4</v>
      </c>
      <c r="M302" s="21">
        <v>83.6</v>
      </c>
      <c r="N302" s="21">
        <v>418</v>
      </c>
    </row>
    <row r="303" spans="4:14">
      <c r="D303" s="18">
        <v>46185</v>
      </c>
      <c r="E303" s="6">
        <v>1611894</v>
      </c>
      <c r="F303" s="6" t="s">
        <v>34</v>
      </c>
      <c r="G303" s="6">
        <v>20363598</v>
      </c>
      <c r="H303" s="6" t="s">
        <v>390</v>
      </c>
      <c r="I303" s="6">
        <v>1</v>
      </c>
      <c r="J303" s="32" t="s">
        <v>28</v>
      </c>
      <c r="K303" s="20">
        <f t="shared" si="22"/>
        <v>7</v>
      </c>
      <c r="L303" s="21">
        <v>4.4</v>
      </c>
      <c r="M303" s="21">
        <v>30.8</v>
      </c>
      <c r="N303" s="21">
        <v>30.8</v>
      </c>
    </row>
    <row r="304" spans="4:14">
      <c r="D304" s="18">
        <v>46185</v>
      </c>
      <c r="E304" s="6">
        <v>1611894</v>
      </c>
      <c r="F304" s="6" t="s">
        <v>34</v>
      </c>
      <c r="G304" s="6">
        <v>20363596</v>
      </c>
      <c r="H304" s="6" t="s">
        <v>391</v>
      </c>
      <c r="I304" s="6">
        <v>1</v>
      </c>
      <c r="J304" s="32" t="s">
        <v>28</v>
      </c>
      <c r="K304" s="20">
        <f t="shared" ref="K304:K311" si="23">M304/L304</f>
        <v>3</v>
      </c>
      <c r="L304" s="21">
        <v>4.4</v>
      </c>
      <c r="M304" s="21">
        <v>13.2</v>
      </c>
      <c r="N304" s="21">
        <v>13.2</v>
      </c>
    </row>
    <row r="305" spans="4:14">
      <c r="D305" s="18">
        <v>46185</v>
      </c>
      <c r="E305" s="6">
        <v>1611894</v>
      </c>
      <c r="F305" s="6" t="s">
        <v>16</v>
      </c>
      <c r="G305" s="6">
        <v>20324370</v>
      </c>
      <c r="H305" s="6" t="s">
        <v>112</v>
      </c>
      <c r="I305" s="6">
        <v>2</v>
      </c>
      <c r="J305" s="19" t="s">
        <v>18</v>
      </c>
      <c r="K305" s="20">
        <v>1</v>
      </c>
      <c r="L305" s="21">
        <v>6.4</v>
      </c>
      <c r="M305" s="21">
        <v>6.4</v>
      </c>
      <c r="N305" s="21">
        <v>12.8</v>
      </c>
    </row>
    <row r="306" spans="4:14">
      <c r="D306" s="18">
        <v>46185</v>
      </c>
      <c r="E306" s="6">
        <v>1611894</v>
      </c>
      <c r="F306" s="6" t="s">
        <v>240</v>
      </c>
      <c r="G306" s="6">
        <v>20418592</v>
      </c>
      <c r="H306" s="6" t="s">
        <v>251</v>
      </c>
      <c r="I306" s="6">
        <v>1</v>
      </c>
      <c r="J306" s="32" t="s">
        <v>242</v>
      </c>
      <c r="K306" s="20">
        <v>1</v>
      </c>
      <c r="L306" s="21">
        <v>28</v>
      </c>
      <c r="M306" s="21">
        <v>28</v>
      </c>
      <c r="N306" s="21">
        <v>28</v>
      </c>
    </row>
    <row r="307" spans="4:14">
      <c r="D307" s="18">
        <v>46185</v>
      </c>
      <c r="E307" s="6">
        <v>1611894</v>
      </c>
      <c r="F307" s="6" t="s">
        <v>16</v>
      </c>
      <c r="G307" s="6">
        <v>20388474</v>
      </c>
      <c r="H307" s="6" t="s">
        <v>392</v>
      </c>
      <c r="I307" s="6">
        <v>1</v>
      </c>
      <c r="J307" s="32" t="s">
        <v>28</v>
      </c>
      <c r="K307" s="20">
        <f t="shared" si="23"/>
        <v>23</v>
      </c>
      <c r="L307" s="21">
        <v>4.4</v>
      </c>
      <c r="M307" s="21">
        <v>101.2</v>
      </c>
      <c r="N307" s="21">
        <v>101.2</v>
      </c>
    </row>
    <row r="308" spans="4:14">
      <c r="D308" s="18">
        <v>46185</v>
      </c>
      <c r="E308" s="6">
        <v>1611894</v>
      </c>
      <c r="F308" s="6" t="s">
        <v>16</v>
      </c>
      <c r="G308" s="6">
        <v>20329152</v>
      </c>
      <c r="H308" s="6" t="s">
        <v>311</v>
      </c>
      <c r="I308" s="6">
        <v>2</v>
      </c>
      <c r="J308" s="32" t="s">
        <v>28</v>
      </c>
      <c r="K308" s="20">
        <f t="shared" si="23"/>
        <v>11</v>
      </c>
      <c r="L308" s="21">
        <v>4.4</v>
      </c>
      <c r="M308" s="21">
        <v>48.4</v>
      </c>
      <c r="N308" s="21">
        <v>96.8</v>
      </c>
    </row>
    <row r="309" spans="4:14">
      <c r="D309" s="18">
        <v>46185</v>
      </c>
      <c r="E309" s="6">
        <v>1611894</v>
      </c>
      <c r="F309" s="6" t="s">
        <v>16</v>
      </c>
      <c r="G309" s="6">
        <v>20330248</v>
      </c>
      <c r="H309" s="6" t="s">
        <v>393</v>
      </c>
      <c r="I309" s="6">
        <v>1</v>
      </c>
      <c r="J309" s="32" t="s">
        <v>28</v>
      </c>
      <c r="K309" s="20">
        <f t="shared" si="23"/>
        <v>52</v>
      </c>
      <c r="L309" s="21">
        <v>4.4</v>
      </c>
      <c r="M309" s="21">
        <v>228.8</v>
      </c>
      <c r="N309" s="21">
        <v>228.8</v>
      </c>
    </row>
    <row r="310" spans="4:14">
      <c r="D310" s="18">
        <v>46185</v>
      </c>
      <c r="E310" s="6">
        <v>1611894</v>
      </c>
      <c r="F310" s="6" t="s">
        <v>16</v>
      </c>
      <c r="G310" s="6">
        <v>20324699</v>
      </c>
      <c r="H310" s="6" t="s">
        <v>268</v>
      </c>
      <c r="I310" s="6">
        <v>11</v>
      </c>
      <c r="J310" s="32" t="s">
        <v>28</v>
      </c>
      <c r="K310" s="20">
        <f t="shared" si="23"/>
        <v>5</v>
      </c>
      <c r="L310" s="21">
        <v>4.4</v>
      </c>
      <c r="M310" s="21">
        <v>22</v>
      </c>
      <c r="N310" s="21">
        <v>242</v>
      </c>
    </row>
    <row r="311" spans="4:14">
      <c r="D311" s="18">
        <v>46185</v>
      </c>
      <c r="E311" s="6">
        <v>1611894</v>
      </c>
      <c r="F311" s="6" t="s">
        <v>16</v>
      </c>
      <c r="G311" s="6">
        <v>20333042</v>
      </c>
      <c r="H311" s="6" t="s">
        <v>394</v>
      </c>
      <c r="I311" s="6">
        <v>1</v>
      </c>
      <c r="J311" s="32" t="s">
        <v>28</v>
      </c>
      <c r="K311" s="20">
        <f t="shared" si="23"/>
        <v>14</v>
      </c>
      <c r="L311" s="21">
        <v>4.4</v>
      </c>
      <c r="M311" s="21">
        <v>61.6</v>
      </c>
      <c r="N311" s="21">
        <v>61.6</v>
      </c>
    </row>
    <row r="312" spans="4:14">
      <c r="D312" s="18">
        <v>46185</v>
      </c>
      <c r="E312" s="6">
        <v>1611894</v>
      </c>
      <c r="F312" s="6" t="s">
        <v>51</v>
      </c>
      <c r="G312" s="6">
        <v>20391358</v>
      </c>
      <c r="H312" s="6" t="s">
        <v>395</v>
      </c>
      <c r="I312" s="6">
        <v>30</v>
      </c>
      <c r="J312" s="32" t="s">
        <v>53</v>
      </c>
      <c r="K312" s="20">
        <v>1</v>
      </c>
      <c r="L312" s="21">
        <v>2</v>
      </c>
      <c r="M312" s="21">
        <v>2</v>
      </c>
      <c r="N312" s="21">
        <v>60</v>
      </c>
    </row>
    <row r="313" spans="4:14">
      <c r="D313" s="18">
        <v>46185</v>
      </c>
      <c r="E313" s="6">
        <v>1611894</v>
      </c>
      <c r="F313" s="6" t="s">
        <v>51</v>
      </c>
      <c r="G313" s="6">
        <v>20324519</v>
      </c>
      <c r="H313" s="6" t="s">
        <v>396</v>
      </c>
      <c r="I313" s="6">
        <v>13</v>
      </c>
      <c r="J313" s="32" t="s">
        <v>53</v>
      </c>
      <c r="K313" s="20">
        <v>1</v>
      </c>
      <c r="L313" s="21">
        <v>2</v>
      </c>
      <c r="M313" s="21">
        <v>2</v>
      </c>
      <c r="N313" s="21">
        <v>26</v>
      </c>
    </row>
    <row r="314" spans="4:14">
      <c r="D314" s="18">
        <v>46185</v>
      </c>
      <c r="E314" s="6">
        <v>1611940</v>
      </c>
      <c r="F314" s="6" t="s">
        <v>358</v>
      </c>
      <c r="G314" s="6">
        <v>20407280</v>
      </c>
      <c r="H314" s="6" t="s">
        <v>397</v>
      </c>
      <c r="I314" s="6">
        <v>1</v>
      </c>
      <c r="J314" s="32" t="s">
        <v>40</v>
      </c>
      <c r="K314" s="20" t="s">
        <v>41</v>
      </c>
      <c r="L314" s="21">
        <v>132</v>
      </c>
      <c r="M314" s="21">
        <v>132</v>
      </c>
      <c r="N314" s="21">
        <v>132</v>
      </c>
    </row>
    <row r="315" spans="4:14">
      <c r="D315" s="18">
        <v>46185</v>
      </c>
      <c r="E315" s="6">
        <v>1611940</v>
      </c>
      <c r="F315" s="6" t="s">
        <v>358</v>
      </c>
      <c r="G315" s="6">
        <v>20429607</v>
      </c>
      <c r="H315" s="6" t="s">
        <v>398</v>
      </c>
      <c r="I315" s="6">
        <v>1</v>
      </c>
      <c r="J315" s="32" t="s">
        <v>40</v>
      </c>
      <c r="K315" s="20" t="s">
        <v>41</v>
      </c>
      <c r="L315" s="21">
        <v>132</v>
      </c>
      <c r="M315" s="21">
        <v>132</v>
      </c>
      <c r="N315" s="21">
        <v>132</v>
      </c>
    </row>
    <row r="316" spans="4:14">
      <c r="D316" s="18">
        <v>46186</v>
      </c>
      <c r="E316" s="6">
        <v>1611980</v>
      </c>
      <c r="F316" s="6" t="s">
        <v>16</v>
      </c>
      <c r="G316" s="6">
        <v>20325234</v>
      </c>
      <c r="H316" s="6" t="s">
        <v>399</v>
      </c>
      <c r="I316" s="6">
        <v>1</v>
      </c>
      <c r="J316" s="32" t="s">
        <v>58</v>
      </c>
      <c r="K316" s="20">
        <v>1</v>
      </c>
      <c r="L316" s="21">
        <v>17.6</v>
      </c>
      <c r="M316" s="21">
        <v>35.2</v>
      </c>
      <c r="N316" s="21">
        <v>35.2</v>
      </c>
    </row>
    <row r="317" spans="4:14">
      <c r="D317" s="18"/>
      <c r="E317" s="6"/>
      <c r="F317" s="6"/>
      <c r="G317" s="6"/>
      <c r="H317" s="6"/>
      <c r="I317" s="6"/>
      <c r="J317" s="32" t="s">
        <v>58</v>
      </c>
      <c r="K317" s="20">
        <v>1</v>
      </c>
      <c r="L317" s="21">
        <v>17.6</v>
      </c>
      <c r="M317" s="21"/>
      <c r="N317" s="21"/>
    </row>
    <row r="318" spans="4:14">
      <c r="D318" s="18">
        <v>46186</v>
      </c>
      <c r="E318" s="6">
        <v>1611980</v>
      </c>
      <c r="F318" s="6" t="s">
        <v>16</v>
      </c>
      <c r="G318" s="6">
        <v>20324643</v>
      </c>
      <c r="H318" s="6" t="s">
        <v>315</v>
      </c>
      <c r="I318" s="6">
        <v>4</v>
      </c>
      <c r="J318" s="33" t="s">
        <v>263</v>
      </c>
      <c r="K318" s="20">
        <v>1</v>
      </c>
      <c r="L318" s="21">
        <v>22.4</v>
      </c>
      <c r="M318" s="21">
        <v>22.4</v>
      </c>
      <c r="N318" s="21">
        <v>89.6</v>
      </c>
    </row>
    <row r="319" spans="4:14">
      <c r="D319" s="18">
        <v>46186</v>
      </c>
      <c r="E319" s="6">
        <v>1611980</v>
      </c>
      <c r="F319" s="6" t="s">
        <v>16</v>
      </c>
      <c r="G319" s="6">
        <v>20324637</v>
      </c>
      <c r="H319" s="6" t="s">
        <v>284</v>
      </c>
      <c r="I319" s="6">
        <v>4</v>
      </c>
      <c r="J319" s="33" t="s">
        <v>183</v>
      </c>
      <c r="K319" s="20">
        <v>1</v>
      </c>
      <c r="L319" s="21">
        <v>28</v>
      </c>
      <c r="M319" s="21">
        <v>28</v>
      </c>
      <c r="N319" s="21">
        <v>112</v>
      </c>
    </row>
    <row r="320" spans="4:14">
      <c r="D320" s="18">
        <v>46186</v>
      </c>
      <c r="E320" s="6">
        <v>1611980</v>
      </c>
      <c r="F320" s="6" t="s">
        <v>16</v>
      </c>
      <c r="G320" s="6">
        <v>20330449</v>
      </c>
      <c r="H320" s="6" t="s">
        <v>351</v>
      </c>
      <c r="I320" s="6">
        <v>3</v>
      </c>
      <c r="J320" s="33" t="s">
        <v>263</v>
      </c>
      <c r="K320" s="20">
        <v>1</v>
      </c>
      <c r="L320" s="21">
        <v>22.4</v>
      </c>
      <c r="M320" s="21">
        <v>22.4</v>
      </c>
      <c r="N320" s="21">
        <v>67.2</v>
      </c>
    </row>
    <row r="321" spans="4:14">
      <c r="D321" s="18">
        <v>46186</v>
      </c>
      <c r="E321" s="6">
        <v>1611980</v>
      </c>
      <c r="F321" s="6" t="s">
        <v>16</v>
      </c>
      <c r="G321" s="6">
        <v>20329253</v>
      </c>
      <c r="H321" s="6" t="s">
        <v>316</v>
      </c>
      <c r="I321" s="6">
        <v>2</v>
      </c>
      <c r="J321" s="32" t="s">
        <v>58</v>
      </c>
      <c r="K321" s="20">
        <v>1</v>
      </c>
      <c r="L321" s="21">
        <v>17.6</v>
      </c>
      <c r="M321" s="21">
        <v>17.6</v>
      </c>
      <c r="N321" s="21">
        <v>35.2</v>
      </c>
    </row>
    <row r="322" spans="4:14">
      <c r="D322" s="18">
        <v>46186</v>
      </c>
      <c r="E322" s="6">
        <v>1611980</v>
      </c>
      <c r="F322" s="6" t="s">
        <v>16</v>
      </c>
      <c r="G322" s="6">
        <v>20324822</v>
      </c>
      <c r="H322" s="6" t="s">
        <v>317</v>
      </c>
      <c r="I322" s="6">
        <v>2</v>
      </c>
      <c r="J322" s="33" t="s">
        <v>183</v>
      </c>
      <c r="K322" s="20">
        <v>1</v>
      </c>
      <c r="L322" s="21">
        <v>28</v>
      </c>
      <c r="M322" s="21">
        <v>28</v>
      </c>
      <c r="N322" s="21">
        <v>56</v>
      </c>
    </row>
    <row r="323" spans="4:14">
      <c r="D323" s="18">
        <v>46186</v>
      </c>
      <c r="E323" s="6">
        <v>1611980</v>
      </c>
      <c r="F323" s="6" t="s">
        <v>16</v>
      </c>
      <c r="G323" s="6">
        <v>20354181</v>
      </c>
      <c r="H323" s="6" t="s">
        <v>356</v>
      </c>
      <c r="I323" s="6">
        <v>1</v>
      </c>
      <c r="J323" s="33" t="s">
        <v>48</v>
      </c>
      <c r="K323" s="20" t="s">
        <v>49</v>
      </c>
      <c r="L323" s="21">
        <v>240</v>
      </c>
      <c r="M323" s="21">
        <v>240</v>
      </c>
      <c r="N323" s="21">
        <v>240</v>
      </c>
    </row>
    <row r="324" spans="4:14">
      <c r="D324" s="18">
        <v>46186</v>
      </c>
      <c r="E324" s="6">
        <v>1611980</v>
      </c>
      <c r="F324" s="6" t="s">
        <v>16</v>
      </c>
      <c r="G324" s="6">
        <v>20324645</v>
      </c>
      <c r="H324" s="6" t="s">
        <v>318</v>
      </c>
      <c r="I324" s="6">
        <v>4</v>
      </c>
      <c r="J324" s="33" t="s">
        <v>263</v>
      </c>
      <c r="K324" s="20">
        <v>1</v>
      </c>
      <c r="L324" s="21">
        <v>22.4</v>
      </c>
      <c r="M324" s="21">
        <v>22.4</v>
      </c>
      <c r="N324" s="21">
        <v>89.6</v>
      </c>
    </row>
    <row r="325" spans="4:14">
      <c r="D325" s="18">
        <v>46186</v>
      </c>
      <c r="E325" s="6">
        <v>1611980</v>
      </c>
      <c r="F325" s="6" t="s">
        <v>16</v>
      </c>
      <c r="G325" s="6">
        <v>20329652</v>
      </c>
      <c r="H325" s="6" t="s">
        <v>357</v>
      </c>
      <c r="I325" s="6">
        <v>1</v>
      </c>
      <c r="J325" s="33" t="s">
        <v>263</v>
      </c>
      <c r="K325" s="20">
        <v>1</v>
      </c>
      <c r="L325" s="21">
        <v>22.4</v>
      </c>
      <c r="M325" s="21">
        <v>22.4</v>
      </c>
      <c r="N325" s="21">
        <v>22.4</v>
      </c>
    </row>
    <row r="326" spans="4:14">
      <c r="D326" s="18">
        <v>46186</v>
      </c>
      <c r="E326" s="6">
        <v>1611980</v>
      </c>
      <c r="F326" s="6" t="s">
        <v>16</v>
      </c>
      <c r="G326" s="6">
        <v>20324723</v>
      </c>
      <c r="H326" s="6" t="s">
        <v>275</v>
      </c>
      <c r="I326" s="6">
        <v>3</v>
      </c>
      <c r="J326" s="33" t="s">
        <v>263</v>
      </c>
      <c r="K326" s="20">
        <v>1</v>
      </c>
      <c r="L326" s="21">
        <v>22.4</v>
      </c>
      <c r="M326" s="21">
        <v>22.4</v>
      </c>
      <c r="N326" s="21">
        <v>67.2</v>
      </c>
    </row>
    <row r="327" spans="4:14">
      <c r="D327" s="18">
        <v>46186</v>
      </c>
      <c r="E327" s="6">
        <v>1611980</v>
      </c>
      <c r="F327" s="6" t="s">
        <v>16</v>
      </c>
      <c r="G327" s="6">
        <v>20324636</v>
      </c>
      <c r="H327" s="6" t="s">
        <v>320</v>
      </c>
      <c r="I327" s="6">
        <v>4</v>
      </c>
      <c r="J327" s="33" t="s">
        <v>183</v>
      </c>
      <c r="K327" s="20">
        <v>1</v>
      </c>
      <c r="L327" s="21">
        <v>28</v>
      </c>
      <c r="M327" s="21">
        <v>28</v>
      </c>
      <c r="N327" s="21">
        <v>112</v>
      </c>
    </row>
    <row r="328" spans="4:14">
      <c r="D328" s="18">
        <v>46186</v>
      </c>
      <c r="E328" s="6">
        <v>1611980</v>
      </c>
      <c r="F328" s="6" t="s">
        <v>16</v>
      </c>
      <c r="G328" s="6">
        <v>20324642</v>
      </c>
      <c r="H328" s="6" t="s">
        <v>321</v>
      </c>
      <c r="I328" s="6">
        <v>2</v>
      </c>
      <c r="J328" s="32" t="s">
        <v>58</v>
      </c>
      <c r="K328" s="20">
        <v>1</v>
      </c>
      <c r="L328" s="21">
        <v>17.6</v>
      </c>
      <c r="M328" s="21">
        <v>17.6</v>
      </c>
      <c r="N328" s="21">
        <v>35.2</v>
      </c>
    </row>
    <row r="329" spans="4:14">
      <c r="D329" s="18">
        <v>46186</v>
      </c>
      <c r="E329" s="6">
        <v>1611980</v>
      </c>
      <c r="F329" s="6" t="s">
        <v>16</v>
      </c>
      <c r="G329" s="6">
        <v>20324732</v>
      </c>
      <c r="H329" s="6" t="s">
        <v>322</v>
      </c>
      <c r="I329" s="6">
        <v>2</v>
      </c>
      <c r="J329" s="33" t="s">
        <v>263</v>
      </c>
      <c r="K329" s="20">
        <v>1</v>
      </c>
      <c r="L329" s="21">
        <v>22.4</v>
      </c>
      <c r="M329" s="21">
        <v>22.4</v>
      </c>
      <c r="N329" s="21">
        <v>44.8</v>
      </c>
    </row>
    <row r="330" spans="4:14">
      <c r="D330" s="18">
        <v>46186</v>
      </c>
      <c r="E330" s="6">
        <v>1611980</v>
      </c>
      <c r="F330" s="6" t="s">
        <v>16</v>
      </c>
      <c r="G330" s="6">
        <v>20383664</v>
      </c>
      <c r="H330" s="6" t="s">
        <v>387</v>
      </c>
      <c r="I330" s="6">
        <v>1</v>
      </c>
      <c r="J330" s="33" t="s">
        <v>263</v>
      </c>
      <c r="K330" s="20">
        <v>1</v>
      </c>
      <c r="L330" s="21">
        <v>22.4</v>
      </c>
      <c r="M330" s="21">
        <v>22.4</v>
      </c>
      <c r="N330" s="21">
        <v>22.4</v>
      </c>
    </row>
    <row r="331" spans="4:14">
      <c r="D331" s="18">
        <v>46186</v>
      </c>
      <c r="E331" s="6">
        <v>1611980</v>
      </c>
      <c r="F331" s="6" t="s">
        <v>16</v>
      </c>
      <c r="G331" s="6">
        <v>20324644</v>
      </c>
      <c r="H331" s="6" t="s">
        <v>292</v>
      </c>
      <c r="I331" s="6">
        <v>5</v>
      </c>
      <c r="J331" s="33" t="s">
        <v>263</v>
      </c>
      <c r="K331" s="20">
        <v>1</v>
      </c>
      <c r="L331" s="21">
        <v>22.4</v>
      </c>
      <c r="M331" s="21">
        <v>22.4</v>
      </c>
      <c r="N331" s="21">
        <v>112</v>
      </c>
    </row>
    <row r="332" spans="4:14">
      <c r="D332" s="18">
        <v>46186</v>
      </c>
      <c r="E332" s="6">
        <v>1611980</v>
      </c>
      <c r="F332" s="6" t="s">
        <v>16</v>
      </c>
      <c r="G332" s="6">
        <v>20324814</v>
      </c>
      <c r="H332" s="6" t="s">
        <v>293</v>
      </c>
      <c r="I332" s="6">
        <v>4</v>
      </c>
      <c r="J332" s="33" t="s">
        <v>263</v>
      </c>
      <c r="K332" s="20">
        <v>1</v>
      </c>
      <c r="L332" s="21">
        <v>22.4</v>
      </c>
      <c r="M332" s="21">
        <v>22.4</v>
      </c>
      <c r="N332" s="21">
        <v>89.6</v>
      </c>
    </row>
    <row r="333" spans="4:14">
      <c r="D333" s="18">
        <v>46186</v>
      </c>
      <c r="E333" s="6">
        <v>1611980</v>
      </c>
      <c r="F333" s="6" t="s">
        <v>16</v>
      </c>
      <c r="G333" s="6">
        <v>20324646</v>
      </c>
      <c r="H333" s="6" t="s">
        <v>326</v>
      </c>
      <c r="I333" s="6">
        <v>4</v>
      </c>
      <c r="J333" s="32" t="s">
        <v>290</v>
      </c>
      <c r="K333" s="20">
        <v>1</v>
      </c>
      <c r="L333" s="21">
        <v>20</v>
      </c>
      <c r="M333" s="21">
        <v>20</v>
      </c>
      <c r="N333" s="21">
        <v>80</v>
      </c>
    </row>
    <row r="334" spans="4:14">
      <c r="D334" s="18">
        <v>46186</v>
      </c>
      <c r="E334" s="6">
        <v>1611980</v>
      </c>
      <c r="F334" s="6" t="s">
        <v>16</v>
      </c>
      <c r="G334" s="6">
        <v>20332069</v>
      </c>
      <c r="H334" s="6" t="s">
        <v>342</v>
      </c>
      <c r="I334" s="6">
        <v>1</v>
      </c>
      <c r="J334" s="33" t="s">
        <v>263</v>
      </c>
      <c r="K334" s="20">
        <v>1</v>
      </c>
      <c r="L334" s="21">
        <v>22.4</v>
      </c>
      <c r="M334" s="21">
        <v>22.4</v>
      </c>
      <c r="N334" s="21">
        <v>22.4</v>
      </c>
    </row>
    <row r="335" spans="4:14">
      <c r="D335" s="89">
        <v>46186</v>
      </c>
      <c r="E335" s="90">
        <v>1611980</v>
      </c>
      <c r="F335" s="90" t="s">
        <v>34</v>
      </c>
      <c r="G335" s="90">
        <v>20324638</v>
      </c>
      <c r="H335" s="90" t="s">
        <v>327</v>
      </c>
      <c r="I335" s="90">
        <v>1</v>
      </c>
      <c r="J335" s="33" t="s">
        <v>328</v>
      </c>
      <c r="K335" s="20" t="s">
        <v>329</v>
      </c>
      <c r="L335" s="21">
        <v>22.4</v>
      </c>
      <c r="M335" s="21">
        <f>L335+L336</f>
        <v>30.4</v>
      </c>
      <c r="N335" s="93">
        <f>M335*I335</f>
        <v>30.4</v>
      </c>
    </row>
    <row r="336" spans="4:14">
      <c r="D336" s="91"/>
      <c r="E336" s="92"/>
      <c r="F336" s="92"/>
      <c r="G336" s="92"/>
      <c r="H336" s="92"/>
      <c r="I336" s="92"/>
      <c r="J336" s="6" t="s">
        <v>330</v>
      </c>
      <c r="K336" s="20" t="s">
        <v>329</v>
      </c>
      <c r="L336" s="21">
        <v>8</v>
      </c>
      <c r="M336" s="21"/>
      <c r="N336" s="36"/>
    </row>
    <row r="337" spans="4:14">
      <c r="D337" s="18">
        <v>46188</v>
      </c>
      <c r="E337" s="6">
        <v>1612351</v>
      </c>
      <c r="F337" s="6" t="s">
        <v>26</v>
      </c>
      <c r="G337" s="6">
        <v>20324463</v>
      </c>
      <c r="H337" s="6" t="s">
        <v>271</v>
      </c>
      <c r="I337" s="6">
        <v>1</v>
      </c>
      <c r="J337" s="32" t="s">
        <v>28</v>
      </c>
      <c r="K337" s="20">
        <f t="shared" ref="K337:K346" si="24">M337/L337</f>
        <v>35</v>
      </c>
      <c r="L337" s="21">
        <v>4.4</v>
      </c>
      <c r="M337" s="21">
        <v>154</v>
      </c>
      <c r="N337" s="21">
        <v>154</v>
      </c>
    </row>
    <row r="338" spans="4:14">
      <c r="D338" s="18">
        <v>46188</v>
      </c>
      <c r="E338" s="6">
        <v>1612351</v>
      </c>
      <c r="F338" s="6" t="s">
        <v>240</v>
      </c>
      <c r="G338" s="6">
        <v>20352875</v>
      </c>
      <c r="H338" s="6" t="s">
        <v>352</v>
      </c>
      <c r="I338" s="6">
        <v>2</v>
      </c>
      <c r="J338" s="32" t="s">
        <v>242</v>
      </c>
      <c r="K338" s="20">
        <v>1</v>
      </c>
      <c r="L338" s="21">
        <v>28</v>
      </c>
      <c r="M338" s="21">
        <v>28</v>
      </c>
      <c r="N338" s="21">
        <v>56</v>
      </c>
    </row>
    <row r="339" spans="4:14">
      <c r="D339" s="18">
        <v>46188</v>
      </c>
      <c r="E339" s="6">
        <v>1612351</v>
      </c>
      <c r="F339" s="6" t="s">
        <v>240</v>
      </c>
      <c r="G339" s="6">
        <v>20424838</v>
      </c>
      <c r="H339" s="6" t="s">
        <v>258</v>
      </c>
      <c r="I339" s="6">
        <v>1</v>
      </c>
      <c r="J339" s="32" t="s">
        <v>242</v>
      </c>
      <c r="K339" s="20">
        <v>1</v>
      </c>
      <c r="L339" s="21">
        <v>28</v>
      </c>
      <c r="M339" s="21">
        <v>28</v>
      </c>
      <c r="N339" s="21">
        <v>28</v>
      </c>
    </row>
    <row r="340" spans="4:14">
      <c r="D340" s="18">
        <v>46188</v>
      </c>
      <c r="E340" s="6">
        <v>1612351</v>
      </c>
      <c r="F340" s="6" t="s">
        <v>240</v>
      </c>
      <c r="G340" s="6">
        <v>20418592</v>
      </c>
      <c r="H340" s="6" t="s">
        <v>251</v>
      </c>
      <c r="I340" s="6">
        <v>1</v>
      </c>
      <c r="J340" s="32" t="s">
        <v>242</v>
      </c>
      <c r="K340" s="20">
        <v>1</v>
      </c>
      <c r="L340" s="21">
        <v>28</v>
      </c>
      <c r="M340" s="21">
        <v>28</v>
      </c>
      <c r="N340" s="21">
        <v>28</v>
      </c>
    </row>
    <row r="341" spans="4:14">
      <c r="D341" s="18">
        <v>46188</v>
      </c>
      <c r="E341" s="6">
        <v>1612351</v>
      </c>
      <c r="F341" s="6" t="s">
        <v>16</v>
      </c>
      <c r="G341" s="6">
        <v>20332488</v>
      </c>
      <c r="H341" s="6" t="s">
        <v>400</v>
      </c>
      <c r="I341" s="6">
        <v>1</v>
      </c>
      <c r="J341" s="32" t="s">
        <v>28</v>
      </c>
      <c r="K341" s="20">
        <f t="shared" si="24"/>
        <v>7</v>
      </c>
      <c r="L341" s="21">
        <v>4.4</v>
      </c>
      <c r="M341" s="21">
        <v>30.8</v>
      </c>
      <c r="N341" s="21">
        <v>30.8</v>
      </c>
    </row>
    <row r="342" spans="4:14">
      <c r="D342" s="18">
        <v>46188</v>
      </c>
      <c r="E342" s="6">
        <v>1612351</v>
      </c>
      <c r="F342" s="6" t="s">
        <v>16</v>
      </c>
      <c r="G342" s="6">
        <v>20324699</v>
      </c>
      <c r="H342" s="6" t="s">
        <v>268</v>
      </c>
      <c r="I342" s="6">
        <v>6</v>
      </c>
      <c r="J342" s="32" t="s">
        <v>28</v>
      </c>
      <c r="K342" s="20">
        <f t="shared" si="24"/>
        <v>5</v>
      </c>
      <c r="L342" s="21">
        <v>4.4</v>
      </c>
      <c r="M342" s="21">
        <v>22</v>
      </c>
      <c r="N342" s="21">
        <v>132</v>
      </c>
    </row>
    <row r="343" spans="4:14">
      <c r="D343" s="18">
        <v>46189</v>
      </c>
      <c r="E343" s="6">
        <v>1612420</v>
      </c>
      <c r="F343" s="6" t="s">
        <v>26</v>
      </c>
      <c r="G343" s="6">
        <v>20324463</v>
      </c>
      <c r="H343" s="6" t="s">
        <v>271</v>
      </c>
      <c r="I343" s="6">
        <v>1</v>
      </c>
      <c r="J343" s="32" t="s">
        <v>28</v>
      </c>
      <c r="K343" s="20">
        <f t="shared" si="24"/>
        <v>35</v>
      </c>
      <c r="L343" s="21">
        <v>4.4</v>
      </c>
      <c r="M343" s="21">
        <v>154</v>
      </c>
      <c r="N343" s="21">
        <v>154</v>
      </c>
    </row>
    <row r="344" spans="4:14">
      <c r="D344" s="18">
        <v>46189</v>
      </c>
      <c r="E344" s="6">
        <v>1612420</v>
      </c>
      <c r="F344" s="6" t="s">
        <v>26</v>
      </c>
      <c r="G344" s="6">
        <v>20405201</v>
      </c>
      <c r="H344" s="6" t="s">
        <v>331</v>
      </c>
      <c r="I344" s="6">
        <v>1</v>
      </c>
      <c r="J344" s="32" t="s">
        <v>28</v>
      </c>
      <c r="K344" s="20">
        <f t="shared" si="24"/>
        <v>17</v>
      </c>
      <c r="L344" s="21">
        <v>4.4</v>
      </c>
      <c r="M344" s="21">
        <v>74.8</v>
      </c>
      <c r="N344" s="21">
        <v>74.8</v>
      </c>
    </row>
    <row r="345" spans="4:14">
      <c r="D345" s="18">
        <v>46189</v>
      </c>
      <c r="E345" s="6">
        <v>1612420</v>
      </c>
      <c r="F345" s="6" t="s">
        <v>26</v>
      </c>
      <c r="G345" s="6">
        <v>20324049</v>
      </c>
      <c r="H345" s="6" t="s">
        <v>388</v>
      </c>
      <c r="I345" s="6">
        <v>1</v>
      </c>
      <c r="J345" s="32" t="s">
        <v>28</v>
      </c>
      <c r="K345" s="20">
        <f t="shared" si="24"/>
        <v>25</v>
      </c>
      <c r="L345" s="21">
        <v>4.4</v>
      </c>
      <c r="M345" s="21">
        <v>110</v>
      </c>
      <c r="N345" s="21">
        <v>110</v>
      </c>
    </row>
    <row r="346" spans="4:14">
      <c r="D346" s="18">
        <v>46189</v>
      </c>
      <c r="E346" s="6">
        <v>1612420</v>
      </c>
      <c r="F346" s="6" t="s">
        <v>26</v>
      </c>
      <c r="G346" s="6">
        <v>20324045</v>
      </c>
      <c r="H346" s="6" t="s">
        <v>266</v>
      </c>
      <c r="I346" s="6">
        <v>3</v>
      </c>
      <c r="J346" s="32" t="s">
        <v>28</v>
      </c>
      <c r="K346" s="20">
        <f t="shared" si="24"/>
        <v>19</v>
      </c>
      <c r="L346" s="21">
        <v>4.4</v>
      </c>
      <c r="M346" s="21">
        <v>83.6</v>
      </c>
      <c r="N346" s="21">
        <v>250.8</v>
      </c>
    </row>
    <row r="347" spans="4:14">
      <c r="D347" s="18">
        <v>46189</v>
      </c>
      <c r="E347" s="6">
        <v>1612420</v>
      </c>
      <c r="F347" s="6" t="s">
        <v>16</v>
      </c>
      <c r="G347" s="6">
        <v>20346662</v>
      </c>
      <c r="H347" s="6" t="s">
        <v>401</v>
      </c>
      <c r="I347" s="6">
        <v>1</v>
      </c>
      <c r="J347" s="6" t="s">
        <v>20</v>
      </c>
      <c r="K347" s="20">
        <v>1</v>
      </c>
      <c r="L347" s="21">
        <v>8.8</v>
      </c>
      <c r="M347" s="21">
        <v>13.2</v>
      </c>
      <c r="N347" s="21">
        <v>13.2</v>
      </c>
    </row>
    <row r="348" spans="4:14">
      <c r="D348" s="18"/>
      <c r="E348" s="6"/>
      <c r="F348" s="6"/>
      <c r="G348" s="6"/>
      <c r="H348" s="6"/>
      <c r="I348" s="6"/>
      <c r="J348" s="6" t="s">
        <v>124</v>
      </c>
      <c r="K348" s="20">
        <v>1</v>
      </c>
      <c r="L348" s="21">
        <v>4.4</v>
      </c>
      <c r="M348" s="21"/>
      <c r="N348" s="21"/>
    </row>
    <row r="349" spans="4:14">
      <c r="D349" s="18">
        <v>46189</v>
      </c>
      <c r="E349" s="6">
        <v>1612420</v>
      </c>
      <c r="F349" s="6" t="s">
        <v>16</v>
      </c>
      <c r="G349" s="6">
        <v>20324710</v>
      </c>
      <c r="H349" s="6" t="s">
        <v>348</v>
      </c>
      <c r="I349" s="6">
        <v>1</v>
      </c>
      <c r="J349" s="32" t="s">
        <v>28</v>
      </c>
      <c r="K349" s="20">
        <f>M349/L349</f>
        <v>4</v>
      </c>
      <c r="L349" s="21">
        <v>4.4</v>
      </c>
      <c r="M349" s="21">
        <v>17.6</v>
      </c>
      <c r="N349" s="21">
        <v>17.6</v>
      </c>
    </row>
    <row r="350" spans="4:14">
      <c r="D350" s="18">
        <v>46189</v>
      </c>
      <c r="E350" s="6">
        <v>1612420</v>
      </c>
      <c r="F350" s="6" t="s">
        <v>16</v>
      </c>
      <c r="G350" s="6">
        <v>20329152</v>
      </c>
      <c r="H350" s="6" t="s">
        <v>311</v>
      </c>
      <c r="I350" s="6">
        <v>1</v>
      </c>
      <c r="J350" s="32" t="s">
        <v>28</v>
      </c>
      <c r="K350" s="20">
        <f>M350/L350</f>
        <v>11</v>
      </c>
      <c r="L350" s="21">
        <v>4.4</v>
      </c>
      <c r="M350" s="21">
        <v>48.4</v>
      </c>
      <c r="N350" s="21">
        <v>48.4</v>
      </c>
    </row>
    <row r="351" spans="4:14">
      <c r="D351" s="18">
        <v>46189</v>
      </c>
      <c r="E351" s="6">
        <v>1612471</v>
      </c>
      <c r="F351" s="6" t="s">
        <v>16</v>
      </c>
      <c r="G351" s="6">
        <v>20325234</v>
      </c>
      <c r="H351" s="6" t="s">
        <v>399</v>
      </c>
      <c r="I351" s="6">
        <v>1</v>
      </c>
      <c r="J351" s="32" t="s">
        <v>58</v>
      </c>
      <c r="K351" s="20">
        <v>1</v>
      </c>
      <c r="L351" s="21">
        <v>17.6</v>
      </c>
      <c r="M351" s="21">
        <v>35.2</v>
      </c>
      <c r="N351" s="21">
        <v>35.2</v>
      </c>
    </row>
    <row r="352" spans="4:14">
      <c r="D352" s="18"/>
      <c r="E352" s="6"/>
      <c r="F352" s="6"/>
      <c r="G352" s="6"/>
      <c r="H352" s="6"/>
      <c r="I352" s="6"/>
      <c r="J352" s="32" t="s">
        <v>58</v>
      </c>
      <c r="K352" s="20">
        <v>1</v>
      </c>
      <c r="L352" s="21">
        <v>17.6</v>
      </c>
      <c r="M352" s="21"/>
      <c r="N352" s="21"/>
    </row>
    <row r="353" spans="4:14">
      <c r="D353" s="18">
        <v>46189</v>
      </c>
      <c r="E353" s="6">
        <v>1612471</v>
      </c>
      <c r="F353" s="6" t="s">
        <v>16</v>
      </c>
      <c r="G353" s="6">
        <v>20342188</v>
      </c>
      <c r="H353" s="6" t="s">
        <v>313</v>
      </c>
      <c r="I353" s="6">
        <v>1</v>
      </c>
      <c r="J353" s="33" t="s">
        <v>263</v>
      </c>
      <c r="K353" s="20">
        <v>1</v>
      </c>
      <c r="L353" s="21">
        <v>22.4</v>
      </c>
      <c r="M353" s="21">
        <v>22.4</v>
      </c>
      <c r="N353" s="21">
        <v>22.4</v>
      </c>
    </row>
    <row r="354" spans="4:14">
      <c r="D354" s="18">
        <v>46189</v>
      </c>
      <c r="E354" s="6">
        <v>1612471</v>
      </c>
      <c r="F354" s="6" t="s">
        <v>16</v>
      </c>
      <c r="G354" s="6">
        <v>20328011</v>
      </c>
      <c r="H354" s="6" t="s">
        <v>314</v>
      </c>
      <c r="I354" s="6">
        <v>1</v>
      </c>
      <c r="J354" s="32" t="s">
        <v>58</v>
      </c>
      <c r="K354" s="20">
        <v>1</v>
      </c>
      <c r="L354" s="21">
        <v>17.6</v>
      </c>
      <c r="M354" s="21">
        <v>52.8</v>
      </c>
      <c r="N354" s="21">
        <v>52.8</v>
      </c>
    </row>
    <row r="355" spans="4:14">
      <c r="D355" s="18"/>
      <c r="E355" s="6"/>
      <c r="F355" s="6"/>
      <c r="G355" s="6"/>
      <c r="H355" s="6"/>
      <c r="I355" s="6"/>
      <c r="J355" s="32" t="s">
        <v>58</v>
      </c>
      <c r="K355" s="20">
        <v>1</v>
      </c>
      <c r="L355" s="21">
        <v>17.6</v>
      </c>
      <c r="M355" s="21"/>
      <c r="N355" s="21"/>
    </row>
    <row r="356" spans="4:14">
      <c r="D356" s="18"/>
      <c r="E356" s="6"/>
      <c r="F356" s="6"/>
      <c r="G356" s="6"/>
      <c r="H356" s="6"/>
      <c r="I356" s="6"/>
      <c r="J356" s="32" t="s">
        <v>58</v>
      </c>
      <c r="K356" s="20">
        <v>1</v>
      </c>
      <c r="L356" s="21">
        <v>17.6</v>
      </c>
      <c r="M356" s="21"/>
      <c r="N356" s="21"/>
    </row>
    <row r="357" spans="4:14">
      <c r="D357" s="18">
        <v>46189</v>
      </c>
      <c r="E357" s="6">
        <v>1612471</v>
      </c>
      <c r="F357" s="6" t="s">
        <v>16</v>
      </c>
      <c r="G357" s="6">
        <v>20324643</v>
      </c>
      <c r="H357" s="6" t="s">
        <v>315</v>
      </c>
      <c r="I357" s="6">
        <v>2</v>
      </c>
      <c r="J357" s="33" t="s">
        <v>263</v>
      </c>
      <c r="K357" s="20">
        <v>1</v>
      </c>
      <c r="L357" s="21">
        <v>22.4</v>
      </c>
      <c r="M357" s="21">
        <v>22.4</v>
      </c>
      <c r="N357" s="21">
        <v>44.8</v>
      </c>
    </row>
    <row r="358" spans="4:14">
      <c r="D358" s="18">
        <v>46189</v>
      </c>
      <c r="E358" s="6">
        <v>1612471</v>
      </c>
      <c r="F358" s="6" t="s">
        <v>16</v>
      </c>
      <c r="G358" s="6">
        <v>20324637</v>
      </c>
      <c r="H358" s="6" t="s">
        <v>284</v>
      </c>
      <c r="I358" s="6">
        <v>1</v>
      </c>
      <c r="J358" s="33" t="s">
        <v>183</v>
      </c>
      <c r="K358" s="20">
        <v>1</v>
      </c>
      <c r="L358" s="21">
        <v>28</v>
      </c>
      <c r="M358" s="21">
        <v>28</v>
      </c>
      <c r="N358" s="21">
        <v>28</v>
      </c>
    </row>
    <row r="359" spans="4:14">
      <c r="D359" s="18">
        <v>46189</v>
      </c>
      <c r="E359" s="6">
        <v>1612471</v>
      </c>
      <c r="F359" s="6" t="s">
        <v>16</v>
      </c>
      <c r="G359" s="6">
        <v>20330449</v>
      </c>
      <c r="H359" s="6" t="s">
        <v>351</v>
      </c>
      <c r="I359" s="6">
        <v>2</v>
      </c>
      <c r="J359" s="33" t="s">
        <v>263</v>
      </c>
      <c r="K359" s="20">
        <v>1</v>
      </c>
      <c r="L359" s="21">
        <v>22.4</v>
      </c>
      <c r="M359" s="21">
        <v>22.4</v>
      </c>
      <c r="N359" s="21">
        <v>44.8</v>
      </c>
    </row>
    <row r="360" spans="4:14">
      <c r="D360" s="18">
        <v>46189</v>
      </c>
      <c r="E360" s="6">
        <v>1612471</v>
      </c>
      <c r="F360" s="6" t="s">
        <v>16</v>
      </c>
      <c r="G360" s="6">
        <v>20329253</v>
      </c>
      <c r="H360" s="6" t="s">
        <v>316</v>
      </c>
      <c r="I360" s="6">
        <v>1</v>
      </c>
      <c r="J360" s="32" t="s">
        <v>58</v>
      </c>
      <c r="K360" s="20">
        <v>1</v>
      </c>
      <c r="L360" s="21">
        <v>17.6</v>
      </c>
      <c r="M360" s="21">
        <v>17.6</v>
      </c>
      <c r="N360" s="21">
        <v>17.6</v>
      </c>
    </row>
    <row r="361" spans="4:14">
      <c r="D361" s="18">
        <v>46189</v>
      </c>
      <c r="E361" s="6">
        <v>1612471</v>
      </c>
      <c r="F361" s="6" t="s">
        <v>16</v>
      </c>
      <c r="G361" s="6">
        <v>20324822</v>
      </c>
      <c r="H361" s="6" t="s">
        <v>317</v>
      </c>
      <c r="I361" s="6">
        <v>1</v>
      </c>
      <c r="J361" s="33" t="s">
        <v>183</v>
      </c>
      <c r="K361" s="20">
        <v>1</v>
      </c>
      <c r="L361" s="21">
        <v>28</v>
      </c>
      <c r="M361" s="21">
        <v>28</v>
      </c>
      <c r="N361" s="21">
        <v>28</v>
      </c>
    </row>
    <row r="362" spans="4:14">
      <c r="D362" s="18">
        <v>46189</v>
      </c>
      <c r="E362" s="6">
        <v>1612471</v>
      </c>
      <c r="F362" s="6" t="s">
        <v>16</v>
      </c>
      <c r="G362" s="6">
        <v>20324645</v>
      </c>
      <c r="H362" s="6" t="s">
        <v>318</v>
      </c>
      <c r="I362" s="6">
        <v>2</v>
      </c>
      <c r="J362" s="33" t="s">
        <v>263</v>
      </c>
      <c r="K362" s="20">
        <v>1</v>
      </c>
      <c r="L362" s="21">
        <v>22.4</v>
      </c>
      <c r="M362" s="21">
        <v>22.4</v>
      </c>
      <c r="N362" s="21">
        <v>44.8</v>
      </c>
    </row>
    <row r="363" spans="4:14">
      <c r="D363" s="18">
        <v>46189</v>
      </c>
      <c r="E363" s="6">
        <v>1612471</v>
      </c>
      <c r="F363" s="6" t="s">
        <v>16</v>
      </c>
      <c r="G363" s="6">
        <v>20329652</v>
      </c>
      <c r="H363" s="6" t="s">
        <v>357</v>
      </c>
      <c r="I363" s="6">
        <v>1</v>
      </c>
      <c r="J363" s="33" t="s">
        <v>263</v>
      </c>
      <c r="K363" s="20">
        <v>1</v>
      </c>
      <c r="L363" s="21">
        <v>22.4</v>
      </c>
      <c r="M363" s="21">
        <v>22.4</v>
      </c>
      <c r="N363" s="21">
        <v>22.4</v>
      </c>
    </row>
    <row r="364" spans="4:14">
      <c r="D364" s="18">
        <v>46189</v>
      </c>
      <c r="E364" s="6">
        <v>1612471</v>
      </c>
      <c r="F364" s="6" t="s">
        <v>16</v>
      </c>
      <c r="G364" s="6">
        <v>20324723</v>
      </c>
      <c r="H364" s="6" t="s">
        <v>275</v>
      </c>
      <c r="I364" s="6">
        <v>1</v>
      </c>
      <c r="J364" s="33" t="s">
        <v>263</v>
      </c>
      <c r="K364" s="20">
        <v>1</v>
      </c>
      <c r="L364" s="21">
        <v>22.4</v>
      </c>
      <c r="M364" s="21">
        <v>22.4</v>
      </c>
      <c r="N364" s="21">
        <v>22.4</v>
      </c>
    </row>
    <row r="365" spans="4:14">
      <c r="D365" s="18">
        <v>46189</v>
      </c>
      <c r="E365" s="6">
        <v>1612471</v>
      </c>
      <c r="F365" s="6" t="s">
        <v>16</v>
      </c>
      <c r="G365" s="6">
        <v>20324636</v>
      </c>
      <c r="H365" s="6" t="s">
        <v>320</v>
      </c>
      <c r="I365" s="6">
        <v>2</v>
      </c>
      <c r="J365" s="33" t="s">
        <v>183</v>
      </c>
      <c r="K365" s="20">
        <v>1</v>
      </c>
      <c r="L365" s="21">
        <v>28</v>
      </c>
      <c r="M365" s="21">
        <v>28</v>
      </c>
      <c r="N365" s="21">
        <v>56</v>
      </c>
    </row>
    <row r="366" spans="4:14">
      <c r="D366" s="18">
        <v>46189</v>
      </c>
      <c r="E366" s="6">
        <v>1612471</v>
      </c>
      <c r="F366" s="6" t="s">
        <v>16</v>
      </c>
      <c r="G366" s="6">
        <v>20324642</v>
      </c>
      <c r="H366" s="6" t="s">
        <v>321</v>
      </c>
      <c r="I366" s="6">
        <v>1</v>
      </c>
      <c r="J366" s="32" t="s">
        <v>58</v>
      </c>
      <c r="K366" s="20">
        <v>1</v>
      </c>
      <c r="L366" s="21">
        <v>17.6</v>
      </c>
      <c r="M366" s="21">
        <v>17.6</v>
      </c>
      <c r="N366" s="21">
        <v>17.6</v>
      </c>
    </row>
    <row r="367" spans="4:14">
      <c r="D367" s="18">
        <v>46189</v>
      </c>
      <c r="E367" s="6">
        <v>1612471</v>
      </c>
      <c r="F367" s="6" t="s">
        <v>16</v>
      </c>
      <c r="G367" s="6">
        <v>20324644</v>
      </c>
      <c r="H367" s="6" t="s">
        <v>292</v>
      </c>
      <c r="I367" s="6">
        <v>2</v>
      </c>
      <c r="J367" s="33" t="s">
        <v>263</v>
      </c>
      <c r="K367" s="20">
        <v>1</v>
      </c>
      <c r="L367" s="21">
        <v>22.4</v>
      </c>
      <c r="M367" s="21">
        <v>22.4</v>
      </c>
      <c r="N367" s="21">
        <v>44.8</v>
      </c>
    </row>
    <row r="368" spans="4:14">
      <c r="D368" s="18">
        <v>46189</v>
      </c>
      <c r="E368" s="6">
        <v>1612471</v>
      </c>
      <c r="F368" s="6" t="s">
        <v>16</v>
      </c>
      <c r="G368" s="6">
        <v>20375884</v>
      </c>
      <c r="H368" s="6" t="s">
        <v>402</v>
      </c>
      <c r="I368" s="6">
        <v>1</v>
      </c>
      <c r="J368" s="32" t="s">
        <v>58</v>
      </c>
      <c r="K368" s="20">
        <v>1</v>
      </c>
      <c r="L368" s="21">
        <v>17.6</v>
      </c>
      <c r="M368" s="21">
        <v>35.2</v>
      </c>
      <c r="N368" s="21">
        <v>35.2</v>
      </c>
    </row>
    <row r="369" spans="4:14">
      <c r="D369" s="18"/>
      <c r="E369" s="6"/>
      <c r="F369" s="6"/>
      <c r="G369" s="6"/>
      <c r="H369" s="6"/>
      <c r="I369" s="6"/>
      <c r="J369" s="32" t="s">
        <v>58</v>
      </c>
      <c r="K369" s="20">
        <v>1</v>
      </c>
      <c r="L369" s="21">
        <v>17.6</v>
      </c>
      <c r="M369" s="21"/>
      <c r="N369" s="21"/>
    </row>
    <row r="370" spans="4:14">
      <c r="D370" s="18">
        <v>46189</v>
      </c>
      <c r="E370" s="6">
        <v>1612471</v>
      </c>
      <c r="F370" s="6" t="s">
        <v>16</v>
      </c>
      <c r="G370" s="6">
        <v>20330332</v>
      </c>
      <c r="H370" s="6" t="s">
        <v>325</v>
      </c>
      <c r="I370" s="6">
        <v>1</v>
      </c>
      <c r="J370" s="33" t="s">
        <v>263</v>
      </c>
      <c r="K370" s="20">
        <v>1</v>
      </c>
      <c r="L370" s="21">
        <v>22.4</v>
      </c>
      <c r="M370" s="21">
        <v>22.4</v>
      </c>
      <c r="N370" s="21">
        <v>22.4</v>
      </c>
    </row>
    <row r="371" spans="4:14">
      <c r="D371" s="18">
        <v>46189</v>
      </c>
      <c r="E371" s="6">
        <v>1612471</v>
      </c>
      <c r="F371" s="6" t="s">
        <v>16</v>
      </c>
      <c r="G371" s="6">
        <v>20324814</v>
      </c>
      <c r="H371" s="6" t="s">
        <v>293</v>
      </c>
      <c r="I371" s="6">
        <v>2</v>
      </c>
      <c r="J371" s="33" t="s">
        <v>263</v>
      </c>
      <c r="K371" s="20">
        <v>1</v>
      </c>
      <c r="L371" s="21">
        <v>22.4</v>
      </c>
      <c r="M371" s="21">
        <v>22.4</v>
      </c>
      <c r="N371" s="21">
        <v>44.8</v>
      </c>
    </row>
    <row r="372" spans="4:14">
      <c r="D372" s="18">
        <v>46189</v>
      </c>
      <c r="E372" s="6">
        <v>1612471</v>
      </c>
      <c r="F372" s="6" t="s">
        <v>16</v>
      </c>
      <c r="G372" s="6">
        <v>20324646</v>
      </c>
      <c r="H372" s="6" t="s">
        <v>326</v>
      </c>
      <c r="I372" s="6">
        <v>2</v>
      </c>
      <c r="J372" s="32" t="s">
        <v>290</v>
      </c>
      <c r="K372" s="20">
        <v>1</v>
      </c>
      <c r="L372" s="21">
        <v>20</v>
      </c>
      <c r="M372" s="21">
        <v>20</v>
      </c>
      <c r="N372" s="21">
        <v>40</v>
      </c>
    </row>
    <row r="373" spans="4:14">
      <c r="D373" s="18">
        <v>46189</v>
      </c>
      <c r="E373" s="6">
        <v>1612471</v>
      </c>
      <c r="F373" s="6" t="s">
        <v>16</v>
      </c>
      <c r="G373" s="6">
        <v>20332069</v>
      </c>
      <c r="H373" s="6" t="s">
        <v>342</v>
      </c>
      <c r="I373" s="6">
        <v>1</v>
      </c>
      <c r="J373" s="33" t="s">
        <v>263</v>
      </c>
      <c r="K373" s="20">
        <v>1</v>
      </c>
      <c r="L373" s="21">
        <v>22.4</v>
      </c>
      <c r="M373" s="21">
        <v>22.4</v>
      </c>
      <c r="N373" s="21">
        <v>22.4</v>
      </c>
    </row>
    <row r="374" spans="4:14">
      <c r="D374" s="18">
        <v>46189</v>
      </c>
      <c r="E374" s="6">
        <v>1612734</v>
      </c>
      <c r="F374" s="6" t="s">
        <v>51</v>
      </c>
      <c r="G374" s="6">
        <v>20354932</v>
      </c>
      <c r="H374" s="6" t="s">
        <v>210</v>
      </c>
      <c r="I374" s="6">
        <v>13</v>
      </c>
      <c r="J374" s="33" t="s">
        <v>86</v>
      </c>
      <c r="K374" s="20">
        <v>1</v>
      </c>
      <c r="L374" s="21">
        <v>3.2</v>
      </c>
      <c r="M374" s="21">
        <v>3.2</v>
      </c>
      <c r="N374" s="21">
        <v>41.6</v>
      </c>
    </row>
    <row r="375" spans="4:14">
      <c r="D375" s="18">
        <v>46190</v>
      </c>
      <c r="E375" s="6">
        <v>1612802</v>
      </c>
      <c r="F375" s="6" t="s">
        <v>26</v>
      </c>
      <c r="G375" s="6">
        <v>20324463</v>
      </c>
      <c r="H375" s="6" t="s">
        <v>271</v>
      </c>
      <c r="I375" s="6">
        <v>1</v>
      </c>
      <c r="J375" s="32" t="s">
        <v>28</v>
      </c>
      <c r="K375" s="20">
        <f t="shared" ref="K375:K380" si="25">M375/L375</f>
        <v>35</v>
      </c>
      <c r="L375" s="21">
        <v>4.4</v>
      </c>
      <c r="M375" s="21">
        <v>154</v>
      </c>
      <c r="N375" s="21">
        <v>154</v>
      </c>
    </row>
    <row r="376" spans="4:14">
      <c r="D376" s="18">
        <v>46190</v>
      </c>
      <c r="E376" s="6">
        <v>1612802</v>
      </c>
      <c r="F376" s="6" t="s">
        <v>26</v>
      </c>
      <c r="G376" s="6">
        <v>20324039</v>
      </c>
      <c r="H376" s="6" t="s">
        <v>384</v>
      </c>
      <c r="I376" s="6">
        <v>1</v>
      </c>
      <c r="J376" s="32" t="s">
        <v>28</v>
      </c>
      <c r="K376" s="20">
        <f t="shared" si="25"/>
        <v>21</v>
      </c>
      <c r="L376" s="21">
        <v>4.4</v>
      </c>
      <c r="M376" s="21">
        <v>92.4</v>
      </c>
      <c r="N376" s="21">
        <v>92.4</v>
      </c>
    </row>
    <row r="377" spans="4:14">
      <c r="D377" s="18">
        <v>46190</v>
      </c>
      <c r="E377" s="6">
        <v>1612802</v>
      </c>
      <c r="F377" s="6" t="s">
        <v>26</v>
      </c>
      <c r="G377" s="6">
        <v>20324028</v>
      </c>
      <c r="H377" s="6" t="s">
        <v>307</v>
      </c>
      <c r="I377" s="6">
        <v>1</v>
      </c>
      <c r="J377" s="32" t="s">
        <v>28</v>
      </c>
      <c r="K377" s="20">
        <f t="shared" si="25"/>
        <v>42</v>
      </c>
      <c r="L377" s="21">
        <v>4.4</v>
      </c>
      <c r="M377" s="21">
        <v>184.8</v>
      </c>
      <c r="N377" s="21">
        <v>184.8</v>
      </c>
    </row>
    <row r="378" spans="4:14">
      <c r="D378" s="18">
        <v>46190</v>
      </c>
      <c r="E378" s="6">
        <v>1612802</v>
      </c>
      <c r="F378" s="6" t="s">
        <v>26</v>
      </c>
      <c r="G378" s="6">
        <v>20336544</v>
      </c>
      <c r="H378" s="6" t="s">
        <v>332</v>
      </c>
      <c r="I378" s="6">
        <v>1</v>
      </c>
      <c r="J378" s="32" t="s">
        <v>28</v>
      </c>
      <c r="K378" s="20">
        <f t="shared" si="25"/>
        <v>19</v>
      </c>
      <c r="L378" s="21">
        <v>4.4</v>
      </c>
      <c r="M378" s="21">
        <v>83.6</v>
      </c>
      <c r="N378" s="21">
        <v>83.6</v>
      </c>
    </row>
    <row r="379" spans="4:14">
      <c r="D379" s="18">
        <v>46190</v>
      </c>
      <c r="E379" s="6">
        <v>1612802</v>
      </c>
      <c r="F379" s="6" t="s">
        <v>26</v>
      </c>
      <c r="G379" s="6">
        <v>20324045</v>
      </c>
      <c r="H379" s="6" t="s">
        <v>266</v>
      </c>
      <c r="I379" s="6">
        <v>3</v>
      </c>
      <c r="J379" s="32" t="s">
        <v>28</v>
      </c>
      <c r="K379" s="20">
        <f t="shared" si="25"/>
        <v>19</v>
      </c>
      <c r="L379" s="21">
        <v>4.4</v>
      </c>
      <c r="M379" s="21">
        <v>83.6</v>
      </c>
      <c r="N379" s="21">
        <v>250.8</v>
      </c>
    </row>
    <row r="380" spans="4:14">
      <c r="D380" s="18">
        <v>46190</v>
      </c>
      <c r="E380" s="6">
        <v>1612802</v>
      </c>
      <c r="F380" s="6" t="s">
        <v>16</v>
      </c>
      <c r="G380" s="6">
        <v>20324699</v>
      </c>
      <c r="H380" s="6" t="s">
        <v>268</v>
      </c>
      <c r="I380" s="6">
        <v>6</v>
      </c>
      <c r="J380" s="32" t="s">
        <v>28</v>
      </c>
      <c r="K380" s="20">
        <f t="shared" si="25"/>
        <v>5</v>
      </c>
      <c r="L380" s="21">
        <v>4.4</v>
      </c>
      <c r="M380" s="21">
        <v>22</v>
      </c>
      <c r="N380" s="21">
        <v>132</v>
      </c>
    </row>
    <row r="381" spans="4:14">
      <c r="D381" s="18">
        <v>46190</v>
      </c>
      <c r="E381" s="6">
        <v>1612856</v>
      </c>
      <c r="F381" s="6" t="s">
        <v>358</v>
      </c>
      <c r="G381" s="6">
        <v>20329579</v>
      </c>
      <c r="H381" s="6" t="s">
        <v>403</v>
      </c>
      <c r="I381" s="6">
        <v>1</v>
      </c>
      <c r="J381" s="33" t="s">
        <v>183</v>
      </c>
      <c r="K381" s="20">
        <v>1</v>
      </c>
      <c r="L381" s="21">
        <v>28</v>
      </c>
      <c r="M381" s="21">
        <v>28</v>
      </c>
      <c r="N381" s="21">
        <v>28</v>
      </c>
    </row>
    <row r="382" spans="4:14">
      <c r="D382" s="18">
        <v>46190</v>
      </c>
      <c r="E382" s="6">
        <v>1612856</v>
      </c>
      <c r="F382" s="6" t="s">
        <v>358</v>
      </c>
      <c r="G382" s="6">
        <v>20366789</v>
      </c>
      <c r="H382" s="6" t="s">
        <v>338</v>
      </c>
      <c r="I382" s="6">
        <v>1</v>
      </c>
      <c r="J382" s="33" t="s">
        <v>183</v>
      </c>
      <c r="K382" s="20">
        <v>1</v>
      </c>
      <c r="L382" s="21">
        <v>28</v>
      </c>
      <c r="M382" s="21">
        <v>28</v>
      </c>
      <c r="N382" s="21">
        <v>28</v>
      </c>
    </row>
    <row r="383" spans="4:14">
      <c r="D383" s="18">
        <v>46190</v>
      </c>
      <c r="E383" s="6">
        <v>1612856</v>
      </c>
      <c r="F383" s="6" t="s">
        <v>358</v>
      </c>
      <c r="G383" s="6">
        <v>20423393</v>
      </c>
      <c r="H383" s="6" t="s">
        <v>404</v>
      </c>
      <c r="I383" s="6">
        <v>1</v>
      </c>
      <c r="J383" s="33" t="s">
        <v>48</v>
      </c>
      <c r="K383" s="20" t="s">
        <v>49</v>
      </c>
      <c r="L383" s="21">
        <v>240</v>
      </c>
      <c r="M383" s="21">
        <v>240</v>
      </c>
      <c r="N383" s="21">
        <v>240</v>
      </c>
    </row>
    <row r="384" spans="4:14">
      <c r="D384" s="18">
        <v>46190</v>
      </c>
      <c r="E384" s="6">
        <v>1612865</v>
      </c>
      <c r="F384" s="6" t="s">
        <v>16</v>
      </c>
      <c r="G384" s="6">
        <v>20325234</v>
      </c>
      <c r="H384" s="6" t="s">
        <v>399</v>
      </c>
      <c r="I384" s="6">
        <v>1</v>
      </c>
      <c r="J384" s="32" t="s">
        <v>58</v>
      </c>
      <c r="K384" s="20">
        <v>1</v>
      </c>
      <c r="L384" s="21">
        <v>17.6</v>
      </c>
      <c r="M384" s="21">
        <v>35.2</v>
      </c>
      <c r="N384" s="21">
        <v>35.2</v>
      </c>
    </row>
    <row r="385" spans="4:14">
      <c r="D385" s="18"/>
      <c r="E385" s="6"/>
      <c r="F385" s="6"/>
      <c r="G385" s="6"/>
      <c r="H385" s="6"/>
      <c r="I385" s="6"/>
      <c r="J385" s="32" t="s">
        <v>58</v>
      </c>
      <c r="K385" s="20">
        <v>1</v>
      </c>
      <c r="L385" s="21">
        <v>17.6</v>
      </c>
      <c r="M385" s="21"/>
      <c r="N385" s="21"/>
    </row>
    <row r="386" spans="4:14">
      <c r="D386" s="18">
        <v>46190</v>
      </c>
      <c r="E386" s="6">
        <v>1612865</v>
      </c>
      <c r="F386" s="6" t="s">
        <v>16</v>
      </c>
      <c r="G386" s="6">
        <v>20324643</v>
      </c>
      <c r="H386" s="6" t="s">
        <v>315</v>
      </c>
      <c r="I386" s="6">
        <v>1</v>
      </c>
      <c r="J386" s="33" t="s">
        <v>263</v>
      </c>
      <c r="K386" s="20">
        <v>1</v>
      </c>
      <c r="L386" s="21">
        <v>22.4</v>
      </c>
      <c r="M386" s="21">
        <v>22.4</v>
      </c>
      <c r="N386" s="21">
        <v>22.4</v>
      </c>
    </row>
    <row r="387" spans="4:14">
      <c r="D387" s="18">
        <v>46190</v>
      </c>
      <c r="E387" s="6">
        <v>1612865</v>
      </c>
      <c r="F387" s="6" t="s">
        <v>16</v>
      </c>
      <c r="G387" s="6">
        <v>20324637</v>
      </c>
      <c r="H387" s="6" t="s">
        <v>284</v>
      </c>
      <c r="I387" s="6">
        <v>1</v>
      </c>
      <c r="J387" s="33" t="s">
        <v>183</v>
      </c>
      <c r="K387" s="20">
        <v>1</v>
      </c>
      <c r="L387" s="21">
        <v>28</v>
      </c>
      <c r="M387" s="21">
        <v>28</v>
      </c>
      <c r="N387" s="21">
        <v>28</v>
      </c>
    </row>
    <row r="388" spans="4:14">
      <c r="D388" s="18">
        <v>46190</v>
      </c>
      <c r="E388" s="6">
        <v>1612865</v>
      </c>
      <c r="F388" s="6" t="s">
        <v>16</v>
      </c>
      <c r="G388" s="6">
        <v>20330449</v>
      </c>
      <c r="H388" s="6" t="s">
        <v>351</v>
      </c>
      <c r="I388" s="6">
        <v>1</v>
      </c>
      <c r="J388" s="33" t="s">
        <v>263</v>
      </c>
      <c r="K388" s="20">
        <v>1</v>
      </c>
      <c r="L388" s="21">
        <v>22.4</v>
      </c>
      <c r="M388" s="21">
        <v>22.4</v>
      </c>
      <c r="N388" s="21">
        <v>22.4</v>
      </c>
    </row>
    <row r="389" spans="4:14">
      <c r="D389" s="18">
        <v>46190</v>
      </c>
      <c r="E389" s="6">
        <v>1612865</v>
      </c>
      <c r="F389" s="6" t="s">
        <v>16</v>
      </c>
      <c r="G389" s="6">
        <v>20324822</v>
      </c>
      <c r="H389" s="6" t="s">
        <v>317</v>
      </c>
      <c r="I389" s="6">
        <v>1</v>
      </c>
      <c r="J389" s="33" t="s">
        <v>183</v>
      </c>
      <c r="K389" s="20">
        <v>1</v>
      </c>
      <c r="L389" s="21">
        <v>28</v>
      </c>
      <c r="M389" s="21">
        <v>28</v>
      </c>
      <c r="N389" s="21">
        <v>28</v>
      </c>
    </row>
    <row r="390" spans="4:14">
      <c r="D390" s="18">
        <v>46190</v>
      </c>
      <c r="E390" s="6">
        <v>1612865</v>
      </c>
      <c r="F390" s="6" t="s">
        <v>16</v>
      </c>
      <c r="G390" s="6">
        <v>20326623</v>
      </c>
      <c r="H390" s="6" t="s">
        <v>405</v>
      </c>
      <c r="I390" s="6">
        <v>2</v>
      </c>
      <c r="J390" s="33" t="s">
        <v>263</v>
      </c>
      <c r="K390" s="20">
        <v>1</v>
      </c>
      <c r="L390" s="21">
        <v>22.4</v>
      </c>
      <c r="M390" s="21">
        <v>22.4</v>
      </c>
      <c r="N390" s="21">
        <v>44.8</v>
      </c>
    </row>
    <row r="391" spans="4:14">
      <c r="D391" s="18">
        <v>46190</v>
      </c>
      <c r="E391" s="6">
        <v>1612865</v>
      </c>
      <c r="F391" s="6" t="s">
        <v>16</v>
      </c>
      <c r="G391" s="6">
        <v>20325443</v>
      </c>
      <c r="H391" s="6" t="s">
        <v>338</v>
      </c>
      <c r="I391" s="6">
        <v>1</v>
      </c>
      <c r="J391" s="33" t="s">
        <v>183</v>
      </c>
      <c r="K391" s="20">
        <v>1</v>
      </c>
      <c r="L391" s="21">
        <v>28</v>
      </c>
      <c r="M391" s="21">
        <v>28</v>
      </c>
      <c r="N391" s="21">
        <v>28</v>
      </c>
    </row>
    <row r="392" spans="4:14">
      <c r="D392" s="18">
        <v>46190</v>
      </c>
      <c r="E392" s="6">
        <v>1612865</v>
      </c>
      <c r="F392" s="6" t="s">
        <v>16</v>
      </c>
      <c r="G392" s="6">
        <v>20324645</v>
      </c>
      <c r="H392" s="6" t="s">
        <v>318</v>
      </c>
      <c r="I392" s="6">
        <v>1</v>
      </c>
      <c r="J392" s="33" t="s">
        <v>263</v>
      </c>
      <c r="K392" s="20">
        <v>1</v>
      </c>
      <c r="L392" s="21">
        <v>22.4</v>
      </c>
      <c r="M392" s="21">
        <v>22.4</v>
      </c>
      <c r="N392" s="21">
        <v>22.4</v>
      </c>
    </row>
    <row r="393" spans="4:14">
      <c r="D393" s="18">
        <v>46190</v>
      </c>
      <c r="E393" s="6">
        <v>1612865</v>
      </c>
      <c r="F393" s="6" t="s">
        <v>16</v>
      </c>
      <c r="G393" s="6">
        <v>20324723</v>
      </c>
      <c r="H393" s="6" t="s">
        <v>275</v>
      </c>
      <c r="I393" s="6">
        <v>1</v>
      </c>
      <c r="J393" s="33" t="s">
        <v>263</v>
      </c>
      <c r="K393" s="20">
        <v>1</v>
      </c>
      <c r="L393" s="21">
        <v>22.4</v>
      </c>
      <c r="M393" s="21">
        <v>22.4</v>
      </c>
      <c r="N393" s="21">
        <v>22.4</v>
      </c>
    </row>
    <row r="394" spans="4:14">
      <c r="D394" s="18">
        <v>46190</v>
      </c>
      <c r="E394" s="6">
        <v>1612865</v>
      </c>
      <c r="F394" s="6" t="s">
        <v>16</v>
      </c>
      <c r="G394" s="6">
        <v>20324636</v>
      </c>
      <c r="H394" s="6" t="s">
        <v>320</v>
      </c>
      <c r="I394" s="6">
        <v>1</v>
      </c>
      <c r="J394" s="33" t="s">
        <v>183</v>
      </c>
      <c r="K394" s="20">
        <v>1</v>
      </c>
      <c r="L394" s="21">
        <v>28</v>
      </c>
      <c r="M394" s="21">
        <v>28</v>
      </c>
      <c r="N394" s="21">
        <v>28</v>
      </c>
    </row>
    <row r="395" spans="4:14">
      <c r="D395" s="18">
        <v>46190</v>
      </c>
      <c r="E395" s="6">
        <v>1612865</v>
      </c>
      <c r="F395" s="6" t="s">
        <v>16</v>
      </c>
      <c r="G395" s="6">
        <v>20324732</v>
      </c>
      <c r="H395" s="6" t="s">
        <v>322</v>
      </c>
      <c r="I395" s="6">
        <v>1</v>
      </c>
      <c r="J395" s="33" t="s">
        <v>263</v>
      </c>
      <c r="K395" s="20">
        <v>1</v>
      </c>
      <c r="L395" s="21">
        <v>22.4</v>
      </c>
      <c r="M395" s="21">
        <v>22.4</v>
      </c>
      <c r="N395" s="21">
        <v>22.4</v>
      </c>
    </row>
    <row r="396" spans="4:14">
      <c r="D396" s="18">
        <v>46190</v>
      </c>
      <c r="E396" s="6">
        <v>1612865</v>
      </c>
      <c r="F396" s="6" t="s">
        <v>16</v>
      </c>
      <c r="G396" s="6">
        <v>20324814</v>
      </c>
      <c r="H396" s="6" t="s">
        <v>293</v>
      </c>
      <c r="I396" s="6">
        <v>1</v>
      </c>
      <c r="J396" s="33" t="s">
        <v>263</v>
      </c>
      <c r="K396" s="20">
        <v>1</v>
      </c>
      <c r="L396" s="21">
        <v>22.4</v>
      </c>
      <c r="M396" s="21">
        <v>22.4</v>
      </c>
      <c r="N396" s="21">
        <v>22.4</v>
      </c>
    </row>
    <row r="397" spans="4:14">
      <c r="D397" s="18">
        <v>46190</v>
      </c>
      <c r="E397" s="6">
        <v>1612865</v>
      </c>
      <c r="F397" s="6" t="s">
        <v>16</v>
      </c>
      <c r="G397" s="6">
        <v>20324646</v>
      </c>
      <c r="H397" s="6" t="s">
        <v>326</v>
      </c>
      <c r="I397" s="6">
        <v>1</v>
      </c>
      <c r="J397" s="32" t="s">
        <v>290</v>
      </c>
      <c r="K397" s="20">
        <v>1</v>
      </c>
      <c r="L397" s="21">
        <v>20</v>
      </c>
      <c r="M397" s="21">
        <v>20</v>
      </c>
      <c r="N397" s="21">
        <v>20</v>
      </c>
    </row>
    <row r="398" spans="4:14">
      <c r="D398" s="18">
        <v>46190</v>
      </c>
      <c r="E398" s="6">
        <v>1613061</v>
      </c>
      <c r="F398" s="6" t="s">
        <v>240</v>
      </c>
      <c r="G398" s="6">
        <v>20424838</v>
      </c>
      <c r="H398" s="6" t="s">
        <v>258</v>
      </c>
      <c r="I398" s="6">
        <v>1</v>
      </c>
      <c r="J398" s="32" t="s">
        <v>242</v>
      </c>
      <c r="K398" s="20">
        <v>1</v>
      </c>
      <c r="L398" s="21">
        <v>28</v>
      </c>
      <c r="M398" s="21">
        <v>28</v>
      </c>
      <c r="N398" s="21">
        <v>28</v>
      </c>
    </row>
    <row r="399" spans="4:14">
      <c r="D399" s="18">
        <v>46191</v>
      </c>
      <c r="E399" s="6">
        <v>1613222</v>
      </c>
      <c r="F399" s="6" t="s">
        <v>26</v>
      </c>
      <c r="G399" s="6">
        <v>20324463</v>
      </c>
      <c r="H399" s="6" t="s">
        <v>271</v>
      </c>
      <c r="I399" s="6">
        <v>1</v>
      </c>
      <c r="J399" s="32" t="s">
        <v>28</v>
      </c>
      <c r="K399" s="20">
        <f t="shared" ref="K399:K402" si="26">M399/L399</f>
        <v>35</v>
      </c>
      <c r="L399" s="21">
        <v>4.4</v>
      </c>
      <c r="M399" s="21">
        <v>154</v>
      </c>
      <c r="N399" s="21">
        <v>154</v>
      </c>
    </row>
    <row r="400" spans="4:14">
      <c r="D400" s="18">
        <v>46191</v>
      </c>
      <c r="E400" s="6">
        <v>1613222</v>
      </c>
      <c r="F400" s="6" t="s">
        <v>26</v>
      </c>
      <c r="G400" s="6">
        <v>20405201</v>
      </c>
      <c r="H400" s="6" t="s">
        <v>331</v>
      </c>
      <c r="I400" s="6">
        <v>1</v>
      </c>
      <c r="J400" s="32" t="s">
        <v>28</v>
      </c>
      <c r="K400" s="20">
        <f t="shared" si="26"/>
        <v>17</v>
      </c>
      <c r="L400" s="21">
        <v>4.4</v>
      </c>
      <c r="M400" s="21">
        <v>74.8</v>
      </c>
      <c r="N400" s="21">
        <v>74.8</v>
      </c>
    </row>
    <row r="401" spans="4:14">
      <c r="D401" s="18">
        <v>46191</v>
      </c>
      <c r="E401" s="6">
        <v>1613222</v>
      </c>
      <c r="F401" s="6" t="s">
        <v>26</v>
      </c>
      <c r="G401" s="6">
        <v>20324046</v>
      </c>
      <c r="H401" s="6" t="s">
        <v>176</v>
      </c>
      <c r="I401" s="6">
        <v>1</v>
      </c>
      <c r="J401" s="32" t="s">
        <v>28</v>
      </c>
      <c r="K401" s="20">
        <f t="shared" si="26"/>
        <v>49</v>
      </c>
      <c r="L401" s="21">
        <v>4.4</v>
      </c>
      <c r="M401" s="21">
        <v>215.6</v>
      </c>
      <c r="N401" s="21">
        <v>215.6</v>
      </c>
    </row>
    <row r="402" spans="4:14">
      <c r="D402" s="18">
        <v>46191</v>
      </c>
      <c r="E402" s="6">
        <v>1613222</v>
      </c>
      <c r="F402" s="6" t="s">
        <v>26</v>
      </c>
      <c r="G402" s="6">
        <v>20324045</v>
      </c>
      <c r="H402" s="6" t="s">
        <v>266</v>
      </c>
      <c r="I402" s="6">
        <v>6</v>
      </c>
      <c r="J402" s="32" t="s">
        <v>28</v>
      </c>
      <c r="K402" s="20">
        <f t="shared" si="26"/>
        <v>19</v>
      </c>
      <c r="L402" s="21">
        <v>4.4</v>
      </c>
      <c r="M402" s="21">
        <v>83.6</v>
      </c>
      <c r="N402" s="21">
        <v>501.6</v>
      </c>
    </row>
    <row r="403" spans="4:14">
      <c r="D403" s="18">
        <v>46191</v>
      </c>
      <c r="E403" s="6">
        <v>1613222</v>
      </c>
      <c r="F403" s="6" t="s">
        <v>16</v>
      </c>
      <c r="G403" s="6">
        <v>20326197</v>
      </c>
      <c r="H403" s="6" t="s">
        <v>333</v>
      </c>
      <c r="I403" s="6">
        <v>1</v>
      </c>
      <c r="J403" s="6" t="s">
        <v>124</v>
      </c>
      <c r="K403" s="20">
        <f t="shared" ref="K403:K411" si="27">M403/L403</f>
        <v>3</v>
      </c>
      <c r="L403" s="21">
        <v>4.4</v>
      </c>
      <c r="M403" s="21">
        <v>13.2</v>
      </c>
      <c r="N403" s="21">
        <v>13.2</v>
      </c>
    </row>
    <row r="404" spans="4:14">
      <c r="D404" s="18">
        <v>46191</v>
      </c>
      <c r="E404" s="6">
        <v>1613222</v>
      </c>
      <c r="F404" s="6" t="s">
        <v>16</v>
      </c>
      <c r="G404" s="6">
        <v>20358566</v>
      </c>
      <c r="H404" s="6" t="s">
        <v>334</v>
      </c>
      <c r="I404" s="6">
        <v>1</v>
      </c>
      <c r="J404" s="32" t="s">
        <v>28</v>
      </c>
      <c r="K404" s="20">
        <f t="shared" si="27"/>
        <v>4</v>
      </c>
      <c r="L404" s="21">
        <v>4.4</v>
      </c>
      <c r="M404" s="21">
        <v>17.6</v>
      </c>
      <c r="N404" s="21">
        <v>17.6</v>
      </c>
    </row>
    <row r="405" spans="4:14">
      <c r="D405" s="18">
        <v>46191</v>
      </c>
      <c r="E405" s="6">
        <v>1613222</v>
      </c>
      <c r="F405" s="6" t="s">
        <v>16</v>
      </c>
      <c r="G405" s="6">
        <v>20324800</v>
      </c>
      <c r="H405" s="6" t="s">
        <v>310</v>
      </c>
      <c r="I405" s="6">
        <v>1</v>
      </c>
      <c r="J405" s="19" t="s">
        <v>18</v>
      </c>
      <c r="K405" s="20">
        <v>1</v>
      </c>
      <c r="L405" s="21">
        <v>6.4</v>
      </c>
      <c r="M405" s="21">
        <v>6.4</v>
      </c>
      <c r="N405" s="21">
        <v>6.4</v>
      </c>
    </row>
    <row r="406" spans="4:14">
      <c r="D406" s="18">
        <v>46191</v>
      </c>
      <c r="E406" s="6">
        <v>1613222</v>
      </c>
      <c r="F406" s="6" t="s">
        <v>16</v>
      </c>
      <c r="G406" s="6">
        <v>20358758</v>
      </c>
      <c r="H406" s="6" t="s">
        <v>335</v>
      </c>
      <c r="I406" s="6">
        <v>1</v>
      </c>
      <c r="J406" s="19" t="s">
        <v>18</v>
      </c>
      <c r="K406" s="20">
        <v>1</v>
      </c>
      <c r="L406" s="21">
        <v>6.4</v>
      </c>
      <c r="M406" s="21">
        <v>6.4</v>
      </c>
      <c r="N406" s="21">
        <v>6.4</v>
      </c>
    </row>
    <row r="407" spans="4:14">
      <c r="D407" s="18">
        <v>46191</v>
      </c>
      <c r="E407" s="6">
        <v>1613222</v>
      </c>
      <c r="F407" s="6" t="s">
        <v>26</v>
      </c>
      <c r="G407" s="6">
        <v>20325204</v>
      </c>
      <c r="H407" s="6" t="s">
        <v>336</v>
      </c>
      <c r="I407" s="6">
        <v>1</v>
      </c>
      <c r="J407" s="32" t="s">
        <v>28</v>
      </c>
      <c r="K407" s="20">
        <f t="shared" si="27"/>
        <v>13</v>
      </c>
      <c r="L407" s="21">
        <v>4.4</v>
      </c>
      <c r="M407" s="21">
        <v>57.2</v>
      </c>
      <c r="N407" s="21">
        <v>57.2</v>
      </c>
    </row>
    <row r="408" spans="4:14">
      <c r="D408" s="18">
        <v>46191</v>
      </c>
      <c r="E408" s="6">
        <v>1613222</v>
      </c>
      <c r="F408" s="6" t="s">
        <v>16</v>
      </c>
      <c r="G408" s="6">
        <v>20325131</v>
      </c>
      <c r="H408" s="6" t="s">
        <v>337</v>
      </c>
      <c r="I408" s="6">
        <v>1</v>
      </c>
      <c r="J408" s="32" t="s">
        <v>28</v>
      </c>
      <c r="K408" s="20">
        <f t="shared" si="27"/>
        <v>8</v>
      </c>
      <c r="L408" s="21">
        <v>4.4</v>
      </c>
      <c r="M408" s="21">
        <v>35.2</v>
      </c>
      <c r="N408" s="21">
        <v>35.2</v>
      </c>
    </row>
    <row r="409" spans="4:14">
      <c r="D409" s="18">
        <v>46191</v>
      </c>
      <c r="E409" s="6">
        <v>1613222</v>
      </c>
      <c r="F409" s="6" t="s">
        <v>16</v>
      </c>
      <c r="G409" s="6">
        <v>20325759</v>
      </c>
      <c r="H409" s="6" t="s">
        <v>350</v>
      </c>
      <c r="I409" s="6">
        <v>1</v>
      </c>
      <c r="J409" s="32" t="s">
        <v>28</v>
      </c>
      <c r="K409" s="20">
        <f t="shared" si="27"/>
        <v>9</v>
      </c>
      <c r="L409" s="21">
        <v>4.4</v>
      </c>
      <c r="M409" s="21">
        <v>39.6</v>
      </c>
      <c r="N409" s="21">
        <v>39.6</v>
      </c>
    </row>
    <row r="410" spans="4:14">
      <c r="D410" s="18">
        <v>46191</v>
      </c>
      <c r="E410" s="6">
        <v>1613222</v>
      </c>
      <c r="F410" s="6" t="s">
        <v>16</v>
      </c>
      <c r="G410" s="6">
        <v>20332488</v>
      </c>
      <c r="H410" s="6" t="s">
        <v>400</v>
      </c>
      <c r="I410" s="6">
        <v>1</v>
      </c>
      <c r="J410" s="32" t="s">
        <v>28</v>
      </c>
      <c r="K410" s="20">
        <f t="shared" si="27"/>
        <v>7</v>
      </c>
      <c r="L410" s="21">
        <v>4.4</v>
      </c>
      <c r="M410" s="21">
        <v>30.8</v>
      </c>
      <c r="N410" s="21">
        <v>30.8</v>
      </c>
    </row>
    <row r="411" spans="4:14">
      <c r="D411" s="18">
        <v>46191</v>
      </c>
      <c r="E411" s="6">
        <v>1613222</v>
      </c>
      <c r="F411" s="6" t="s">
        <v>16</v>
      </c>
      <c r="G411" s="6">
        <v>20324699</v>
      </c>
      <c r="H411" s="6" t="s">
        <v>268</v>
      </c>
      <c r="I411" s="6">
        <v>8</v>
      </c>
      <c r="J411" s="32" t="s">
        <v>28</v>
      </c>
      <c r="K411" s="20">
        <f t="shared" si="27"/>
        <v>5</v>
      </c>
      <c r="L411" s="21">
        <v>4.4</v>
      </c>
      <c r="M411" s="21">
        <v>22</v>
      </c>
      <c r="N411" s="21">
        <v>176</v>
      </c>
    </row>
    <row r="412" spans="4:14">
      <c r="D412" s="18">
        <v>46191</v>
      </c>
      <c r="E412" s="6">
        <v>1613270</v>
      </c>
      <c r="F412" s="6" t="s">
        <v>16</v>
      </c>
      <c r="G412" s="6">
        <v>20336786</v>
      </c>
      <c r="H412" s="6" t="s">
        <v>406</v>
      </c>
      <c r="I412" s="6">
        <v>1</v>
      </c>
      <c r="J412" s="32" t="s">
        <v>42</v>
      </c>
      <c r="K412" s="20" t="s">
        <v>43</v>
      </c>
      <c r="L412" s="21">
        <v>70.4</v>
      </c>
      <c r="M412" s="21">
        <v>70.4</v>
      </c>
      <c r="N412" s="21">
        <v>70.4</v>
      </c>
    </row>
    <row r="413" spans="4:14">
      <c r="D413" s="18">
        <v>46191</v>
      </c>
      <c r="E413" s="6">
        <v>1613270</v>
      </c>
      <c r="F413" s="6" t="s">
        <v>16</v>
      </c>
      <c r="G413" s="6">
        <v>20363528</v>
      </c>
      <c r="H413" s="6" t="s">
        <v>407</v>
      </c>
      <c r="I413" s="6">
        <v>1</v>
      </c>
      <c r="J413" s="33" t="s">
        <v>183</v>
      </c>
      <c r="K413" s="20">
        <v>1</v>
      </c>
      <c r="L413" s="21">
        <v>28</v>
      </c>
      <c r="M413" s="21">
        <v>28</v>
      </c>
      <c r="N413" s="21">
        <v>28</v>
      </c>
    </row>
    <row r="414" spans="4:14">
      <c r="D414" s="18">
        <v>46191</v>
      </c>
      <c r="E414" s="6">
        <v>1613270</v>
      </c>
      <c r="F414" s="6" t="s">
        <v>16</v>
      </c>
      <c r="G414" s="6">
        <v>20342188</v>
      </c>
      <c r="H414" s="6" t="s">
        <v>313</v>
      </c>
      <c r="I414" s="6">
        <v>1</v>
      </c>
      <c r="J414" s="33" t="s">
        <v>263</v>
      </c>
      <c r="K414" s="20">
        <v>1</v>
      </c>
      <c r="L414" s="21">
        <v>22.4</v>
      </c>
      <c r="M414" s="21">
        <v>22.4</v>
      </c>
      <c r="N414" s="21">
        <v>22.4</v>
      </c>
    </row>
    <row r="415" spans="4:14">
      <c r="D415" s="18">
        <v>46191</v>
      </c>
      <c r="E415" s="6">
        <v>1613270</v>
      </c>
      <c r="F415" s="6" t="s">
        <v>16</v>
      </c>
      <c r="G415" s="6">
        <v>20328011</v>
      </c>
      <c r="H415" s="6" t="s">
        <v>314</v>
      </c>
      <c r="I415" s="6">
        <v>1</v>
      </c>
      <c r="J415" s="32" t="s">
        <v>58</v>
      </c>
      <c r="K415" s="20">
        <v>1</v>
      </c>
      <c r="L415" s="21">
        <v>17.6</v>
      </c>
      <c r="M415" s="21">
        <v>52.8</v>
      </c>
      <c r="N415" s="21">
        <v>52.8</v>
      </c>
    </row>
    <row r="416" spans="4:14">
      <c r="D416" s="18"/>
      <c r="E416" s="6"/>
      <c r="F416" s="6"/>
      <c r="G416" s="6"/>
      <c r="H416" s="6"/>
      <c r="I416" s="6"/>
      <c r="J416" s="32" t="s">
        <v>58</v>
      </c>
      <c r="K416" s="20">
        <v>1</v>
      </c>
      <c r="L416" s="21">
        <v>17.6</v>
      </c>
      <c r="M416" s="21"/>
      <c r="N416" s="21"/>
    </row>
    <row r="417" spans="4:14">
      <c r="D417" s="18"/>
      <c r="E417" s="6"/>
      <c r="F417" s="6"/>
      <c r="G417" s="6"/>
      <c r="H417" s="6"/>
      <c r="I417" s="6"/>
      <c r="J417" s="32" t="s">
        <v>58</v>
      </c>
      <c r="K417" s="20">
        <v>1</v>
      </c>
      <c r="L417" s="21">
        <v>17.6</v>
      </c>
      <c r="M417" s="21"/>
      <c r="N417" s="21"/>
    </row>
    <row r="418" spans="4:14">
      <c r="D418" s="18">
        <v>46191</v>
      </c>
      <c r="E418" s="6">
        <v>1613270</v>
      </c>
      <c r="F418" s="6" t="s">
        <v>16</v>
      </c>
      <c r="G418" s="6">
        <v>20430222</v>
      </c>
      <c r="H418" s="6" t="s">
        <v>408</v>
      </c>
      <c r="I418" s="6">
        <v>1</v>
      </c>
      <c r="J418" s="32" t="s">
        <v>290</v>
      </c>
      <c r="K418" s="20">
        <v>1</v>
      </c>
      <c r="L418" s="21">
        <v>20</v>
      </c>
      <c r="M418" s="21">
        <v>20</v>
      </c>
      <c r="N418" s="21">
        <v>20</v>
      </c>
    </row>
    <row r="419" spans="4:14">
      <c r="D419" s="18">
        <v>46191</v>
      </c>
      <c r="E419" s="6">
        <v>1613270</v>
      </c>
      <c r="F419" s="6" t="s">
        <v>16</v>
      </c>
      <c r="G419" s="6">
        <v>20335084</v>
      </c>
      <c r="H419" s="6" t="s">
        <v>409</v>
      </c>
      <c r="I419" s="6">
        <v>1</v>
      </c>
      <c r="J419" s="32" t="s">
        <v>58</v>
      </c>
      <c r="K419" s="20">
        <v>1</v>
      </c>
      <c r="L419" s="21">
        <v>17.6</v>
      </c>
      <c r="M419" s="21">
        <v>52.8</v>
      </c>
      <c r="N419" s="21">
        <v>52.8</v>
      </c>
    </row>
    <row r="420" spans="4:14">
      <c r="D420" s="18"/>
      <c r="E420" s="6"/>
      <c r="F420" s="6"/>
      <c r="G420" s="6"/>
      <c r="H420" s="6"/>
      <c r="I420" s="6"/>
      <c r="J420" s="32" t="s">
        <v>58</v>
      </c>
      <c r="K420" s="20">
        <v>1</v>
      </c>
      <c r="L420" s="21">
        <v>17.6</v>
      </c>
      <c r="M420" s="21"/>
      <c r="N420" s="21"/>
    </row>
    <row r="421" spans="4:14">
      <c r="D421" s="18"/>
      <c r="E421" s="6"/>
      <c r="F421" s="6"/>
      <c r="G421" s="6"/>
      <c r="H421" s="6"/>
      <c r="I421" s="6"/>
      <c r="J421" s="32" t="s">
        <v>58</v>
      </c>
      <c r="K421" s="20">
        <v>1</v>
      </c>
      <c r="L421" s="21">
        <v>17.6</v>
      </c>
      <c r="M421" s="21"/>
      <c r="N421" s="21"/>
    </row>
    <row r="422" spans="4:14">
      <c r="D422" s="18">
        <v>46191</v>
      </c>
      <c r="E422" s="6">
        <v>1613270</v>
      </c>
      <c r="F422" s="6" t="s">
        <v>16</v>
      </c>
      <c r="G422" s="6">
        <v>20325443</v>
      </c>
      <c r="H422" s="6" t="s">
        <v>338</v>
      </c>
      <c r="I422" s="6">
        <v>1</v>
      </c>
      <c r="J422" s="33" t="s">
        <v>183</v>
      </c>
      <c r="K422" s="20">
        <v>1</v>
      </c>
      <c r="L422" s="21">
        <v>28</v>
      </c>
      <c r="M422" s="21">
        <v>28</v>
      </c>
      <c r="N422" s="21">
        <v>28</v>
      </c>
    </row>
    <row r="423" spans="4:14">
      <c r="D423" s="18">
        <v>46192</v>
      </c>
      <c r="E423" s="6">
        <v>1613594</v>
      </c>
      <c r="F423" s="6" t="s">
        <v>26</v>
      </c>
      <c r="G423" s="6">
        <v>20324463</v>
      </c>
      <c r="H423" s="6" t="s">
        <v>271</v>
      </c>
      <c r="I423" s="6">
        <v>2</v>
      </c>
      <c r="J423" s="32" t="s">
        <v>28</v>
      </c>
      <c r="K423" s="20">
        <f t="shared" ref="K423:K426" si="28">M423/L423</f>
        <v>35</v>
      </c>
      <c r="L423" s="21">
        <v>4.4</v>
      </c>
      <c r="M423" s="21">
        <v>154</v>
      </c>
      <c r="N423" s="21">
        <v>308</v>
      </c>
    </row>
    <row r="424" spans="4:14">
      <c r="D424" s="18">
        <v>46192</v>
      </c>
      <c r="E424" s="6">
        <v>1613594</v>
      </c>
      <c r="F424" s="6" t="s">
        <v>26</v>
      </c>
      <c r="G424" s="6">
        <v>20324039</v>
      </c>
      <c r="H424" s="6" t="s">
        <v>384</v>
      </c>
      <c r="I424" s="6">
        <v>1</v>
      </c>
      <c r="J424" s="32" t="s">
        <v>28</v>
      </c>
      <c r="K424" s="20">
        <f t="shared" si="28"/>
        <v>21</v>
      </c>
      <c r="L424" s="21">
        <v>4.4</v>
      </c>
      <c r="M424" s="21">
        <v>92.4</v>
      </c>
      <c r="N424" s="21">
        <v>92.4</v>
      </c>
    </row>
    <row r="425" spans="4:14">
      <c r="D425" s="18">
        <v>46192</v>
      </c>
      <c r="E425" s="6">
        <v>1613594</v>
      </c>
      <c r="F425" s="6" t="s">
        <v>26</v>
      </c>
      <c r="G425" s="6">
        <v>20324039</v>
      </c>
      <c r="H425" s="6" t="s">
        <v>384</v>
      </c>
      <c r="I425" s="6">
        <v>1</v>
      </c>
      <c r="J425" s="32" t="s">
        <v>28</v>
      </c>
      <c r="K425" s="20">
        <f t="shared" si="28"/>
        <v>21</v>
      </c>
      <c r="L425" s="21">
        <v>4.4</v>
      </c>
      <c r="M425" s="21">
        <v>92.4</v>
      </c>
      <c r="N425" s="21">
        <v>92.4</v>
      </c>
    </row>
    <row r="426" spans="4:14">
      <c r="D426" s="18">
        <v>46192</v>
      </c>
      <c r="E426" s="6">
        <v>1613594</v>
      </c>
      <c r="F426" s="6" t="s">
        <v>26</v>
      </c>
      <c r="G426" s="6">
        <v>20324045</v>
      </c>
      <c r="H426" s="6" t="s">
        <v>266</v>
      </c>
      <c r="I426" s="6">
        <v>1</v>
      </c>
      <c r="J426" s="32" t="s">
        <v>28</v>
      </c>
      <c r="K426" s="20">
        <f t="shared" si="28"/>
        <v>19</v>
      </c>
      <c r="L426" s="21">
        <v>4.4</v>
      </c>
      <c r="M426" s="21">
        <v>83.6</v>
      </c>
      <c r="N426" s="21">
        <v>83.6</v>
      </c>
    </row>
    <row r="427" spans="4:14">
      <c r="D427" s="18">
        <v>46192</v>
      </c>
      <c r="E427" s="6">
        <v>1613594</v>
      </c>
      <c r="F427" s="6" t="s">
        <v>240</v>
      </c>
      <c r="G427" s="6">
        <v>20418592</v>
      </c>
      <c r="H427" s="6" t="s">
        <v>251</v>
      </c>
      <c r="I427" s="6">
        <v>1</v>
      </c>
      <c r="J427" s="32" t="s">
        <v>242</v>
      </c>
      <c r="K427" s="20">
        <v>1</v>
      </c>
      <c r="L427" s="21">
        <v>28</v>
      </c>
      <c r="M427" s="21">
        <v>28</v>
      </c>
      <c r="N427" s="21">
        <v>28</v>
      </c>
    </row>
    <row r="428" spans="4:14">
      <c r="D428" s="18">
        <v>46192</v>
      </c>
      <c r="E428" s="6">
        <v>1613594</v>
      </c>
      <c r="F428" s="6" t="s">
        <v>16</v>
      </c>
      <c r="G428" s="6">
        <v>20324699</v>
      </c>
      <c r="H428" s="6" t="s">
        <v>268</v>
      </c>
      <c r="I428" s="6">
        <v>5</v>
      </c>
      <c r="J428" s="32" t="s">
        <v>28</v>
      </c>
      <c r="K428" s="20">
        <f>M428/L428</f>
        <v>5</v>
      </c>
      <c r="L428" s="21">
        <v>4.4</v>
      </c>
      <c r="M428" s="21">
        <v>22</v>
      </c>
      <c r="N428" s="21">
        <v>110</v>
      </c>
    </row>
    <row r="429" spans="4:14">
      <c r="D429" s="18">
        <v>46192</v>
      </c>
      <c r="E429" s="6">
        <v>1613594</v>
      </c>
      <c r="F429" s="6" t="s">
        <v>51</v>
      </c>
      <c r="G429" s="6">
        <v>20354932</v>
      </c>
      <c r="H429" s="6" t="s">
        <v>210</v>
      </c>
      <c r="I429" s="6">
        <v>10</v>
      </c>
      <c r="J429" s="33" t="s">
        <v>86</v>
      </c>
      <c r="K429" s="20">
        <v>1</v>
      </c>
      <c r="L429" s="21">
        <v>3.2</v>
      </c>
      <c r="M429" s="21">
        <v>3.2</v>
      </c>
      <c r="N429" s="21">
        <v>32</v>
      </c>
    </row>
    <row r="430" spans="4:14">
      <c r="D430" s="18">
        <v>46192</v>
      </c>
      <c r="E430" s="6">
        <v>1613636</v>
      </c>
      <c r="F430" s="6" t="s">
        <v>16</v>
      </c>
      <c r="G430" s="6">
        <v>20430378</v>
      </c>
      <c r="H430" s="6" t="s">
        <v>410</v>
      </c>
      <c r="I430" s="6">
        <v>2</v>
      </c>
      <c r="J430" s="32" t="s">
        <v>58</v>
      </c>
      <c r="K430" s="20">
        <v>1</v>
      </c>
      <c r="L430" s="21">
        <v>17.6</v>
      </c>
      <c r="M430" s="21">
        <v>17.6</v>
      </c>
      <c r="N430" s="21">
        <f>M430*I430</f>
        <v>35.2</v>
      </c>
    </row>
    <row r="431" spans="4:14">
      <c r="D431" s="18">
        <v>46192</v>
      </c>
      <c r="E431" s="6">
        <v>1613636</v>
      </c>
      <c r="F431" s="6" t="s">
        <v>16</v>
      </c>
      <c r="G431" s="6">
        <v>20324637</v>
      </c>
      <c r="H431" s="6" t="s">
        <v>284</v>
      </c>
      <c r="I431" s="6">
        <v>2</v>
      </c>
      <c r="J431" s="33" t="s">
        <v>183</v>
      </c>
      <c r="K431" s="20">
        <v>1</v>
      </c>
      <c r="L431" s="21">
        <v>28</v>
      </c>
      <c r="M431" s="21">
        <v>28</v>
      </c>
      <c r="N431" s="21">
        <v>56</v>
      </c>
    </row>
    <row r="432" spans="4:14">
      <c r="D432" s="18">
        <v>46192</v>
      </c>
      <c r="E432" s="6">
        <v>1613636</v>
      </c>
      <c r="F432" s="6" t="s">
        <v>16</v>
      </c>
      <c r="G432" s="6">
        <v>20330449</v>
      </c>
      <c r="H432" s="6" t="s">
        <v>351</v>
      </c>
      <c r="I432" s="6">
        <v>1</v>
      </c>
      <c r="J432" s="33" t="s">
        <v>263</v>
      </c>
      <c r="K432" s="20">
        <v>1</v>
      </c>
      <c r="L432" s="21">
        <v>22.4</v>
      </c>
      <c r="M432" s="21">
        <v>22.4</v>
      </c>
      <c r="N432" s="21">
        <v>22.4</v>
      </c>
    </row>
    <row r="433" spans="4:14">
      <c r="D433" s="18">
        <v>46192</v>
      </c>
      <c r="E433" s="6">
        <v>1613636</v>
      </c>
      <c r="F433" s="6" t="s">
        <v>16</v>
      </c>
      <c r="G433" s="6">
        <v>20326623</v>
      </c>
      <c r="H433" s="6" t="s">
        <v>405</v>
      </c>
      <c r="I433" s="6">
        <v>2</v>
      </c>
      <c r="J433" s="33" t="s">
        <v>263</v>
      </c>
      <c r="K433" s="20">
        <v>1</v>
      </c>
      <c r="L433" s="21">
        <v>22.4</v>
      </c>
      <c r="M433" s="21">
        <v>22.4</v>
      </c>
      <c r="N433" s="21">
        <v>44.8</v>
      </c>
    </row>
    <row r="434" spans="4:14">
      <c r="D434" s="18">
        <v>46192</v>
      </c>
      <c r="E434" s="6">
        <v>1613636</v>
      </c>
      <c r="F434" s="6" t="s">
        <v>16</v>
      </c>
      <c r="G434" s="6">
        <v>20324645</v>
      </c>
      <c r="H434" s="6" t="s">
        <v>318</v>
      </c>
      <c r="I434" s="6">
        <v>3</v>
      </c>
      <c r="J434" s="33" t="s">
        <v>263</v>
      </c>
      <c r="K434" s="20">
        <v>1</v>
      </c>
      <c r="L434" s="21">
        <v>22.4</v>
      </c>
      <c r="M434" s="21">
        <v>22.4</v>
      </c>
      <c r="N434" s="21">
        <v>67.2</v>
      </c>
    </row>
    <row r="435" spans="4:14">
      <c r="D435" s="18">
        <v>46192</v>
      </c>
      <c r="E435" s="6">
        <v>1613636</v>
      </c>
      <c r="F435" s="6" t="s">
        <v>16</v>
      </c>
      <c r="G435" s="6">
        <v>20324723</v>
      </c>
      <c r="H435" s="6" t="s">
        <v>275</v>
      </c>
      <c r="I435" s="6">
        <v>1</v>
      </c>
      <c r="J435" s="33" t="s">
        <v>263</v>
      </c>
      <c r="K435" s="20">
        <v>1</v>
      </c>
      <c r="L435" s="21">
        <v>22.4</v>
      </c>
      <c r="M435" s="21">
        <v>22.4</v>
      </c>
      <c r="N435" s="21">
        <v>22.4</v>
      </c>
    </row>
    <row r="436" spans="4:14">
      <c r="D436" s="18">
        <v>46192</v>
      </c>
      <c r="E436" s="6">
        <v>1613636</v>
      </c>
      <c r="F436" s="6" t="s">
        <v>16</v>
      </c>
      <c r="G436" s="6">
        <v>20324636</v>
      </c>
      <c r="H436" s="6" t="s">
        <v>320</v>
      </c>
      <c r="I436" s="6">
        <v>2</v>
      </c>
      <c r="J436" s="33" t="s">
        <v>183</v>
      </c>
      <c r="K436" s="20">
        <v>1</v>
      </c>
      <c r="L436" s="21">
        <v>28</v>
      </c>
      <c r="M436" s="21">
        <v>28</v>
      </c>
      <c r="N436" s="21">
        <v>56</v>
      </c>
    </row>
    <row r="437" spans="4:14">
      <c r="D437" s="18">
        <v>46192</v>
      </c>
      <c r="E437" s="6">
        <v>1613636</v>
      </c>
      <c r="F437" s="6" t="s">
        <v>16</v>
      </c>
      <c r="G437" s="6">
        <v>20324642</v>
      </c>
      <c r="H437" s="6" t="s">
        <v>321</v>
      </c>
      <c r="I437" s="6">
        <v>2</v>
      </c>
      <c r="J437" s="32" t="s">
        <v>58</v>
      </c>
      <c r="K437" s="20">
        <v>1</v>
      </c>
      <c r="L437" s="21">
        <v>17.6</v>
      </c>
      <c r="M437" s="21">
        <v>17.6</v>
      </c>
      <c r="N437" s="21">
        <v>35.2</v>
      </c>
    </row>
    <row r="438" spans="4:14">
      <c r="D438" s="18">
        <v>46192</v>
      </c>
      <c r="E438" s="6">
        <v>1613636</v>
      </c>
      <c r="F438" s="6" t="s">
        <v>16</v>
      </c>
      <c r="G438" s="6">
        <v>20324732</v>
      </c>
      <c r="H438" s="6" t="s">
        <v>322</v>
      </c>
      <c r="I438" s="6">
        <v>2</v>
      </c>
      <c r="J438" s="33" t="s">
        <v>263</v>
      </c>
      <c r="K438" s="20">
        <v>1</v>
      </c>
      <c r="L438" s="21">
        <v>22.4</v>
      </c>
      <c r="M438" s="21">
        <v>22.4</v>
      </c>
      <c r="N438" s="21">
        <v>44.8</v>
      </c>
    </row>
    <row r="439" spans="4:14">
      <c r="D439" s="18">
        <v>46192</v>
      </c>
      <c r="E439" s="6">
        <v>1613636</v>
      </c>
      <c r="F439" s="6" t="s">
        <v>16</v>
      </c>
      <c r="G439" s="6">
        <v>20324814</v>
      </c>
      <c r="H439" s="6" t="s">
        <v>293</v>
      </c>
      <c r="I439" s="6">
        <v>2</v>
      </c>
      <c r="J439" s="33" t="s">
        <v>263</v>
      </c>
      <c r="K439" s="20">
        <v>1</v>
      </c>
      <c r="L439" s="21">
        <v>22.4</v>
      </c>
      <c r="M439" s="21">
        <v>22.4</v>
      </c>
      <c r="N439" s="21">
        <v>44.8</v>
      </c>
    </row>
    <row r="440" spans="4:14">
      <c r="D440" s="18">
        <v>46192</v>
      </c>
      <c r="E440" s="6">
        <v>1613636</v>
      </c>
      <c r="F440" s="6" t="s">
        <v>16</v>
      </c>
      <c r="G440" s="6">
        <v>20324646</v>
      </c>
      <c r="H440" s="6" t="s">
        <v>326</v>
      </c>
      <c r="I440" s="6">
        <v>1</v>
      </c>
      <c r="J440" s="32" t="s">
        <v>290</v>
      </c>
      <c r="K440" s="20">
        <v>1</v>
      </c>
      <c r="L440" s="21">
        <v>20</v>
      </c>
      <c r="M440" s="21">
        <v>20</v>
      </c>
      <c r="N440" s="21">
        <v>20</v>
      </c>
    </row>
    <row r="441" spans="4:14">
      <c r="D441" s="89">
        <v>46192</v>
      </c>
      <c r="E441" s="90">
        <v>1613636</v>
      </c>
      <c r="F441" s="90" t="s">
        <v>34</v>
      </c>
      <c r="G441" s="90">
        <v>20324638</v>
      </c>
      <c r="H441" s="90" t="s">
        <v>327</v>
      </c>
      <c r="I441" s="90">
        <v>1</v>
      </c>
      <c r="J441" s="33" t="s">
        <v>328</v>
      </c>
      <c r="K441" s="20" t="s">
        <v>329</v>
      </c>
      <c r="L441" s="21">
        <v>22.4</v>
      </c>
      <c r="M441" s="21">
        <f>L441+L442</f>
        <v>30.4</v>
      </c>
      <c r="N441" s="93">
        <f>M441*I441</f>
        <v>30.4</v>
      </c>
    </row>
    <row r="442" spans="4:14">
      <c r="D442" s="91"/>
      <c r="E442" s="92"/>
      <c r="F442" s="92"/>
      <c r="G442" s="92"/>
      <c r="H442" s="92"/>
      <c r="I442" s="92"/>
      <c r="J442" s="6" t="s">
        <v>330</v>
      </c>
      <c r="K442" s="20" t="s">
        <v>329</v>
      </c>
      <c r="L442" s="21">
        <v>8</v>
      </c>
      <c r="M442" s="21"/>
      <c r="N442" s="36"/>
    </row>
    <row r="443" spans="4:14">
      <c r="D443" s="18">
        <v>46192</v>
      </c>
      <c r="E443" s="6">
        <v>1613639</v>
      </c>
      <c r="F443" s="6" t="s">
        <v>16</v>
      </c>
      <c r="G443" s="6">
        <v>20324646</v>
      </c>
      <c r="H443" s="6" t="s">
        <v>326</v>
      </c>
      <c r="I443" s="6">
        <v>1</v>
      </c>
      <c r="J443" s="32" t="s">
        <v>290</v>
      </c>
      <c r="K443" s="20">
        <v>1</v>
      </c>
      <c r="L443" s="21">
        <v>20</v>
      </c>
      <c r="M443" s="21">
        <v>20</v>
      </c>
      <c r="N443" s="21">
        <v>20</v>
      </c>
    </row>
    <row r="444" spans="4:14">
      <c r="D444" s="18">
        <v>46195</v>
      </c>
      <c r="E444" s="6">
        <v>1614188</v>
      </c>
      <c r="F444" s="6" t="s">
        <v>26</v>
      </c>
      <c r="G444" s="6">
        <v>20324039</v>
      </c>
      <c r="H444" s="6" t="s">
        <v>384</v>
      </c>
      <c r="I444" s="6">
        <v>2</v>
      </c>
      <c r="J444" s="32" t="s">
        <v>28</v>
      </c>
      <c r="K444" s="20">
        <f t="shared" ref="K444:K454" si="29">M444/L444</f>
        <v>21</v>
      </c>
      <c r="L444" s="21">
        <v>4.4</v>
      </c>
      <c r="M444" s="21">
        <v>92.4</v>
      </c>
      <c r="N444" s="21">
        <v>184.8</v>
      </c>
    </row>
    <row r="445" spans="4:14">
      <c r="D445" s="18">
        <v>46195</v>
      </c>
      <c r="E445" s="6">
        <v>1614188</v>
      </c>
      <c r="F445" s="6" t="s">
        <v>26</v>
      </c>
      <c r="G445" s="6">
        <v>20324049</v>
      </c>
      <c r="H445" s="6" t="s">
        <v>388</v>
      </c>
      <c r="I445" s="6">
        <v>1</v>
      </c>
      <c r="J445" s="32" t="s">
        <v>28</v>
      </c>
      <c r="K445" s="20">
        <f t="shared" si="29"/>
        <v>25</v>
      </c>
      <c r="L445" s="21">
        <v>4.4</v>
      </c>
      <c r="M445" s="21">
        <v>110</v>
      </c>
      <c r="N445" s="21">
        <v>110</v>
      </c>
    </row>
    <row r="446" spans="4:14">
      <c r="D446" s="18">
        <v>46195</v>
      </c>
      <c r="E446" s="6">
        <v>1614188</v>
      </c>
      <c r="F446" s="6" t="s">
        <v>16</v>
      </c>
      <c r="G446" s="6">
        <v>20324699</v>
      </c>
      <c r="H446" s="6" t="s">
        <v>268</v>
      </c>
      <c r="I446" s="6">
        <v>2</v>
      </c>
      <c r="J446" s="32" t="s">
        <v>28</v>
      </c>
      <c r="K446" s="20">
        <f t="shared" si="29"/>
        <v>5</v>
      </c>
      <c r="L446" s="21">
        <v>4.4</v>
      </c>
      <c r="M446" s="21">
        <v>22</v>
      </c>
      <c r="N446" s="21">
        <v>44</v>
      </c>
    </row>
    <row r="447" spans="4:14">
      <c r="D447" s="18">
        <v>46196</v>
      </c>
      <c r="E447" s="6">
        <v>1614522</v>
      </c>
      <c r="F447" s="6" t="s">
        <v>26</v>
      </c>
      <c r="G447" s="6">
        <v>20324463</v>
      </c>
      <c r="H447" s="6" t="s">
        <v>271</v>
      </c>
      <c r="I447" s="6">
        <v>4</v>
      </c>
      <c r="J447" s="32" t="s">
        <v>28</v>
      </c>
      <c r="K447" s="20">
        <f t="shared" si="29"/>
        <v>35</v>
      </c>
      <c r="L447" s="21">
        <v>4.4</v>
      </c>
      <c r="M447" s="21">
        <v>154</v>
      </c>
      <c r="N447" s="21">
        <v>616</v>
      </c>
    </row>
    <row r="448" spans="4:14">
      <c r="D448" s="18">
        <v>46196</v>
      </c>
      <c r="E448" s="6">
        <v>1614522</v>
      </c>
      <c r="F448" s="6" t="s">
        <v>26</v>
      </c>
      <c r="G448" s="6">
        <v>20324039</v>
      </c>
      <c r="H448" s="6" t="s">
        <v>384</v>
      </c>
      <c r="I448" s="6">
        <v>2</v>
      </c>
      <c r="J448" s="32" t="s">
        <v>28</v>
      </c>
      <c r="K448" s="20">
        <f t="shared" si="29"/>
        <v>21</v>
      </c>
      <c r="L448" s="21">
        <v>4.4</v>
      </c>
      <c r="M448" s="21">
        <v>92.4</v>
      </c>
      <c r="N448" s="21">
        <v>184.8</v>
      </c>
    </row>
    <row r="449" spans="4:14">
      <c r="D449" s="18">
        <v>46196</v>
      </c>
      <c r="E449" s="6">
        <v>1614522</v>
      </c>
      <c r="F449" s="6" t="s">
        <v>26</v>
      </c>
      <c r="G449" s="6">
        <v>20324046</v>
      </c>
      <c r="H449" s="6" t="s">
        <v>176</v>
      </c>
      <c r="I449" s="6">
        <v>1</v>
      </c>
      <c r="J449" s="32" t="s">
        <v>28</v>
      </c>
      <c r="K449" s="20">
        <f t="shared" si="29"/>
        <v>49</v>
      </c>
      <c r="L449" s="21">
        <v>4.4</v>
      </c>
      <c r="M449" s="21">
        <v>215.6</v>
      </c>
      <c r="N449" s="21">
        <v>215.6</v>
      </c>
    </row>
    <row r="450" spans="4:14">
      <c r="D450" s="18">
        <v>46196</v>
      </c>
      <c r="E450" s="6">
        <v>1614522</v>
      </c>
      <c r="F450" s="6" t="s">
        <v>26</v>
      </c>
      <c r="G450" s="6">
        <v>20324045</v>
      </c>
      <c r="H450" s="6" t="s">
        <v>266</v>
      </c>
      <c r="I450" s="6">
        <v>1</v>
      </c>
      <c r="J450" s="32" t="s">
        <v>28</v>
      </c>
      <c r="K450" s="20">
        <f t="shared" si="29"/>
        <v>19</v>
      </c>
      <c r="L450" s="21">
        <v>4.4</v>
      </c>
      <c r="M450" s="21">
        <v>83.6</v>
      </c>
      <c r="N450" s="21">
        <v>83.6</v>
      </c>
    </row>
    <row r="451" spans="4:14">
      <c r="D451" s="18">
        <v>46196</v>
      </c>
      <c r="E451" s="6">
        <v>1614522</v>
      </c>
      <c r="F451" s="6" t="s">
        <v>16</v>
      </c>
      <c r="G451" s="6">
        <v>20329152</v>
      </c>
      <c r="H451" s="6" t="s">
        <v>311</v>
      </c>
      <c r="I451" s="6">
        <v>2</v>
      </c>
      <c r="J451" s="32" t="s">
        <v>28</v>
      </c>
      <c r="K451" s="20">
        <f t="shared" si="29"/>
        <v>11</v>
      </c>
      <c r="L451" s="21">
        <v>4.4</v>
      </c>
      <c r="M451" s="21">
        <v>48.4</v>
      </c>
      <c r="N451" s="21">
        <v>96.8</v>
      </c>
    </row>
    <row r="452" spans="4:14">
      <c r="D452" s="18">
        <v>46196</v>
      </c>
      <c r="E452" s="6">
        <v>1614522</v>
      </c>
      <c r="F452" s="6" t="s">
        <v>16</v>
      </c>
      <c r="G452" s="6">
        <v>20324699</v>
      </c>
      <c r="H452" s="6" t="s">
        <v>268</v>
      </c>
      <c r="I452" s="6">
        <v>10</v>
      </c>
      <c r="J452" s="32" t="s">
        <v>28</v>
      </c>
      <c r="K452" s="20">
        <f t="shared" si="29"/>
        <v>5</v>
      </c>
      <c r="L452" s="21">
        <v>4.4</v>
      </c>
      <c r="M452" s="21">
        <v>22</v>
      </c>
      <c r="N452" s="21">
        <v>220</v>
      </c>
    </row>
    <row r="453" spans="4:14">
      <c r="D453" s="18">
        <v>46197</v>
      </c>
      <c r="E453" s="6">
        <v>1614566</v>
      </c>
      <c r="F453" s="6" t="s">
        <v>26</v>
      </c>
      <c r="G453" s="6">
        <v>20324463</v>
      </c>
      <c r="H453" s="6" t="s">
        <v>271</v>
      </c>
      <c r="I453" s="6">
        <v>1</v>
      </c>
      <c r="J453" s="32" t="s">
        <v>28</v>
      </c>
      <c r="K453" s="20">
        <f t="shared" si="29"/>
        <v>35</v>
      </c>
      <c r="L453" s="21">
        <v>4.4</v>
      </c>
      <c r="M453" s="21">
        <v>154</v>
      </c>
      <c r="N453" s="21">
        <v>154</v>
      </c>
    </row>
    <row r="454" spans="4:14">
      <c r="D454" s="18">
        <v>46197</v>
      </c>
      <c r="E454" s="6">
        <v>1614566</v>
      </c>
      <c r="F454" s="6" t="s">
        <v>26</v>
      </c>
      <c r="G454" s="6">
        <v>20324045</v>
      </c>
      <c r="H454" s="6" t="s">
        <v>266</v>
      </c>
      <c r="I454" s="6">
        <v>1</v>
      </c>
      <c r="J454" s="32" t="s">
        <v>28</v>
      </c>
      <c r="K454" s="20">
        <f t="shared" si="29"/>
        <v>19</v>
      </c>
      <c r="L454" s="21">
        <v>4.4</v>
      </c>
      <c r="M454" s="21">
        <v>83.6</v>
      </c>
      <c r="N454" s="21">
        <v>83.6</v>
      </c>
    </row>
    <row r="455" spans="4:14">
      <c r="D455" s="18">
        <v>46197</v>
      </c>
      <c r="E455" s="6">
        <v>1614566</v>
      </c>
      <c r="F455" s="6" t="s">
        <v>16</v>
      </c>
      <c r="G455" s="6">
        <v>20327777</v>
      </c>
      <c r="H455" s="6" t="s">
        <v>347</v>
      </c>
      <c r="I455" s="6">
        <v>1</v>
      </c>
      <c r="J455" s="6" t="s">
        <v>18</v>
      </c>
      <c r="K455" s="20">
        <v>1</v>
      </c>
      <c r="L455" s="21">
        <v>6.4</v>
      </c>
      <c r="M455" s="21">
        <v>10.8</v>
      </c>
      <c r="N455" s="21">
        <v>10.8</v>
      </c>
    </row>
    <row r="456" spans="4:14">
      <c r="D456" s="18"/>
      <c r="E456" s="6"/>
      <c r="F456" s="6"/>
      <c r="G456" s="6"/>
      <c r="H456" s="6"/>
      <c r="I456" s="6"/>
      <c r="J456" s="6" t="s">
        <v>124</v>
      </c>
      <c r="K456" s="20">
        <v>1</v>
      </c>
      <c r="L456" s="21">
        <v>4.4</v>
      </c>
      <c r="M456" s="21"/>
      <c r="N456" s="21"/>
    </row>
    <row r="457" spans="4:14">
      <c r="D457" s="18">
        <v>46197</v>
      </c>
      <c r="E457" s="6">
        <v>1614566</v>
      </c>
      <c r="F457" s="6" t="s">
        <v>16</v>
      </c>
      <c r="G457" s="6">
        <v>20325306</v>
      </c>
      <c r="H457" s="6" t="s">
        <v>411</v>
      </c>
      <c r="I457" s="6">
        <v>1</v>
      </c>
      <c r="J457" s="32" t="s">
        <v>28</v>
      </c>
      <c r="K457" s="20">
        <f>M457/L457</f>
        <v>8</v>
      </c>
      <c r="L457" s="21">
        <v>4.4</v>
      </c>
      <c r="M457" s="21">
        <v>35.2</v>
      </c>
      <c r="N457" s="21">
        <v>35.2</v>
      </c>
    </row>
    <row r="458" spans="4:14">
      <c r="D458" s="18">
        <v>46197</v>
      </c>
      <c r="E458" s="6">
        <v>1614566</v>
      </c>
      <c r="F458" s="6" t="s">
        <v>16</v>
      </c>
      <c r="G458" s="6">
        <v>20324699</v>
      </c>
      <c r="H458" s="6" t="s">
        <v>268</v>
      </c>
      <c r="I458" s="6">
        <v>2</v>
      </c>
      <c r="J458" s="32" t="s">
        <v>28</v>
      </c>
      <c r="K458" s="20">
        <f>M458/L458</f>
        <v>5</v>
      </c>
      <c r="L458" s="21">
        <v>4.4</v>
      </c>
      <c r="M458" s="21">
        <v>22</v>
      </c>
      <c r="N458" s="21">
        <v>44</v>
      </c>
    </row>
    <row r="459" spans="4:14">
      <c r="D459" s="18">
        <v>46197</v>
      </c>
      <c r="E459" s="6">
        <v>1614602</v>
      </c>
      <c r="F459" s="6" t="s">
        <v>358</v>
      </c>
      <c r="G459" s="6">
        <v>20357239</v>
      </c>
      <c r="H459" s="6" t="s">
        <v>274</v>
      </c>
      <c r="I459" s="6">
        <v>1</v>
      </c>
      <c r="J459" s="33" t="s">
        <v>183</v>
      </c>
      <c r="K459" s="20">
        <v>1</v>
      </c>
      <c r="L459" s="21">
        <v>28</v>
      </c>
      <c r="M459" s="21">
        <v>28</v>
      </c>
      <c r="N459" s="21">
        <v>28</v>
      </c>
    </row>
    <row r="460" spans="4:14">
      <c r="D460" s="18">
        <v>46197</v>
      </c>
      <c r="E460" s="6">
        <v>1614602</v>
      </c>
      <c r="F460" s="6" t="s">
        <v>358</v>
      </c>
      <c r="G460" s="6">
        <v>20345154</v>
      </c>
      <c r="H460" s="6" t="s">
        <v>360</v>
      </c>
      <c r="I460" s="6">
        <v>1</v>
      </c>
      <c r="J460" s="33" t="s">
        <v>263</v>
      </c>
      <c r="K460" s="20">
        <v>1</v>
      </c>
      <c r="L460" s="21">
        <v>22.4</v>
      </c>
      <c r="M460" s="21">
        <v>22.4</v>
      </c>
      <c r="N460" s="21">
        <v>22.4</v>
      </c>
    </row>
    <row r="461" spans="4:14">
      <c r="D461" s="18">
        <v>46197</v>
      </c>
      <c r="E461" s="6">
        <v>1614602</v>
      </c>
      <c r="F461" s="6" t="s">
        <v>358</v>
      </c>
      <c r="G461" s="6">
        <v>20382055</v>
      </c>
      <c r="H461" s="6" t="s">
        <v>275</v>
      </c>
      <c r="I461" s="6">
        <v>1</v>
      </c>
      <c r="J461" s="32" t="s">
        <v>58</v>
      </c>
      <c r="K461" s="20">
        <v>1</v>
      </c>
      <c r="L461" s="21">
        <v>17.6</v>
      </c>
      <c r="M461" s="21">
        <v>17.6</v>
      </c>
      <c r="N461" s="21">
        <v>17.6</v>
      </c>
    </row>
    <row r="462" spans="4:14">
      <c r="D462" s="18">
        <v>46197</v>
      </c>
      <c r="E462" s="6">
        <v>1614602</v>
      </c>
      <c r="F462" s="6" t="s">
        <v>358</v>
      </c>
      <c r="G462" s="6">
        <v>20328266</v>
      </c>
      <c r="H462" s="6" t="s">
        <v>361</v>
      </c>
      <c r="I462" s="6">
        <v>1</v>
      </c>
      <c r="J462" s="33" t="s">
        <v>183</v>
      </c>
      <c r="K462" s="20">
        <v>1</v>
      </c>
      <c r="L462" s="21">
        <v>28</v>
      </c>
      <c r="M462" s="21">
        <v>28</v>
      </c>
      <c r="N462" s="21">
        <v>28</v>
      </c>
    </row>
    <row r="463" spans="4:14">
      <c r="D463" s="18">
        <v>46197</v>
      </c>
      <c r="E463" s="6">
        <v>1614602</v>
      </c>
      <c r="F463" s="6" t="s">
        <v>358</v>
      </c>
      <c r="G463" s="6">
        <v>20327630</v>
      </c>
      <c r="H463" s="6" t="s">
        <v>412</v>
      </c>
      <c r="I463" s="6">
        <v>1</v>
      </c>
      <c r="J463" s="33" t="s">
        <v>263</v>
      </c>
      <c r="K463" s="20">
        <v>1</v>
      </c>
      <c r="L463" s="21">
        <v>22.4</v>
      </c>
      <c r="M463" s="21">
        <v>22.4</v>
      </c>
      <c r="N463" s="21">
        <v>22.4</v>
      </c>
    </row>
    <row r="464" spans="4:14">
      <c r="D464" s="18">
        <v>46197</v>
      </c>
      <c r="E464" s="6">
        <v>1614602</v>
      </c>
      <c r="F464" s="6" t="s">
        <v>358</v>
      </c>
      <c r="G464" s="6">
        <v>20338703</v>
      </c>
      <c r="H464" s="6" t="s">
        <v>363</v>
      </c>
      <c r="I464" s="6">
        <v>1</v>
      </c>
      <c r="J464" s="33" t="s">
        <v>263</v>
      </c>
      <c r="K464" s="20">
        <v>1</v>
      </c>
      <c r="L464" s="21">
        <v>22.4</v>
      </c>
      <c r="M464" s="21">
        <v>22.4</v>
      </c>
      <c r="N464" s="21">
        <v>22.4</v>
      </c>
    </row>
    <row r="465" spans="4:14">
      <c r="D465" s="18">
        <v>46197</v>
      </c>
      <c r="E465" s="6">
        <v>1614602</v>
      </c>
      <c r="F465" s="6" t="s">
        <v>358</v>
      </c>
      <c r="G465" s="6">
        <v>20398299</v>
      </c>
      <c r="H465" s="6" t="s">
        <v>366</v>
      </c>
      <c r="I465" s="6">
        <v>1</v>
      </c>
      <c r="J465" s="33" t="s">
        <v>263</v>
      </c>
      <c r="K465" s="20">
        <v>1</v>
      </c>
      <c r="L465" s="21">
        <v>22.4</v>
      </c>
      <c r="M465" s="21">
        <v>22.4</v>
      </c>
      <c r="N465" s="21">
        <v>22.4</v>
      </c>
    </row>
    <row r="466" spans="4:14">
      <c r="D466" s="18">
        <v>46197</v>
      </c>
      <c r="E466" s="6">
        <v>1614612</v>
      </c>
      <c r="F466" s="6" t="s">
        <v>16</v>
      </c>
      <c r="G466" s="6">
        <v>20430378</v>
      </c>
      <c r="H466" s="6" t="s">
        <v>410</v>
      </c>
      <c r="I466" s="6">
        <v>4</v>
      </c>
      <c r="J466" s="32" t="s">
        <v>58</v>
      </c>
      <c r="K466" s="20">
        <v>1</v>
      </c>
      <c r="L466" s="21">
        <v>17.6</v>
      </c>
      <c r="M466" s="21">
        <v>17.6</v>
      </c>
      <c r="N466" s="21">
        <f>M466*I466</f>
        <v>70.4</v>
      </c>
    </row>
    <row r="467" spans="4:14">
      <c r="D467" s="18">
        <v>46197</v>
      </c>
      <c r="E467" s="6">
        <v>1614612</v>
      </c>
      <c r="F467" s="6" t="s">
        <v>16</v>
      </c>
      <c r="G467" s="6">
        <v>20324637</v>
      </c>
      <c r="H467" s="6" t="s">
        <v>284</v>
      </c>
      <c r="I467" s="6">
        <v>3</v>
      </c>
      <c r="J467" s="33" t="s">
        <v>183</v>
      </c>
      <c r="K467" s="20">
        <v>1</v>
      </c>
      <c r="L467" s="21">
        <v>28</v>
      </c>
      <c r="M467" s="21">
        <v>28</v>
      </c>
      <c r="N467" s="21">
        <v>84</v>
      </c>
    </row>
    <row r="468" spans="4:14">
      <c r="D468" s="18">
        <v>46197</v>
      </c>
      <c r="E468" s="6">
        <v>1614612</v>
      </c>
      <c r="F468" s="6" t="s">
        <v>16</v>
      </c>
      <c r="G468" s="6">
        <v>20330449</v>
      </c>
      <c r="H468" s="6" t="s">
        <v>351</v>
      </c>
      <c r="I468" s="6">
        <v>1</v>
      </c>
      <c r="J468" s="33" t="s">
        <v>263</v>
      </c>
      <c r="K468" s="20">
        <v>1</v>
      </c>
      <c r="L468" s="21">
        <v>22.4</v>
      </c>
      <c r="M468" s="21">
        <v>22.4</v>
      </c>
      <c r="N468" s="21">
        <v>22.4</v>
      </c>
    </row>
    <row r="469" spans="4:14">
      <c r="D469" s="18">
        <v>46197</v>
      </c>
      <c r="E469" s="6">
        <v>1614612</v>
      </c>
      <c r="F469" s="6" t="s">
        <v>16</v>
      </c>
      <c r="G469" s="6">
        <v>20382023</v>
      </c>
      <c r="H469" s="6" t="s">
        <v>355</v>
      </c>
      <c r="I469" s="6">
        <v>1</v>
      </c>
      <c r="J469" s="32" t="s">
        <v>58</v>
      </c>
      <c r="K469" s="20">
        <v>1</v>
      </c>
      <c r="L469" s="21">
        <v>17.6</v>
      </c>
      <c r="M469" s="21">
        <v>17.6</v>
      </c>
      <c r="N469" s="21">
        <v>17.6</v>
      </c>
    </row>
    <row r="470" spans="4:14">
      <c r="D470" s="18">
        <v>46197</v>
      </c>
      <c r="E470" s="6">
        <v>1614612</v>
      </c>
      <c r="F470" s="6" t="s">
        <v>16</v>
      </c>
      <c r="G470" s="6">
        <v>20329253</v>
      </c>
      <c r="H470" s="6" t="s">
        <v>316</v>
      </c>
      <c r="I470" s="6">
        <v>1</v>
      </c>
      <c r="J470" s="32" t="s">
        <v>58</v>
      </c>
      <c r="K470" s="20">
        <v>1</v>
      </c>
      <c r="L470" s="21">
        <v>17.6</v>
      </c>
      <c r="M470" s="21">
        <v>17.6</v>
      </c>
      <c r="N470" s="21">
        <v>17.6</v>
      </c>
    </row>
    <row r="471" spans="4:14">
      <c r="D471" s="18">
        <v>46197</v>
      </c>
      <c r="E471" s="6">
        <v>1614612</v>
      </c>
      <c r="F471" s="6" t="s">
        <v>16</v>
      </c>
      <c r="G471" s="6">
        <v>20324822</v>
      </c>
      <c r="H471" s="6" t="s">
        <v>317</v>
      </c>
      <c r="I471" s="6">
        <v>3</v>
      </c>
      <c r="J471" s="33" t="s">
        <v>183</v>
      </c>
      <c r="K471" s="20">
        <v>1</v>
      </c>
      <c r="L471" s="21">
        <v>28</v>
      </c>
      <c r="M471" s="21">
        <v>28</v>
      </c>
      <c r="N471" s="21">
        <v>84</v>
      </c>
    </row>
    <row r="472" spans="4:14">
      <c r="D472" s="18">
        <v>46197</v>
      </c>
      <c r="E472" s="6">
        <v>1614612</v>
      </c>
      <c r="F472" s="6" t="s">
        <v>16</v>
      </c>
      <c r="G472" s="6">
        <v>20354181</v>
      </c>
      <c r="H472" s="6" t="s">
        <v>356</v>
      </c>
      <c r="I472" s="6">
        <v>1</v>
      </c>
      <c r="J472" s="33" t="s">
        <v>48</v>
      </c>
      <c r="K472" s="20" t="s">
        <v>49</v>
      </c>
      <c r="L472" s="21">
        <v>240</v>
      </c>
      <c r="M472" s="21">
        <v>240</v>
      </c>
      <c r="N472" s="21">
        <v>240</v>
      </c>
    </row>
    <row r="473" spans="4:14">
      <c r="D473" s="18">
        <v>46197</v>
      </c>
      <c r="E473" s="6">
        <v>1614612</v>
      </c>
      <c r="F473" s="6" t="s">
        <v>16</v>
      </c>
      <c r="G473" s="6">
        <v>20324645</v>
      </c>
      <c r="H473" s="6" t="s">
        <v>318</v>
      </c>
      <c r="I473" s="6">
        <v>4</v>
      </c>
      <c r="J473" s="33" t="s">
        <v>263</v>
      </c>
      <c r="K473" s="20">
        <v>1</v>
      </c>
      <c r="L473" s="21">
        <v>22.4</v>
      </c>
      <c r="M473" s="21">
        <v>22.4</v>
      </c>
      <c r="N473" s="21">
        <v>89.6</v>
      </c>
    </row>
    <row r="474" spans="4:14">
      <c r="D474" s="18">
        <v>46197</v>
      </c>
      <c r="E474" s="6">
        <v>1614612</v>
      </c>
      <c r="F474" s="6" t="s">
        <v>16</v>
      </c>
      <c r="G474" s="6">
        <v>20324723</v>
      </c>
      <c r="H474" s="6" t="s">
        <v>275</v>
      </c>
      <c r="I474" s="6">
        <v>2</v>
      </c>
      <c r="J474" s="33" t="s">
        <v>263</v>
      </c>
      <c r="K474" s="20">
        <v>1</v>
      </c>
      <c r="L474" s="21">
        <v>22.4</v>
      </c>
      <c r="M474" s="21">
        <v>22.4</v>
      </c>
      <c r="N474" s="21">
        <v>44.8</v>
      </c>
    </row>
    <row r="475" spans="4:14">
      <c r="D475" s="18">
        <v>46197</v>
      </c>
      <c r="E475" s="6">
        <v>1614612</v>
      </c>
      <c r="F475" s="6" t="s">
        <v>16</v>
      </c>
      <c r="G475" s="6">
        <v>20324636</v>
      </c>
      <c r="H475" s="6" t="s">
        <v>320</v>
      </c>
      <c r="I475" s="6">
        <v>4</v>
      </c>
      <c r="J475" s="33" t="s">
        <v>183</v>
      </c>
      <c r="K475" s="20">
        <v>1</v>
      </c>
      <c r="L475" s="21">
        <v>28</v>
      </c>
      <c r="M475" s="21">
        <v>28</v>
      </c>
      <c r="N475" s="21">
        <v>112</v>
      </c>
    </row>
    <row r="476" spans="4:14">
      <c r="D476" s="18">
        <v>46197</v>
      </c>
      <c r="E476" s="6">
        <v>1614612</v>
      </c>
      <c r="F476" s="6" t="s">
        <v>16</v>
      </c>
      <c r="G476" s="6">
        <v>20324642</v>
      </c>
      <c r="H476" s="6" t="s">
        <v>321</v>
      </c>
      <c r="I476" s="6">
        <v>1</v>
      </c>
      <c r="J476" s="32" t="s">
        <v>58</v>
      </c>
      <c r="K476" s="20">
        <v>1</v>
      </c>
      <c r="L476" s="21">
        <v>17.6</v>
      </c>
      <c r="M476" s="21">
        <v>17.6</v>
      </c>
      <c r="N476" s="21">
        <v>17.6</v>
      </c>
    </row>
    <row r="477" spans="4:14">
      <c r="D477" s="18">
        <v>46197</v>
      </c>
      <c r="E477" s="6">
        <v>1614612</v>
      </c>
      <c r="F477" s="6" t="s">
        <v>16</v>
      </c>
      <c r="G477" s="6">
        <v>20324732</v>
      </c>
      <c r="H477" s="6" t="s">
        <v>322</v>
      </c>
      <c r="I477" s="6">
        <v>4</v>
      </c>
      <c r="J477" s="33" t="s">
        <v>263</v>
      </c>
      <c r="K477" s="20">
        <v>1</v>
      </c>
      <c r="L477" s="21">
        <v>22.4</v>
      </c>
      <c r="M477" s="21">
        <v>22.4</v>
      </c>
      <c r="N477" s="21">
        <v>89.6</v>
      </c>
    </row>
    <row r="478" spans="4:14">
      <c r="D478" s="18">
        <v>46197</v>
      </c>
      <c r="E478" s="6">
        <v>1614612</v>
      </c>
      <c r="F478" s="6" t="s">
        <v>16</v>
      </c>
      <c r="G478" s="6">
        <v>20324644</v>
      </c>
      <c r="H478" s="6" t="s">
        <v>292</v>
      </c>
      <c r="I478" s="6">
        <v>4</v>
      </c>
      <c r="J478" s="33" t="s">
        <v>263</v>
      </c>
      <c r="K478" s="20">
        <v>1</v>
      </c>
      <c r="L478" s="21">
        <v>22.4</v>
      </c>
      <c r="M478" s="21">
        <v>22.4</v>
      </c>
      <c r="N478" s="21">
        <v>89.6</v>
      </c>
    </row>
    <row r="479" spans="4:14">
      <c r="D479" s="18">
        <v>46197</v>
      </c>
      <c r="E479" s="6">
        <v>1614612</v>
      </c>
      <c r="F479" s="6" t="s">
        <v>16</v>
      </c>
      <c r="G479" s="6">
        <v>20324814</v>
      </c>
      <c r="H479" s="6" t="s">
        <v>293</v>
      </c>
      <c r="I479" s="6">
        <v>4</v>
      </c>
      <c r="J479" s="33" t="s">
        <v>263</v>
      </c>
      <c r="K479" s="20">
        <v>1</v>
      </c>
      <c r="L479" s="21">
        <v>22.4</v>
      </c>
      <c r="M479" s="21">
        <v>22.4</v>
      </c>
      <c r="N479" s="21">
        <v>89.6</v>
      </c>
    </row>
    <row r="480" spans="4:14">
      <c r="D480" s="18">
        <v>46197</v>
      </c>
      <c r="E480" s="6">
        <v>1614612</v>
      </c>
      <c r="F480" s="6" t="s">
        <v>16</v>
      </c>
      <c r="G480" s="6">
        <v>20324646</v>
      </c>
      <c r="H480" s="6" t="s">
        <v>326</v>
      </c>
      <c r="I480" s="6">
        <v>3</v>
      </c>
      <c r="J480" s="32" t="s">
        <v>290</v>
      </c>
      <c r="K480" s="20">
        <v>1</v>
      </c>
      <c r="L480" s="21">
        <v>20</v>
      </c>
      <c r="M480" s="21">
        <v>20</v>
      </c>
      <c r="N480" s="21">
        <v>60</v>
      </c>
    </row>
    <row r="481" spans="4:14">
      <c r="D481" s="89">
        <v>46197</v>
      </c>
      <c r="E481" s="90">
        <v>1614612</v>
      </c>
      <c r="F481" s="90" t="s">
        <v>34</v>
      </c>
      <c r="G481" s="90">
        <v>20324638</v>
      </c>
      <c r="H481" s="90" t="s">
        <v>327</v>
      </c>
      <c r="I481" s="90">
        <v>2</v>
      </c>
      <c r="J481" s="33" t="s">
        <v>328</v>
      </c>
      <c r="K481" s="20" t="s">
        <v>329</v>
      </c>
      <c r="L481" s="21">
        <v>22.4</v>
      </c>
      <c r="M481" s="21">
        <f>L481+L482</f>
        <v>30.4</v>
      </c>
      <c r="N481" s="93">
        <f>M481*I481</f>
        <v>60.8</v>
      </c>
    </row>
    <row r="482" spans="4:14">
      <c r="D482" s="91"/>
      <c r="E482" s="92"/>
      <c r="F482" s="92"/>
      <c r="G482" s="92"/>
      <c r="H482" s="92"/>
      <c r="I482" s="92"/>
      <c r="J482" s="6" t="s">
        <v>330</v>
      </c>
      <c r="K482" s="20" t="s">
        <v>329</v>
      </c>
      <c r="L482" s="21">
        <v>8</v>
      </c>
      <c r="M482" s="21"/>
      <c r="N482" s="36"/>
    </row>
    <row r="483" spans="4:14">
      <c r="D483" s="18">
        <v>46197</v>
      </c>
      <c r="E483" s="6">
        <v>1614928</v>
      </c>
      <c r="F483" s="6" t="s">
        <v>26</v>
      </c>
      <c r="G483" s="6">
        <v>20324039</v>
      </c>
      <c r="H483" s="6" t="s">
        <v>384</v>
      </c>
      <c r="I483" s="6">
        <v>1</v>
      </c>
      <c r="J483" s="32" t="s">
        <v>28</v>
      </c>
      <c r="K483" s="20">
        <f t="shared" ref="K483:K486" si="30">M483/L483</f>
        <v>21</v>
      </c>
      <c r="L483" s="21">
        <v>4.4</v>
      </c>
      <c r="M483" s="21">
        <v>92.4</v>
      </c>
      <c r="N483" s="21">
        <v>92.4</v>
      </c>
    </row>
    <row r="484" spans="4:14">
      <c r="D484" s="18">
        <v>46197</v>
      </c>
      <c r="E484" s="6">
        <v>1614928</v>
      </c>
      <c r="F484" s="6" t="s">
        <v>26</v>
      </c>
      <c r="G484" s="6">
        <v>20324028</v>
      </c>
      <c r="H484" s="6" t="s">
        <v>307</v>
      </c>
      <c r="I484" s="6">
        <v>1</v>
      </c>
      <c r="J484" s="32" t="s">
        <v>28</v>
      </c>
      <c r="K484" s="20">
        <f t="shared" si="30"/>
        <v>42</v>
      </c>
      <c r="L484" s="21">
        <v>4.4</v>
      </c>
      <c r="M484" s="21">
        <v>184.8</v>
      </c>
      <c r="N484" s="21">
        <v>184.8</v>
      </c>
    </row>
    <row r="485" spans="4:14">
      <c r="D485" s="18">
        <v>46197</v>
      </c>
      <c r="E485" s="6">
        <v>1614928</v>
      </c>
      <c r="F485" s="6" t="s">
        <v>26</v>
      </c>
      <c r="G485" s="6">
        <v>20324049</v>
      </c>
      <c r="H485" s="6" t="s">
        <v>388</v>
      </c>
      <c r="I485" s="6">
        <v>3</v>
      </c>
      <c r="J485" s="32" t="s">
        <v>28</v>
      </c>
      <c r="K485" s="20">
        <f t="shared" si="30"/>
        <v>25</v>
      </c>
      <c r="L485" s="21">
        <v>4.4</v>
      </c>
      <c r="M485" s="21">
        <v>110</v>
      </c>
      <c r="N485" s="21">
        <v>330</v>
      </c>
    </row>
    <row r="486" spans="4:14">
      <c r="D486" s="18">
        <v>46197</v>
      </c>
      <c r="E486" s="6">
        <v>1614928</v>
      </c>
      <c r="F486" s="6" t="s">
        <v>26</v>
      </c>
      <c r="G486" s="6">
        <v>20324045</v>
      </c>
      <c r="H486" s="6" t="s">
        <v>266</v>
      </c>
      <c r="I486" s="6">
        <v>2</v>
      </c>
      <c r="J486" s="32" t="s">
        <v>28</v>
      </c>
      <c r="K486" s="20">
        <f t="shared" si="30"/>
        <v>19</v>
      </c>
      <c r="L486" s="21">
        <v>4.4</v>
      </c>
      <c r="M486" s="21">
        <v>83.6</v>
      </c>
      <c r="N486" s="21">
        <v>167.2</v>
      </c>
    </row>
    <row r="487" spans="4:14">
      <c r="D487" s="18">
        <v>46197</v>
      </c>
      <c r="E487" s="6">
        <v>1614928</v>
      </c>
      <c r="F487" s="6" t="s">
        <v>34</v>
      </c>
      <c r="G487" s="6">
        <v>20363595</v>
      </c>
      <c r="H487" s="6" t="s">
        <v>377</v>
      </c>
      <c r="I487" s="6">
        <v>1</v>
      </c>
      <c r="J487" s="32" t="s">
        <v>28</v>
      </c>
      <c r="K487" s="20">
        <f t="shared" ref="K487:K489" si="31">M487/L487</f>
        <v>3</v>
      </c>
      <c r="L487" s="21">
        <v>4.4</v>
      </c>
      <c r="M487" s="21">
        <v>13.2</v>
      </c>
      <c r="N487" s="21">
        <v>13.2</v>
      </c>
    </row>
    <row r="488" spans="4:14">
      <c r="D488" s="18">
        <v>46197</v>
      </c>
      <c r="E488" s="6">
        <v>1614928</v>
      </c>
      <c r="F488" s="6" t="s">
        <v>16</v>
      </c>
      <c r="G488" s="6">
        <v>20326197</v>
      </c>
      <c r="H488" s="6" t="s">
        <v>333</v>
      </c>
      <c r="I488" s="6">
        <v>2</v>
      </c>
      <c r="J488" s="6" t="s">
        <v>124</v>
      </c>
      <c r="K488" s="20">
        <f t="shared" si="31"/>
        <v>3</v>
      </c>
      <c r="L488" s="21">
        <v>4.4</v>
      </c>
      <c r="M488" s="21">
        <v>13.2</v>
      </c>
      <c r="N488" s="21">
        <v>26.4</v>
      </c>
    </row>
    <row r="489" spans="4:14">
      <c r="D489" s="18">
        <v>46197</v>
      </c>
      <c r="E489" s="6">
        <v>1614928</v>
      </c>
      <c r="F489" s="6" t="s">
        <v>16</v>
      </c>
      <c r="G489" s="6">
        <v>20358566</v>
      </c>
      <c r="H489" s="6" t="s">
        <v>334</v>
      </c>
      <c r="I489" s="6">
        <v>2</v>
      </c>
      <c r="J489" s="32" t="s">
        <v>28</v>
      </c>
      <c r="K489" s="20">
        <f t="shared" si="31"/>
        <v>4</v>
      </c>
      <c r="L489" s="21">
        <v>4.4</v>
      </c>
      <c r="M489" s="21">
        <v>17.6</v>
      </c>
      <c r="N489" s="21">
        <v>35.2</v>
      </c>
    </row>
    <row r="490" spans="4:14">
      <c r="D490" s="18">
        <v>46197</v>
      </c>
      <c r="E490" s="6">
        <v>1614928</v>
      </c>
      <c r="F490" s="6" t="s">
        <v>16</v>
      </c>
      <c r="G490" s="6">
        <v>20324800</v>
      </c>
      <c r="H490" s="6" t="s">
        <v>310</v>
      </c>
      <c r="I490" s="6">
        <v>1</v>
      </c>
      <c r="J490" s="19" t="s">
        <v>18</v>
      </c>
      <c r="K490" s="20">
        <v>1</v>
      </c>
      <c r="L490" s="21">
        <v>6.4</v>
      </c>
      <c r="M490" s="21">
        <v>6.4</v>
      </c>
      <c r="N490" s="21">
        <v>6.4</v>
      </c>
    </row>
    <row r="491" spans="4:14">
      <c r="D491" s="18">
        <v>46197</v>
      </c>
      <c r="E491" s="6">
        <v>1614928</v>
      </c>
      <c r="F491" s="6" t="s">
        <v>16</v>
      </c>
      <c r="G491" s="6">
        <v>20358758</v>
      </c>
      <c r="H491" s="6" t="s">
        <v>335</v>
      </c>
      <c r="I491" s="6">
        <v>2</v>
      </c>
      <c r="J491" s="19" t="s">
        <v>18</v>
      </c>
      <c r="K491" s="20">
        <v>1</v>
      </c>
      <c r="L491" s="21">
        <v>6.4</v>
      </c>
      <c r="M491" s="21">
        <v>6.4</v>
      </c>
      <c r="N491" s="21">
        <v>12.8</v>
      </c>
    </row>
    <row r="492" spans="4:14">
      <c r="D492" s="18">
        <v>46197</v>
      </c>
      <c r="E492" s="6">
        <v>1614928</v>
      </c>
      <c r="F492" s="6" t="s">
        <v>26</v>
      </c>
      <c r="G492" s="6">
        <v>20325204</v>
      </c>
      <c r="H492" s="6" t="s">
        <v>336</v>
      </c>
      <c r="I492" s="6">
        <v>2</v>
      </c>
      <c r="J492" s="32" t="s">
        <v>28</v>
      </c>
      <c r="K492" s="20">
        <f t="shared" ref="K492:K494" si="32">M492/L492</f>
        <v>13</v>
      </c>
      <c r="L492" s="21">
        <v>4.4</v>
      </c>
      <c r="M492" s="21">
        <v>57.2</v>
      </c>
      <c r="N492" s="21">
        <v>114.4</v>
      </c>
    </row>
    <row r="493" spans="4:14">
      <c r="D493" s="18">
        <v>46197</v>
      </c>
      <c r="E493" s="6">
        <v>1614928</v>
      </c>
      <c r="F493" s="6" t="s">
        <v>16</v>
      </c>
      <c r="G493" s="6">
        <v>20325131</v>
      </c>
      <c r="H493" s="6" t="s">
        <v>337</v>
      </c>
      <c r="I493" s="6">
        <v>1</v>
      </c>
      <c r="J493" s="32" t="s">
        <v>28</v>
      </c>
      <c r="K493" s="20">
        <f t="shared" si="32"/>
        <v>8</v>
      </c>
      <c r="L493" s="21">
        <v>4.4</v>
      </c>
      <c r="M493" s="21">
        <v>35.2</v>
      </c>
      <c r="N493" s="21">
        <v>35.2</v>
      </c>
    </row>
    <row r="494" spans="4:14">
      <c r="D494" s="18">
        <v>46197</v>
      </c>
      <c r="E494" s="6">
        <v>1614928</v>
      </c>
      <c r="F494" s="6" t="s">
        <v>16</v>
      </c>
      <c r="G494" s="6">
        <v>20324699</v>
      </c>
      <c r="H494" s="6" t="s">
        <v>268</v>
      </c>
      <c r="I494" s="6">
        <v>4</v>
      </c>
      <c r="J494" s="32" t="s">
        <v>28</v>
      </c>
      <c r="K494" s="20">
        <f t="shared" si="32"/>
        <v>5</v>
      </c>
      <c r="L494" s="21">
        <v>4.4</v>
      </c>
      <c r="M494" s="21">
        <v>22</v>
      </c>
      <c r="N494" s="21">
        <v>88</v>
      </c>
    </row>
    <row r="495" spans="4:14">
      <c r="D495" s="18">
        <v>46198</v>
      </c>
      <c r="E495" s="6">
        <v>1615080</v>
      </c>
      <c r="F495" s="6" t="s">
        <v>16</v>
      </c>
      <c r="G495" s="6">
        <v>20326197</v>
      </c>
      <c r="H495" s="6" t="s">
        <v>333</v>
      </c>
      <c r="I495" s="6">
        <v>2</v>
      </c>
      <c r="J495" s="6" t="s">
        <v>124</v>
      </c>
      <c r="K495" s="20">
        <f t="shared" ref="K495:K508" si="33">M495/L495</f>
        <v>3</v>
      </c>
      <c r="L495" s="21">
        <v>4.4</v>
      </c>
      <c r="M495" s="21">
        <v>13.2</v>
      </c>
      <c r="N495" s="21">
        <v>26.4</v>
      </c>
    </row>
    <row r="496" spans="4:14">
      <c r="D496" s="18">
        <v>46198</v>
      </c>
      <c r="E496" s="6">
        <v>1615080</v>
      </c>
      <c r="F496" s="6" t="s">
        <v>16</v>
      </c>
      <c r="G496" s="6">
        <v>20358566</v>
      </c>
      <c r="H496" s="6" t="s">
        <v>334</v>
      </c>
      <c r="I496" s="6">
        <v>2</v>
      </c>
      <c r="J496" s="32" t="s">
        <v>28</v>
      </c>
      <c r="K496" s="20">
        <f t="shared" si="33"/>
        <v>4</v>
      </c>
      <c r="L496" s="21">
        <v>4.4</v>
      </c>
      <c r="M496" s="21">
        <v>17.6</v>
      </c>
      <c r="N496" s="21">
        <v>35.2</v>
      </c>
    </row>
    <row r="497" spans="4:14">
      <c r="D497" s="18">
        <v>46198</v>
      </c>
      <c r="E497" s="6">
        <v>1615080</v>
      </c>
      <c r="F497" s="6" t="s">
        <v>16</v>
      </c>
      <c r="G497" s="6">
        <v>20358758</v>
      </c>
      <c r="H497" s="6" t="s">
        <v>335</v>
      </c>
      <c r="I497" s="6">
        <v>2</v>
      </c>
      <c r="J497" s="19" t="s">
        <v>18</v>
      </c>
      <c r="K497" s="20">
        <v>1</v>
      </c>
      <c r="L497" s="21">
        <v>6.4</v>
      </c>
      <c r="M497" s="21">
        <v>6.4</v>
      </c>
      <c r="N497" s="21">
        <v>12.8</v>
      </c>
    </row>
    <row r="498" spans="4:14">
      <c r="D498" s="18">
        <v>46198</v>
      </c>
      <c r="E498" s="6">
        <v>1615080</v>
      </c>
      <c r="F498" s="6" t="s">
        <v>26</v>
      </c>
      <c r="G498" s="6">
        <v>20325204</v>
      </c>
      <c r="H498" s="6" t="s">
        <v>336</v>
      </c>
      <c r="I498" s="6">
        <v>2</v>
      </c>
      <c r="J498" s="32" t="s">
        <v>28</v>
      </c>
      <c r="K498" s="20">
        <f t="shared" si="33"/>
        <v>13</v>
      </c>
      <c r="L498" s="21">
        <v>4.4</v>
      </c>
      <c r="M498" s="21">
        <v>57.2</v>
      </c>
      <c r="N498" s="21">
        <v>114.4</v>
      </c>
    </row>
    <row r="499" spans="4:14">
      <c r="D499" s="18">
        <v>46198</v>
      </c>
      <c r="E499" s="6">
        <v>1615080</v>
      </c>
      <c r="F499" s="6" t="s">
        <v>16</v>
      </c>
      <c r="G499" s="6">
        <v>20325131</v>
      </c>
      <c r="H499" s="6" t="s">
        <v>337</v>
      </c>
      <c r="I499" s="6">
        <v>1</v>
      </c>
      <c r="J499" s="32" t="s">
        <v>28</v>
      </c>
      <c r="K499" s="20">
        <f t="shared" si="33"/>
        <v>8</v>
      </c>
      <c r="L499" s="21">
        <v>4.4</v>
      </c>
      <c r="M499" s="21">
        <v>35.2</v>
      </c>
      <c r="N499" s="21">
        <v>35.2</v>
      </c>
    </row>
    <row r="500" spans="4:14">
      <c r="D500" s="18">
        <v>46198</v>
      </c>
      <c r="E500" s="6">
        <v>1615301</v>
      </c>
      <c r="F500" s="6" t="s">
        <v>26</v>
      </c>
      <c r="G500" s="6">
        <v>20324463</v>
      </c>
      <c r="H500" s="6" t="s">
        <v>271</v>
      </c>
      <c r="I500" s="6">
        <v>2</v>
      </c>
      <c r="J500" s="32" t="s">
        <v>28</v>
      </c>
      <c r="K500" s="20">
        <f t="shared" si="33"/>
        <v>35</v>
      </c>
      <c r="L500" s="21">
        <v>4.4</v>
      </c>
      <c r="M500" s="21">
        <v>154</v>
      </c>
      <c r="N500" s="21">
        <v>308</v>
      </c>
    </row>
    <row r="501" spans="4:14">
      <c r="D501" s="18">
        <v>46198</v>
      </c>
      <c r="E501" s="6">
        <v>1615301</v>
      </c>
      <c r="F501" s="6" t="s">
        <v>26</v>
      </c>
      <c r="G501" s="6">
        <v>20324028</v>
      </c>
      <c r="H501" s="6" t="s">
        <v>307</v>
      </c>
      <c r="I501" s="6">
        <v>2</v>
      </c>
      <c r="J501" s="32" t="s">
        <v>28</v>
      </c>
      <c r="K501" s="20">
        <f t="shared" si="33"/>
        <v>42</v>
      </c>
      <c r="L501" s="21">
        <v>4.4</v>
      </c>
      <c r="M501" s="21">
        <v>184.8</v>
      </c>
      <c r="N501" s="21">
        <v>369.6</v>
      </c>
    </row>
    <row r="502" spans="4:14">
      <c r="D502" s="18">
        <v>46198</v>
      </c>
      <c r="E502" s="6">
        <v>1615301</v>
      </c>
      <c r="F502" s="6" t="s">
        <v>26</v>
      </c>
      <c r="G502" s="6">
        <v>20405201</v>
      </c>
      <c r="H502" s="6" t="s">
        <v>332</v>
      </c>
      <c r="I502" s="6">
        <v>1</v>
      </c>
      <c r="J502" s="32" t="s">
        <v>28</v>
      </c>
      <c r="K502" s="20">
        <f t="shared" si="33"/>
        <v>19</v>
      </c>
      <c r="L502" s="21">
        <v>4.4</v>
      </c>
      <c r="M502" s="21">
        <v>83.6</v>
      </c>
      <c r="N502" s="21">
        <v>83.6</v>
      </c>
    </row>
    <row r="503" spans="4:14">
      <c r="D503" s="18">
        <v>46198</v>
      </c>
      <c r="E503" s="6">
        <v>1615301</v>
      </c>
      <c r="F503" s="6" t="s">
        <v>26</v>
      </c>
      <c r="G503" s="6">
        <v>20324049</v>
      </c>
      <c r="H503" s="6" t="s">
        <v>388</v>
      </c>
      <c r="I503" s="6">
        <v>1</v>
      </c>
      <c r="J503" s="32" t="s">
        <v>28</v>
      </c>
      <c r="K503" s="20">
        <f t="shared" si="33"/>
        <v>25</v>
      </c>
      <c r="L503" s="21">
        <v>4.4</v>
      </c>
      <c r="M503" s="21">
        <v>110</v>
      </c>
      <c r="N503" s="21">
        <v>110</v>
      </c>
    </row>
    <row r="504" spans="4:14">
      <c r="D504" s="18">
        <v>46198</v>
      </c>
      <c r="E504" s="6">
        <v>1615301</v>
      </c>
      <c r="F504" s="6" t="s">
        <v>26</v>
      </c>
      <c r="G504" s="6">
        <v>20324046</v>
      </c>
      <c r="H504" s="6" t="s">
        <v>176</v>
      </c>
      <c r="I504" s="6">
        <v>1</v>
      </c>
      <c r="J504" s="32" t="s">
        <v>28</v>
      </c>
      <c r="K504" s="20">
        <f t="shared" si="33"/>
        <v>49</v>
      </c>
      <c r="L504" s="21">
        <v>4.4</v>
      </c>
      <c r="M504" s="21">
        <v>215.6</v>
      </c>
      <c r="N504" s="21">
        <v>215.6</v>
      </c>
    </row>
    <row r="505" spans="4:14">
      <c r="D505" s="18">
        <v>46198</v>
      </c>
      <c r="E505" s="6">
        <v>1615301</v>
      </c>
      <c r="F505" s="6" t="s">
        <v>26</v>
      </c>
      <c r="G505" s="6">
        <v>20324045</v>
      </c>
      <c r="H505" s="6" t="s">
        <v>266</v>
      </c>
      <c r="I505" s="6">
        <v>2</v>
      </c>
      <c r="J505" s="32" t="s">
        <v>28</v>
      </c>
      <c r="K505" s="20">
        <f t="shared" si="33"/>
        <v>19</v>
      </c>
      <c r="L505" s="21">
        <v>4.4</v>
      </c>
      <c r="M505" s="21">
        <v>83.6</v>
      </c>
      <c r="N505" s="21">
        <v>167.2</v>
      </c>
    </row>
    <row r="506" spans="4:14">
      <c r="D506" s="18">
        <v>46198</v>
      </c>
      <c r="E506" s="6">
        <v>1615301</v>
      </c>
      <c r="F506" s="6" t="s">
        <v>34</v>
      </c>
      <c r="G506" s="6">
        <v>20384646</v>
      </c>
      <c r="H506" s="6" t="s">
        <v>309</v>
      </c>
      <c r="I506" s="6">
        <v>2</v>
      </c>
      <c r="J506" s="32" t="s">
        <v>28</v>
      </c>
      <c r="K506" s="20">
        <f t="shared" si="33"/>
        <v>5</v>
      </c>
      <c r="L506" s="21">
        <v>4.4</v>
      </c>
      <c r="M506" s="21">
        <v>22</v>
      </c>
      <c r="N506" s="21">
        <v>44</v>
      </c>
    </row>
    <row r="507" spans="4:14">
      <c r="D507" s="18">
        <v>46198</v>
      </c>
      <c r="E507" s="6">
        <v>1615301</v>
      </c>
      <c r="F507" s="6" t="s">
        <v>16</v>
      </c>
      <c r="G507" s="6">
        <v>20326197</v>
      </c>
      <c r="H507" s="6" t="s">
        <v>333</v>
      </c>
      <c r="I507" s="6">
        <v>1</v>
      </c>
      <c r="J507" s="6" t="s">
        <v>124</v>
      </c>
      <c r="K507" s="20">
        <f t="shared" si="33"/>
        <v>3</v>
      </c>
      <c r="L507" s="21">
        <v>4.4</v>
      </c>
      <c r="M507" s="21">
        <v>13.2</v>
      </c>
      <c r="N507" s="21">
        <v>13.2</v>
      </c>
    </row>
    <row r="508" spans="4:14">
      <c r="D508" s="18">
        <v>46198</v>
      </c>
      <c r="E508" s="6">
        <v>1615301</v>
      </c>
      <c r="F508" s="6" t="s">
        <v>16</v>
      </c>
      <c r="G508" s="6">
        <v>20358566</v>
      </c>
      <c r="H508" s="6" t="s">
        <v>334</v>
      </c>
      <c r="I508" s="6">
        <v>1</v>
      </c>
      <c r="J508" s="32" t="s">
        <v>28</v>
      </c>
      <c r="K508" s="20">
        <f t="shared" si="33"/>
        <v>4</v>
      </c>
      <c r="L508" s="21">
        <v>4.4</v>
      </c>
      <c r="M508" s="21">
        <v>17.6</v>
      </c>
      <c r="N508" s="21">
        <v>17.6</v>
      </c>
    </row>
    <row r="509" spans="4:14">
      <c r="D509" s="18">
        <v>46198</v>
      </c>
      <c r="E509" s="6">
        <v>1615301</v>
      </c>
      <c r="F509" s="6" t="s">
        <v>16</v>
      </c>
      <c r="G509" s="6">
        <v>20324800</v>
      </c>
      <c r="H509" s="6" t="s">
        <v>310</v>
      </c>
      <c r="I509" s="6">
        <v>1</v>
      </c>
      <c r="J509" s="19" t="s">
        <v>18</v>
      </c>
      <c r="K509" s="20">
        <v>1</v>
      </c>
      <c r="L509" s="21">
        <v>6.4</v>
      </c>
      <c r="M509" s="21">
        <v>6.4</v>
      </c>
      <c r="N509" s="21">
        <v>6.4</v>
      </c>
    </row>
    <row r="510" spans="4:14">
      <c r="D510" s="18">
        <v>46198</v>
      </c>
      <c r="E510" s="6">
        <v>1615301</v>
      </c>
      <c r="F510" s="6" t="s">
        <v>16</v>
      </c>
      <c r="G510" s="6">
        <v>20358758</v>
      </c>
      <c r="H510" s="6" t="s">
        <v>335</v>
      </c>
      <c r="I510" s="6">
        <v>1</v>
      </c>
      <c r="J510" s="19" t="s">
        <v>18</v>
      </c>
      <c r="K510" s="20">
        <v>1</v>
      </c>
      <c r="L510" s="21">
        <v>6.4</v>
      </c>
      <c r="M510" s="21">
        <v>6.4</v>
      </c>
      <c r="N510" s="21">
        <v>6.4</v>
      </c>
    </row>
    <row r="511" spans="4:14">
      <c r="D511" s="18">
        <v>46198</v>
      </c>
      <c r="E511" s="6">
        <v>1615301</v>
      </c>
      <c r="F511" s="6" t="s">
        <v>240</v>
      </c>
      <c r="G511" s="6">
        <v>20352875</v>
      </c>
      <c r="H511" s="6" t="s">
        <v>352</v>
      </c>
      <c r="I511" s="6">
        <v>2</v>
      </c>
      <c r="J511" s="32" t="s">
        <v>242</v>
      </c>
      <c r="K511" s="20">
        <v>1</v>
      </c>
      <c r="L511" s="21">
        <v>28</v>
      </c>
      <c r="M511" s="21">
        <v>28</v>
      </c>
      <c r="N511" s="21">
        <v>56</v>
      </c>
    </row>
    <row r="512" spans="4:14">
      <c r="D512" s="18">
        <v>46198</v>
      </c>
      <c r="E512" s="6">
        <v>1615301</v>
      </c>
      <c r="F512" s="6" t="s">
        <v>240</v>
      </c>
      <c r="G512" s="6">
        <v>20424838</v>
      </c>
      <c r="H512" s="6" t="s">
        <v>258</v>
      </c>
      <c r="I512" s="6">
        <v>1</v>
      </c>
      <c r="J512" s="32" t="s">
        <v>242</v>
      </c>
      <c r="K512" s="20">
        <v>1</v>
      </c>
      <c r="L512" s="21">
        <v>28</v>
      </c>
      <c r="M512" s="21">
        <v>28</v>
      </c>
      <c r="N512" s="21">
        <v>28</v>
      </c>
    </row>
    <row r="513" spans="4:14">
      <c r="D513" s="18">
        <v>46198</v>
      </c>
      <c r="E513" s="6">
        <v>1615301</v>
      </c>
      <c r="F513" s="6" t="s">
        <v>240</v>
      </c>
      <c r="G513" s="6">
        <v>20418592</v>
      </c>
      <c r="H513" s="6" t="s">
        <v>251</v>
      </c>
      <c r="I513" s="6">
        <v>4</v>
      </c>
      <c r="J513" s="32" t="s">
        <v>242</v>
      </c>
      <c r="K513" s="20">
        <v>1</v>
      </c>
      <c r="L513" s="21">
        <v>28</v>
      </c>
      <c r="M513" s="21">
        <v>28</v>
      </c>
      <c r="N513" s="21">
        <v>112</v>
      </c>
    </row>
    <row r="514" spans="4:14">
      <c r="D514" s="18">
        <v>46198</v>
      </c>
      <c r="E514" s="6">
        <v>1615301</v>
      </c>
      <c r="F514" s="6" t="s">
        <v>26</v>
      </c>
      <c r="G514" s="6">
        <v>20325204</v>
      </c>
      <c r="H514" s="6" t="s">
        <v>336</v>
      </c>
      <c r="I514" s="6">
        <v>1</v>
      </c>
      <c r="J514" s="32" t="s">
        <v>28</v>
      </c>
      <c r="K514" s="20">
        <f t="shared" ref="K514:K518" si="34">M514/L514</f>
        <v>13</v>
      </c>
      <c r="L514" s="21">
        <v>4.4</v>
      </c>
      <c r="M514" s="21">
        <v>57.2</v>
      </c>
      <c r="N514" s="21">
        <v>57.2</v>
      </c>
    </row>
    <row r="515" spans="4:14">
      <c r="D515" s="18">
        <v>46198</v>
      </c>
      <c r="E515" s="6">
        <v>1615301</v>
      </c>
      <c r="F515" s="6" t="s">
        <v>16</v>
      </c>
      <c r="G515" s="6">
        <v>20325131</v>
      </c>
      <c r="H515" s="6" t="s">
        <v>337</v>
      </c>
      <c r="I515" s="6">
        <v>1</v>
      </c>
      <c r="J515" s="32" t="s">
        <v>28</v>
      </c>
      <c r="K515" s="20">
        <f t="shared" si="34"/>
        <v>8</v>
      </c>
      <c r="L515" s="21">
        <v>4.4</v>
      </c>
      <c r="M515" s="21">
        <v>35.2</v>
      </c>
      <c r="N515" s="21">
        <v>35.2</v>
      </c>
    </row>
    <row r="516" spans="4:14">
      <c r="D516" s="18">
        <v>46198</v>
      </c>
      <c r="E516" s="6">
        <v>1615301</v>
      </c>
      <c r="F516" s="6" t="s">
        <v>16</v>
      </c>
      <c r="G516" s="6">
        <v>20329152</v>
      </c>
      <c r="H516" s="6" t="s">
        <v>311</v>
      </c>
      <c r="I516" s="6">
        <v>2</v>
      </c>
      <c r="J516" s="32" t="s">
        <v>28</v>
      </c>
      <c r="K516" s="20">
        <f t="shared" si="34"/>
        <v>11</v>
      </c>
      <c r="L516" s="21">
        <v>4.4</v>
      </c>
      <c r="M516" s="21">
        <v>48.4</v>
      </c>
      <c r="N516" s="21">
        <v>96.8</v>
      </c>
    </row>
    <row r="517" spans="4:14">
      <c r="D517" s="18">
        <v>46198</v>
      </c>
      <c r="E517" s="6">
        <v>1615301</v>
      </c>
      <c r="F517" s="6" t="s">
        <v>16</v>
      </c>
      <c r="G517" s="6">
        <v>20324711</v>
      </c>
      <c r="H517" s="6" t="s">
        <v>349</v>
      </c>
      <c r="I517" s="6">
        <v>1</v>
      </c>
      <c r="J517" s="32" t="s">
        <v>28</v>
      </c>
      <c r="K517" s="20">
        <f t="shared" si="34"/>
        <v>14</v>
      </c>
      <c r="L517" s="21">
        <v>4.4</v>
      </c>
      <c r="M517" s="21">
        <v>61.6</v>
      </c>
      <c r="N517" s="21">
        <v>61.6</v>
      </c>
    </row>
    <row r="518" spans="4:14">
      <c r="D518" s="18">
        <v>46198</v>
      </c>
      <c r="E518" s="6">
        <v>1615301</v>
      </c>
      <c r="F518" s="6" t="s">
        <v>16</v>
      </c>
      <c r="G518" s="6">
        <v>20324699</v>
      </c>
      <c r="H518" s="6" t="s">
        <v>268</v>
      </c>
      <c r="I518" s="6">
        <v>9</v>
      </c>
      <c r="J518" s="32" t="s">
        <v>28</v>
      </c>
      <c r="K518" s="20">
        <f t="shared" si="34"/>
        <v>5</v>
      </c>
      <c r="L518" s="21">
        <v>4.4</v>
      </c>
      <c r="M518" s="21">
        <v>22</v>
      </c>
      <c r="N518" s="21">
        <v>198</v>
      </c>
    </row>
    <row r="519" spans="4:14">
      <c r="D519" s="18">
        <v>46198</v>
      </c>
      <c r="E519" s="6">
        <v>1615301</v>
      </c>
      <c r="F519" s="6" t="s">
        <v>51</v>
      </c>
      <c r="G519" s="6">
        <v>20354932</v>
      </c>
      <c r="H519" s="6" t="s">
        <v>210</v>
      </c>
      <c r="I519" s="6">
        <v>10</v>
      </c>
      <c r="J519" s="33" t="s">
        <v>86</v>
      </c>
      <c r="K519" s="20">
        <v>1</v>
      </c>
      <c r="L519" s="21">
        <v>3.2</v>
      </c>
      <c r="M519" s="21">
        <v>3.2</v>
      </c>
      <c r="N519" s="21">
        <v>32</v>
      </c>
    </row>
    <row r="520" spans="4:14">
      <c r="D520" s="18">
        <v>46199</v>
      </c>
      <c r="E520" s="6">
        <v>1615360</v>
      </c>
      <c r="F520" s="6" t="s">
        <v>16</v>
      </c>
      <c r="G520" s="6">
        <v>20430378</v>
      </c>
      <c r="H520" s="6" t="s">
        <v>410</v>
      </c>
      <c r="I520" s="6">
        <v>2</v>
      </c>
      <c r="J520" s="32" t="s">
        <v>58</v>
      </c>
      <c r="K520" s="20">
        <v>1</v>
      </c>
      <c r="L520" s="21">
        <v>17.6</v>
      </c>
      <c r="M520" s="21">
        <v>17.6</v>
      </c>
      <c r="N520" s="21">
        <f>M520*I520</f>
        <v>35.2</v>
      </c>
    </row>
    <row r="521" spans="4:14">
      <c r="D521" s="18">
        <v>46199</v>
      </c>
      <c r="E521" s="6">
        <v>1615360</v>
      </c>
      <c r="F521" s="6" t="s">
        <v>16</v>
      </c>
      <c r="G521" s="6">
        <v>20324637</v>
      </c>
      <c r="H521" s="6" t="s">
        <v>284</v>
      </c>
      <c r="I521" s="6">
        <v>2</v>
      </c>
      <c r="J521" s="33" t="s">
        <v>183</v>
      </c>
      <c r="K521" s="20">
        <v>1</v>
      </c>
      <c r="L521" s="21">
        <v>28</v>
      </c>
      <c r="M521" s="21">
        <v>28</v>
      </c>
      <c r="N521" s="21">
        <v>56</v>
      </c>
    </row>
    <row r="522" spans="4:14">
      <c r="D522" s="18">
        <v>46199</v>
      </c>
      <c r="E522" s="6">
        <v>1615360</v>
      </c>
      <c r="F522" s="6" t="s">
        <v>16</v>
      </c>
      <c r="G522" s="6">
        <v>20330449</v>
      </c>
      <c r="H522" s="6" t="s">
        <v>351</v>
      </c>
      <c r="I522" s="6">
        <v>1</v>
      </c>
      <c r="J522" s="33" t="s">
        <v>263</v>
      </c>
      <c r="K522" s="20">
        <v>1</v>
      </c>
      <c r="L522" s="21">
        <v>22.4</v>
      </c>
      <c r="M522" s="21">
        <v>22.4</v>
      </c>
      <c r="N522" s="21">
        <v>22.4</v>
      </c>
    </row>
    <row r="523" spans="4:14">
      <c r="D523" s="18">
        <v>46199</v>
      </c>
      <c r="E523" s="6">
        <v>1615360</v>
      </c>
      <c r="F523" s="6" t="s">
        <v>16</v>
      </c>
      <c r="G523" s="6">
        <v>20382023</v>
      </c>
      <c r="H523" s="6" t="s">
        <v>355</v>
      </c>
      <c r="I523" s="6">
        <v>1</v>
      </c>
      <c r="J523" s="32" t="s">
        <v>58</v>
      </c>
      <c r="K523" s="20">
        <v>1</v>
      </c>
      <c r="L523" s="21">
        <v>17.6</v>
      </c>
      <c r="M523" s="21">
        <v>17.6</v>
      </c>
      <c r="N523" s="21">
        <v>17.6</v>
      </c>
    </row>
    <row r="524" spans="4:14">
      <c r="D524" s="18">
        <v>46199</v>
      </c>
      <c r="E524" s="6">
        <v>1615360</v>
      </c>
      <c r="F524" s="6" t="s">
        <v>16</v>
      </c>
      <c r="G524" s="6">
        <v>20329253</v>
      </c>
      <c r="H524" s="6" t="s">
        <v>316</v>
      </c>
      <c r="I524" s="6">
        <v>1</v>
      </c>
      <c r="J524" s="32" t="s">
        <v>58</v>
      </c>
      <c r="K524" s="20">
        <v>1</v>
      </c>
      <c r="L524" s="21">
        <v>17.6</v>
      </c>
      <c r="M524" s="21">
        <v>17.6</v>
      </c>
      <c r="N524" s="21">
        <v>17.6</v>
      </c>
    </row>
    <row r="525" spans="4:14">
      <c r="D525" s="18">
        <v>46199</v>
      </c>
      <c r="E525" s="6">
        <v>1615360</v>
      </c>
      <c r="F525" s="6" t="s">
        <v>16</v>
      </c>
      <c r="G525" s="6">
        <v>20324822</v>
      </c>
      <c r="H525" s="6" t="s">
        <v>317</v>
      </c>
      <c r="I525" s="6">
        <v>2</v>
      </c>
      <c r="J525" s="33" t="s">
        <v>183</v>
      </c>
      <c r="K525" s="20">
        <v>1</v>
      </c>
      <c r="L525" s="21">
        <v>28</v>
      </c>
      <c r="M525" s="21">
        <v>28</v>
      </c>
      <c r="N525" s="21">
        <v>56</v>
      </c>
    </row>
    <row r="526" spans="4:14">
      <c r="D526" s="18">
        <v>46199</v>
      </c>
      <c r="E526" s="6">
        <v>1615360</v>
      </c>
      <c r="F526" s="6" t="s">
        <v>16</v>
      </c>
      <c r="G526" s="6">
        <v>20325443</v>
      </c>
      <c r="H526" s="6" t="s">
        <v>338</v>
      </c>
      <c r="I526" s="6">
        <v>1</v>
      </c>
      <c r="J526" s="33" t="s">
        <v>183</v>
      </c>
      <c r="K526" s="20">
        <v>1</v>
      </c>
      <c r="L526" s="21">
        <v>28</v>
      </c>
      <c r="M526" s="21">
        <v>28</v>
      </c>
      <c r="N526" s="21">
        <v>28</v>
      </c>
    </row>
    <row r="527" spans="4:14">
      <c r="D527" s="18">
        <v>46199</v>
      </c>
      <c r="E527" s="6">
        <v>1615360</v>
      </c>
      <c r="F527" s="6" t="s">
        <v>16</v>
      </c>
      <c r="G527" s="6">
        <v>20324645</v>
      </c>
      <c r="H527" s="6" t="s">
        <v>318</v>
      </c>
      <c r="I527" s="6">
        <v>2</v>
      </c>
      <c r="J527" s="33" t="s">
        <v>263</v>
      </c>
      <c r="K527" s="20">
        <v>1</v>
      </c>
      <c r="L527" s="21">
        <v>22.4</v>
      </c>
      <c r="M527" s="21">
        <v>22.4</v>
      </c>
      <c r="N527" s="21">
        <v>44.8</v>
      </c>
    </row>
    <row r="528" spans="4:14">
      <c r="D528" s="18">
        <v>46199</v>
      </c>
      <c r="E528" s="6">
        <v>1615360</v>
      </c>
      <c r="F528" s="6" t="s">
        <v>16</v>
      </c>
      <c r="G528" s="6">
        <v>20329652</v>
      </c>
      <c r="H528" s="6" t="s">
        <v>357</v>
      </c>
      <c r="I528" s="6">
        <v>1</v>
      </c>
      <c r="J528" s="33" t="s">
        <v>263</v>
      </c>
      <c r="K528" s="20">
        <v>1</v>
      </c>
      <c r="L528" s="21">
        <v>22.4</v>
      </c>
      <c r="M528" s="21">
        <v>22.4</v>
      </c>
      <c r="N528" s="21">
        <v>22.4</v>
      </c>
    </row>
    <row r="529" spans="4:14">
      <c r="D529" s="18">
        <v>46199</v>
      </c>
      <c r="E529" s="6">
        <v>1615360</v>
      </c>
      <c r="F529" s="6" t="s">
        <v>16</v>
      </c>
      <c r="G529" s="6">
        <v>20324636</v>
      </c>
      <c r="H529" s="6" t="s">
        <v>320</v>
      </c>
      <c r="I529" s="6">
        <v>2</v>
      </c>
      <c r="J529" s="33" t="s">
        <v>183</v>
      </c>
      <c r="K529" s="20">
        <v>1</v>
      </c>
      <c r="L529" s="21">
        <v>28</v>
      </c>
      <c r="M529" s="21">
        <v>28</v>
      </c>
      <c r="N529" s="21">
        <v>56</v>
      </c>
    </row>
    <row r="530" spans="4:14">
      <c r="D530" s="18">
        <v>46199</v>
      </c>
      <c r="E530" s="6">
        <v>1615360</v>
      </c>
      <c r="F530" s="6" t="s">
        <v>16</v>
      </c>
      <c r="G530" s="6">
        <v>20324642</v>
      </c>
      <c r="H530" s="6" t="s">
        <v>321</v>
      </c>
      <c r="I530" s="6">
        <v>1</v>
      </c>
      <c r="J530" s="32" t="s">
        <v>58</v>
      </c>
      <c r="K530" s="20">
        <v>1</v>
      </c>
      <c r="L530" s="21">
        <v>17.6</v>
      </c>
      <c r="M530" s="21">
        <v>17.6</v>
      </c>
      <c r="N530" s="21">
        <v>17.6</v>
      </c>
    </row>
    <row r="531" spans="4:14">
      <c r="D531" s="18">
        <v>46199</v>
      </c>
      <c r="E531" s="6">
        <v>1615360</v>
      </c>
      <c r="F531" s="6" t="s">
        <v>16</v>
      </c>
      <c r="G531" s="6">
        <v>20324732</v>
      </c>
      <c r="H531" s="6" t="s">
        <v>322</v>
      </c>
      <c r="I531" s="6">
        <v>1</v>
      </c>
      <c r="J531" s="33" t="s">
        <v>263</v>
      </c>
      <c r="K531" s="20">
        <v>1</v>
      </c>
      <c r="L531" s="21">
        <v>22.4</v>
      </c>
      <c r="M531" s="21">
        <v>22.4</v>
      </c>
      <c r="N531" s="21">
        <v>22.4</v>
      </c>
    </row>
    <row r="532" spans="4:14">
      <c r="D532" s="18">
        <v>46199</v>
      </c>
      <c r="E532" s="6">
        <v>1615360</v>
      </c>
      <c r="F532" s="6" t="s">
        <v>16</v>
      </c>
      <c r="G532" s="6">
        <v>20324644</v>
      </c>
      <c r="H532" s="6" t="s">
        <v>292</v>
      </c>
      <c r="I532" s="6">
        <v>2</v>
      </c>
      <c r="J532" s="33" t="s">
        <v>263</v>
      </c>
      <c r="K532" s="20">
        <v>1</v>
      </c>
      <c r="L532" s="21">
        <v>22.4</v>
      </c>
      <c r="M532" s="21">
        <v>22.4</v>
      </c>
      <c r="N532" s="21">
        <v>44.8</v>
      </c>
    </row>
    <row r="533" spans="4:14">
      <c r="D533" s="18">
        <v>46199</v>
      </c>
      <c r="E533" s="6">
        <v>1615360</v>
      </c>
      <c r="F533" s="6" t="s">
        <v>16</v>
      </c>
      <c r="G533" s="6">
        <v>20324814</v>
      </c>
      <c r="H533" s="6" t="s">
        <v>293</v>
      </c>
      <c r="I533" s="6">
        <v>2</v>
      </c>
      <c r="J533" s="33" t="s">
        <v>263</v>
      </c>
      <c r="K533" s="20">
        <v>1</v>
      </c>
      <c r="L533" s="21">
        <v>22.4</v>
      </c>
      <c r="M533" s="21">
        <v>22.4</v>
      </c>
      <c r="N533" s="21">
        <v>44.8</v>
      </c>
    </row>
    <row r="534" spans="4:14">
      <c r="D534" s="89">
        <v>46199</v>
      </c>
      <c r="E534" s="90">
        <v>1615360</v>
      </c>
      <c r="F534" s="90" t="s">
        <v>34</v>
      </c>
      <c r="G534" s="90">
        <v>20324638</v>
      </c>
      <c r="H534" s="90" t="s">
        <v>327</v>
      </c>
      <c r="I534" s="90">
        <v>2</v>
      </c>
      <c r="J534" s="33" t="s">
        <v>328</v>
      </c>
      <c r="K534" s="20" t="s">
        <v>329</v>
      </c>
      <c r="L534" s="21">
        <v>22.4</v>
      </c>
      <c r="M534" s="21">
        <f>L534+L535</f>
        <v>30.4</v>
      </c>
      <c r="N534" s="93">
        <f>M534*I534</f>
        <v>60.8</v>
      </c>
    </row>
    <row r="535" spans="4:14">
      <c r="D535" s="91"/>
      <c r="E535" s="92"/>
      <c r="F535" s="92"/>
      <c r="G535" s="92"/>
      <c r="H535" s="92"/>
      <c r="I535" s="92"/>
      <c r="J535" s="6" t="s">
        <v>330</v>
      </c>
      <c r="K535" s="20" t="s">
        <v>329</v>
      </c>
      <c r="L535" s="21">
        <v>8</v>
      </c>
      <c r="M535" s="21"/>
      <c r="N535" s="36"/>
    </row>
    <row r="536" spans="4:14">
      <c r="D536" s="18">
        <v>46199</v>
      </c>
      <c r="E536" s="6">
        <v>1615431</v>
      </c>
      <c r="F536" s="6" t="s">
        <v>358</v>
      </c>
      <c r="G536" s="6">
        <v>20328267</v>
      </c>
      <c r="H536" s="6" t="s">
        <v>359</v>
      </c>
      <c r="I536" s="6">
        <v>1</v>
      </c>
      <c r="J536" s="33" t="s">
        <v>263</v>
      </c>
      <c r="K536" s="20">
        <v>1</v>
      </c>
      <c r="L536" s="21">
        <v>22.4</v>
      </c>
      <c r="M536" s="21">
        <v>22.4</v>
      </c>
      <c r="N536" s="21">
        <v>22.4</v>
      </c>
    </row>
    <row r="537" spans="4:14">
      <c r="D537" s="18">
        <v>46199</v>
      </c>
      <c r="E537" s="6">
        <v>1615431</v>
      </c>
      <c r="F537" s="6" t="s">
        <v>358</v>
      </c>
      <c r="G537" s="6">
        <v>20337525</v>
      </c>
      <c r="H537" s="6" t="s">
        <v>413</v>
      </c>
      <c r="I537" s="6">
        <v>1</v>
      </c>
      <c r="J537" s="33" t="s">
        <v>263</v>
      </c>
      <c r="K537" s="20">
        <v>1</v>
      </c>
      <c r="L537" s="21">
        <v>22.4</v>
      </c>
      <c r="M537" s="21">
        <v>22.4</v>
      </c>
      <c r="N537" s="21">
        <v>22.4</v>
      </c>
    </row>
    <row r="538" spans="4:14">
      <c r="D538" s="18">
        <v>46199</v>
      </c>
      <c r="E538" s="6">
        <v>1615431</v>
      </c>
      <c r="F538" s="6" t="s">
        <v>358</v>
      </c>
      <c r="G538" s="6">
        <v>20324735</v>
      </c>
      <c r="H538" s="6" t="s">
        <v>414</v>
      </c>
      <c r="I538" s="6">
        <v>1</v>
      </c>
      <c r="J538" s="32" t="s">
        <v>58</v>
      </c>
      <c r="K538" s="20">
        <v>1</v>
      </c>
      <c r="L538" s="21">
        <v>17.6</v>
      </c>
      <c r="M538" s="21">
        <v>17.6</v>
      </c>
      <c r="N538" s="21">
        <v>17.6</v>
      </c>
    </row>
    <row r="539" spans="4:14">
      <c r="D539" s="18">
        <v>46199</v>
      </c>
      <c r="E539" s="6">
        <v>1615431</v>
      </c>
      <c r="F539" s="6" t="s">
        <v>358</v>
      </c>
      <c r="G539" s="6">
        <v>20324891</v>
      </c>
      <c r="H539" s="6" t="s">
        <v>415</v>
      </c>
      <c r="I539" s="6">
        <v>1</v>
      </c>
      <c r="J539" s="33" t="s">
        <v>183</v>
      </c>
      <c r="K539" s="20">
        <v>1</v>
      </c>
      <c r="L539" s="21">
        <v>28</v>
      </c>
      <c r="M539" s="21">
        <v>28</v>
      </c>
      <c r="N539" s="21">
        <v>28</v>
      </c>
    </row>
    <row r="540" spans="4:14">
      <c r="D540" s="18">
        <v>46199</v>
      </c>
      <c r="E540" s="6">
        <v>1615431</v>
      </c>
      <c r="F540" s="6" t="s">
        <v>358</v>
      </c>
      <c r="G540" s="6">
        <v>20345154</v>
      </c>
      <c r="H540" s="6" t="s">
        <v>360</v>
      </c>
      <c r="I540" s="6">
        <v>1</v>
      </c>
      <c r="J540" s="33" t="s">
        <v>263</v>
      </c>
      <c r="K540" s="20">
        <v>1</v>
      </c>
      <c r="L540" s="21">
        <v>22.4</v>
      </c>
      <c r="M540" s="21">
        <v>22.4</v>
      </c>
      <c r="N540" s="21">
        <v>22.4</v>
      </c>
    </row>
    <row r="541" spans="4:14">
      <c r="D541" s="18">
        <v>46199</v>
      </c>
      <c r="E541" s="6">
        <v>1615431</v>
      </c>
      <c r="F541" s="6" t="s">
        <v>358</v>
      </c>
      <c r="G541" s="6">
        <v>20357247</v>
      </c>
      <c r="H541" s="6" t="s">
        <v>416</v>
      </c>
      <c r="I541" s="6">
        <v>1</v>
      </c>
      <c r="J541" s="33" t="s">
        <v>263</v>
      </c>
      <c r="K541" s="20">
        <v>1</v>
      </c>
      <c r="L541" s="21">
        <v>22.4</v>
      </c>
      <c r="M541" s="21">
        <v>22.4</v>
      </c>
      <c r="N541" s="21">
        <v>22.4</v>
      </c>
    </row>
    <row r="542" spans="4:14">
      <c r="D542" s="18">
        <v>46199</v>
      </c>
      <c r="E542" s="6">
        <v>1615431</v>
      </c>
      <c r="F542" s="6" t="s">
        <v>358</v>
      </c>
      <c r="G542" s="6">
        <v>20382055</v>
      </c>
      <c r="H542" s="6" t="s">
        <v>275</v>
      </c>
      <c r="I542" s="6">
        <v>1</v>
      </c>
      <c r="J542" s="32" t="s">
        <v>58</v>
      </c>
      <c r="K542" s="20">
        <v>1</v>
      </c>
      <c r="L542" s="21">
        <v>17.6</v>
      </c>
      <c r="M542" s="21">
        <v>17.6</v>
      </c>
      <c r="N542" s="21">
        <v>17.6</v>
      </c>
    </row>
    <row r="543" spans="4:14">
      <c r="D543" s="18">
        <v>46199</v>
      </c>
      <c r="E543" s="6">
        <v>1615431</v>
      </c>
      <c r="F543" s="6" t="s">
        <v>358</v>
      </c>
      <c r="G543" s="6">
        <v>20328266</v>
      </c>
      <c r="H543" s="6" t="s">
        <v>361</v>
      </c>
      <c r="I543" s="6">
        <v>1</v>
      </c>
      <c r="J543" s="33" t="s">
        <v>183</v>
      </c>
      <c r="K543" s="20">
        <v>1</v>
      </c>
      <c r="L543" s="21">
        <v>28</v>
      </c>
      <c r="M543" s="21">
        <v>28</v>
      </c>
      <c r="N543" s="21">
        <v>28</v>
      </c>
    </row>
    <row r="544" spans="4:14">
      <c r="D544" s="18">
        <v>46199</v>
      </c>
      <c r="E544" s="6">
        <v>1615431</v>
      </c>
      <c r="F544" s="6" t="s">
        <v>358</v>
      </c>
      <c r="G544" s="6">
        <v>20338703</v>
      </c>
      <c r="H544" s="6" t="s">
        <v>363</v>
      </c>
      <c r="I544" s="6">
        <v>1</v>
      </c>
      <c r="J544" s="33" t="s">
        <v>263</v>
      </c>
      <c r="K544" s="20">
        <v>1</v>
      </c>
      <c r="L544" s="21">
        <v>22.4</v>
      </c>
      <c r="M544" s="21">
        <v>22.4</v>
      </c>
      <c r="N544" s="21">
        <v>22.4</v>
      </c>
    </row>
    <row r="545" spans="4:14">
      <c r="D545" s="18">
        <v>46199</v>
      </c>
      <c r="E545" s="6">
        <v>1615431</v>
      </c>
      <c r="F545" s="6" t="s">
        <v>358</v>
      </c>
      <c r="G545" s="6">
        <v>20398299</v>
      </c>
      <c r="H545" s="6" t="s">
        <v>366</v>
      </c>
      <c r="I545" s="6">
        <v>1</v>
      </c>
      <c r="J545" s="33" t="s">
        <v>263</v>
      </c>
      <c r="K545" s="20">
        <v>1</v>
      </c>
      <c r="L545" s="21">
        <v>22.4</v>
      </c>
      <c r="M545" s="21">
        <v>22.4</v>
      </c>
      <c r="N545" s="21">
        <v>22.4</v>
      </c>
    </row>
    <row r="546" spans="4:14">
      <c r="D546" s="18">
        <v>46199</v>
      </c>
      <c r="E546" s="6">
        <v>1615524</v>
      </c>
      <c r="F546" s="6" t="s">
        <v>240</v>
      </c>
      <c r="G546" s="6">
        <v>20352875</v>
      </c>
      <c r="H546" s="6" t="s">
        <v>352</v>
      </c>
      <c r="I546" s="6">
        <v>2</v>
      </c>
      <c r="J546" s="32" t="s">
        <v>242</v>
      </c>
      <c r="K546" s="20">
        <v>1</v>
      </c>
      <c r="L546" s="21">
        <v>28</v>
      </c>
      <c r="M546" s="21">
        <v>28</v>
      </c>
      <c r="N546" s="21">
        <v>56</v>
      </c>
    </row>
    <row r="547" spans="4:14">
      <c r="D547" s="18">
        <v>46199</v>
      </c>
      <c r="E547" s="6">
        <v>1615524</v>
      </c>
      <c r="F547" s="6" t="s">
        <v>240</v>
      </c>
      <c r="G547" s="6">
        <v>20424838</v>
      </c>
      <c r="H547" s="6" t="s">
        <v>258</v>
      </c>
      <c r="I547" s="6">
        <v>2</v>
      </c>
      <c r="J547" s="32" t="s">
        <v>242</v>
      </c>
      <c r="K547" s="20">
        <v>1</v>
      </c>
      <c r="L547" s="21">
        <v>28</v>
      </c>
      <c r="M547" s="21">
        <v>28</v>
      </c>
      <c r="N547" s="21">
        <v>56</v>
      </c>
    </row>
    <row r="548" spans="4:14">
      <c r="D548" s="18">
        <v>46199</v>
      </c>
      <c r="E548" s="6">
        <v>1615524</v>
      </c>
      <c r="F548" s="6" t="s">
        <v>240</v>
      </c>
      <c r="G548" s="6">
        <v>20418592</v>
      </c>
      <c r="H548" s="6" t="s">
        <v>251</v>
      </c>
      <c r="I548" s="6">
        <v>3</v>
      </c>
      <c r="J548" s="32" t="s">
        <v>242</v>
      </c>
      <c r="K548" s="20">
        <v>1</v>
      </c>
      <c r="L548" s="21">
        <v>28</v>
      </c>
      <c r="M548" s="21">
        <v>28</v>
      </c>
      <c r="N548" s="21">
        <v>84</v>
      </c>
    </row>
    <row r="549" spans="4:14">
      <c r="D549" s="18">
        <v>46199</v>
      </c>
      <c r="E549" s="6">
        <v>1615524</v>
      </c>
      <c r="F549" s="6" t="s">
        <v>51</v>
      </c>
      <c r="G549" s="6">
        <v>20354932</v>
      </c>
      <c r="H549" s="6" t="s">
        <v>210</v>
      </c>
      <c r="I549" s="6">
        <v>9</v>
      </c>
      <c r="J549" s="33" t="s">
        <v>86</v>
      </c>
      <c r="K549" s="20">
        <v>1</v>
      </c>
      <c r="L549" s="21">
        <v>3.2</v>
      </c>
      <c r="M549" s="21">
        <v>3.2</v>
      </c>
      <c r="N549" s="21">
        <v>28.8</v>
      </c>
    </row>
    <row r="550" spans="4:14">
      <c r="D550" s="18">
        <v>46199</v>
      </c>
      <c r="E550" s="6">
        <v>1615524</v>
      </c>
      <c r="F550" s="6" t="s">
        <v>51</v>
      </c>
      <c r="G550" s="6">
        <v>20324519</v>
      </c>
      <c r="H550" s="6" t="s">
        <v>396</v>
      </c>
      <c r="I550" s="6">
        <v>13</v>
      </c>
      <c r="J550" s="32" t="s">
        <v>53</v>
      </c>
      <c r="K550" s="20">
        <v>1</v>
      </c>
      <c r="L550" s="21">
        <v>2</v>
      </c>
      <c r="M550" s="21">
        <v>2</v>
      </c>
      <c r="N550" s="21">
        <v>26</v>
      </c>
    </row>
    <row r="551" spans="4:14">
      <c r="D551" s="18">
        <v>46199</v>
      </c>
      <c r="E551" s="6">
        <v>1615606</v>
      </c>
      <c r="F551" s="6" t="s">
        <v>26</v>
      </c>
      <c r="G551" s="6">
        <v>20324463</v>
      </c>
      <c r="H551" s="6" t="s">
        <v>271</v>
      </c>
      <c r="I551" s="6">
        <v>3</v>
      </c>
      <c r="J551" s="32" t="s">
        <v>28</v>
      </c>
      <c r="K551" s="20">
        <f t="shared" ref="K551:K556" si="35">M551/L551</f>
        <v>35</v>
      </c>
      <c r="L551" s="21">
        <v>4.4</v>
      </c>
      <c r="M551" s="21">
        <v>154</v>
      </c>
      <c r="N551" s="21">
        <v>462</v>
      </c>
    </row>
    <row r="552" spans="4:14">
      <c r="D552" s="18">
        <v>46199</v>
      </c>
      <c r="E552" s="6">
        <v>1615606</v>
      </c>
      <c r="F552" s="6" t="s">
        <v>26</v>
      </c>
      <c r="G552" s="6">
        <v>20324039</v>
      </c>
      <c r="H552" s="6" t="s">
        <v>384</v>
      </c>
      <c r="I552" s="6">
        <v>1</v>
      </c>
      <c r="J552" s="32" t="s">
        <v>28</v>
      </c>
      <c r="K552" s="20">
        <f t="shared" si="35"/>
        <v>21</v>
      </c>
      <c r="L552" s="21">
        <v>4.4</v>
      </c>
      <c r="M552" s="21">
        <v>92.4</v>
      </c>
      <c r="N552" s="21">
        <v>92.4</v>
      </c>
    </row>
    <row r="553" spans="4:14">
      <c r="D553" s="18">
        <v>46199</v>
      </c>
      <c r="E553" s="6">
        <v>1615606</v>
      </c>
      <c r="F553" s="6" t="s">
        <v>26</v>
      </c>
      <c r="G553" s="6">
        <v>20324049</v>
      </c>
      <c r="H553" s="6" t="s">
        <v>388</v>
      </c>
      <c r="I553" s="6">
        <v>1</v>
      </c>
      <c r="J553" s="32" t="s">
        <v>28</v>
      </c>
      <c r="K553" s="20">
        <f t="shared" si="35"/>
        <v>25</v>
      </c>
      <c r="L553" s="21">
        <v>4.4</v>
      </c>
      <c r="M553" s="21">
        <v>110</v>
      </c>
      <c r="N553" s="21">
        <v>110</v>
      </c>
    </row>
    <row r="554" spans="4:14">
      <c r="D554" s="18">
        <v>46199</v>
      </c>
      <c r="E554" s="6">
        <v>1615606</v>
      </c>
      <c r="F554" s="6" t="s">
        <v>26</v>
      </c>
      <c r="G554" s="6">
        <v>20324045</v>
      </c>
      <c r="H554" s="6" t="s">
        <v>266</v>
      </c>
      <c r="I554" s="6">
        <v>1</v>
      </c>
      <c r="J554" s="32" t="s">
        <v>28</v>
      </c>
      <c r="K554" s="20">
        <f t="shared" si="35"/>
        <v>19</v>
      </c>
      <c r="L554" s="21">
        <v>4.4</v>
      </c>
      <c r="M554" s="21">
        <v>83.6</v>
      </c>
      <c r="N554" s="21">
        <v>83.6</v>
      </c>
    </row>
    <row r="555" spans="4:14">
      <c r="D555" s="18">
        <v>46199</v>
      </c>
      <c r="E555" s="6">
        <v>1615606</v>
      </c>
      <c r="F555" s="6" t="s">
        <v>16</v>
      </c>
      <c r="G555" s="6">
        <v>20324710</v>
      </c>
      <c r="H555" s="6" t="s">
        <v>348</v>
      </c>
      <c r="I555" s="6">
        <v>1</v>
      </c>
      <c r="J555" s="32" t="s">
        <v>28</v>
      </c>
      <c r="K555" s="20">
        <f t="shared" si="35"/>
        <v>4</v>
      </c>
      <c r="L555" s="21">
        <v>4.4</v>
      </c>
      <c r="M555" s="21">
        <v>17.6</v>
      </c>
      <c r="N555" s="21">
        <v>17.6</v>
      </c>
    </row>
    <row r="556" spans="4:14">
      <c r="D556" s="18">
        <v>46199</v>
      </c>
      <c r="E556" s="6">
        <v>1615606</v>
      </c>
      <c r="F556" s="6" t="s">
        <v>16</v>
      </c>
      <c r="G556" s="6">
        <v>20324699</v>
      </c>
      <c r="H556" s="6" t="s">
        <v>268</v>
      </c>
      <c r="I556" s="6">
        <v>6</v>
      </c>
      <c r="J556" s="32" t="s">
        <v>28</v>
      </c>
      <c r="K556" s="20">
        <f t="shared" si="35"/>
        <v>5</v>
      </c>
      <c r="L556" s="21">
        <v>4.4</v>
      </c>
      <c r="M556" s="21">
        <v>22</v>
      </c>
      <c r="N556" s="21">
        <v>132</v>
      </c>
    </row>
    <row r="557" spans="4:14">
      <c r="D557" s="18">
        <v>46200</v>
      </c>
      <c r="E557" s="6">
        <v>1615681</v>
      </c>
      <c r="F557" s="6" t="s">
        <v>16</v>
      </c>
      <c r="G557" s="6">
        <v>20342188</v>
      </c>
      <c r="H557" s="6" t="s">
        <v>313</v>
      </c>
      <c r="I557" s="6">
        <v>1</v>
      </c>
      <c r="J557" s="33" t="s">
        <v>263</v>
      </c>
      <c r="K557" s="20">
        <v>1</v>
      </c>
      <c r="L557" s="21">
        <v>22.4</v>
      </c>
      <c r="M557" s="21">
        <v>22.4</v>
      </c>
      <c r="N557" s="21">
        <v>22.4</v>
      </c>
    </row>
    <row r="558" spans="4:14">
      <c r="D558" s="18">
        <v>46200</v>
      </c>
      <c r="E558" s="6">
        <v>1615681</v>
      </c>
      <c r="F558" s="6" t="s">
        <v>16</v>
      </c>
      <c r="G558" s="6">
        <v>20328011</v>
      </c>
      <c r="H558" s="6" t="s">
        <v>314</v>
      </c>
      <c r="I558" s="6">
        <v>1</v>
      </c>
      <c r="J558" s="32" t="s">
        <v>58</v>
      </c>
      <c r="K558" s="20">
        <v>1</v>
      </c>
      <c r="L558" s="21">
        <v>17.6</v>
      </c>
      <c r="M558" s="21">
        <v>52.8</v>
      </c>
      <c r="N558" s="21">
        <v>52.8</v>
      </c>
    </row>
    <row r="559" spans="4:14">
      <c r="D559" s="18"/>
      <c r="E559" s="6"/>
      <c r="F559" s="6"/>
      <c r="G559" s="6"/>
      <c r="H559" s="6"/>
      <c r="I559" s="6"/>
      <c r="J559" s="32" t="s">
        <v>58</v>
      </c>
      <c r="K559" s="20">
        <v>1</v>
      </c>
      <c r="L559" s="21">
        <v>17.6</v>
      </c>
      <c r="M559" s="21"/>
      <c r="N559" s="21"/>
    </row>
    <row r="560" spans="4:14">
      <c r="D560" s="18"/>
      <c r="E560" s="6"/>
      <c r="F560" s="6"/>
      <c r="G560" s="6"/>
      <c r="H560" s="6"/>
      <c r="I560" s="6"/>
      <c r="J560" s="32" t="s">
        <v>58</v>
      </c>
      <c r="K560" s="20">
        <v>1</v>
      </c>
      <c r="L560" s="21">
        <v>17.6</v>
      </c>
      <c r="M560" s="21"/>
      <c r="N560" s="21"/>
    </row>
    <row r="561" spans="4:14">
      <c r="D561" s="18">
        <v>46200</v>
      </c>
      <c r="E561" s="6">
        <v>1615681</v>
      </c>
      <c r="F561" s="6" t="s">
        <v>16</v>
      </c>
      <c r="G561" s="6">
        <v>20430222</v>
      </c>
      <c r="H561" s="6" t="s">
        <v>408</v>
      </c>
      <c r="I561" s="6">
        <v>1</v>
      </c>
      <c r="J561" s="32" t="s">
        <v>290</v>
      </c>
      <c r="K561" s="20">
        <v>1</v>
      </c>
      <c r="L561" s="21">
        <v>20</v>
      </c>
      <c r="M561" s="21">
        <v>20</v>
      </c>
      <c r="N561" s="21">
        <v>20</v>
      </c>
    </row>
    <row r="562" spans="4:14">
      <c r="D562" s="18">
        <v>46200</v>
      </c>
      <c r="E562" s="6">
        <v>1615681</v>
      </c>
      <c r="F562" s="6" t="s">
        <v>16</v>
      </c>
      <c r="G562" s="6">
        <v>20430378</v>
      </c>
      <c r="H562" s="6" t="s">
        <v>410</v>
      </c>
      <c r="I562" s="6">
        <v>2</v>
      </c>
      <c r="J562" s="32" t="s">
        <v>58</v>
      </c>
      <c r="K562" s="20">
        <v>1</v>
      </c>
      <c r="L562" s="21">
        <v>17.6</v>
      </c>
      <c r="M562" s="21">
        <v>17.6</v>
      </c>
      <c r="N562" s="21">
        <f>M562*I562</f>
        <v>35.2</v>
      </c>
    </row>
    <row r="563" spans="4:14">
      <c r="D563" s="18">
        <v>46200</v>
      </c>
      <c r="E563" s="6">
        <v>1615681</v>
      </c>
      <c r="F563" s="6" t="s">
        <v>16</v>
      </c>
      <c r="G563" s="6">
        <v>20324637</v>
      </c>
      <c r="H563" s="6" t="s">
        <v>284</v>
      </c>
      <c r="I563" s="6">
        <v>2</v>
      </c>
      <c r="J563" s="33" t="s">
        <v>183</v>
      </c>
      <c r="K563" s="20">
        <v>1</v>
      </c>
      <c r="L563" s="21">
        <v>28</v>
      </c>
      <c r="M563" s="21">
        <v>28</v>
      </c>
      <c r="N563" s="21">
        <v>56</v>
      </c>
    </row>
    <row r="564" spans="4:14">
      <c r="D564" s="18">
        <v>46200</v>
      </c>
      <c r="E564" s="6">
        <v>1615681</v>
      </c>
      <c r="F564" s="6" t="s">
        <v>16</v>
      </c>
      <c r="G564" s="6">
        <v>20330449</v>
      </c>
      <c r="H564" s="6" t="s">
        <v>351</v>
      </c>
      <c r="I564" s="6">
        <v>2</v>
      </c>
      <c r="J564" s="33" t="s">
        <v>263</v>
      </c>
      <c r="K564" s="20">
        <v>1</v>
      </c>
      <c r="L564" s="21">
        <v>22.4</v>
      </c>
      <c r="M564" s="21">
        <v>22.4</v>
      </c>
      <c r="N564" s="21">
        <v>44.8</v>
      </c>
    </row>
    <row r="565" spans="4:14">
      <c r="D565" s="18">
        <v>46200</v>
      </c>
      <c r="E565" s="6">
        <v>1615681</v>
      </c>
      <c r="F565" s="6" t="s">
        <v>16</v>
      </c>
      <c r="G565" s="6">
        <v>20382023</v>
      </c>
      <c r="H565" s="6" t="s">
        <v>355</v>
      </c>
      <c r="I565" s="6">
        <v>1</v>
      </c>
      <c r="J565" s="32" t="s">
        <v>58</v>
      </c>
      <c r="K565" s="20">
        <v>1</v>
      </c>
      <c r="L565" s="21">
        <v>17.6</v>
      </c>
      <c r="M565" s="21">
        <v>17.6</v>
      </c>
      <c r="N565" s="21">
        <v>17.6</v>
      </c>
    </row>
    <row r="566" spans="4:14">
      <c r="D566" s="18">
        <v>46200</v>
      </c>
      <c r="E566" s="6">
        <v>1615681</v>
      </c>
      <c r="F566" s="6" t="s">
        <v>16</v>
      </c>
      <c r="G566" s="6">
        <v>20329253</v>
      </c>
      <c r="H566" s="6" t="s">
        <v>316</v>
      </c>
      <c r="I566" s="6">
        <v>2</v>
      </c>
      <c r="J566" s="32" t="s">
        <v>58</v>
      </c>
      <c r="K566" s="20">
        <v>1</v>
      </c>
      <c r="L566" s="21">
        <v>17.6</v>
      </c>
      <c r="M566" s="21">
        <v>17.6</v>
      </c>
      <c r="N566" s="21">
        <v>35.2</v>
      </c>
    </row>
    <row r="567" spans="4:14">
      <c r="D567" s="18">
        <v>46200</v>
      </c>
      <c r="E567" s="6">
        <v>1615681</v>
      </c>
      <c r="F567" s="6" t="s">
        <v>16</v>
      </c>
      <c r="G567" s="6">
        <v>20324822</v>
      </c>
      <c r="H567" s="6" t="s">
        <v>317</v>
      </c>
      <c r="I567" s="6">
        <v>2</v>
      </c>
      <c r="J567" s="33" t="s">
        <v>183</v>
      </c>
      <c r="K567" s="20">
        <v>1</v>
      </c>
      <c r="L567" s="21">
        <v>28</v>
      </c>
      <c r="M567" s="21">
        <v>28</v>
      </c>
      <c r="N567" s="21">
        <v>56</v>
      </c>
    </row>
    <row r="568" spans="4:14">
      <c r="D568" s="18">
        <v>46200</v>
      </c>
      <c r="E568" s="6">
        <v>1615681</v>
      </c>
      <c r="F568" s="6" t="s">
        <v>16</v>
      </c>
      <c r="G568" s="6">
        <v>20354181</v>
      </c>
      <c r="H568" s="6" t="s">
        <v>356</v>
      </c>
      <c r="I568" s="6">
        <v>1</v>
      </c>
      <c r="J568" s="33" t="s">
        <v>48</v>
      </c>
      <c r="K568" s="20" t="s">
        <v>49</v>
      </c>
      <c r="L568" s="21">
        <v>240</v>
      </c>
      <c r="M568" s="21">
        <v>240</v>
      </c>
      <c r="N568" s="21">
        <v>240</v>
      </c>
    </row>
    <row r="569" spans="4:14">
      <c r="D569" s="18">
        <v>46200</v>
      </c>
      <c r="E569" s="6">
        <v>1615681</v>
      </c>
      <c r="F569" s="6" t="s">
        <v>16</v>
      </c>
      <c r="G569" s="6">
        <v>20326623</v>
      </c>
      <c r="H569" s="6" t="s">
        <v>405</v>
      </c>
      <c r="I569" s="6">
        <v>2</v>
      </c>
      <c r="J569" s="33" t="s">
        <v>263</v>
      </c>
      <c r="K569" s="20">
        <v>1</v>
      </c>
      <c r="L569" s="21">
        <v>22.4</v>
      </c>
      <c r="M569" s="21">
        <v>22.4</v>
      </c>
      <c r="N569" s="21">
        <v>44.8</v>
      </c>
    </row>
    <row r="570" spans="4:14">
      <c r="D570" s="18">
        <v>46200</v>
      </c>
      <c r="E570" s="6">
        <v>1615681</v>
      </c>
      <c r="F570" s="6" t="s">
        <v>16</v>
      </c>
      <c r="G570" s="6">
        <v>20324645</v>
      </c>
      <c r="H570" s="6" t="s">
        <v>318</v>
      </c>
      <c r="I570" s="6">
        <v>2</v>
      </c>
      <c r="J570" s="33" t="s">
        <v>263</v>
      </c>
      <c r="K570" s="20">
        <v>1</v>
      </c>
      <c r="L570" s="21">
        <v>22.4</v>
      </c>
      <c r="M570" s="21">
        <v>22.4</v>
      </c>
      <c r="N570" s="21">
        <v>44.8</v>
      </c>
    </row>
    <row r="571" spans="4:14">
      <c r="D571" s="18">
        <v>46200</v>
      </c>
      <c r="E571" s="6">
        <v>1615681</v>
      </c>
      <c r="F571" s="6" t="s">
        <v>16</v>
      </c>
      <c r="G571" s="6">
        <v>20329652</v>
      </c>
      <c r="H571" s="6" t="s">
        <v>357</v>
      </c>
      <c r="I571" s="6">
        <v>1</v>
      </c>
      <c r="J571" s="33" t="s">
        <v>263</v>
      </c>
      <c r="K571" s="20">
        <v>1</v>
      </c>
      <c r="L571" s="21">
        <v>22.4</v>
      </c>
      <c r="M571" s="21">
        <v>22.4</v>
      </c>
      <c r="N571" s="21">
        <v>22.4</v>
      </c>
    </row>
    <row r="572" spans="4:14">
      <c r="D572" s="18">
        <v>46200</v>
      </c>
      <c r="E572" s="6">
        <v>1615681</v>
      </c>
      <c r="F572" s="6" t="s">
        <v>16</v>
      </c>
      <c r="G572" s="6">
        <v>20324723</v>
      </c>
      <c r="H572" s="6" t="s">
        <v>275</v>
      </c>
      <c r="I572" s="6">
        <v>2</v>
      </c>
      <c r="J572" s="33" t="s">
        <v>263</v>
      </c>
      <c r="K572" s="20">
        <v>1</v>
      </c>
      <c r="L572" s="21">
        <v>22.4</v>
      </c>
      <c r="M572" s="21">
        <v>22.4</v>
      </c>
      <c r="N572" s="21">
        <v>44.8</v>
      </c>
    </row>
    <row r="573" spans="4:14">
      <c r="D573" s="18">
        <v>46200</v>
      </c>
      <c r="E573" s="6">
        <v>1615681</v>
      </c>
      <c r="F573" s="6" t="s">
        <v>16</v>
      </c>
      <c r="G573" s="6">
        <v>20324636</v>
      </c>
      <c r="H573" s="6" t="s">
        <v>320</v>
      </c>
      <c r="I573" s="6">
        <v>2</v>
      </c>
      <c r="J573" s="33" t="s">
        <v>183</v>
      </c>
      <c r="K573" s="20">
        <v>1</v>
      </c>
      <c r="L573" s="21">
        <v>28</v>
      </c>
      <c r="M573" s="21">
        <v>28</v>
      </c>
      <c r="N573" s="21">
        <v>56</v>
      </c>
    </row>
    <row r="574" spans="4:14">
      <c r="D574" s="18">
        <v>46200</v>
      </c>
      <c r="E574" s="6">
        <v>1615681</v>
      </c>
      <c r="F574" s="6" t="s">
        <v>16</v>
      </c>
      <c r="G574" s="6">
        <v>20324732</v>
      </c>
      <c r="H574" s="6" t="s">
        <v>322</v>
      </c>
      <c r="I574" s="6">
        <v>2</v>
      </c>
      <c r="J574" s="33" t="s">
        <v>263</v>
      </c>
      <c r="K574" s="20">
        <v>1</v>
      </c>
      <c r="L574" s="21">
        <v>22.4</v>
      </c>
      <c r="M574" s="21">
        <v>22.4</v>
      </c>
      <c r="N574" s="21">
        <v>44.8</v>
      </c>
    </row>
    <row r="575" spans="4:14">
      <c r="D575" s="18">
        <v>46200</v>
      </c>
      <c r="E575" s="6">
        <v>1615681</v>
      </c>
      <c r="F575" s="6" t="s">
        <v>16</v>
      </c>
      <c r="G575" s="6">
        <v>20324814</v>
      </c>
      <c r="H575" s="6" t="s">
        <v>293</v>
      </c>
      <c r="I575" s="6">
        <v>2</v>
      </c>
      <c r="J575" s="33" t="s">
        <v>263</v>
      </c>
      <c r="K575" s="20">
        <v>1</v>
      </c>
      <c r="L575" s="21">
        <v>22.4</v>
      </c>
      <c r="M575" s="21">
        <v>22.4</v>
      </c>
      <c r="N575" s="21">
        <v>44.8</v>
      </c>
    </row>
    <row r="576" spans="4:14">
      <c r="D576" s="18">
        <v>46200</v>
      </c>
      <c r="E576" s="6">
        <v>1615681</v>
      </c>
      <c r="F576" s="6" t="s">
        <v>16</v>
      </c>
      <c r="G576" s="6">
        <v>20324646</v>
      </c>
      <c r="H576" s="6" t="s">
        <v>326</v>
      </c>
      <c r="I576" s="6">
        <v>1</v>
      </c>
      <c r="J576" s="32" t="s">
        <v>290</v>
      </c>
      <c r="K576" s="20">
        <v>1</v>
      </c>
      <c r="L576" s="21">
        <v>20</v>
      </c>
      <c r="M576" s="21">
        <v>20</v>
      </c>
      <c r="N576" s="21">
        <v>20</v>
      </c>
    </row>
    <row r="577" spans="4:14">
      <c r="D577" s="18">
        <v>46200</v>
      </c>
      <c r="E577" s="6">
        <v>1615681</v>
      </c>
      <c r="F577" s="6" t="s">
        <v>16</v>
      </c>
      <c r="G577" s="6">
        <v>20330970</v>
      </c>
      <c r="H577" s="6" t="s">
        <v>398</v>
      </c>
      <c r="I577" s="6">
        <v>1</v>
      </c>
      <c r="J577" s="32" t="s">
        <v>40</v>
      </c>
      <c r="K577" s="20" t="s">
        <v>41</v>
      </c>
      <c r="L577" s="21">
        <v>132</v>
      </c>
      <c r="M577" s="21">
        <v>132</v>
      </c>
      <c r="N577" s="21">
        <v>132</v>
      </c>
    </row>
    <row r="578" spans="4:14">
      <c r="D578" s="18">
        <v>46202</v>
      </c>
      <c r="E578" s="6">
        <v>1616093</v>
      </c>
      <c r="F578" s="6" t="s">
        <v>26</v>
      </c>
      <c r="G578" s="6">
        <v>20324463</v>
      </c>
      <c r="H578" s="6" t="s">
        <v>271</v>
      </c>
      <c r="I578" s="6">
        <v>1</v>
      </c>
      <c r="J578" s="32" t="s">
        <v>28</v>
      </c>
      <c r="K578" s="20">
        <f t="shared" ref="K578:K581" si="36">M578/L578</f>
        <v>35</v>
      </c>
      <c r="L578" s="21">
        <v>4.4</v>
      </c>
      <c r="M578" s="21">
        <v>154</v>
      </c>
      <c r="N578" s="21">
        <v>154</v>
      </c>
    </row>
    <row r="579" spans="4:14">
      <c r="D579" s="18">
        <v>46202</v>
      </c>
      <c r="E579" s="6">
        <v>1616093</v>
      </c>
      <c r="F579" s="6" t="s">
        <v>26</v>
      </c>
      <c r="G579" s="6">
        <v>20324039</v>
      </c>
      <c r="H579" s="6" t="s">
        <v>384</v>
      </c>
      <c r="I579" s="6">
        <v>1</v>
      </c>
      <c r="J579" s="32" t="s">
        <v>28</v>
      </c>
      <c r="K579" s="20">
        <f t="shared" si="36"/>
        <v>21</v>
      </c>
      <c r="L579" s="21">
        <v>4.4</v>
      </c>
      <c r="M579" s="21">
        <v>92.4</v>
      </c>
      <c r="N579" s="21">
        <v>92.4</v>
      </c>
    </row>
    <row r="580" spans="4:14">
      <c r="D580" s="18">
        <v>46202</v>
      </c>
      <c r="E580" s="6">
        <v>1616093</v>
      </c>
      <c r="F580" s="6" t="s">
        <v>26</v>
      </c>
      <c r="G580" s="6">
        <v>20324737</v>
      </c>
      <c r="H580" s="6" t="s">
        <v>308</v>
      </c>
      <c r="I580" s="6">
        <v>1</v>
      </c>
      <c r="J580" s="32" t="s">
        <v>28</v>
      </c>
      <c r="K580" s="20">
        <f t="shared" si="36"/>
        <v>22</v>
      </c>
      <c r="L580" s="21">
        <v>4.4</v>
      </c>
      <c r="M580" s="21">
        <v>96.8</v>
      </c>
      <c r="N580" s="21">
        <v>96.8</v>
      </c>
    </row>
    <row r="581" spans="4:14">
      <c r="D581" s="18">
        <v>46202</v>
      </c>
      <c r="E581" s="6">
        <v>1616093</v>
      </c>
      <c r="F581" s="6" t="s">
        <v>26</v>
      </c>
      <c r="G581" s="6">
        <v>20324045</v>
      </c>
      <c r="H581" s="6" t="s">
        <v>266</v>
      </c>
      <c r="I581" s="6">
        <v>2</v>
      </c>
      <c r="J581" s="32" t="s">
        <v>28</v>
      </c>
      <c r="K581" s="20">
        <f t="shared" si="36"/>
        <v>19</v>
      </c>
      <c r="L581" s="21">
        <v>4.4</v>
      </c>
      <c r="M581" s="21">
        <v>83.6</v>
      </c>
      <c r="N581" s="21">
        <v>167.2</v>
      </c>
    </row>
    <row r="582" spans="4:14">
      <c r="D582" s="18">
        <v>46202</v>
      </c>
      <c r="E582" s="6">
        <v>1616093</v>
      </c>
      <c r="F582" s="6" t="s">
        <v>240</v>
      </c>
      <c r="G582" s="6">
        <v>20424838</v>
      </c>
      <c r="H582" s="6" t="s">
        <v>258</v>
      </c>
      <c r="I582" s="6">
        <v>1</v>
      </c>
      <c r="J582" s="32" t="s">
        <v>242</v>
      </c>
      <c r="K582" s="20">
        <v>1</v>
      </c>
      <c r="L582" s="21">
        <v>28</v>
      </c>
      <c r="M582" s="21">
        <v>28</v>
      </c>
      <c r="N582" s="21">
        <v>28</v>
      </c>
    </row>
    <row r="583" spans="4:14">
      <c r="D583" s="18">
        <v>46202</v>
      </c>
      <c r="E583" s="6">
        <v>1616093</v>
      </c>
      <c r="F583" s="6" t="s">
        <v>240</v>
      </c>
      <c r="G583" s="6">
        <v>20418592</v>
      </c>
      <c r="H583" s="6" t="s">
        <v>251</v>
      </c>
      <c r="I583" s="6">
        <v>1</v>
      </c>
      <c r="J583" s="32" t="s">
        <v>242</v>
      </c>
      <c r="K583" s="20">
        <v>1</v>
      </c>
      <c r="L583" s="21">
        <v>28</v>
      </c>
      <c r="M583" s="21">
        <v>28</v>
      </c>
      <c r="N583" s="21">
        <v>28</v>
      </c>
    </row>
    <row r="584" spans="4:14">
      <c r="D584" s="18">
        <v>46202</v>
      </c>
      <c r="E584" s="6">
        <v>1616126</v>
      </c>
      <c r="F584" s="6" t="s">
        <v>26</v>
      </c>
      <c r="G584" s="6">
        <v>20324039</v>
      </c>
      <c r="H584" s="6" t="s">
        <v>384</v>
      </c>
      <c r="I584" s="6">
        <v>1</v>
      </c>
      <c r="J584" s="32" t="s">
        <v>28</v>
      </c>
      <c r="K584" s="20">
        <f t="shared" ref="K584:K588" si="37">M584/L584</f>
        <v>21</v>
      </c>
      <c r="L584" s="21">
        <v>4.4</v>
      </c>
      <c r="M584" s="21">
        <v>92.4</v>
      </c>
      <c r="N584" s="21">
        <v>92.4</v>
      </c>
    </row>
    <row r="585" spans="4:14">
      <c r="D585" s="18">
        <v>46202</v>
      </c>
      <c r="E585" s="6">
        <v>1616126</v>
      </c>
      <c r="F585" s="6" t="s">
        <v>26</v>
      </c>
      <c r="G585" s="6">
        <v>20324028</v>
      </c>
      <c r="H585" s="6" t="s">
        <v>307</v>
      </c>
      <c r="I585" s="6">
        <v>1</v>
      </c>
      <c r="J585" s="32" t="s">
        <v>28</v>
      </c>
      <c r="K585" s="20">
        <f t="shared" si="37"/>
        <v>42</v>
      </c>
      <c r="L585" s="21">
        <v>4.4</v>
      </c>
      <c r="M585" s="21">
        <v>184.8</v>
      </c>
      <c r="N585" s="21">
        <v>184.8</v>
      </c>
    </row>
    <row r="586" spans="4:14">
      <c r="D586" s="18">
        <v>46202</v>
      </c>
      <c r="E586" s="6">
        <v>1616126</v>
      </c>
      <c r="F586" s="6" t="s">
        <v>16</v>
      </c>
      <c r="G586" s="6">
        <v>20325759</v>
      </c>
      <c r="H586" s="6" t="s">
        <v>350</v>
      </c>
      <c r="I586" s="6">
        <v>1</v>
      </c>
      <c r="J586" s="32" t="s">
        <v>28</v>
      </c>
      <c r="K586" s="20">
        <f t="shared" si="37"/>
        <v>9</v>
      </c>
      <c r="L586" s="21">
        <v>4.4</v>
      </c>
      <c r="M586" s="21">
        <v>39.6</v>
      </c>
      <c r="N586" s="21">
        <v>39.6</v>
      </c>
    </row>
    <row r="587" spans="4:14">
      <c r="D587" s="18">
        <v>46202</v>
      </c>
      <c r="E587" s="6">
        <v>1616126</v>
      </c>
      <c r="F587" s="6" t="s">
        <v>16</v>
      </c>
      <c r="G587" s="6">
        <v>20332488</v>
      </c>
      <c r="H587" s="6" t="s">
        <v>400</v>
      </c>
      <c r="I587" s="6">
        <v>1</v>
      </c>
      <c r="J587" s="32" t="s">
        <v>28</v>
      </c>
      <c r="K587" s="20">
        <f t="shared" si="37"/>
        <v>7</v>
      </c>
      <c r="L587" s="21">
        <v>4.4</v>
      </c>
      <c r="M587" s="21">
        <v>30.8</v>
      </c>
      <c r="N587" s="21">
        <v>30.8</v>
      </c>
    </row>
    <row r="588" spans="4:14">
      <c r="D588" s="18">
        <v>46202</v>
      </c>
      <c r="E588" s="6">
        <v>1616126</v>
      </c>
      <c r="F588" s="6" t="s">
        <v>16</v>
      </c>
      <c r="G588" s="6">
        <v>20324699</v>
      </c>
      <c r="H588" s="6" t="s">
        <v>268</v>
      </c>
      <c r="I588" s="6">
        <v>6</v>
      </c>
      <c r="J588" s="32" t="s">
        <v>28</v>
      </c>
      <c r="K588" s="20">
        <f t="shared" si="37"/>
        <v>5</v>
      </c>
      <c r="L588" s="21">
        <v>4.4</v>
      </c>
      <c r="M588" s="21">
        <v>22</v>
      </c>
      <c r="N588" s="21">
        <v>132</v>
      </c>
    </row>
    <row r="589" spans="4:14">
      <c r="D589" s="18">
        <v>46203</v>
      </c>
      <c r="E589" s="6">
        <v>1616194</v>
      </c>
      <c r="F589" s="6" t="s">
        <v>16</v>
      </c>
      <c r="G589" s="6">
        <v>20430378</v>
      </c>
      <c r="H589" s="6" t="s">
        <v>410</v>
      </c>
      <c r="I589" s="6">
        <v>1</v>
      </c>
      <c r="J589" s="32" t="s">
        <v>58</v>
      </c>
      <c r="K589" s="20">
        <v>1</v>
      </c>
      <c r="L589" s="21">
        <v>17.6</v>
      </c>
      <c r="M589" s="21">
        <v>17.6</v>
      </c>
      <c r="N589" s="21">
        <f>M589*I589</f>
        <v>17.6</v>
      </c>
    </row>
    <row r="590" spans="4:14">
      <c r="D590" s="18">
        <v>46203</v>
      </c>
      <c r="E590" s="6">
        <v>1616194</v>
      </c>
      <c r="F590" s="6" t="s">
        <v>16</v>
      </c>
      <c r="G590" s="6">
        <v>20324637</v>
      </c>
      <c r="H590" s="6" t="s">
        <v>284</v>
      </c>
      <c r="I590" s="6">
        <v>2</v>
      </c>
      <c r="J590" s="33" t="s">
        <v>183</v>
      </c>
      <c r="K590" s="20">
        <v>1</v>
      </c>
      <c r="L590" s="21">
        <v>28</v>
      </c>
      <c r="M590" s="21">
        <v>28</v>
      </c>
      <c r="N590" s="21">
        <v>56</v>
      </c>
    </row>
    <row r="591" spans="4:14">
      <c r="D591" s="18">
        <v>46203</v>
      </c>
      <c r="E591" s="6">
        <v>1616194</v>
      </c>
      <c r="F591" s="6" t="s">
        <v>16</v>
      </c>
      <c r="G591" s="6">
        <v>20326623</v>
      </c>
      <c r="H591" s="6" t="s">
        <v>405</v>
      </c>
      <c r="I591" s="6">
        <v>1</v>
      </c>
      <c r="J591" s="33" t="s">
        <v>263</v>
      </c>
      <c r="K591" s="20">
        <v>1</v>
      </c>
      <c r="L591" s="21">
        <v>22.4</v>
      </c>
      <c r="M591" s="21">
        <v>22.4</v>
      </c>
      <c r="N591" s="21">
        <v>22.4</v>
      </c>
    </row>
    <row r="592" spans="4:14">
      <c r="D592" s="18">
        <v>46203</v>
      </c>
      <c r="E592" s="6">
        <v>1616194</v>
      </c>
      <c r="F592" s="6" t="s">
        <v>16</v>
      </c>
      <c r="G592" s="6">
        <v>20324645</v>
      </c>
      <c r="H592" s="6" t="s">
        <v>318</v>
      </c>
      <c r="I592" s="6">
        <v>1</v>
      </c>
      <c r="J592" s="33" t="s">
        <v>263</v>
      </c>
      <c r="K592" s="20">
        <v>1</v>
      </c>
      <c r="L592" s="21">
        <v>22.4</v>
      </c>
      <c r="M592" s="21">
        <v>22.4</v>
      </c>
      <c r="N592" s="21">
        <v>22.4</v>
      </c>
    </row>
    <row r="593" spans="4:14">
      <c r="D593" s="18">
        <v>46203</v>
      </c>
      <c r="E593" s="6">
        <v>1616194</v>
      </c>
      <c r="F593" s="6" t="s">
        <v>16</v>
      </c>
      <c r="G593" s="6">
        <v>20324723</v>
      </c>
      <c r="H593" s="6" t="s">
        <v>275</v>
      </c>
      <c r="I593" s="6">
        <v>1</v>
      </c>
      <c r="J593" s="33" t="s">
        <v>263</v>
      </c>
      <c r="K593" s="20">
        <v>1</v>
      </c>
      <c r="L593" s="21">
        <v>22.4</v>
      </c>
      <c r="M593" s="21">
        <v>22.4</v>
      </c>
      <c r="N593" s="21">
        <v>22.4</v>
      </c>
    </row>
    <row r="594" spans="4:14">
      <c r="D594" s="18">
        <v>46203</v>
      </c>
      <c r="E594" s="6">
        <v>1616194</v>
      </c>
      <c r="F594" s="6" t="s">
        <v>16</v>
      </c>
      <c r="G594" s="6">
        <v>20324636</v>
      </c>
      <c r="H594" s="6" t="s">
        <v>320</v>
      </c>
      <c r="I594" s="6">
        <v>1</v>
      </c>
      <c r="J594" s="33" t="s">
        <v>183</v>
      </c>
      <c r="K594" s="20">
        <v>1</v>
      </c>
      <c r="L594" s="21">
        <v>28</v>
      </c>
      <c r="M594" s="21">
        <v>28</v>
      </c>
      <c r="N594" s="21">
        <v>28</v>
      </c>
    </row>
    <row r="595" spans="4:14">
      <c r="D595" s="18">
        <v>46203</v>
      </c>
      <c r="E595" s="6">
        <v>1616194</v>
      </c>
      <c r="F595" s="6" t="s">
        <v>16</v>
      </c>
      <c r="G595" s="6">
        <v>20324642</v>
      </c>
      <c r="H595" s="6" t="s">
        <v>321</v>
      </c>
      <c r="I595" s="6">
        <v>1</v>
      </c>
      <c r="J595" s="32" t="s">
        <v>58</v>
      </c>
      <c r="K595" s="20">
        <v>1</v>
      </c>
      <c r="L595" s="21">
        <v>17.6</v>
      </c>
      <c r="M595" s="21">
        <v>17.6</v>
      </c>
      <c r="N595" s="21">
        <v>17.6</v>
      </c>
    </row>
    <row r="596" spans="4:14">
      <c r="D596" s="18">
        <v>46203</v>
      </c>
      <c r="E596" s="6">
        <v>1616194</v>
      </c>
      <c r="F596" s="6" t="s">
        <v>16</v>
      </c>
      <c r="G596" s="6">
        <v>20324732</v>
      </c>
      <c r="H596" s="6" t="s">
        <v>322</v>
      </c>
      <c r="I596" s="6">
        <v>1</v>
      </c>
      <c r="J596" s="33" t="s">
        <v>263</v>
      </c>
      <c r="K596" s="20">
        <v>1</v>
      </c>
      <c r="L596" s="21">
        <v>22.4</v>
      </c>
      <c r="M596" s="21">
        <v>22.4</v>
      </c>
      <c r="N596" s="21">
        <v>22.4</v>
      </c>
    </row>
    <row r="597" spans="4:14">
      <c r="D597" s="18">
        <v>46203</v>
      </c>
      <c r="E597" s="6">
        <v>1616194</v>
      </c>
      <c r="F597" s="6" t="s">
        <v>16</v>
      </c>
      <c r="G597" s="6">
        <v>20324814</v>
      </c>
      <c r="H597" s="6" t="s">
        <v>293</v>
      </c>
      <c r="I597" s="6">
        <v>1</v>
      </c>
      <c r="J597" s="33" t="s">
        <v>263</v>
      </c>
      <c r="K597" s="20">
        <v>1</v>
      </c>
      <c r="L597" s="21">
        <v>22.4</v>
      </c>
      <c r="M597" s="21">
        <v>22.4</v>
      </c>
      <c r="N597" s="21">
        <v>22.4</v>
      </c>
    </row>
    <row r="598" spans="4:14">
      <c r="D598" s="18">
        <v>46203</v>
      </c>
      <c r="E598" s="6">
        <v>1616194</v>
      </c>
      <c r="F598" s="6" t="s">
        <v>16</v>
      </c>
      <c r="G598" s="6">
        <v>20324646</v>
      </c>
      <c r="H598" s="6" t="s">
        <v>326</v>
      </c>
      <c r="I598" s="6">
        <v>1</v>
      </c>
      <c r="J598" s="32" t="s">
        <v>290</v>
      </c>
      <c r="K598" s="20">
        <v>1</v>
      </c>
      <c r="L598" s="21">
        <v>20</v>
      </c>
      <c r="M598" s="21">
        <v>20</v>
      </c>
      <c r="N598" s="21">
        <v>20</v>
      </c>
    </row>
    <row r="599" spans="4:14">
      <c r="D599" s="18">
        <v>46203</v>
      </c>
      <c r="E599" s="6">
        <v>1616254</v>
      </c>
      <c r="F599" s="6" t="s">
        <v>240</v>
      </c>
      <c r="G599" s="6">
        <v>20352875</v>
      </c>
      <c r="H599" s="6" t="s">
        <v>352</v>
      </c>
      <c r="I599" s="6">
        <v>1</v>
      </c>
      <c r="J599" s="32" t="s">
        <v>242</v>
      </c>
      <c r="K599" s="20">
        <v>1</v>
      </c>
      <c r="L599" s="21">
        <v>28</v>
      </c>
      <c r="M599" s="21">
        <v>28</v>
      </c>
      <c r="N599" s="21">
        <v>28</v>
      </c>
    </row>
    <row r="600" ht="0.05" customHeight="1"/>
    <row r="607" spans="4:14">
      <c r="D607" s="1" t="s">
        <v>417</v>
      </c>
    </row>
    <row r="610" spans="4:12">
      <c r="D610" s="2" t="s">
        <v>418</v>
      </c>
    </row>
    <row r="612" spans="4:12">
      <c r="D612" s="3" t="s">
        <v>419</v>
      </c>
      <c r="E612" s="3" t="s">
        <v>420</v>
      </c>
      <c r="G612" s="3" t="s">
        <v>421</v>
      </c>
      <c r="H612" s="3" t="s">
        <v>422</v>
      </c>
      <c r="I612" s="3" t="s">
        <v>7</v>
      </c>
      <c r="J612" s="3" t="s">
        <v>423</v>
      </c>
      <c r="L612" s="3" t="s">
        <v>424</v>
      </c>
    </row>
    <row r="613" ht="15.75" spans="4:12">
      <c r="D613" s="100" t="s">
        <v>3</v>
      </c>
      <c r="E613" s="101" t="s">
        <v>2</v>
      </c>
      <c r="F613" s="101" t="s">
        <v>2</v>
      </c>
      <c r="G613" s="101" t="s">
        <v>2</v>
      </c>
      <c r="H613" s="101" t="s">
        <v>2</v>
      </c>
      <c r="I613" s="101" t="s">
        <v>2</v>
      </c>
      <c r="J613" s="102" t="s">
        <v>2</v>
      </c>
      <c r="K613" s="101" t="s">
        <v>2</v>
      </c>
      <c r="L613" s="103"/>
    </row>
    <row r="614" ht="14.25" spans="4:12">
      <c r="D614" s="104" t="s">
        <v>297</v>
      </c>
      <c r="E614" s="101" t="s">
        <v>2</v>
      </c>
      <c r="F614" s="101" t="s">
        <v>2</v>
      </c>
      <c r="G614" s="101" t="s">
        <v>2</v>
      </c>
      <c r="H614" s="101" t="s">
        <v>2</v>
      </c>
      <c r="I614" s="101" t="s">
        <v>2</v>
      </c>
      <c r="J614" s="105" t="s">
        <v>2</v>
      </c>
      <c r="K614" s="101" t="s">
        <v>2</v>
      </c>
      <c r="L614" s="106">
        <v>-28</v>
      </c>
    </row>
    <row r="615" spans="4:12">
      <c r="D615" s="107" t="s">
        <v>51</v>
      </c>
      <c r="E615" s="101" t="s">
        <v>2</v>
      </c>
      <c r="F615" s="101" t="s">
        <v>2</v>
      </c>
      <c r="G615" s="101" t="s">
        <v>2</v>
      </c>
      <c r="H615" s="101" t="s">
        <v>2</v>
      </c>
      <c r="I615" s="101" t="s">
        <v>2</v>
      </c>
      <c r="J615" s="108" t="s">
        <v>2</v>
      </c>
      <c r="K615" s="101" t="s">
        <v>2</v>
      </c>
      <c r="L615" s="109">
        <v>-28</v>
      </c>
    </row>
    <row r="616" spans="4:12">
      <c r="D616" s="110">
        <v>3006342371</v>
      </c>
      <c r="E616" s="111">
        <v>46204.6401629282</v>
      </c>
      <c r="F616" s="112" t="s">
        <v>2</v>
      </c>
      <c r="G616" s="113" t="s">
        <v>425</v>
      </c>
      <c r="H616" s="114">
        <v>46202.9421578356</v>
      </c>
      <c r="I616" s="115">
        <v>20418592</v>
      </c>
      <c r="J616" s="115" t="s">
        <v>251</v>
      </c>
      <c r="K616" s="112" t="s">
        <v>2</v>
      </c>
      <c r="L616" s="116">
        <v>-28</v>
      </c>
    </row>
  </sheetData>
  <autoFilter xmlns:etc="http://www.wps.cn/officeDocument/2017/etCustomData" ref="A7:N599" etc:filterBottomFollowUsedRange="0">
    <extLst/>
  </autoFilter>
  <mergeCells count="264">
    <mergeCell ref="D8:H8"/>
    <mergeCell ref="E612:F612"/>
    <mergeCell ref="J612:K612"/>
    <mergeCell ref="D613:I613"/>
    <mergeCell ref="J613:K613"/>
    <mergeCell ref="D614:I614"/>
    <mergeCell ref="J614:K614"/>
    <mergeCell ref="D615:I615"/>
    <mergeCell ref="J615:K615"/>
    <mergeCell ref="E616:F616"/>
    <mergeCell ref="J616:K616"/>
    <mergeCell ref="C7:C599"/>
    <mergeCell ref="D19:D21"/>
    <mergeCell ref="D35:D37"/>
    <mergeCell ref="D49:D50"/>
    <mergeCell ref="D56:D57"/>
    <mergeCell ref="D83:D85"/>
    <mergeCell ref="D89:D90"/>
    <mergeCell ref="D106:D107"/>
    <mergeCell ref="D126:D127"/>
    <mergeCell ref="D138:D139"/>
    <mergeCell ref="D158:D159"/>
    <mergeCell ref="D204:D205"/>
    <mergeCell ref="D212:D213"/>
    <mergeCell ref="D220:D221"/>
    <mergeCell ref="D224:D226"/>
    <mergeCell ref="D239:D240"/>
    <mergeCell ref="D258:D260"/>
    <mergeCell ref="D294:D296"/>
    <mergeCell ref="D316:D317"/>
    <mergeCell ref="D335:D336"/>
    <mergeCell ref="D347:D348"/>
    <mergeCell ref="D351:D352"/>
    <mergeCell ref="D354:D356"/>
    <mergeCell ref="D368:D369"/>
    <mergeCell ref="D384:D385"/>
    <mergeCell ref="D415:D417"/>
    <mergeCell ref="D419:D421"/>
    <mergeCell ref="D441:D442"/>
    <mergeCell ref="D455:D456"/>
    <mergeCell ref="D481:D482"/>
    <mergeCell ref="D534:D535"/>
    <mergeCell ref="D558:D560"/>
    <mergeCell ref="E19:E21"/>
    <mergeCell ref="E35:E37"/>
    <mergeCell ref="E49:E50"/>
    <mergeCell ref="E56:E57"/>
    <mergeCell ref="E83:E85"/>
    <mergeCell ref="E89:E90"/>
    <mergeCell ref="E106:E107"/>
    <mergeCell ref="E126:E127"/>
    <mergeCell ref="E138:E139"/>
    <mergeCell ref="E158:E159"/>
    <mergeCell ref="E204:E205"/>
    <mergeCell ref="E212:E213"/>
    <mergeCell ref="E220:E221"/>
    <mergeCell ref="E224:E226"/>
    <mergeCell ref="E239:E240"/>
    <mergeCell ref="E258:E260"/>
    <mergeCell ref="E294:E296"/>
    <mergeCell ref="E316:E317"/>
    <mergeCell ref="E335:E336"/>
    <mergeCell ref="E347:E348"/>
    <mergeCell ref="E351:E352"/>
    <mergeCell ref="E354:E356"/>
    <mergeCell ref="E368:E369"/>
    <mergeCell ref="E384:E385"/>
    <mergeCell ref="E415:E417"/>
    <mergeCell ref="E419:E421"/>
    <mergeCell ref="E441:E442"/>
    <mergeCell ref="E455:E456"/>
    <mergeCell ref="E481:E482"/>
    <mergeCell ref="E534:E535"/>
    <mergeCell ref="E558:E560"/>
    <mergeCell ref="F19:F21"/>
    <mergeCell ref="F35:F37"/>
    <mergeCell ref="F49:F50"/>
    <mergeCell ref="F56:F57"/>
    <mergeCell ref="F83:F85"/>
    <mergeCell ref="F89:F90"/>
    <mergeCell ref="F106:F107"/>
    <mergeCell ref="F126:F127"/>
    <mergeCell ref="F138:F139"/>
    <mergeCell ref="F158:F159"/>
    <mergeCell ref="F204:F205"/>
    <mergeCell ref="F212:F213"/>
    <mergeCell ref="F220:F221"/>
    <mergeCell ref="F224:F226"/>
    <mergeCell ref="F239:F240"/>
    <mergeCell ref="F258:F260"/>
    <mergeCell ref="F294:F296"/>
    <mergeCell ref="F316:F317"/>
    <mergeCell ref="F335:F336"/>
    <mergeCell ref="F347:F348"/>
    <mergeCell ref="F351:F352"/>
    <mergeCell ref="F354:F356"/>
    <mergeCell ref="F368:F369"/>
    <mergeCell ref="F384:F385"/>
    <mergeCell ref="F415:F417"/>
    <mergeCell ref="F419:F421"/>
    <mergeCell ref="F441:F442"/>
    <mergeCell ref="F455:F456"/>
    <mergeCell ref="F481:F482"/>
    <mergeCell ref="F534:F535"/>
    <mergeCell ref="F558:F560"/>
    <mergeCell ref="G19:G21"/>
    <mergeCell ref="G35:G37"/>
    <mergeCell ref="G49:G50"/>
    <mergeCell ref="G56:G57"/>
    <mergeCell ref="G83:G85"/>
    <mergeCell ref="G89:G90"/>
    <mergeCell ref="G106:G107"/>
    <mergeCell ref="G126:G127"/>
    <mergeCell ref="G138:G139"/>
    <mergeCell ref="G158:G159"/>
    <mergeCell ref="G204:G205"/>
    <mergeCell ref="G212:G213"/>
    <mergeCell ref="G224:G226"/>
    <mergeCell ref="G239:G240"/>
    <mergeCell ref="G258:G260"/>
    <mergeCell ref="G294:G296"/>
    <mergeCell ref="G316:G317"/>
    <mergeCell ref="G335:G336"/>
    <mergeCell ref="G347:G348"/>
    <mergeCell ref="G351:G352"/>
    <mergeCell ref="G354:G356"/>
    <mergeCell ref="G368:G369"/>
    <mergeCell ref="G384:G385"/>
    <mergeCell ref="G415:G417"/>
    <mergeCell ref="G419:G421"/>
    <mergeCell ref="G441:G442"/>
    <mergeCell ref="G455:G456"/>
    <mergeCell ref="G481:G482"/>
    <mergeCell ref="G534:G535"/>
    <mergeCell ref="G558:G560"/>
    <mergeCell ref="H19:H21"/>
    <mergeCell ref="H35:H37"/>
    <mergeCell ref="H49:H50"/>
    <mergeCell ref="H56:H57"/>
    <mergeCell ref="H83:H85"/>
    <mergeCell ref="H89:H90"/>
    <mergeCell ref="H106:H107"/>
    <mergeCell ref="H126:H127"/>
    <mergeCell ref="H138:H139"/>
    <mergeCell ref="H158:H159"/>
    <mergeCell ref="H204:H205"/>
    <mergeCell ref="H212:H213"/>
    <mergeCell ref="H220:H221"/>
    <mergeCell ref="H224:H226"/>
    <mergeCell ref="H239:H240"/>
    <mergeCell ref="H258:H260"/>
    <mergeCell ref="H294:H296"/>
    <mergeCell ref="H316:H317"/>
    <mergeCell ref="H335:H336"/>
    <mergeCell ref="H347:H348"/>
    <mergeCell ref="H351:H352"/>
    <mergeCell ref="H354:H356"/>
    <mergeCell ref="H368:H369"/>
    <mergeCell ref="H384:H385"/>
    <mergeCell ref="H415:H417"/>
    <mergeCell ref="H419:H421"/>
    <mergeCell ref="H441:H442"/>
    <mergeCell ref="H455:H456"/>
    <mergeCell ref="H481:H482"/>
    <mergeCell ref="H534:H535"/>
    <mergeCell ref="H558:H560"/>
    <mergeCell ref="I19:I21"/>
    <mergeCell ref="I35:I37"/>
    <mergeCell ref="I49:I50"/>
    <mergeCell ref="I56:I57"/>
    <mergeCell ref="I83:I85"/>
    <mergeCell ref="I89:I90"/>
    <mergeCell ref="I106:I107"/>
    <mergeCell ref="I126:I127"/>
    <mergeCell ref="I138:I139"/>
    <mergeCell ref="I158:I159"/>
    <mergeCell ref="I204:I205"/>
    <mergeCell ref="I212:I213"/>
    <mergeCell ref="I220:I221"/>
    <mergeCell ref="I224:I226"/>
    <mergeCell ref="I239:I240"/>
    <mergeCell ref="I258:I260"/>
    <mergeCell ref="I294:I296"/>
    <mergeCell ref="I316:I317"/>
    <mergeCell ref="I335:I336"/>
    <mergeCell ref="I347:I348"/>
    <mergeCell ref="I351:I352"/>
    <mergeCell ref="I354:I356"/>
    <mergeCell ref="I368:I369"/>
    <mergeCell ref="I384:I385"/>
    <mergeCell ref="I415:I417"/>
    <mergeCell ref="I419:I421"/>
    <mergeCell ref="I441:I442"/>
    <mergeCell ref="I455:I456"/>
    <mergeCell ref="I481:I482"/>
    <mergeCell ref="I534:I535"/>
    <mergeCell ref="I558:I560"/>
    <mergeCell ref="M19:M21"/>
    <mergeCell ref="M35:M37"/>
    <mergeCell ref="M49:M50"/>
    <mergeCell ref="M56:M57"/>
    <mergeCell ref="M83:M85"/>
    <mergeCell ref="M89:M90"/>
    <mergeCell ref="M106:M107"/>
    <mergeCell ref="M126:M127"/>
    <mergeCell ref="M138:M139"/>
    <mergeCell ref="M158:M159"/>
    <mergeCell ref="M204:M205"/>
    <mergeCell ref="M212:M213"/>
    <mergeCell ref="M220:M221"/>
    <mergeCell ref="M224:M226"/>
    <mergeCell ref="M239:M240"/>
    <mergeCell ref="M258:M260"/>
    <mergeCell ref="M294:M296"/>
    <mergeCell ref="M316:M317"/>
    <mergeCell ref="M335:M336"/>
    <mergeCell ref="M347:M348"/>
    <mergeCell ref="M351:M352"/>
    <mergeCell ref="M354:M356"/>
    <mergeCell ref="M368:M369"/>
    <mergeCell ref="M384:M385"/>
    <mergeCell ref="M415:M417"/>
    <mergeCell ref="M419:M421"/>
    <mergeCell ref="M441:M442"/>
    <mergeCell ref="M455:M456"/>
    <mergeCell ref="M481:M482"/>
    <mergeCell ref="M534:M535"/>
    <mergeCell ref="M558:M560"/>
    <mergeCell ref="N19:N21"/>
    <mergeCell ref="N35:N37"/>
    <mergeCell ref="N49:N50"/>
    <mergeCell ref="N56:N57"/>
    <mergeCell ref="N83:N85"/>
    <mergeCell ref="N89:N90"/>
    <mergeCell ref="N106:N107"/>
    <mergeCell ref="N126:N127"/>
    <mergeCell ref="N138:N139"/>
    <mergeCell ref="N158:N159"/>
    <mergeCell ref="N204:N205"/>
    <mergeCell ref="N212:N213"/>
    <mergeCell ref="N220:N221"/>
    <mergeCell ref="N224:N226"/>
    <mergeCell ref="N239:N240"/>
    <mergeCell ref="N258:N260"/>
    <mergeCell ref="N294:N296"/>
    <mergeCell ref="N316:N317"/>
    <mergeCell ref="N335:N336"/>
    <mergeCell ref="N347:N348"/>
    <mergeCell ref="N351:N352"/>
    <mergeCell ref="N354:N356"/>
    <mergeCell ref="N368:N369"/>
    <mergeCell ref="N384:N385"/>
    <mergeCell ref="N415:N417"/>
    <mergeCell ref="N419:N421"/>
    <mergeCell ref="N441:N442"/>
    <mergeCell ref="N455:N456"/>
    <mergeCell ref="N481:N482"/>
    <mergeCell ref="N534:N535"/>
    <mergeCell ref="N558:N560"/>
    <mergeCell ref="B4:H5"/>
    <mergeCell ref="C1:H2"/>
    <mergeCell ref="A7:B599"/>
    <mergeCell ref="D607:M608"/>
    <mergeCell ref="D610:H611"/>
  </mergeCells>
  <pageMargins left="0.25" right="0.25" top="0.75" bottom="0.75" header="0.298611111111111" footer="0.298611111111111"/>
  <pageSetup paperSize="9" scale="90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0"/>
  <sheetViews>
    <sheetView topLeftCell="B1" workbookViewId="0">
      <selection activeCell="K9" sqref="K9"/>
    </sheetView>
  </sheetViews>
  <sheetFormatPr defaultColWidth="9" defaultRowHeight="13.5"/>
  <cols>
    <col min="1" max="1" width="22.0083333333333" customWidth="1"/>
    <col min="2" max="2" width="13.0083333333333" customWidth="1"/>
    <col min="3" max="3" width="27.675" customWidth="1"/>
    <col min="4" max="4" width="13.3416666666667" customWidth="1"/>
    <col min="5" max="5" width="12.3416666666667" customWidth="1"/>
    <col min="6" max="6" width="15.0083333333333" customWidth="1"/>
    <col min="7" max="13" width="12.3416666666667" customWidth="1"/>
    <col min="14" max="16" width="16.0083333333333" customWidth="1"/>
    <col min="17" max="17" width="12.3416666666667" customWidth="1"/>
  </cols>
  <sheetData>
    <row r="1" customFormat="1" ht="28.5" customHeight="1" spans="1:17">
      <c r="A1" s="73" t="s">
        <v>426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5"/>
    </row>
    <row r="2" customFormat="1" ht="28.5" customHeight="1" spans="1:17">
      <c r="A2" s="76" t="s">
        <v>427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</row>
    <row r="3" customFormat="1" ht="22.5" customHeight="1" spans="1:17">
      <c r="A3" s="77" t="s">
        <v>428</v>
      </c>
      <c r="B3" s="77" t="s">
        <v>429</v>
      </c>
      <c r="C3" s="77" t="s">
        <v>8</v>
      </c>
      <c r="D3" s="77" t="s">
        <v>4</v>
      </c>
      <c r="E3" s="77" t="s">
        <v>430</v>
      </c>
      <c r="F3" s="77" t="s">
        <v>431</v>
      </c>
      <c r="G3" s="77" t="s">
        <v>432</v>
      </c>
      <c r="H3" s="78" t="s">
        <v>433</v>
      </c>
      <c r="I3" s="79" t="s">
        <v>434</v>
      </c>
      <c r="J3" s="79" t="s">
        <v>435</v>
      </c>
      <c r="K3" s="79" t="s">
        <v>436</v>
      </c>
      <c r="L3" s="79" t="s">
        <v>437</v>
      </c>
      <c r="M3" s="79" t="s">
        <v>438</v>
      </c>
      <c r="N3" s="79" t="s">
        <v>439</v>
      </c>
      <c r="O3" s="79" t="s">
        <v>440</v>
      </c>
      <c r="P3" s="79" t="s">
        <v>441</v>
      </c>
      <c r="Q3" s="79" t="s">
        <v>442</v>
      </c>
    </row>
    <row r="4" customFormat="1" ht="22.5" customHeight="1" spans="1:17">
      <c r="A4" s="80" t="s">
        <v>443</v>
      </c>
      <c r="B4" s="80">
        <v>20427912</v>
      </c>
      <c r="C4" s="80" t="s">
        <v>444</v>
      </c>
      <c r="D4" s="81">
        <v>46175.0628289005</v>
      </c>
      <c r="E4" s="80" t="s">
        <v>445</v>
      </c>
      <c r="F4" s="80" t="s">
        <v>446</v>
      </c>
      <c r="G4" s="80">
        <v>170</v>
      </c>
      <c r="H4" s="82">
        <v>0</v>
      </c>
      <c r="I4" s="82">
        <v>4.4</v>
      </c>
      <c r="J4" s="82">
        <f>H4*I4</f>
        <v>0</v>
      </c>
      <c r="K4" s="82">
        <v>1</v>
      </c>
      <c r="L4" s="82">
        <v>40</v>
      </c>
      <c r="M4" s="82">
        <f>K4*L4</f>
        <v>40</v>
      </c>
      <c r="N4" s="82">
        <v>1</v>
      </c>
      <c r="O4" s="82">
        <v>120</v>
      </c>
      <c r="P4" s="82">
        <f>N4*O4</f>
        <v>120</v>
      </c>
      <c r="Q4" s="82">
        <f>J4+M4+P4</f>
        <v>160</v>
      </c>
    </row>
    <row r="5" customFormat="1" ht="22.5" customHeight="1" spans="1:17">
      <c r="A5" s="83" t="s">
        <v>443</v>
      </c>
      <c r="B5" s="83">
        <v>20427912</v>
      </c>
      <c r="C5" s="83" t="s">
        <v>444</v>
      </c>
      <c r="D5" s="84">
        <v>46175.0628289005</v>
      </c>
      <c r="E5" s="83" t="s">
        <v>447</v>
      </c>
      <c r="F5" s="83" t="s">
        <v>448</v>
      </c>
      <c r="G5" s="83">
        <v>1</v>
      </c>
      <c r="H5" s="85">
        <f>G5</f>
        <v>1</v>
      </c>
      <c r="I5" s="85">
        <v>4.4</v>
      </c>
      <c r="J5" s="85">
        <f t="shared" ref="J5:J36" si="0">H5*I5</f>
        <v>4.4</v>
      </c>
      <c r="K5" s="85">
        <v>0</v>
      </c>
      <c r="L5" s="85">
        <v>40</v>
      </c>
      <c r="M5" s="85">
        <f t="shared" ref="M5:M36" si="1">K5*L5</f>
        <v>0</v>
      </c>
      <c r="N5" s="85">
        <v>0</v>
      </c>
      <c r="O5" s="85">
        <v>120</v>
      </c>
      <c r="P5" s="85">
        <f t="shared" ref="P5:P36" si="2">N5*O5</f>
        <v>0</v>
      </c>
      <c r="Q5" s="85">
        <f t="shared" ref="Q5:Q36" si="3">J5+M5+P5</f>
        <v>4.4</v>
      </c>
    </row>
    <row r="6" customFormat="1" ht="22.5" customHeight="1" spans="1:17">
      <c r="A6" s="83" t="s">
        <v>443</v>
      </c>
      <c r="B6" s="83">
        <v>20427913</v>
      </c>
      <c r="C6" s="83" t="s">
        <v>449</v>
      </c>
      <c r="D6" s="84">
        <v>46175.0628309838</v>
      </c>
      <c r="E6" s="83" t="s">
        <v>445</v>
      </c>
      <c r="F6" s="83" t="s">
        <v>450</v>
      </c>
      <c r="G6" s="83">
        <v>17</v>
      </c>
      <c r="H6" s="85">
        <f t="shared" ref="H6:H42" si="4">G6</f>
        <v>17</v>
      </c>
      <c r="I6" s="85">
        <v>4.4</v>
      </c>
      <c r="J6" s="85">
        <f t="shared" si="0"/>
        <v>74.8</v>
      </c>
      <c r="K6" s="85">
        <v>0</v>
      </c>
      <c r="L6" s="85">
        <v>40</v>
      </c>
      <c r="M6" s="85">
        <f t="shared" si="1"/>
        <v>0</v>
      </c>
      <c r="N6" s="85">
        <v>0</v>
      </c>
      <c r="O6" s="85">
        <v>120</v>
      </c>
      <c r="P6" s="85">
        <f t="shared" si="2"/>
        <v>0</v>
      </c>
      <c r="Q6" s="85">
        <f t="shared" si="3"/>
        <v>74.8</v>
      </c>
    </row>
    <row r="7" customFormat="1" ht="22.5" customHeight="1" spans="1:17">
      <c r="A7" s="83" t="s">
        <v>443</v>
      </c>
      <c r="B7" s="83">
        <v>20427913</v>
      </c>
      <c r="C7" s="83" t="s">
        <v>449</v>
      </c>
      <c r="D7" s="84">
        <v>46175.0628309838</v>
      </c>
      <c r="E7" s="83" t="s">
        <v>445</v>
      </c>
      <c r="F7" s="83" t="s">
        <v>451</v>
      </c>
      <c r="G7" s="83">
        <v>8</v>
      </c>
      <c r="H7" s="85">
        <f t="shared" si="4"/>
        <v>8</v>
      </c>
      <c r="I7" s="85">
        <v>4.4</v>
      </c>
      <c r="J7" s="85">
        <f t="shared" si="0"/>
        <v>35.2</v>
      </c>
      <c r="K7" s="85">
        <v>0</v>
      </c>
      <c r="L7" s="85">
        <v>40</v>
      </c>
      <c r="M7" s="85">
        <f t="shared" si="1"/>
        <v>0</v>
      </c>
      <c r="N7" s="85">
        <v>0</v>
      </c>
      <c r="O7" s="85">
        <v>120</v>
      </c>
      <c r="P7" s="85">
        <f t="shared" si="2"/>
        <v>0</v>
      </c>
      <c r="Q7" s="85">
        <f t="shared" si="3"/>
        <v>35.2</v>
      </c>
    </row>
    <row r="8" customFormat="1" ht="22.5" customHeight="1" spans="1:17">
      <c r="A8" s="83" t="s">
        <v>443</v>
      </c>
      <c r="B8" s="83">
        <v>20427913</v>
      </c>
      <c r="C8" s="83" t="s">
        <v>449</v>
      </c>
      <c r="D8" s="84">
        <v>46175.0628309838</v>
      </c>
      <c r="E8" s="83" t="s">
        <v>447</v>
      </c>
      <c r="F8" s="83" t="s">
        <v>448</v>
      </c>
      <c r="G8" s="83">
        <v>1</v>
      </c>
      <c r="H8" s="85">
        <f t="shared" si="4"/>
        <v>1</v>
      </c>
      <c r="I8" s="85">
        <v>4.4</v>
      </c>
      <c r="J8" s="85">
        <f t="shared" si="0"/>
        <v>4.4</v>
      </c>
      <c r="K8" s="85">
        <v>0</v>
      </c>
      <c r="L8" s="85">
        <v>40</v>
      </c>
      <c r="M8" s="85">
        <f t="shared" si="1"/>
        <v>0</v>
      </c>
      <c r="N8" s="85">
        <v>0</v>
      </c>
      <c r="O8" s="85">
        <v>120</v>
      </c>
      <c r="P8" s="85">
        <f t="shared" si="2"/>
        <v>0</v>
      </c>
      <c r="Q8" s="85">
        <f t="shared" si="3"/>
        <v>4.4</v>
      </c>
    </row>
    <row r="9" customFormat="1" ht="22.5" customHeight="1" spans="1:17">
      <c r="A9" s="83" t="s">
        <v>443</v>
      </c>
      <c r="B9" s="83">
        <v>20427914</v>
      </c>
      <c r="C9" s="83" t="s">
        <v>452</v>
      </c>
      <c r="D9" s="84">
        <v>46175.0628328356</v>
      </c>
      <c r="E9" s="83" t="s">
        <v>445</v>
      </c>
      <c r="F9" s="83" t="s">
        <v>450</v>
      </c>
      <c r="G9" s="83">
        <v>35</v>
      </c>
      <c r="H9" s="85">
        <f t="shared" si="4"/>
        <v>35</v>
      </c>
      <c r="I9" s="85">
        <v>4.4</v>
      </c>
      <c r="J9" s="85">
        <f t="shared" si="0"/>
        <v>154</v>
      </c>
      <c r="K9" s="85">
        <v>0</v>
      </c>
      <c r="L9" s="85">
        <v>40</v>
      </c>
      <c r="M9" s="85">
        <f t="shared" si="1"/>
        <v>0</v>
      </c>
      <c r="N9" s="85">
        <v>0</v>
      </c>
      <c r="O9" s="85">
        <v>120</v>
      </c>
      <c r="P9" s="85">
        <f t="shared" si="2"/>
        <v>0</v>
      </c>
      <c r="Q9" s="85">
        <f t="shared" si="3"/>
        <v>154</v>
      </c>
    </row>
    <row r="10" customFormat="1" ht="22.5" customHeight="1" spans="1:17">
      <c r="A10" s="83" t="s">
        <v>443</v>
      </c>
      <c r="B10" s="83">
        <v>20427914</v>
      </c>
      <c r="C10" s="83" t="s">
        <v>452</v>
      </c>
      <c r="D10" s="84">
        <v>46175.0628328356</v>
      </c>
      <c r="E10" s="83" t="s">
        <v>445</v>
      </c>
      <c r="F10" s="83" t="s">
        <v>453</v>
      </c>
      <c r="G10" s="83">
        <v>6</v>
      </c>
      <c r="H10" s="85">
        <f t="shared" si="4"/>
        <v>6</v>
      </c>
      <c r="I10" s="85">
        <v>4.4</v>
      </c>
      <c r="J10" s="85">
        <f t="shared" si="0"/>
        <v>26.4</v>
      </c>
      <c r="K10" s="85">
        <v>0</v>
      </c>
      <c r="L10" s="85">
        <v>40</v>
      </c>
      <c r="M10" s="85">
        <f t="shared" si="1"/>
        <v>0</v>
      </c>
      <c r="N10" s="85">
        <v>0</v>
      </c>
      <c r="O10" s="85">
        <v>120</v>
      </c>
      <c r="P10" s="85">
        <f t="shared" si="2"/>
        <v>0</v>
      </c>
      <c r="Q10" s="85">
        <f t="shared" si="3"/>
        <v>26.4</v>
      </c>
    </row>
    <row r="11" customFormat="1" ht="22.5" customHeight="1" spans="1:17">
      <c r="A11" s="83" t="s">
        <v>443</v>
      </c>
      <c r="B11" s="83">
        <v>20427914</v>
      </c>
      <c r="C11" s="83" t="s">
        <v>452</v>
      </c>
      <c r="D11" s="84">
        <v>46175.0628328356</v>
      </c>
      <c r="E11" s="83" t="s">
        <v>447</v>
      </c>
      <c r="F11" s="83" t="s">
        <v>448</v>
      </c>
      <c r="G11" s="83">
        <v>1</v>
      </c>
      <c r="H11" s="85">
        <f t="shared" si="4"/>
        <v>1</v>
      </c>
      <c r="I11" s="85">
        <v>4.4</v>
      </c>
      <c r="J11" s="85">
        <f t="shared" si="0"/>
        <v>4.4</v>
      </c>
      <c r="K11" s="85">
        <v>0</v>
      </c>
      <c r="L11" s="85">
        <v>40</v>
      </c>
      <c r="M11" s="85">
        <f t="shared" si="1"/>
        <v>0</v>
      </c>
      <c r="N11" s="85">
        <v>0</v>
      </c>
      <c r="O11" s="85">
        <v>120</v>
      </c>
      <c r="P11" s="85">
        <f t="shared" si="2"/>
        <v>0</v>
      </c>
      <c r="Q11" s="85">
        <f t="shared" si="3"/>
        <v>4.4</v>
      </c>
    </row>
    <row r="12" customFormat="1" ht="22.5" customHeight="1" spans="1:17">
      <c r="A12" s="83" t="s">
        <v>443</v>
      </c>
      <c r="B12" s="83">
        <v>20428278</v>
      </c>
      <c r="C12" s="83" t="s">
        <v>454</v>
      </c>
      <c r="D12" s="84">
        <v>46176.589119294</v>
      </c>
      <c r="E12" s="83" t="s">
        <v>445</v>
      </c>
      <c r="F12" s="83" t="s">
        <v>455</v>
      </c>
      <c r="G12" s="83">
        <v>20</v>
      </c>
      <c r="H12" s="85">
        <f t="shared" si="4"/>
        <v>20</v>
      </c>
      <c r="I12" s="85">
        <v>4.4</v>
      </c>
      <c r="J12" s="85">
        <f t="shared" si="0"/>
        <v>88</v>
      </c>
      <c r="K12" s="85">
        <v>0</v>
      </c>
      <c r="L12" s="85">
        <v>40</v>
      </c>
      <c r="M12" s="85">
        <f t="shared" si="1"/>
        <v>0</v>
      </c>
      <c r="N12" s="85">
        <v>0</v>
      </c>
      <c r="O12" s="85">
        <v>120</v>
      </c>
      <c r="P12" s="85">
        <f t="shared" si="2"/>
        <v>0</v>
      </c>
      <c r="Q12" s="85">
        <f t="shared" si="3"/>
        <v>88</v>
      </c>
    </row>
    <row r="13" customFormat="1" ht="22.5" customHeight="1" spans="1:17">
      <c r="A13" s="83" t="s">
        <v>443</v>
      </c>
      <c r="B13" s="83">
        <v>20428278</v>
      </c>
      <c r="C13" s="83" t="s">
        <v>454</v>
      </c>
      <c r="D13" s="84">
        <v>46176.589119294</v>
      </c>
      <c r="E13" s="83" t="s">
        <v>447</v>
      </c>
      <c r="F13" s="83" t="s">
        <v>448</v>
      </c>
      <c r="G13" s="83">
        <v>1</v>
      </c>
      <c r="H13" s="85">
        <f t="shared" si="4"/>
        <v>1</v>
      </c>
      <c r="I13" s="85">
        <v>4.4</v>
      </c>
      <c r="J13" s="85">
        <f t="shared" si="0"/>
        <v>4.4</v>
      </c>
      <c r="K13" s="85">
        <v>0</v>
      </c>
      <c r="L13" s="85">
        <v>40</v>
      </c>
      <c r="M13" s="85">
        <f t="shared" si="1"/>
        <v>0</v>
      </c>
      <c r="N13" s="85">
        <v>0</v>
      </c>
      <c r="O13" s="85">
        <v>120</v>
      </c>
      <c r="P13" s="85">
        <f t="shared" si="2"/>
        <v>0</v>
      </c>
      <c r="Q13" s="85">
        <f t="shared" si="3"/>
        <v>4.4</v>
      </c>
    </row>
    <row r="14" customFormat="1" ht="22.5" customHeight="1" spans="1:17">
      <c r="A14" s="83" t="s">
        <v>443</v>
      </c>
      <c r="B14" s="83">
        <v>20428279</v>
      </c>
      <c r="C14" s="83" t="s">
        <v>456</v>
      </c>
      <c r="D14" s="84">
        <v>46176.589122338</v>
      </c>
      <c r="E14" s="83" t="s">
        <v>445</v>
      </c>
      <c r="F14" s="83" t="s">
        <v>455</v>
      </c>
      <c r="G14" s="83">
        <v>17</v>
      </c>
      <c r="H14" s="85">
        <f t="shared" si="4"/>
        <v>17</v>
      </c>
      <c r="I14" s="85">
        <v>4.4</v>
      </c>
      <c r="J14" s="85">
        <f t="shared" si="0"/>
        <v>74.8</v>
      </c>
      <c r="K14" s="85">
        <v>0</v>
      </c>
      <c r="L14" s="85">
        <v>40</v>
      </c>
      <c r="M14" s="85">
        <f t="shared" si="1"/>
        <v>0</v>
      </c>
      <c r="N14" s="85">
        <v>0</v>
      </c>
      <c r="O14" s="85">
        <v>120</v>
      </c>
      <c r="P14" s="85">
        <f t="shared" si="2"/>
        <v>0</v>
      </c>
      <c r="Q14" s="85">
        <f t="shared" si="3"/>
        <v>74.8</v>
      </c>
    </row>
    <row r="15" customFormat="1" ht="22.5" customHeight="1" spans="1:17">
      <c r="A15" s="83" t="s">
        <v>443</v>
      </c>
      <c r="B15" s="83">
        <v>20428279</v>
      </c>
      <c r="C15" s="83" t="s">
        <v>456</v>
      </c>
      <c r="D15" s="84">
        <v>46176.589122338</v>
      </c>
      <c r="E15" s="83" t="s">
        <v>447</v>
      </c>
      <c r="F15" s="83" t="s">
        <v>448</v>
      </c>
      <c r="G15" s="83">
        <v>1</v>
      </c>
      <c r="H15" s="85">
        <f t="shared" si="4"/>
        <v>1</v>
      </c>
      <c r="I15" s="85">
        <v>4.4</v>
      </c>
      <c r="J15" s="85">
        <f t="shared" si="0"/>
        <v>4.4</v>
      </c>
      <c r="K15" s="85">
        <v>0</v>
      </c>
      <c r="L15" s="85">
        <v>40</v>
      </c>
      <c r="M15" s="85">
        <f t="shared" si="1"/>
        <v>0</v>
      </c>
      <c r="N15" s="85">
        <v>0</v>
      </c>
      <c r="O15" s="85">
        <v>120</v>
      </c>
      <c r="P15" s="85">
        <f t="shared" si="2"/>
        <v>0</v>
      </c>
      <c r="Q15" s="85">
        <f t="shared" si="3"/>
        <v>4.4</v>
      </c>
    </row>
    <row r="16" customFormat="1" ht="22.5" customHeight="1" spans="1:17">
      <c r="A16" s="83" t="s">
        <v>443</v>
      </c>
      <c r="B16" s="83">
        <v>20428280</v>
      </c>
      <c r="C16" s="83" t="s">
        <v>457</v>
      </c>
      <c r="D16" s="84">
        <v>46176.5891267014</v>
      </c>
      <c r="E16" s="83" t="s">
        <v>445</v>
      </c>
      <c r="F16" s="83" t="s">
        <v>455</v>
      </c>
      <c r="G16" s="83">
        <v>39</v>
      </c>
      <c r="H16" s="85">
        <f t="shared" si="4"/>
        <v>39</v>
      </c>
      <c r="I16" s="85">
        <v>4.4</v>
      </c>
      <c r="J16" s="85">
        <f t="shared" si="0"/>
        <v>171.6</v>
      </c>
      <c r="K16" s="85">
        <v>0</v>
      </c>
      <c r="L16" s="85">
        <v>40</v>
      </c>
      <c r="M16" s="85">
        <f t="shared" si="1"/>
        <v>0</v>
      </c>
      <c r="N16" s="85">
        <v>0</v>
      </c>
      <c r="O16" s="85">
        <v>120</v>
      </c>
      <c r="P16" s="85">
        <f t="shared" si="2"/>
        <v>0</v>
      </c>
      <c r="Q16" s="85">
        <f t="shared" si="3"/>
        <v>171.6</v>
      </c>
    </row>
    <row r="17" customFormat="1" ht="22.5" customHeight="1" spans="1:17">
      <c r="A17" s="83" t="s">
        <v>443</v>
      </c>
      <c r="B17" s="83">
        <v>20428280</v>
      </c>
      <c r="C17" s="83" t="s">
        <v>457</v>
      </c>
      <c r="D17" s="84">
        <v>46176.5891267014</v>
      </c>
      <c r="E17" s="83" t="s">
        <v>447</v>
      </c>
      <c r="F17" s="83" t="s">
        <v>448</v>
      </c>
      <c r="G17" s="83">
        <v>1</v>
      </c>
      <c r="H17" s="85">
        <f t="shared" si="4"/>
        <v>1</v>
      </c>
      <c r="I17" s="85">
        <v>4.4</v>
      </c>
      <c r="J17" s="85">
        <f t="shared" si="0"/>
        <v>4.4</v>
      </c>
      <c r="K17" s="85">
        <v>0</v>
      </c>
      <c r="L17" s="85">
        <v>40</v>
      </c>
      <c r="M17" s="85">
        <f t="shared" si="1"/>
        <v>0</v>
      </c>
      <c r="N17" s="85">
        <v>0</v>
      </c>
      <c r="O17" s="85">
        <v>120</v>
      </c>
      <c r="P17" s="85">
        <f t="shared" si="2"/>
        <v>0</v>
      </c>
      <c r="Q17" s="85">
        <f t="shared" si="3"/>
        <v>4.4</v>
      </c>
    </row>
    <row r="18" customFormat="1" ht="22.5" customHeight="1" spans="1:17">
      <c r="A18" s="83" t="s">
        <v>443</v>
      </c>
      <c r="B18" s="83">
        <v>20428281</v>
      </c>
      <c r="C18" s="83" t="s">
        <v>458</v>
      </c>
      <c r="D18" s="84">
        <v>46176.5891290509</v>
      </c>
      <c r="E18" s="83" t="s">
        <v>445</v>
      </c>
      <c r="F18" s="83" t="s">
        <v>455</v>
      </c>
      <c r="G18" s="83">
        <v>22</v>
      </c>
      <c r="H18" s="85">
        <f t="shared" si="4"/>
        <v>22</v>
      </c>
      <c r="I18" s="85">
        <v>4.4</v>
      </c>
      <c r="J18" s="85">
        <f t="shared" si="0"/>
        <v>96.8</v>
      </c>
      <c r="K18" s="85">
        <v>0</v>
      </c>
      <c r="L18" s="85">
        <v>40</v>
      </c>
      <c r="M18" s="85">
        <f t="shared" si="1"/>
        <v>0</v>
      </c>
      <c r="N18" s="85">
        <v>0</v>
      </c>
      <c r="O18" s="85">
        <v>120</v>
      </c>
      <c r="P18" s="85">
        <f t="shared" si="2"/>
        <v>0</v>
      </c>
      <c r="Q18" s="85">
        <f t="shared" si="3"/>
        <v>96.8</v>
      </c>
    </row>
    <row r="19" customFormat="1" ht="22.5" customHeight="1" spans="1:17">
      <c r="A19" s="83" t="s">
        <v>443</v>
      </c>
      <c r="B19" s="83">
        <v>20428281</v>
      </c>
      <c r="C19" s="83" t="s">
        <v>458</v>
      </c>
      <c r="D19" s="84">
        <v>46176.5891290509</v>
      </c>
      <c r="E19" s="83" t="s">
        <v>447</v>
      </c>
      <c r="F19" s="83" t="s">
        <v>448</v>
      </c>
      <c r="G19" s="83">
        <v>1</v>
      </c>
      <c r="H19" s="85">
        <f t="shared" si="4"/>
        <v>1</v>
      </c>
      <c r="I19" s="85">
        <v>4.4</v>
      </c>
      <c r="J19" s="85">
        <f t="shared" si="0"/>
        <v>4.4</v>
      </c>
      <c r="K19" s="85">
        <v>0</v>
      </c>
      <c r="L19" s="85">
        <v>40</v>
      </c>
      <c r="M19" s="85">
        <f t="shared" si="1"/>
        <v>0</v>
      </c>
      <c r="N19" s="85">
        <v>0</v>
      </c>
      <c r="O19" s="85">
        <v>120</v>
      </c>
      <c r="P19" s="85">
        <f t="shared" si="2"/>
        <v>0</v>
      </c>
      <c r="Q19" s="85">
        <f t="shared" si="3"/>
        <v>4.4</v>
      </c>
    </row>
    <row r="20" customFormat="1" ht="22.5" customHeight="1" spans="1:17">
      <c r="A20" s="83" t="s">
        <v>443</v>
      </c>
      <c r="B20" s="83">
        <v>20428282</v>
      </c>
      <c r="C20" s="83" t="s">
        <v>459</v>
      </c>
      <c r="D20" s="84">
        <v>46176.589134456</v>
      </c>
      <c r="E20" s="83" t="s">
        <v>445</v>
      </c>
      <c r="F20" s="83" t="s">
        <v>455</v>
      </c>
      <c r="G20" s="83">
        <v>14</v>
      </c>
      <c r="H20" s="85">
        <f t="shared" si="4"/>
        <v>14</v>
      </c>
      <c r="I20" s="85">
        <v>4.4</v>
      </c>
      <c r="J20" s="85">
        <f t="shared" si="0"/>
        <v>61.6</v>
      </c>
      <c r="K20" s="85">
        <v>0</v>
      </c>
      <c r="L20" s="85">
        <v>40</v>
      </c>
      <c r="M20" s="85">
        <f t="shared" si="1"/>
        <v>0</v>
      </c>
      <c r="N20" s="85">
        <v>0</v>
      </c>
      <c r="O20" s="85">
        <v>120</v>
      </c>
      <c r="P20" s="85">
        <f t="shared" si="2"/>
        <v>0</v>
      </c>
      <c r="Q20" s="85">
        <f t="shared" si="3"/>
        <v>61.6</v>
      </c>
    </row>
    <row r="21" customFormat="1" ht="22.5" customHeight="1" spans="1:17">
      <c r="A21" s="83" t="s">
        <v>443</v>
      </c>
      <c r="B21" s="83">
        <v>20428282</v>
      </c>
      <c r="C21" s="83" t="s">
        <v>459</v>
      </c>
      <c r="D21" s="84">
        <v>46176.589134456</v>
      </c>
      <c r="E21" s="83" t="s">
        <v>447</v>
      </c>
      <c r="F21" s="83" t="s">
        <v>460</v>
      </c>
      <c r="G21" s="83">
        <v>1</v>
      </c>
      <c r="H21" s="85">
        <f t="shared" si="4"/>
        <v>1</v>
      </c>
      <c r="I21" s="85">
        <v>4.4</v>
      </c>
      <c r="J21" s="85">
        <f t="shared" si="0"/>
        <v>4.4</v>
      </c>
      <c r="K21" s="85">
        <v>0</v>
      </c>
      <c r="L21" s="85">
        <v>40</v>
      </c>
      <c r="M21" s="85">
        <f t="shared" si="1"/>
        <v>0</v>
      </c>
      <c r="N21" s="85">
        <v>0</v>
      </c>
      <c r="O21" s="85">
        <v>120</v>
      </c>
      <c r="P21" s="85">
        <f t="shared" si="2"/>
        <v>0</v>
      </c>
      <c r="Q21" s="85">
        <f t="shared" si="3"/>
        <v>4.4</v>
      </c>
    </row>
    <row r="22" customFormat="1" ht="22.5" customHeight="1" spans="1:17">
      <c r="A22" s="83" t="s">
        <v>443</v>
      </c>
      <c r="B22" s="83">
        <v>20429157</v>
      </c>
      <c r="C22" s="83" t="s">
        <v>461</v>
      </c>
      <c r="D22" s="84">
        <v>46183.0689265046</v>
      </c>
      <c r="E22" s="83" t="s">
        <v>445</v>
      </c>
      <c r="F22" s="83" t="s">
        <v>450</v>
      </c>
      <c r="G22" s="83">
        <v>2</v>
      </c>
      <c r="H22" s="85">
        <f t="shared" si="4"/>
        <v>2</v>
      </c>
      <c r="I22" s="85">
        <v>4.4</v>
      </c>
      <c r="J22" s="85">
        <f t="shared" si="0"/>
        <v>8.8</v>
      </c>
      <c r="K22" s="85">
        <v>0</v>
      </c>
      <c r="L22" s="85">
        <v>40</v>
      </c>
      <c r="M22" s="85">
        <f t="shared" si="1"/>
        <v>0</v>
      </c>
      <c r="N22" s="85">
        <v>0</v>
      </c>
      <c r="O22" s="85">
        <v>120</v>
      </c>
      <c r="P22" s="85">
        <f t="shared" si="2"/>
        <v>0</v>
      </c>
      <c r="Q22" s="85">
        <f t="shared" si="3"/>
        <v>8.8</v>
      </c>
    </row>
    <row r="23" customFormat="1" ht="22.5" customHeight="1" spans="1:17">
      <c r="A23" s="83" t="s">
        <v>443</v>
      </c>
      <c r="B23" s="83">
        <v>20429157</v>
      </c>
      <c r="C23" s="83" t="s">
        <v>461</v>
      </c>
      <c r="D23" s="84">
        <v>46183.0689265046</v>
      </c>
      <c r="E23" s="83" t="s">
        <v>447</v>
      </c>
      <c r="F23" s="83" t="s">
        <v>460</v>
      </c>
      <c r="G23" s="83">
        <v>1</v>
      </c>
      <c r="H23" s="85">
        <f t="shared" si="4"/>
        <v>1</v>
      </c>
      <c r="I23" s="85">
        <v>4.4</v>
      </c>
      <c r="J23" s="85">
        <f t="shared" si="0"/>
        <v>4.4</v>
      </c>
      <c r="K23" s="85">
        <v>0</v>
      </c>
      <c r="L23" s="85">
        <v>40</v>
      </c>
      <c r="M23" s="85">
        <f t="shared" si="1"/>
        <v>0</v>
      </c>
      <c r="N23" s="85">
        <v>0</v>
      </c>
      <c r="O23" s="85">
        <v>120</v>
      </c>
      <c r="P23" s="85">
        <f t="shared" si="2"/>
        <v>0</v>
      </c>
      <c r="Q23" s="85">
        <f t="shared" si="3"/>
        <v>4.4</v>
      </c>
    </row>
    <row r="24" customFormat="1" ht="22.5" customHeight="1" spans="1:17">
      <c r="A24" s="83" t="s">
        <v>443</v>
      </c>
      <c r="B24" s="83">
        <v>20429158</v>
      </c>
      <c r="C24" s="83" t="s">
        <v>462</v>
      </c>
      <c r="D24" s="84">
        <v>46183.0689284375</v>
      </c>
      <c r="E24" s="83" t="s">
        <v>445</v>
      </c>
      <c r="F24" s="83" t="s">
        <v>450</v>
      </c>
      <c r="G24" s="83">
        <v>16</v>
      </c>
      <c r="H24" s="85">
        <f t="shared" si="4"/>
        <v>16</v>
      </c>
      <c r="I24" s="85">
        <v>4.4</v>
      </c>
      <c r="J24" s="85">
        <f t="shared" si="0"/>
        <v>70.4</v>
      </c>
      <c r="K24" s="85">
        <v>0</v>
      </c>
      <c r="L24" s="85">
        <v>40</v>
      </c>
      <c r="M24" s="85">
        <f t="shared" si="1"/>
        <v>0</v>
      </c>
      <c r="N24" s="85">
        <v>0</v>
      </c>
      <c r="O24" s="85">
        <v>120</v>
      </c>
      <c r="P24" s="85">
        <f t="shared" si="2"/>
        <v>0</v>
      </c>
      <c r="Q24" s="85">
        <f t="shared" si="3"/>
        <v>70.4</v>
      </c>
    </row>
    <row r="25" customFormat="1" ht="22.5" customHeight="1" spans="1:17">
      <c r="A25" s="83" t="s">
        <v>443</v>
      </c>
      <c r="B25" s="83">
        <v>20429158</v>
      </c>
      <c r="C25" s="83" t="s">
        <v>462</v>
      </c>
      <c r="D25" s="84">
        <v>46183.0689284375</v>
      </c>
      <c r="E25" s="83" t="s">
        <v>447</v>
      </c>
      <c r="F25" s="83" t="s">
        <v>460</v>
      </c>
      <c r="G25" s="83">
        <v>1</v>
      </c>
      <c r="H25" s="85">
        <f t="shared" si="4"/>
        <v>1</v>
      </c>
      <c r="I25" s="85">
        <v>4.4</v>
      </c>
      <c r="J25" s="85">
        <f t="shared" si="0"/>
        <v>4.4</v>
      </c>
      <c r="K25" s="85">
        <v>0</v>
      </c>
      <c r="L25" s="85">
        <v>40</v>
      </c>
      <c r="M25" s="85">
        <f t="shared" si="1"/>
        <v>0</v>
      </c>
      <c r="N25" s="85">
        <v>0</v>
      </c>
      <c r="O25" s="85">
        <v>120</v>
      </c>
      <c r="P25" s="85">
        <f t="shared" si="2"/>
        <v>0</v>
      </c>
      <c r="Q25" s="85">
        <f t="shared" si="3"/>
        <v>4.4</v>
      </c>
    </row>
    <row r="26" customFormat="1" ht="22.5" customHeight="1" spans="1:17">
      <c r="A26" s="83" t="s">
        <v>443</v>
      </c>
      <c r="B26" s="83">
        <v>20429159</v>
      </c>
      <c r="C26" s="83" t="s">
        <v>463</v>
      </c>
      <c r="D26" s="84">
        <v>46183.0689301736</v>
      </c>
      <c r="E26" s="83" t="s">
        <v>445</v>
      </c>
      <c r="F26" s="83" t="s">
        <v>450</v>
      </c>
      <c r="G26" s="83">
        <v>42</v>
      </c>
      <c r="H26" s="85">
        <f t="shared" si="4"/>
        <v>42</v>
      </c>
      <c r="I26" s="85">
        <v>4.4</v>
      </c>
      <c r="J26" s="85">
        <f t="shared" si="0"/>
        <v>184.8</v>
      </c>
      <c r="K26" s="85">
        <v>0</v>
      </c>
      <c r="L26" s="85">
        <v>40</v>
      </c>
      <c r="M26" s="85">
        <f t="shared" si="1"/>
        <v>0</v>
      </c>
      <c r="N26" s="85">
        <v>0</v>
      </c>
      <c r="O26" s="85">
        <v>120</v>
      </c>
      <c r="P26" s="85">
        <f t="shared" si="2"/>
        <v>0</v>
      </c>
      <c r="Q26" s="85">
        <f t="shared" si="3"/>
        <v>184.8</v>
      </c>
    </row>
    <row r="27" customFormat="1" ht="22.5" customHeight="1" spans="1:17">
      <c r="A27" s="83" t="s">
        <v>443</v>
      </c>
      <c r="B27" s="83">
        <v>20429159</v>
      </c>
      <c r="C27" s="83" t="s">
        <v>463</v>
      </c>
      <c r="D27" s="84">
        <v>46183.0689301736</v>
      </c>
      <c r="E27" s="83" t="s">
        <v>447</v>
      </c>
      <c r="F27" s="83" t="s">
        <v>448</v>
      </c>
      <c r="G27" s="83">
        <v>1</v>
      </c>
      <c r="H27" s="85">
        <f t="shared" si="4"/>
        <v>1</v>
      </c>
      <c r="I27" s="85">
        <v>4.4</v>
      </c>
      <c r="J27" s="85">
        <f t="shared" si="0"/>
        <v>4.4</v>
      </c>
      <c r="K27" s="85">
        <v>0</v>
      </c>
      <c r="L27" s="85">
        <v>40</v>
      </c>
      <c r="M27" s="85">
        <f t="shared" si="1"/>
        <v>0</v>
      </c>
      <c r="N27" s="85">
        <v>0</v>
      </c>
      <c r="O27" s="85">
        <v>120</v>
      </c>
      <c r="P27" s="85">
        <f t="shared" si="2"/>
        <v>0</v>
      </c>
      <c r="Q27" s="85">
        <f t="shared" si="3"/>
        <v>4.4</v>
      </c>
    </row>
    <row r="28" customFormat="1" ht="22.5" customHeight="1" spans="1:17">
      <c r="A28" s="83" t="s">
        <v>443</v>
      </c>
      <c r="B28" s="83">
        <v>20429818</v>
      </c>
      <c r="C28" s="83" t="s">
        <v>464</v>
      </c>
      <c r="D28" s="84">
        <v>46189.1153191782</v>
      </c>
      <c r="E28" s="83" t="s">
        <v>445</v>
      </c>
      <c r="F28" s="83" t="s">
        <v>455</v>
      </c>
      <c r="G28" s="83">
        <v>15</v>
      </c>
      <c r="H28" s="85">
        <f t="shared" si="4"/>
        <v>15</v>
      </c>
      <c r="I28" s="85">
        <v>4.4</v>
      </c>
      <c r="J28" s="85">
        <f t="shared" si="0"/>
        <v>66</v>
      </c>
      <c r="K28" s="85">
        <v>0</v>
      </c>
      <c r="L28" s="85">
        <v>40</v>
      </c>
      <c r="M28" s="85">
        <f t="shared" si="1"/>
        <v>0</v>
      </c>
      <c r="N28" s="85">
        <v>0</v>
      </c>
      <c r="O28" s="85">
        <v>120</v>
      </c>
      <c r="P28" s="85">
        <f t="shared" si="2"/>
        <v>0</v>
      </c>
      <c r="Q28" s="85">
        <f t="shared" si="3"/>
        <v>66</v>
      </c>
    </row>
    <row r="29" customFormat="1" ht="22.5" customHeight="1" spans="1:17">
      <c r="A29" s="83" t="s">
        <v>443</v>
      </c>
      <c r="B29" s="83">
        <v>20429818</v>
      </c>
      <c r="C29" s="83" t="s">
        <v>464</v>
      </c>
      <c r="D29" s="84">
        <v>46189.1153191782</v>
      </c>
      <c r="E29" s="83" t="s">
        <v>447</v>
      </c>
      <c r="F29" s="83" t="s">
        <v>460</v>
      </c>
      <c r="G29" s="83">
        <v>1</v>
      </c>
      <c r="H29" s="85">
        <f t="shared" si="4"/>
        <v>1</v>
      </c>
      <c r="I29" s="85">
        <v>4.4</v>
      </c>
      <c r="J29" s="85">
        <f t="shared" si="0"/>
        <v>4.4</v>
      </c>
      <c r="K29" s="85">
        <v>0</v>
      </c>
      <c r="L29" s="85">
        <v>40</v>
      </c>
      <c r="M29" s="85">
        <f t="shared" si="1"/>
        <v>0</v>
      </c>
      <c r="N29" s="85">
        <v>0</v>
      </c>
      <c r="O29" s="85">
        <v>120</v>
      </c>
      <c r="P29" s="85">
        <f t="shared" si="2"/>
        <v>0</v>
      </c>
      <c r="Q29" s="85">
        <f t="shared" si="3"/>
        <v>4.4</v>
      </c>
    </row>
    <row r="30" customFormat="1" ht="22.5" customHeight="1" spans="1:17">
      <c r="A30" s="83" t="s">
        <v>443</v>
      </c>
      <c r="B30" s="83">
        <v>20429819</v>
      </c>
      <c r="C30" s="83" t="s">
        <v>465</v>
      </c>
      <c r="D30" s="84">
        <v>46189.1153230671</v>
      </c>
      <c r="E30" s="83" t="s">
        <v>445</v>
      </c>
      <c r="F30" s="83" t="s">
        <v>455</v>
      </c>
      <c r="G30" s="83">
        <v>24</v>
      </c>
      <c r="H30" s="85">
        <f t="shared" si="4"/>
        <v>24</v>
      </c>
      <c r="I30" s="85">
        <v>4.4</v>
      </c>
      <c r="J30" s="85">
        <f t="shared" si="0"/>
        <v>105.6</v>
      </c>
      <c r="K30" s="85">
        <v>0</v>
      </c>
      <c r="L30" s="85">
        <v>40</v>
      </c>
      <c r="M30" s="85">
        <f t="shared" si="1"/>
        <v>0</v>
      </c>
      <c r="N30" s="85">
        <v>0</v>
      </c>
      <c r="O30" s="85">
        <v>120</v>
      </c>
      <c r="P30" s="85">
        <f t="shared" si="2"/>
        <v>0</v>
      </c>
      <c r="Q30" s="85">
        <f t="shared" si="3"/>
        <v>105.6</v>
      </c>
    </row>
    <row r="31" customFormat="1" ht="22.5" customHeight="1" spans="1:17">
      <c r="A31" s="83" t="s">
        <v>443</v>
      </c>
      <c r="B31" s="83">
        <v>20429819</v>
      </c>
      <c r="C31" s="83" t="s">
        <v>465</v>
      </c>
      <c r="D31" s="84">
        <v>46189.1153230671</v>
      </c>
      <c r="E31" s="83" t="s">
        <v>447</v>
      </c>
      <c r="F31" s="83" t="s">
        <v>448</v>
      </c>
      <c r="G31" s="83">
        <v>1</v>
      </c>
      <c r="H31" s="85">
        <f t="shared" si="4"/>
        <v>1</v>
      </c>
      <c r="I31" s="85">
        <v>4.4</v>
      </c>
      <c r="J31" s="85">
        <f t="shared" si="0"/>
        <v>4.4</v>
      </c>
      <c r="K31" s="85">
        <v>0</v>
      </c>
      <c r="L31" s="85">
        <v>40</v>
      </c>
      <c r="M31" s="85">
        <f t="shared" si="1"/>
        <v>0</v>
      </c>
      <c r="N31" s="85">
        <v>0</v>
      </c>
      <c r="O31" s="85">
        <v>120</v>
      </c>
      <c r="P31" s="85">
        <f t="shared" si="2"/>
        <v>0</v>
      </c>
      <c r="Q31" s="85">
        <f t="shared" si="3"/>
        <v>4.4</v>
      </c>
    </row>
    <row r="32" customFormat="1" ht="22.5" customHeight="1" spans="1:17">
      <c r="A32" s="83" t="s">
        <v>443</v>
      </c>
      <c r="B32" s="83">
        <v>20430401</v>
      </c>
      <c r="C32" s="83" t="s">
        <v>466</v>
      </c>
      <c r="D32" s="84">
        <v>46192.5650886921</v>
      </c>
      <c r="E32" s="83" t="s">
        <v>445</v>
      </c>
      <c r="F32" s="83" t="s">
        <v>455</v>
      </c>
      <c r="G32" s="83">
        <v>44</v>
      </c>
      <c r="H32" s="85">
        <f t="shared" si="4"/>
        <v>44</v>
      </c>
      <c r="I32" s="85">
        <v>4.4</v>
      </c>
      <c r="J32" s="85">
        <f t="shared" si="0"/>
        <v>193.6</v>
      </c>
      <c r="K32" s="85">
        <v>0</v>
      </c>
      <c r="L32" s="85">
        <v>40</v>
      </c>
      <c r="M32" s="85">
        <f t="shared" si="1"/>
        <v>0</v>
      </c>
      <c r="N32" s="85">
        <v>0</v>
      </c>
      <c r="O32" s="85">
        <v>120</v>
      </c>
      <c r="P32" s="85">
        <f t="shared" si="2"/>
        <v>0</v>
      </c>
      <c r="Q32" s="85">
        <f t="shared" si="3"/>
        <v>193.6</v>
      </c>
    </row>
    <row r="33" customFormat="1" ht="22.5" customHeight="1" spans="1:17">
      <c r="A33" s="83" t="s">
        <v>443</v>
      </c>
      <c r="B33" s="83">
        <v>20430401</v>
      </c>
      <c r="C33" s="83" t="s">
        <v>466</v>
      </c>
      <c r="D33" s="84">
        <v>46192.5650886921</v>
      </c>
      <c r="E33" s="83" t="s">
        <v>447</v>
      </c>
      <c r="F33" s="83" t="s">
        <v>460</v>
      </c>
      <c r="G33" s="83">
        <v>1</v>
      </c>
      <c r="H33" s="85">
        <f t="shared" si="4"/>
        <v>1</v>
      </c>
      <c r="I33" s="85">
        <v>4.4</v>
      </c>
      <c r="J33" s="85">
        <f t="shared" si="0"/>
        <v>4.4</v>
      </c>
      <c r="K33" s="85">
        <v>0</v>
      </c>
      <c r="L33" s="85">
        <v>40</v>
      </c>
      <c r="M33" s="85">
        <f t="shared" si="1"/>
        <v>0</v>
      </c>
      <c r="N33" s="85">
        <v>0</v>
      </c>
      <c r="O33" s="85">
        <v>120</v>
      </c>
      <c r="P33" s="85">
        <f t="shared" si="2"/>
        <v>0</v>
      </c>
      <c r="Q33" s="85">
        <f t="shared" si="3"/>
        <v>4.4</v>
      </c>
    </row>
    <row r="34" customFormat="1" ht="22.5" customHeight="1" spans="1:17">
      <c r="A34" s="83" t="s">
        <v>443</v>
      </c>
      <c r="B34" s="83">
        <v>20430402</v>
      </c>
      <c r="C34" s="83" t="s">
        <v>467</v>
      </c>
      <c r="D34" s="84">
        <v>46192.5650945602</v>
      </c>
      <c r="E34" s="83" t="s">
        <v>445</v>
      </c>
      <c r="F34" s="83" t="s">
        <v>455</v>
      </c>
      <c r="G34" s="83">
        <v>16</v>
      </c>
      <c r="H34" s="85">
        <f t="shared" si="4"/>
        <v>16</v>
      </c>
      <c r="I34" s="85">
        <v>4.4</v>
      </c>
      <c r="J34" s="85">
        <f t="shared" si="0"/>
        <v>70.4</v>
      </c>
      <c r="K34" s="85">
        <v>0</v>
      </c>
      <c r="L34" s="85">
        <v>40</v>
      </c>
      <c r="M34" s="85">
        <f t="shared" si="1"/>
        <v>0</v>
      </c>
      <c r="N34" s="85">
        <v>0</v>
      </c>
      <c r="O34" s="85">
        <v>120</v>
      </c>
      <c r="P34" s="85">
        <f t="shared" si="2"/>
        <v>0</v>
      </c>
      <c r="Q34" s="85">
        <f t="shared" si="3"/>
        <v>70.4</v>
      </c>
    </row>
    <row r="35" customFormat="1" ht="22.5" customHeight="1" spans="1:17">
      <c r="A35" s="83" t="s">
        <v>443</v>
      </c>
      <c r="B35" s="83">
        <v>20430402</v>
      </c>
      <c r="C35" s="83" t="s">
        <v>467</v>
      </c>
      <c r="D35" s="84">
        <v>46192.5650945602</v>
      </c>
      <c r="E35" s="83" t="s">
        <v>447</v>
      </c>
      <c r="F35" s="83" t="s">
        <v>460</v>
      </c>
      <c r="G35" s="83">
        <v>1</v>
      </c>
      <c r="H35" s="85">
        <f t="shared" si="4"/>
        <v>1</v>
      </c>
      <c r="I35" s="85">
        <v>4.4</v>
      </c>
      <c r="J35" s="85">
        <f t="shared" si="0"/>
        <v>4.4</v>
      </c>
      <c r="K35" s="85">
        <v>0</v>
      </c>
      <c r="L35" s="85">
        <v>40</v>
      </c>
      <c r="M35" s="85">
        <f t="shared" si="1"/>
        <v>0</v>
      </c>
      <c r="N35" s="85">
        <v>0</v>
      </c>
      <c r="O35" s="85">
        <v>120</v>
      </c>
      <c r="P35" s="85">
        <f t="shared" si="2"/>
        <v>0</v>
      </c>
      <c r="Q35" s="85">
        <f t="shared" si="3"/>
        <v>4.4</v>
      </c>
    </row>
    <row r="36" customFormat="1" ht="22.5" customHeight="1" spans="1:17">
      <c r="A36" s="83" t="s">
        <v>443</v>
      </c>
      <c r="B36" s="83">
        <v>20430834</v>
      </c>
      <c r="C36" s="83" t="s">
        <v>468</v>
      </c>
      <c r="D36" s="84">
        <v>46197.1149124653</v>
      </c>
      <c r="E36" s="83" t="s">
        <v>445</v>
      </c>
      <c r="F36" s="83" t="s">
        <v>450</v>
      </c>
      <c r="G36" s="83">
        <v>34</v>
      </c>
      <c r="H36" s="85">
        <f t="shared" si="4"/>
        <v>34</v>
      </c>
      <c r="I36" s="85">
        <v>4.4</v>
      </c>
      <c r="J36" s="85">
        <f t="shared" si="0"/>
        <v>149.6</v>
      </c>
      <c r="K36" s="85">
        <v>0</v>
      </c>
      <c r="L36" s="85">
        <v>40</v>
      </c>
      <c r="M36" s="85">
        <f t="shared" si="1"/>
        <v>0</v>
      </c>
      <c r="N36" s="85">
        <v>0</v>
      </c>
      <c r="O36" s="85">
        <v>120</v>
      </c>
      <c r="P36" s="85">
        <f t="shared" si="2"/>
        <v>0</v>
      </c>
      <c r="Q36" s="85">
        <f t="shared" si="3"/>
        <v>149.6</v>
      </c>
    </row>
    <row r="37" customFormat="1" ht="22.5" customHeight="1" spans="1:17">
      <c r="A37" s="83" t="s">
        <v>443</v>
      </c>
      <c r="B37" s="83">
        <v>20430834</v>
      </c>
      <c r="C37" s="83" t="s">
        <v>468</v>
      </c>
      <c r="D37" s="84">
        <v>46197.1149124653</v>
      </c>
      <c r="E37" s="83" t="s">
        <v>447</v>
      </c>
      <c r="F37" s="83" t="s">
        <v>448</v>
      </c>
      <c r="G37" s="83">
        <v>1</v>
      </c>
      <c r="H37" s="85">
        <f t="shared" si="4"/>
        <v>1</v>
      </c>
      <c r="I37" s="85">
        <v>4.4</v>
      </c>
      <c r="J37" s="85">
        <f t="shared" ref="J37:J59" si="5">H37*I37</f>
        <v>4.4</v>
      </c>
      <c r="K37" s="85">
        <v>0</v>
      </c>
      <c r="L37" s="85">
        <v>40</v>
      </c>
      <c r="M37" s="85">
        <f t="shared" ref="M37:M59" si="6">K37*L37</f>
        <v>0</v>
      </c>
      <c r="N37" s="85">
        <v>0</v>
      </c>
      <c r="O37" s="85">
        <v>120</v>
      </c>
      <c r="P37" s="85">
        <f t="shared" ref="P37:P59" si="7">N37*O37</f>
        <v>0</v>
      </c>
      <c r="Q37" s="85">
        <f t="shared" ref="Q37:Q59" si="8">J37+M37+P37</f>
        <v>4.4</v>
      </c>
    </row>
    <row r="38" customFormat="1" ht="22.5" customHeight="1" spans="1:17">
      <c r="A38" s="83" t="s">
        <v>443</v>
      </c>
      <c r="B38" s="83">
        <v>20430835</v>
      </c>
      <c r="C38" s="83" t="s">
        <v>469</v>
      </c>
      <c r="D38" s="84">
        <v>46197.1149151968</v>
      </c>
      <c r="E38" s="83" t="s">
        <v>445</v>
      </c>
      <c r="F38" s="83" t="s">
        <v>450</v>
      </c>
      <c r="G38" s="83">
        <v>17</v>
      </c>
      <c r="H38" s="85">
        <f t="shared" si="4"/>
        <v>17</v>
      </c>
      <c r="I38" s="85">
        <v>4.4</v>
      </c>
      <c r="J38" s="85">
        <f t="shared" si="5"/>
        <v>74.8</v>
      </c>
      <c r="K38" s="85">
        <v>0</v>
      </c>
      <c r="L38" s="85">
        <v>40</v>
      </c>
      <c r="M38" s="85">
        <f t="shared" si="6"/>
        <v>0</v>
      </c>
      <c r="N38" s="85">
        <v>0</v>
      </c>
      <c r="O38" s="85">
        <v>120</v>
      </c>
      <c r="P38" s="85">
        <f t="shared" si="7"/>
        <v>0</v>
      </c>
      <c r="Q38" s="85">
        <f t="shared" si="8"/>
        <v>74.8</v>
      </c>
    </row>
    <row r="39" customFormat="1" ht="22.5" customHeight="1" spans="1:17">
      <c r="A39" s="83" t="s">
        <v>443</v>
      </c>
      <c r="B39" s="83">
        <v>20430835</v>
      </c>
      <c r="C39" s="83" t="s">
        <v>469</v>
      </c>
      <c r="D39" s="84">
        <v>46197.1149151968</v>
      </c>
      <c r="E39" s="83" t="s">
        <v>445</v>
      </c>
      <c r="F39" s="83" t="s">
        <v>470</v>
      </c>
      <c r="G39" s="83">
        <v>3</v>
      </c>
      <c r="H39" s="85">
        <f t="shared" si="4"/>
        <v>3</v>
      </c>
      <c r="I39" s="85">
        <v>4.4</v>
      </c>
      <c r="J39" s="85">
        <f t="shared" si="5"/>
        <v>13.2</v>
      </c>
      <c r="K39" s="85">
        <v>0</v>
      </c>
      <c r="L39" s="85">
        <v>40</v>
      </c>
      <c r="M39" s="85">
        <f t="shared" si="6"/>
        <v>0</v>
      </c>
      <c r="N39" s="85">
        <v>0</v>
      </c>
      <c r="O39" s="85">
        <v>120</v>
      </c>
      <c r="P39" s="85">
        <f t="shared" si="7"/>
        <v>0</v>
      </c>
      <c r="Q39" s="85">
        <f t="shared" si="8"/>
        <v>13.2</v>
      </c>
    </row>
    <row r="40" customFormat="1" ht="22.5" customHeight="1" spans="1:17">
      <c r="A40" s="83" t="s">
        <v>443</v>
      </c>
      <c r="B40" s="83">
        <v>20430835</v>
      </c>
      <c r="C40" s="83" t="s">
        <v>469</v>
      </c>
      <c r="D40" s="84">
        <v>46197.1149151968</v>
      </c>
      <c r="E40" s="83" t="s">
        <v>447</v>
      </c>
      <c r="F40" s="83" t="s">
        <v>448</v>
      </c>
      <c r="G40" s="83">
        <v>1</v>
      </c>
      <c r="H40" s="85">
        <f t="shared" si="4"/>
        <v>1</v>
      </c>
      <c r="I40" s="85">
        <v>4.4</v>
      </c>
      <c r="J40" s="85">
        <f t="shared" si="5"/>
        <v>4.4</v>
      </c>
      <c r="K40" s="85">
        <v>0</v>
      </c>
      <c r="L40" s="85">
        <v>40</v>
      </c>
      <c r="M40" s="85">
        <f t="shared" si="6"/>
        <v>0</v>
      </c>
      <c r="N40" s="85">
        <v>0</v>
      </c>
      <c r="O40" s="85">
        <v>120</v>
      </c>
      <c r="P40" s="85">
        <f t="shared" si="7"/>
        <v>0</v>
      </c>
      <c r="Q40" s="85">
        <f t="shared" si="8"/>
        <v>4.4</v>
      </c>
    </row>
    <row r="41" customFormat="1" ht="22.5" customHeight="1" spans="1:17">
      <c r="A41" s="83" t="s">
        <v>443</v>
      </c>
      <c r="B41" s="83">
        <v>20430836</v>
      </c>
      <c r="C41" s="83" t="s">
        <v>471</v>
      </c>
      <c r="D41" s="84">
        <v>46197.1149181366</v>
      </c>
      <c r="E41" s="83" t="s">
        <v>445</v>
      </c>
      <c r="F41" s="83" t="s">
        <v>450</v>
      </c>
      <c r="G41" s="83">
        <v>11</v>
      </c>
      <c r="H41" s="85">
        <f t="shared" si="4"/>
        <v>11</v>
      </c>
      <c r="I41" s="85">
        <v>4.4</v>
      </c>
      <c r="J41" s="85">
        <f t="shared" si="5"/>
        <v>48.4</v>
      </c>
      <c r="K41" s="85">
        <v>0</v>
      </c>
      <c r="L41" s="85">
        <v>40</v>
      </c>
      <c r="M41" s="85">
        <f t="shared" si="6"/>
        <v>0</v>
      </c>
      <c r="N41" s="85">
        <v>0</v>
      </c>
      <c r="O41" s="85">
        <v>120</v>
      </c>
      <c r="P41" s="85">
        <f t="shared" si="7"/>
        <v>0</v>
      </c>
      <c r="Q41" s="85">
        <f t="shared" si="8"/>
        <v>48.4</v>
      </c>
    </row>
    <row r="42" customFormat="1" ht="22.5" customHeight="1" spans="1:17">
      <c r="A42" s="83" t="s">
        <v>443</v>
      </c>
      <c r="B42" s="83">
        <v>20430836</v>
      </c>
      <c r="C42" s="83" t="s">
        <v>471</v>
      </c>
      <c r="D42" s="84">
        <v>46197.1149181366</v>
      </c>
      <c r="E42" s="83" t="s">
        <v>447</v>
      </c>
      <c r="F42" s="83" t="s">
        <v>460</v>
      </c>
      <c r="G42" s="83">
        <v>1</v>
      </c>
      <c r="H42" s="85">
        <f t="shared" si="4"/>
        <v>1</v>
      </c>
      <c r="I42" s="85">
        <v>4.4</v>
      </c>
      <c r="J42" s="85">
        <f t="shared" si="5"/>
        <v>4.4</v>
      </c>
      <c r="K42" s="85">
        <v>0</v>
      </c>
      <c r="L42" s="85">
        <v>40</v>
      </c>
      <c r="M42" s="85">
        <f t="shared" si="6"/>
        <v>0</v>
      </c>
      <c r="N42" s="85">
        <v>0</v>
      </c>
      <c r="O42" s="85">
        <v>120</v>
      </c>
      <c r="P42" s="85">
        <f t="shared" si="7"/>
        <v>0</v>
      </c>
      <c r="Q42" s="85">
        <f t="shared" si="8"/>
        <v>4.4</v>
      </c>
    </row>
    <row r="43" customFormat="1" ht="22.5" customHeight="1" spans="1:17">
      <c r="A43" s="83" t="s">
        <v>443</v>
      </c>
      <c r="B43" s="83">
        <v>20430837</v>
      </c>
      <c r="C43" s="83" t="s">
        <v>472</v>
      </c>
      <c r="D43" s="84">
        <v>46197.1149210995</v>
      </c>
      <c r="E43" s="83" t="s">
        <v>445</v>
      </c>
      <c r="F43" s="83" t="s">
        <v>446</v>
      </c>
      <c r="G43" s="83">
        <v>211</v>
      </c>
      <c r="H43" s="85">
        <v>0</v>
      </c>
      <c r="I43" s="85">
        <v>4.4</v>
      </c>
      <c r="J43" s="85">
        <f t="shared" si="5"/>
        <v>0</v>
      </c>
      <c r="K43" s="85">
        <v>1</v>
      </c>
      <c r="L43" s="85">
        <v>40</v>
      </c>
      <c r="M43" s="85">
        <f t="shared" si="6"/>
        <v>40</v>
      </c>
      <c r="N43" s="85">
        <v>1</v>
      </c>
      <c r="O43" s="85">
        <v>120</v>
      </c>
      <c r="P43" s="85">
        <f t="shared" si="7"/>
        <v>120</v>
      </c>
      <c r="Q43" s="85">
        <f t="shared" si="8"/>
        <v>160</v>
      </c>
    </row>
    <row r="44" customFormat="1" ht="22.5" customHeight="1" spans="1:17">
      <c r="A44" s="83" t="s">
        <v>443</v>
      </c>
      <c r="B44" s="83">
        <v>20430837</v>
      </c>
      <c r="C44" s="83" t="s">
        <v>472</v>
      </c>
      <c r="D44" s="84">
        <v>46197.1149210995</v>
      </c>
      <c r="E44" s="83" t="s">
        <v>447</v>
      </c>
      <c r="F44" s="83" t="s">
        <v>448</v>
      </c>
      <c r="G44" s="83">
        <v>1</v>
      </c>
      <c r="H44" s="85">
        <f>G44</f>
        <v>1</v>
      </c>
      <c r="I44" s="85">
        <v>4.4</v>
      </c>
      <c r="J44" s="85">
        <f t="shared" si="5"/>
        <v>4.4</v>
      </c>
      <c r="K44" s="85">
        <v>0</v>
      </c>
      <c r="L44" s="85">
        <v>40</v>
      </c>
      <c r="M44" s="85">
        <f t="shared" si="6"/>
        <v>0</v>
      </c>
      <c r="N44" s="85">
        <v>0</v>
      </c>
      <c r="O44" s="85">
        <v>120</v>
      </c>
      <c r="P44" s="85">
        <f t="shared" si="7"/>
        <v>0</v>
      </c>
      <c r="Q44" s="85">
        <f t="shared" si="8"/>
        <v>4.4</v>
      </c>
    </row>
    <row r="45" customFormat="1" ht="22.5" customHeight="1" spans="1:17">
      <c r="A45" s="83" t="s">
        <v>443</v>
      </c>
      <c r="B45" s="83">
        <v>20430838</v>
      </c>
      <c r="C45" s="83" t="s">
        <v>473</v>
      </c>
      <c r="D45" s="84">
        <v>46197.1149240741</v>
      </c>
      <c r="E45" s="83" t="s">
        <v>445</v>
      </c>
      <c r="F45" s="83" t="s">
        <v>446</v>
      </c>
      <c r="G45" s="83">
        <v>151</v>
      </c>
      <c r="H45" s="85">
        <v>0</v>
      </c>
      <c r="I45" s="85">
        <v>4.4</v>
      </c>
      <c r="J45" s="85">
        <f t="shared" si="5"/>
        <v>0</v>
      </c>
      <c r="K45" s="85">
        <v>1</v>
      </c>
      <c r="L45" s="85">
        <v>40</v>
      </c>
      <c r="M45" s="85">
        <f t="shared" si="6"/>
        <v>40</v>
      </c>
      <c r="N45" s="85">
        <v>0</v>
      </c>
      <c r="O45" s="85">
        <v>120</v>
      </c>
      <c r="P45" s="85">
        <f t="shared" si="7"/>
        <v>0</v>
      </c>
      <c r="Q45" s="85">
        <f t="shared" si="8"/>
        <v>40</v>
      </c>
    </row>
    <row r="46" customFormat="1" ht="22.5" customHeight="1" spans="1:17">
      <c r="A46" s="83" t="s">
        <v>443</v>
      </c>
      <c r="B46" s="83">
        <v>20430838</v>
      </c>
      <c r="C46" s="83" t="s">
        <v>473</v>
      </c>
      <c r="D46" s="84">
        <v>46197.1149240741</v>
      </c>
      <c r="E46" s="83" t="s">
        <v>447</v>
      </c>
      <c r="F46" s="83" t="s">
        <v>448</v>
      </c>
      <c r="G46" s="83">
        <v>1</v>
      </c>
      <c r="H46" s="85">
        <f t="shared" ref="H46:H52" si="9">G46</f>
        <v>1</v>
      </c>
      <c r="I46" s="85">
        <v>4.4</v>
      </c>
      <c r="J46" s="85">
        <f t="shared" si="5"/>
        <v>4.4</v>
      </c>
      <c r="K46" s="85">
        <v>0</v>
      </c>
      <c r="L46" s="85">
        <v>40</v>
      </c>
      <c r="M46" s="85">
        <f t="shared" si="6"/>
        <v>0</v>
      </c>
      <c r="N46" s="85">
        <v>0</v>
      </c>
      <c r="O46" s="85">
        <v>120</v>
      </c>
      <c r="P46" s="85">
        <f t="shared" si="7"/>
        <v>0</v>
      </c>
      <c r="Q46" s="85">
        <f t="shared" si="8"/>
        <v>4.4</v>
      </c>
    </row>
    <row r="47" customFormat="1" ht="22.5" customHeight="1" spans="1:17">
      <c r="A47" s="83" t="s">
        <v>443</v>
      </c>
      <c r="B47" s="83">
        <v>20431202</v>
      </c>
      <c r="C47" s="83" t="s">
        <v>474</v>
      </c>
      <c r="D47" s="84">
        <v>46199.0748526273</v>
      </c>
      <c r="E47" s="83" t="s">
        <v>445</v>
      </c>
      <c r="F47" s="83" t="s">
        <v>455</v>
      </c>
      <c r="G47" s="83">
        <v>20</v>
      </c>
      <c r="H47" s="85">
        <f t="shared" si="9"/>
        <v>20</v>
      </c>
      <c r="I47" s="85">
        <v>4.4</v>
      </c>
      <c r="J47" s="85">
        <f t="shared" si="5"/>
        <v>88</v>
      </c>
      <c r="K47" s="85">
        <v>0</v>
      </c>
      <c r="L47" s="85">
        <v>40</v>
      </c>
      <c r="M47" s="85">
        <f t="shared" si="6"/>
        <v>0</v>
      </c>
      <c r="N47" s="85">
        <v>0</v>
      </c>
      <c r="O47" s="85">
        <v>120</v>
      </c>
      <c r="P47" s="85">
        <f t="shared" si="7"/>
        <v>0</v>
      </c>
      <c r="Q47" s="85">
        <f t="shared" si="8"/>
        <v>88</v>
      </c>
    </row>
    <row r="48" customFormat="1" ht="22.5" customHeight="1" spans="1:17">
      <c r="A48" s="83" t="s">
        <v>443</v>
      </c>
      <c r="B48" s="83">
        <v>20431202</v>
      </c>
      <c r="C48" s="83" t="s">
        <v>474</v>
      </c>
      <c r="D48" s="84">
        <v>46199.0748526273</v>
      </c>
      <c r="E48" s="83" t="s">
        <v>447</v>
      </c>
      <c r="F48" s="83" t="s">
        <v>460</v>
      </c>
      <c r="G48" s="83">
        <v>1</v>
      </c>
      <c r="H48" s="85">
        <f t="shared" si="9"/>
        <v>1</v>
      </c>
      <c r="I48" s="85">
        <v>4.4</v>
      </c>
      <c r="J48" s="85">
        <f t="shared" si="5"/>
        <v>4.4</v>
      </c>
      <c r="K48" s="85">
        <v>0</v>
      </c>
      <c r="L48" s="85">
        <v>40</v>
      </c>
      <c r="M48" s="85">
        <f t="shared" si="6"/>
        <v>0</v>
      </c>
      <c r="N48" s="85">
        <v>0</v>
      </c>
      <c r="O48" s="85">
        <v>120</v>
      </c>
      <c r="P48" s="85">
        <f t="shared" si="7"/>
        <v>0</v>
      </c>
      <c r="Q48" s="85">
        <f t="shared" si="8"/>
        <v>4.4</v>
      </c>
    </row>
    <row r="49" customFormat="1" ht="22.5" customHeight="1" spans="1:17">
      <c r="A49" s="83" t="s">
        <v>443</v>
      </c>
      <c r="B49" s="83">
        <v>20431203</v>
      </c>
      <c r="C49" s="83" t="s">
        <v>475</v>
      </c>
      <c r="D49" s="84">
        <v>46199.0748568634</v>
      </c>
      <c r="E49" s="83" t="s">
        <v>445</v>
      </c>
      <c r="F49" s="83" t="s">
        <v>455</v>
      </c>
      <c r="G49" s="83">
        <v>20</v>
      </c>
      <c r="H49" s="85">
        <f t="shared" si="9"/>
        <v>20</v>
      </c>
      <c r="I49" s="85">
        <v>4.4</v>
      </c>
      <c r="J49" s="85">
        <f t="shared" si="5"/>
        <v>88</v>
      </c>
      <c r="K49" s="85">
        <v>0</v>
      </c>
      <c r="L49" s="85">
        <v>40</v>
      </c>
      <c r="M49" s="85">
        <f t="shared" si="6"/>
        <v>0</v>
      </c>
      <c r="N49" s="85">
        <v>0</v>
      </c>
      <c r="O49" s="85">
        <v>120</v>
      </c>
      <c r="P49" s="85">
        <f t="shared" si="7"/>
        <v>0</v>
      </c>
      <c r="Q49" s="85">
        <f t="shared" si="8"/>
        <v>88</v>
      </c>
    </row>
    <row r="50" customFormat="1" ht="22.5" customHeight="1" spans="1:17">
      <c r="A50" s="83" t="s">
        <v>443</v>
      </c>
      <c r="B50" s="83">
        <v>20431203</v>
      </c>
      <c r="C50" s="83" t="s">
        <v>475</v>
      </c>
      <c r="D50" s="84">
        <v>46199.0748568634</v>
      </c>
      <c r="E50" s="83" t="s">
        <v>447</v>
      </c>
      <c r="F50" s="83" t="s">
        <v>460</v>
      </c>
      <c r="G50" s="83">
        <v>1</v>
      </c>
      <c r="H50" s="85">
        <f t="shared" si="9"/>
        <v>1</v>
      </c>
      <c r="I50" s="85">
        <v>4.4</v>
      </c>
      <c r="J50" s="85">
        <f t="shared" si="5"/>
        <v>4.4</v>
      </c>
      <c r="K50" s="85">
        <v>0</v>
      </c>
      <c r="L50" s="85">
        <v>40</v>
      </c>
      <c r="M50" s="85">
        <f t="shared" si="6"/>
        <v>0</v>
      </c>
      <c r="N50" s="85">
        <v>0</v>
      </c>
      <c r="O50" s="85">
        <v>120</v>
      </c>
      <c r="P50" s="85">
        <f t="shared" si="7"/>
        <v>0</v>
      </c>
      <c r="Q50" s="85">
        <f t="shared" si="8"/>
        <v>4.4</v>
      </c>
    </row>
    <row r="51" customFormat="1" ht="22.5" customHeight="1" spans="1:17">
      <c r="A51" s="83" t="s">
        <v>443</v>
      </c>
      <c r="B51" s="83">
        <v>20431626</v>
      </c>
      <c r="C51" s="83" t="s">
        <v>476</v>
      </c>
      <c r="D51" s="84">
        <v>46203.5234270486</v>
      </c>
      <c r="E51" s="83" t="s">
        <v>445</v>
      </c>
      <c r="F51" s="83" t="s">
        <v>453</v>
      </c>
      <c r="G51" s="83">
        <v>12</v>
      </c>
      <c r="H51" s="85">
        <f t="shared" si="9"/>
        <v>12</v>
      </c>
      <c r="I51" s="85">
        <v>4.4</v>
      </c>
      <c r="J51" s="85">
        <f t="shared" si="5"/>
        <v>52.8</v>
      </c>
      <c r="K51" s="85">
        <v>0</v>
      </c>
      <c r="L51" s="85">
        <v>40</v>
      </c>
      <c r="M51" s="85">
        <f t="shared" si="6"/>
        <v>0</v>
      </c>
      <c r="N51" s="85">
        <v>0</v>
      </c>
      <c r="O51" s="85">
        <v>120</v>
      </c>
      <c r="P51" s="85">
        <f t="shared" si="7"/>
        <v>0</v>
      </c>
      <c r="Q51" s="85">
        <f t="shared" si="8"/>
        <v>52.8</v>
      </c>
    </row>
    <row r="52" customFormat="1" ht="22.5" customHeight="1" spans="1:17">
      <c r="A52" s="83" t="s">
        <v>443</v>
      </c>
      <c r="B52" s="83">
        <v>20431626</v>
      </c>
      <c r="C52" s="83" t="s">
        <v>476</v>
      </c>
      <c r="D52" s="84">
        <v>46203.5234270486</v>
      </c>
      <c r="E52" s="83" t="s">
        <v>447</v>
      </c>
      <c r="F52" s="83" t="s">
        <v>448</v>
      </c>
      <c r="G52" s="83">
        <v>1</v>
      </c>
      <c r="H52" s="85">
        <f t="shared" si="9"/>
        <v>1</v>
      </c>
      <c r="I52" s="85">
        <v>4.4</v>
      </c>
      <c r="J52" s="85">
        <f t="shared" si="5"/>
        <v>4.4</v>
      </c>
      <c r="K52" s="85">
        <v>0</v>
      </c>
      <c r="L52" s="85">
        <v>40</v>
      </c>
      <c r="M52" s="85">
        <f t="shared" si="6"/>
        <v>0</v>
      </c>
      <c r="N52" s="85">
        <v>0</v>
      </c>
      <c r="O52" s="85">
        <v>120</v>
      </c>
      <c r="P52" s="85">
        <f t="shared" si="7"/>
        <v>0</v>
      </c>
      <c r="Q52" s="85">
        <f t="shared" si="8"/>
        <v>4.4</v>
      </c>
    </row>
    <row r="53" customFormat="1" ht="22.5" customHeight="1" spans="1:17">
      <c r="A53" s="83" t="s">
        <v>443</v>
      </c>
      <c r="B53" s="83">
        <v>20431627</v>
      </c>
      <c r="C53" s="83" t="s">
        <v>477</v>
      </c>
      <c r="D53" s="84">
        <v>46203.5234309375</v>
      </c>
      <c r="E53" s="83" t="s">
        <v>445</v>
      </c>
      <c r="F53" s="83" t="s">
        <v>446</v>
      </c>
      <c r="G53" s="83">
        <v>33</v>
      </c>
      <c r="H53" s="85">
        <v>0</v>
      </c>
      <c r="I53" s="85">
        <v>4.4</v>
      </c>
      <c r="J53" s="85">
        <f t="shared" si="5"/>
        <v>0</v>
      </c>
      <c r="K53" s="85">
        <v>1</v>
      </c>
      <c r="L53" s="85">
        <v>40</v>
      </c>
      <c r="M53" s="85">
        <f t="shared" si="6"/>
        <v>40</v>
      </c>
      <c r="N53" s="85">
        <v>1</v>
      </c>
      <c r="O53" s="85">
        <v>120</v>
      </c>
      <c r="P53" s="85">
        <f t="shared" si="7"/>
        <v>120</v>
      </c>
      <c r="Q53" s="85">
        <f t="shared" si="8"/>
        <v>160</v>
      </c>
    </row>
    <row r="54" customFormat="1" ht="22.5" customHeight="1" spans="1:17">
      <c r="A54" s="83" t="s">
        <v>443</v>
      </c>
      <c r="B54" s="83">
        <v>20431628</v>
      </c>
      <c r="C54" s="83" t="s">
        <v>478</v>
      </c>
      <c r="D54" s="84">
        <v>46203.5234346065</v>
      </c>
      <c r="E54" s="83" t="s">
        <v>445</v>
      </c>
      <c r="F54" s="83" t="s">
        <v>455</v>
      </c>
      <c r="G54" s="83">
        <v>18</v>
      </c>
      <c r="H54" s="85">
        <f t="shared" ref="H54:H59" si="10">G54</f>
        <v>18</v>
      </c>
      <c r="I54" s="85">
        <v>4.4</v>
      </c>
      <c r="J54" s="85">
        <f t="shared" si="5"/>
        <v>79.2</v>
      </c>
      <c r="K54" s="85">
        <v>0</v>
      </c>
      <c r="L54" s="85">
        <v>40</v>
      </c>
      <c r="M54" s="85">
        <f t="shared" si="6"/>
        <v>0</v>
      </c>
      <c r="N54" s="85">
        <v>0</v>
      </c>
      <c r="O54" s="85">
        <v>120</v>
      </c>
      <c r="P54" s="85">
        <f t="shared" si="7"/>
        <v>0</v>
      </c>
      <c r="Q54" s="85">
        <f t="shared" si="8"/>
        <v>79.2</v>
      </c>
    </row>
    <row r="55" customFormat="1" ht="22.5" customHeight="1" spans="1:17">
      <c r="A55" s="83" t="s">
        <v>443</v>
      </c>
      <c r="B55" s="83">
        <v>20431628</v>
      </c>
      <c r="C55" s="83" t="s">
        <v>478</v>
      </c>
      <c r="D55" s="84">
        <v>46203.5234346065</v>
      </c>
      <c r="E55" s="83" t="s">
        <v>447</v>
      </c>
      <c r="F55" s="83" t="s">
        <v>448</v>
      </c>
      <c r="G55" s="83">
        <v>1</v>
      </c>
      <c r="H55" s="85">
        <f t="shared" si="10"/>
        <v>1</v>
      </c>
      <c r="I55" s="85">
        <v>4.4</v>
      </c>
      <c r="J55" s="85">
        <f t="shared" si="5"/>
        <v>4.4</v>
      </c>
      <c r="K55" s="85">
        <v>0</v>
      </c>
      <c r="L55" s="85">
        <v>40</v>
      </c>
      <c r="M55" s="85">
        <f t="shared" si="6"/>
        <v>0</v>
      </c>
      <c r="N55" s="85">
        <v>0</v>
      </c>
      <c r="O55" s="85">
        <v>120</v>
      </c>
      <c r="P55" s="85">
        <f t="shared" si="7"/>
        <v>0</v>
      </c>
      <c r="Q55" s="85">
        <f t="shared" si="8"/>
        <v>4.4</v>
      </c>
    </row>
    <row r="56" customFormat="1" ht="22.5" customHeight="1" spans="1:17">
      <c r="A56" s="83" t="s">
        <v>443</v>
      </c>
      <c r="B56" s="83">
        <v>20431629</v>
      </c>
      <c r="C56" s="83" t="s">
        <v>479</v>
      </c>
      <c r="D56" s="86">
        <v>46203.5234387731</v>
      </c>
      <c r="E56" s="83" t="s">
        <v>445</v>
      </c>
      <c r="F56" s="83" t="s">
        <v>455</v>
      </c>
      <c r="G56" s="83">
        <v>20</v>
      </c>
      <c r="H56" s="85">
        <f t="shared" si="10"/>
        <v>20</v>
      </c>
      <c r="I56" s="85">
        <v>4.4</v>
      </c>
      <c r="J56" s="85">
        <f t="shared" si="5"/>
        <v>88</v>
      </c>
      <c r="K56" s="85">
        <v>0</v>
      </c>
      <c r="L56" s="85">
        <v>40</v>
      </c>
      <c r="M56" s="85">
        <f t="shared" si="6"/>
        <v>0</v>
      </c>
      <c r="N56" s="85">
        <v>0</v>
      </c>
      <c r="O56" s="85">
        <v>120</v>
      </c>
      <c r="P56" s="85">
        <f t="shared" si="7"/>
        <v>0</v>
      </c>
      <c r="Q56" s="85">
        <f t="shared" si="8"/>
        <v>88</v>
      </c>
    </row>
    <row r="57" customFormat="1" ht="22.5" customHeight="1" spans="1:17">
      <c r="A57" s="83" t="s">
        <v>443</v>
      </c>
      <c r="B57" s="83">
        <v>20431629</v>
      </c>
      <c r="C57" s="83" t="s">
        <v>479</v>
      </c>
      <c r="D57" s="86">
        <v>46203.5234387731</v>
      </c>
      <c r="E57" s="83" t="s">
        <v>447</v>
      </c>
      <c r="F57" s="83" t="s">
        <v>448</v>
      </c>
      <c r="G57" s="83">
        <v>1</v>
      </c>
      <c r="H57" s="85">
        <f t="shared" si="10"/>
        <v>1</v>
      </c>
      <c r="I57" s="85">
        <v>4.4</v>
      </c>
      <c r="J57" s="85">
        <f t="shared" si="5"/>
        <v>4.4</v>
      </c>
      <c r="K57" s="85">
        <v>0</v>
      </c>
      <c r="L57" s="85">
        <v>40</v>
      </c>
      <c r="M57" s="85">
        <f t="shared" si="6"/>
        <v>0</v>
      </c>
      <c r="N57" s="85">
        <v>0</v>
      </c>
      <c r="O57" s="85">
        <v>120</v>
      </c>
      <c r="P57" s="85">
        <f t="shared" si="7"/>
        <v>0</v>
      </c>
      <c r="Q57" s="85">
        <f t="shared" si="8"/>
        <v>4.4</v>
      </c>
    </row>
    <row r="58" customFormat="1" ht="22.5" customHeight="1" spans="1:17">
      <c r="A58" s="83" t="s">
        <v>443</v>
      </c>
      <c r="B58" s="83">
        <v>20431630</v>
      </c>
      <c r="C58" s="83" t="s">
        <v>480</v>
      </c>
      <c r="D58" s="86">
        <v>46203.5234427083</v>
      </c>
      <c r="E58" s="83" t="s">
        <v>445</v>
      </c>
      <c r="F58" s="83" t="s">
        <v>455</v>
      </c>
      <c r="G58" s="83">
        <v>24</v>
      </c>
      <c r="H58" s="85">
        <f t="shared" si="10"/>
        <v>24</v>
      </c>
      <c r="I58" s="85">
        <v>4.4</v>
      </c>
      <c r="J58" s="85">
        <f t="shared" si="5"/>
        <v>105.6</v>
      </c>
      <c r="K58" s="85">
        <v>0</v>
      </c>
      <c r="L58" s="85">
        <v>40</v>
      </c>
      <c r="M58" s="85">
        <f t="shared" si="6"/>
        <v>0</v>
      </c>
      <c r="N58" s="85">
        <v>0</v>
      </c>
      <c r="O58" s="85">
        <v>120</v>
      </c>
      <c r="P58" s="85">
        <f t="shared" si="7"/>
        <v>0</v>
      </c>
      <c r="Q58" s="85">
        <f t="shared" si="8"/>
        <v>105.6</v>
      </c>
    </row>
    <row r="59" customFormat="1" ht="22.5" customHeight="1" spans="1:17">
      <c r="A59" s="83" t="s">
        <v>443</v>
      </c>
      <c r="B59" s="83">
        <v>20431630</v>
      </c>
      <c r="C59" s="83" t="s">
        <v>480</v>
      </c>
      <c r="D59" s="86">
        <v>46203.5234427083</v>
      </c>
      <c r="E59" s="83" t="s">
        <v>447</v>
      </c>
      <c r="F59" s="83" t="s">
        <v>448</v>
      </c>
      <c r="G59" s="83">
        <v>1</v>
      </c>
      <c r="H59" s="85">
        <f t="shared" si="10"/>
        <v>1</v>
      </c>
      <c r="I59" s="85">
        <v>4.4</v>
      </c>
      <c r="J59" s="85">
        <f t="shared" si="5"/>
        <v>4.4</v>
      </c>
      <c r="K59" s="85">
        <v>0</v>
      </c>
      <c r="L59" s="85">
        <v>40</v>
      </c>
      <c r="M59" s="85">
        <f t="shared" si="6"/>
        <v>0</v>
      </c>
      <c r="N59" s="85">
        <v>0</v>
      </c>
      <c r="O59" s="85">
        <v>120</v>
      </c>
      <c r="P59" s="85">
        <f t="shared" si="7"/>
        <v>0</v>
      </c>
      <c r="Q59" s="85">
        <f t="shared" si="8"/>
        <v>4.4</v>
      </c>
    </row>
    <row r="60" customFormat="1" ht="22.5" customHeight="1" spans="1:17">
      <c r="A60" s="87"/>
      <c r="B60" s="87"/>
      <c r="C60" s="87" t="s">
        <v>481</v>
      </c>
      <c r="D60" s="87"/>
      <c r="E60" s="87"/>
      <c r="F60" s="87"/>
      <c r="G60" s="85">
        <f t="shared" ref="G60:Q60" si="11">SUBTOTAL(9,G4:G59)</f>
        <v>1107</v>
      </c>
      <c r="H60" s="85">
        <f t="shared" si="11"/>
        <v>542</v>
      </c>
      <c r="I60" s="85">
        <f t="shared" si="11"/>
        <v>246.4</v>
      </c>
      <c r="J60" s="85">
        <f t="shared" si="11"/>
        <v>2384.8</v>
      </c>
      <c r="K60" s="85">
        <f t="shared" si="11"/>
        <v>4</v>
      </c>
      <c r="L60" s="85">
        <f t="shared" si="11"/>
        <v>2240</v>
      </c>
      <c r="M60" s="85">
        <f t="shared" si="11"/>
        <v>160</v>
      </c>
      <c r="N60" s="85">
        <f t="shared" si="11"/>
        <v>3</v>
      </c>
      <c r="O60" s="85">
        <f t="shared" si="11"/>
        <v>6720</v>
      </c>
      <c r="P60" s="85">
        <f t="shared" si="11"/>
        <v>360</v>
      </c>
      <c r="Q60" s="85">
        <f t="shared" si="11"/>
        <v>2904.8</v>
      </c>
    </row>
    <row r="61" spans="1:17"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</row>
    <row r="62" spans="1:17"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</row>
    <row r="63" spans="1:17"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</row>
    <row r="64" spans="1:17"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</row>
    <row r="65" spans="7:17"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</row>
    <row r="66" spans="7:17"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</row>
    <row r="67" spans="7:17"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</row>
    <row r="68" spans="7:17"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</row>
    <row r="69" spans="7:17"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</row>
    <row r="70" spans="7:17"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</row>
    <row r="71" spans="7:17"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</row>
    <row r="72" spans="7:17"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</row>
    <row r="73" spans="7:17"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</row>
    <row r="74" spans="7:17"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</row>
    <row r="75" spans="7:17"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</row>
    <row r="76" spans="7:17"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</row>
    <row r="77" spans="7:17"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</row>
    <row r="78" spans="7:17"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</row>
    <row r="79" spans="7:17"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</row>
    <row r="80" spans="7:17"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</row>
  </sheetData>
  <autoFilter xmlns:etc="http://www.wps.cn/officeDocument/2017/etCustomData" ref="A3:Q59" etc:filterBottomFollowUsedRange="0">
    <extLst/>
  </autoFilter>
  <mergeCells count="2">
    <mergeCell ref="A1:Q1"/>
    <mergeCell ref="A2:Q2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showGridLines="0" view="pageBreakPreview" zoomScaleNormal="100" workbookViewId="0">
      <pane ySplit="6" topLeftCell="A7" activePane="bottomLeft" state="frozen"/>
      <selection/>
      <selection pane="bottomLeft" activeCell="J31" sqref="J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9.625" customWidth="1"/>
    <col min="11" max="11" width="21.25" customWidth="1"/>
    <col min="12" max="12" width="12.25" customWidth="1"/>
    <col min="13" max="13" width="10.625" customWidth="1"/>
    <col min="14" max="14" width="13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482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31</v>
      </c>
      <c r="J8" s="42"/>
      <c r="K8" s="43"/>
      <c r="L8" s="43"/>
      <c r="M8" s="43"/>
      <c r="N8" s="43">
        <v>1447.6</v>
      </c>
    </row>
    <row r="9" spans="1:14">
      <c r="D9" s="13">
        <v>46178</v>
      </c>
      <c r="E9" s="14">
        <v>1609423</v>
      </c>
      <c r="F9" s="14" t="s">
        <v>16</v>
      </c>
      <c r="G9" s="14">
        <v>20324716</v>
      </c>
      <c r="H9" s="14" t="s">
        <v>254</v>
      </c>
      <c r="I9" s="14">
        <v>1</v>
      </c>
      <c r="J9" s="14" t="s">
        <v>18</v>
      </c>
      <c r="K9" s="16">
        <v>1</v>
      </c>
      <c r="L9" s="17">
        <v>6.4</v>
      </c>
      <c r="M9" s="17">
        <v>10.8</v>
      </c>
      <c r="N9" s="17">
        <v>10.8</v>
      </c>
    </row>
    <row r="10" spans="1:14">
      <c r="D10" s="18"/>
      <c r="E10" s="6"/>
      <c r="F10" s="6"/>
      <c r="G10" s="6"/>
      <c r="H10" s="6"/>
      <c r="I10" s="6"/>
      <c r="J10" s="6" t="s">
        <v>124</v>
      </c>
      <c r="K10" s="20">
        <v>1</v>
      </c>
      <c r="L10" s="21">
        <v>4.4</v>
      </c>
      <c r="M10" s="21"/>
      <c r="N10" s="21"/>
    </row>
    <row r="11" spans="1:14">
      <c r="D11" s="18">
        <v>46178</v>
      </c>
      <c r="E11" s="6">
        <v>1609423</v>
      </c>
      <c r="F11" s="6" t="s">
        <v>26</v>
      </c>
      <c r="G11" s="6">
        <v>20324731</v>
      </c>
      <c r="H11" s="6" t="s">
        <v>483</v>
      </c>
      <c r="I11" s="6">
        <v>3</v>
      </c>
      <c r="J11" s="32" t="s">
        <v>28</v>
      </c>
      <c r="K11" s="20">
        <f t="shared" ref="K11:K15" si="0">M11/L11</f>
        <v>10</v>
      </c>
      <c r="L11" s="21">
        <v>4.4</v>
      </c>
      <c r="M11" s="21">
        <v>44</v>
      </c>
      <c r="N11" s="21">
        <v>132</v>
      </c>
    </row>
    <row r="12" spans="1:14">
      <c r="D12" s="18">
        <v>46178</v>
      </c>
      <c r="E12" s="6">
        <v>1609423</v>
      </c>
      <c r="F12" s="6" t="s">
        <v>26</v>
      </c>
      <c r="G12" s="6">
        <v>20324379</v>
      </c>
      <c r="H12" s="6" t="s">
        <v>484</v>
      </c>
      <c r="I12" s="6">
        <v>1</v>
      </c>
      <c r="J12" s="32" t="s">
        <v>28</v>
      </c>
      <c r="K12" s="20">
        <f t="shared" si="0"/>
        <v>24</v>
      </c>
      <c r="L12" s="21">
        <v>4.4</v>
      </c>
      <c r="M12" s="21">
        <v>105.6</v>
      </c>
      <c r="N12" s="21">
        <v>105.6</v>
      </c>
    </row>
    <row r="13" spans="1:14">
      <c r="D13" s="18">
        <v>46179</v>
      </c>
      <c r="E13" s="6">
        <v>1609864</v>
      </c>
      <c r="F13" s="6" t="s">
        <v>16</v>
      </c>
      <c r="G13" s="6">
        <v>20324716</v>
      </c>
      <c r="H13" s="6" t="s">
        <v>254</v>
      </c>
      <c r="I13" s="6">
        <v>1</v>
      </c>
      <c r="J13" s="6" t="s">
        <v>18</v>
      </c>
      <c r="K13" s="20">
        <v>1</v>
      </c>
      <c r="L13" s="21">
        <v>6.4</v>
      </c>
      <c r="M13" s="21">
        <v>10.8</v>
      </c>
      <c r="N13" s="21">
        <v>10.8</v>
      </c>
    </row>
    <row r="14" spans="1:14">
      <c r="D14" s="18"/>
      <c r="E14" s="6"/>
      <c r="F14" s="6"/>
      <c r="G14" s="6"/>
      <c r="H14" s="6"/>
      <c r="I14" s="6"/>
      <c r="J14" s="6" t="s">
        <v>124</v>
      </c>
      <c r="K14" s="20">
        <v>1</v>
      </c>
      <c r="L14" s="21">
        <v>4.4</v>
      </c>
      <c r="M14" s="21"/>
      <c r="N14" s="21"/>
    </row>
    <row r="15" spans="1:14">
      <c r="D15" s="18">
        <v>46179</v>
      </c>
      <c r="E15" s="6">
        <v>1609864</v>
      </c>
      <c r="F15" s="6" t="s">
        <v>26</v>
      </c>
      <c r="G15" s="6">
        <v>20324379</v>
      </c>
      <c r="H15" s="6" t="s">
        <v>484</v>
      </c>
      <c r="I15" s="6">
        <v>1</v>
      </c>
      <c r="J15" s="32" t="s">
        <v>28</v>
      </c>
      <c r="K15" s="20">
        <f t="shared" si="0"/>
        <v>24</v>
      </c>
      <c r="L15" s="21">
        <v>4.4</v>
      </c>
      <c r="M15" s="21">
        <v>105.6</v>
      </c>
      <c r="N15" s="21">
        <v>105.6</v>
      </c>
    </row>
    <row r="16" spans="1:14">
      <c r="D16" s="18">
        <v>46183</v>
      </c>
      <c r="E16" s="6">
        <v>1610850</v>
      </c>
      <c r="F16" s="6" t="s">
        <v>16</v>
      </c>
      <c r="G16" s="6">
        <v>20324415</v>
      </c>
      <c r="H16" s="6" t="s">
        <v>485</v>
      </c>
      <c r="I16" s="6">
        <v>1</v>
      </c>
      <c r="J16" s="6" t="s">
        <v>20</v>
      </c>
      <c r="K16" s="20">
        <v>1</v>
      </c>
      <c r="L16" s="21">
        <v>8.8</v>
      </c>
      <c r="M16" s="21">
        <v>13.2</v>
      </c>
      <c r="N16" s="21">
        <v>13.2</v>
      </c>
    </row>
    <row r="17" spans="4:14">
      <c r="D17" s="18"/>
      <c r="E17" s="6"/>
      <c r="F17" s="6"/>
      <c r="G17" s="6"/>
      <c r="H17" s="6"/>
      <c r="I17" s="6"/>
      <c r="J17" s="6" t="s">
        <v>124</v>
      </c>
      <c r="K17" s="20">
        <v>1</v>
      </c>
      <c r="L17" s="21">
        <v>4.4</v>
      </c>
      <c r="M17" s="21"/>
      <c r="N17" s="21"/>
    </row>
    <row r="18" spans="4:14">
      <c r="D18" s="18">
        <v>46183</v>
      </c>
      <c r="E18" s="6">
        <v>1610850</v>
      </c>
      <c r="F18" s="6" t="s">
        <v>16</v>
      </c>
      <c r="G18" s="6">
        <v>20324363</v>
      </c>
      <c r="H18" s="6" t="s">
        <v>25</v>
      </c>
      <c r="I18" s="6">
        <v>1</v>
      </c>
      <c r="J18" s="19" t="s">
        <v>18</v>
      </c>
      <c r="K18" s="20">
        <v>1</v>
      </c>
      <c r="L18" s="21">
        <v>6.4</v>
      </c>
      <c r="M18" s="21">
        <v>6.4</v>
      </c>
      <c r="N18" s="21">
        <v>6.4</v>
      </c>
    </row>
    <row r="19" spans="4:14">
      <c r="D19" s="18">
        <v>46183</v>
      </c>
      <c r="E19" s="6">
        <v>1611150</v>
      </c>
      <c r="F19" s="6" t="s">
        <v>26</v>
      </c>
      <c r="G19" s="6">
        <v>20324731</v>
      </c>
      <c r="H19" s="6" t="s">
        <v>483</v>
      </c>
      <c r="I19" s="6">
        <v>2</v>
      </c>
      <c r="J19" s="32" t="s">
        <v>28</v>
      </c>
      <c r="K19" s="20">
        <f>M19/L19</f>
        <v>10</v>
      </c>
      <c r="L19" s="21">
        <v>4.4</v>
      </c>
      <c r="M19" s="21">
        <v>44</v>
      </c>
      <c r="N19" s="21">
        <v>88</v>
      </c>
    </row>
    <row r="20" spans="4:14">
      <c r="D20" s="18">
        <v>46191</v>
      </c>
      <c r="E20" s="6">
        <v>1613552</v>
      </c>
      <c r="F20" s="6" t="s">
        <v>16</v>
      </c>
      <c r="G20" s="6">
        <v>20324716</v>
      </c>
      <c r="H20" s="6" t="s">
        <v>254</v>
      </c>
      <c r="I20" s="6">
        <v>2</v>
      </c>
      <c r="J20" s="6" t="s">
        <v>18</v>
      </c>
      <c r="K20" s="20">
        <v>1</v>
      </c>
      <c r="L20" s="21">
        <v>6.4</v>
      </c>
      <c r="M20" s="21">
        <v>10.8</v>
      </c>
      <c r="N20" s="21">
        <v>21.6</v>
      </c>
    </row>
    <row r="21" spans="4:14">
      <c r="D21" s="18"/>
      <c r="E21" s="6"/>
      <c r="F21" s="6"/>
      <c r="G21" s="6"/>
      <c r="H21" s="6"/>
      <c r="I21" s="6"/>
      <c r="J21" s="6" t="s">
        <v>124</v>
      </c>
      <c r="K21" s="20">
        <v>1</v>
      </c>
      <c r="L21" s="21">
        <v>4.4</v>
      </c>
      <c r="M21" s="21"/>
      <c r="N21" s="21"/>
    </row>
    <row r="22" spans="4:14">
      <c r="D22" s="18">
        <v>46191</v>
      </c>
      <c r="E22" s="6">
        <v>1613552</v>
      </c>
      <c r="F22" s="6" t="s">
        <v>26</v>
      </c>
      <c r="G22" s="6">
        <v>20324379</v>
      </c>
      <c r="H22" s="6" t="s">
        <v>484</v>
      </c>
      <c r="I22" s="6">
        <v>3</v>
      </c>
      <c r="J22" s="32" t="s">
        <v>28</v>
      </c>
      <c r="K22" s="20">
        <f>M22/L22</f>
        <v>24</v>
      </c>
      <c r="L22" s="21">
        <v>4.4</v>
      </c>
      <c r="M22" s="21">
        <v>105.6</v>
      </c>
      <c r="N22" s="21">
        <v>316.8</v>
      </c>
    </row>
    <row r="23" spans="4:14">
      <c r="D23" s="18">
        <v>46195</v>
      </c>
      <c r="E23" s="6">
        <v>1614189</v>
      </c>
      <c r="F23" s="6" t="s">
        <v>16</v>
      </c>
      <c r="G23" s="6">
        <v>20324712</v>
      </c>
      <c r="H23" s="6" t="s">
        <v>486</v>
      </c>
      <c r="I23" s="6">
        <v>1</v>
      </c>
      <c r="J23" s="6" t="s">
        <v>20</v>
      </c>
      <c r="K23" s="20">
        <v>1</v>
      </c>
      <c r="L23" s="21">
        <v>8.8</v>
      </c>
      <c r="M23" s="21">
        <v>13.2</v>
      </c>
      <c r="N23" s="21">
        <v>13.2</v>
      </c>
    </row>
    <row r="24" spans="4:14">
      <c r="D24" s="18"/>
      <c r="E24" s="6"/>
      <c r="F24" s="6"/>
      <c r="G24" s="6"/>
      <c r="H24" s="6"/>
      <c r="I24" s="6"/>
      <c r="J24" s="6" t="s">
        <v>124</v>
      </c>
      <c r="K24" s="20">
        <v>1</v>
      </c>
      <c r="L24" s="21">
        <v>4.4</v>
      </c>
      <c r="M24" s="21"/>
      <c r="N24" s="21"/>
    </row>
    <row r="25" spans="4:14">
      <c r="D25" s="18">
        <v>46195</v>
      </c>
      <c r="E25" s="6">
        <v>1614189</v>
      </c>
      <c r="F25" s="6" t="s">
        <v>16</v>
      </c>
      <c r="G25" s="6">
        <v>20324415</v>
      </c>
      <c r="H25" s="6" t="s">
        <v>485</v>
      </c>
      <c r="I25" s="6">
        <v>1</v>
      </c>
      <c r="J25" s="6" t="s">
        <v>20</v>
      </c>
      <c r="K25" s="20">
        <v>1</v>
      </c>
      <c r="L25" s="21">
        <v>8.8</v>
      </c>
      <c r="M25" s="21">
        <v>13.2</v>
      </c>
      <c r="N25" s="21">
        <v>13.2</v>
      </c>
    </row>
    <row r="26" spans="4:14">
      <c r="D26" s="18"/>
      <c r="E26" s="6"/>
      <c r="F26" s="6"/>
      <c r="G26" s="6"/>
      <c r="H26" s="6"/>
      <c r="I26" s="6"/>
      <c r="J26" s="6" t="s">
        <v>124</v>
      </c>
      <c r="K26" s="20">
        <v>1</v>
      </c>
      <c r="L26" s="21">
        <v>4.4</v>
      </c>
      <c r="M26" s="21"/>
      <c r="N26" s="21"/>
    </row>
    <row r="27" spans="4:14">
      <c r="D27" s="18">
        <v>46195</v>
      </c>
      <c r="E27" s="6">
        <v>1614189</v>
      </c>
      <c r="F27" s="6" t="s">
        <v>16</v>
      </c>
      <c r="G27" s="6">
        <v>20324716</v>
      </c>
      <c r="H27" s="6" t="s">
        <v>254</v>
      </c>
      <c r="I27" s="6">
        <v>2</v>
      </c>
      <c r="J27" s="6" t="s">
        <v>18</v>
      </c>
      <c r="K27" s="20">
        <v>1</v>
      </c>
      <c r="L27" s="21">
        <v>6.4</v>
      </c>
      <c r="M27" s="21">
        <v>10.8</v>
      </c>
      <c r="N27" s="21">
        <v>21.6</v>
      </c>
    </row>
    <row r="28" spans="4:14">
      <c r="D28" s="18"/>
      <c r="E28" s="6"/>
      <c r="F28" s="6"/>
      <c r="G28" s="6"/>
      <c r="H28" s="6"/>
      <c r="I28" s="6"/>
      <c r="J28" s="6" t="s">
        <v>124</v>
      </c>
      <c r="K28" s="20">
        <v>1</v>
      </c>
      <c r="L28" s="21">
        <v>4.4</v>
      </c>
      <c r="M28" s="21"/>
      <c r="N28" s="21"/>
    </row>
    <row r="29" spans="4:14">
      <c r="D29" s="18">
        <v>46195</v>
      </c>
      <c r="E29" s="6">
        <v>1614189</v>
      </c>
      <c r="F29" s="6" t="s">
        <v>16</v>
      </c>
      <c r="G29" s="6">
        <v>20324363</v>
      </c>
      <c r="H29" s="6" t="s">
        <v>25</v>
      </c>
      <c r="I29" s="6">
        <v>2</v>
      </c>
      <c r="J29" s="19" t="s">
        <v>18</v>
      </c>
      <c r="K29" s="20">
        <v>1</v>
      </c>
      <c r="L29" s="21">
        <v>6.4</v>
      </c>
      <c r="M29" s="21">
        <v>6.4</v>
      </c>
      <c r="N29" s="21">
        <v>12.8</v>
      </c>
    </row>
    <row r="30" spans="4:14">
      <c r="D30" s="18">
        <v>46195</v>
      </c>
      <c r="E30" s="6">
        <v>1614189</v>
      </c>
      <c r="F30" s="6" t="s">
        <v>26</v>
      </c>
      <c r="G30" s="6">
        <v>20324379</v>
      </c>
      <c r="H30" s="6" t="s">
        <v>484</v>
      </c>
      <c r="I30" s="6">
        <v>2</v>
      </c>
      <c r="J30" s="32" t="s">
        <v>28</v>
      </c>
      <c r="K30" s="20">
        <f t="shared" ref="K30:K34" si="1">M30/L30</f>
        <v>24</v>
      </c>
      <c r="L30" s="21">
        <v>4.4</v>
      </c>
      <c r="M30" s="21">
        <v>105.6</v>
      </c>
      <c r="N30" s="21">
        <v>211.2</v>
      </c>
    </row>
    <row r="31" spans="4:14">
      <c r="D31" s="18">
        <v>46199</v>
      </c>
      <c r="E31" s="6">
        <v>1615607</v>
      </c>
      <c r="F31" s="6" t="s">
        <v>16</v>
      </c>
      <c r="G31" s="6">
        <v>20324716</v>
      </c>
      <c r="H31" s="6" t="s">
        <v>254</v>
      </c>
      <c r="I31" s="6">
        <v>2</v>
      </c>
      <c r="J31" s="6" t="s">
        <v>18</v>
      </c>
      <c r="K31" s="20">
        <v>1</v>
      </c>
      <c r="L31" s="21">
        <v>6.4</v>
      </c>
      <c r="M31" s="21">
        <v>10.8</v>
      </c>
      <c r="N31" s="21">
        <v>21.6</v>
      </c>
    </row>
    <row r="32" spans="4:14">
      <c r="D32" s="18"/>
      <c r="E32" s="6"/>
      <c r="F32" s="6"/>
      <c r="G32" s="6"/>
      <c r="H32" s="6"/>
      <c r="I32" s="6"/>
      <c r="J32" s="6" t="s">
        <v>124</v>
      </c>
      <c r="K32" s="20">
        <v>1</v>
      </c>
      <c r="L32" s="21">
        <v>4.4</v>
      </c>
      <c r="M32" s="21"/>
      <c r="N32" s="21"/>
    </row>
    <row r="33" spans="4:14">
      <c r="D33" s="18">
        <v>46199</v>
      </c>
      <c r="E33" s="6">
        <v>1615607</v>
      </c>
      <c r="F33" s="6" t="s">
        <v>26</v>
      </c>
      <c r="G33" s="6">
        <v>20324731</v>
      </c>
      <c r="H33" s="6" t="s">
        <v>483</v>
      </c>
      <c r="I33" s="6">
        <v>3</v>
      </c>
      <c r="J33" s="32" t="s">
        <v>28</v>
      </c>
      <c r="K33" s="20">
        <f t="shared" si="1"/>
        <v>10</v>
      </c>
      <c r="L33" s="21">
        <v>4.4</v>
      </c>
      <c r="M33" s="21">
        <v>44</v>
      </c>
      <c r="N33" s="21">
        <v>132</v>
      </c>
    </row>
    <row r="34" spans="4:14">
      <c r="D34" s="29">
        <v>46199</v>
      </c>
      <c r="E34" s="22">
        <v>1615607</v>
      </c>
      <c r="F34" s="22" t="s">
        <v>26</v>
      </c>
      <c r="G34" s="22">
        <v>20324379</v>
      </c>
      <c r="H34" s="22" t="s">
        <v>484</v>
      </c>
      <c r="I34" s="22">
        <v>2</v>
      </c>
      <c r="J34" s="32" t="s">
        <v>28</v>
      </c>
      <c r="K34" s="20">
        <f t="shared" si="1"/>
        <v>24</v>
      </c>
      <c r="L34" s="21">
        <v>4.4</v>
      </c>
      <c r="M34" s="21">
        <v>105.6</v>
      </c>
      <c r="N34" s="21">
        <v>211.2</v>
      </c>
    </row>
    <row r="35" ht="0.05" hidden="1" customHeight="1" spans="4:14">
      <c r="D35" s="72"/>
      <c r="E35" s="72"/>
      <c r="F35" s="72"/>
      <c r="G35" s="72"/>
      <c r="H35" s="72"/>
    </row>
    <row r="36" spans="4:14">
      <c r="D36" s="72"/>
      <c r="E36" s="72"/>
      <c r="F36" s="72"/>
      <c r="G36" s="72"/>
      <c r="H36" s="72"/>
    </row>
  </sheetData>
  <autoFilter xmlns:etc="http://www.wps.cn/officeDocument/2017/etCustomData" ref="A7:N34" etc:filterBottomFollowUsedRange="0">
    <extLst/>
  </autoFilter>
  <mergeCells count="69">
    <mergeCell ref="D8:H8"/>
    <mergeCell ref="C7:C34"/>
    <mergeCell ref="D9:D10"/>
    <mergeCell ref="D13:D14"/>
    <mergeCell ref="D16:D17"/>
    <mergeCell ref="D20:D21"/>
    <mergeCell ref="D23:D24"/>
    <mergeCell ref="D25:D26"/>
    <mergeCell ref="D27:D28"/>
    <mergeCell ref="D31:D32"/>
    <mergeCell ref="E9:E10"/>
    <mergeCell ref="E13:E14"/>
    <mergeCell ref="E16:E17"/>
    <mergeCell ref="E20:E21"/>
    <mergeCell ref="E23:E24"/>
    <mergeCell ref="E25:E26"/>
    <mergeCell ref="E27:E28"/>
    <mergeCell ref="E31:E32"/>
    <mergeCell ref="F9:F10"/>
    <mergeCell ref="F13:F14"/>
    <mergeCell ref="F16:F17"/>
    <mergeCell ref="F20:F21"/>
    <mergeCell ref="F23:F24"/>
    <mergeCell ref="F25:F26"/>
    <mergeCell ref="F27:F28"/>
    <mergeCell ref="F31:F32"/>
    <mergeCell ref="G9:G10"/>
    <mergeCell ref="G13:G14"/>
    <mergeCell ref="G16:G17"/>
    <mergeCell ref="G20:G21"/>
    <mergeCell ref="G23:G24"/>
    <mergeCell ref="G25:G26"/>
    <mergeCell ref="G27:G28"/>
    <mergeCell ref="G31:G32"/>
    <mergeCell ref="H9:H10"/>
    <mergeCell ref="H13:H14"/>
    <mergeCell ref="H16:H17"/>
    <mergeCell ref="H20:H21"/>
    <mergeCell ref="H23:H24"/>
    <mergeCell ref="H25:H26"/>
    <mergeCell ref="H27:H28"/>
    <mergeCell ref="H31:H32"/>
    <mergeCell ref="I9:I10"/>
    <mergeCell ref="I13:I14"/>
    <mergeCell ref="I16:I17"/>
    <mergeCell ref="I20:I21"/>
    <mergeCell ref="I23:I24"/>
    <mergeCell ref="I25:I26"/>
    <mergeCell ref="I27:I28"/>
    <mergeCell ref="I31:I32"/>
    <mergeCell ref="M9:M10"/>
    <mergeCell ref="M13:M14"/>
    <mergeCell ref="M16:M17"/>
    <mergeCell ref="M20:M21"/>
    <mergeCell ref="M23:M24"/>
    <mergeCell ref="M25:M26"/>
    <mergeCell ref="M27:M28"/>
    <mergeCell ref="M31:M32"/>
    <mergeCell ref="N9:N10"/>
    <mergeCell ref="N13:N14"/>
    <mergeCell ref="N16:N17"/>
    <mergeCell ref="N20:N21"/>
    <mergeCell ref="N23:N24"/>
    <mergeCell ref="N25:N26"/>
    <mergeCell ref="N27:N28"/>
    <mergeCell ref="N31:N32"/>
    <mergeCell ref="B4:H5"/>
    <mergeCell ref="C1:H2"/>
    <mergeCell ref="A7:B34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3"/>
  <sheetViews>
    <sheetView showGridLines="0" view="pageBreakPreview" zoomScaleNormal="100" workbookViewId="0">
      <pane ySplit="6" topLeftCell="A7" activePane="bottomLeft" state="frozen"/>
      <selection/>
      <selection pane="bottomLeft" activeCell="F38" sqref="F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625" customWidth="1"/>
    <col min="12" max="12" width="12.25" customWidth="1"/>
    <col min="13" max="13" width="10.625" customWidth="1"/>
    <col min="14" max="14" width="13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487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75</v>
      </c>
      <c r="J8" s="42"/>
      <c r="K8" s="43"/>
      <c r="L8" s="43"/>
      <c r="M8" s="43"/>
      <c r="N8" s="43">
        <v>2329.2</v>
      </c>
    </row>
    <row r="9" spans="1:14">
      <c r="D9" s="13">
        <v>46175</v>
      </c>
      <c r="E9" s="14">
        <v>1608317</v>
      </c>
      <c r="F9" s="14" t="s">
        <v>26</v>
      </c>
      <c r="G9" s="14">
        <v>20324423</v>
      </c>
      <c r="H9" s="14" t="s">
        <v>129</v>
      </c>
      <c r="I9" s="14">
        <v>1</v>
      </c>
      <c r="J9" s="58" t="s">
        <v>28</v>
      </c>
      <c r="K9" s="16">
        <f>M9/L9</f>
        <v>18</v>
      </c>
      <c r="L9" s="17">
        <v>4.4</v>
      </c>
      <c r="M9" s="17">
        <v>79.2</v>
      </c>
      <c r="N9" s="17">
        <v>79.2</v>
      </c>
    </row>
    <row r="10" spans="1:14">
      <c r="D10" s="18">
        <v>46175</v>
      </c>
      <c r="E10" s="6">
        <v>1608317</v>
      </c>
      <c r="F10" s="6" t="s">
        <v>16</v>
      </c>
      <c r="G10" s="6">
        <v>20324363</v>
      </c>
      <c r="H10" s="6" t="s">
        <v>25</v>
      </c>
      <c r="I10" s="6">
        <v>1</v>
      </c>
      <c r="J10" s="19" t="s">
        <v>18</v>
      </c>
      <c r="K10" s="20">
        <v>1</v>
      </c>
      <c r="L10" s="21">
        <v>6.4</v>
      </c>
      <c r="M10" s="21">
        <v>6.4</v>
      </c>
      <c r="N10" s="21">
        <v>6.4</v>
      </c>
    </row>
    <row r="11" spans="1:14">
      <c r="D11" s="18">
        <v>46175</v>
      </c>
      <c r="E11" s="6">
        <v>1608317</v>
      </c>
      <c r="F11" s="6" t="s">
        <v>26</v>
      </c>
      <c r="G11" s="6">
        <v>20324420</v>
      </c>
      <c r="H11" s="6" t="s">
        <v>488</v>
      </c>
      <c r="I11" s="6">
        <v>3</v>
      </c>
      <c r="J11" s="33" t="s">
        <v>28</v>
      </c>
      <c r="K11" s="20">
        <v>3</v>
      </c>
      <c r="L11" s="21">
        <v>4.4</v>
      </c>
      <c r="M11" s="21">
        <v>22</v>
      </c>
      <c r="N11" s="21">
        <f>I11*M11</f>
        <v>66</v>
      </c>
    </row>
    <row r="12" spans="1:14">
      <c r="D12" s="18"/>
      <c r="E12" s="6"/>
      <c r="F12" s="6"/>
      <c r="G12" s="6"/>
      <c r="H12" s="6"/>
      <c r="I12" s="6"/>
      <c r="J12" s="32" t="s">
        <v>489</v>
      </c>
      <c r="K12" s="20">
        <v>1</v>
      </c>
      <c r="L12" s="21">
        <v>8.8</v>
      </c>
      <c r="M12" s="21"/>
      <c r="N12" s="21"/>
    </row>
    <row r="13" spans="1:14">
      <c r="D13" s="18">
        <v>46175</v>
      </c>
      <c r="E13" s="6">
        <v>1608317</v>
      </c>
      <c r="F13" s="6" t="s">
        <v>16</v>
      </c>
      <c r="G13" s="6">
        <v>20324421</v>
      </c>
      <c r="H13" s="6" t="s">
        <v>490</v>
      </c>
      <c r="I13" s="6">
        <v>3</v>
      </c>
      <c r="J13" s="32" t="s">
        <v>28</v>
      </c>
      <c r="K13" s="20">
        <f>M13/L13</f>
        <v>3</v>
      </c>
      <c r="L13" s="21">
        <v>4.4</v>
      </c>
      <c r="M13" s="21">
        <v>13.2</v>
      </c>
      <c r="N13" s="21">
        <v>39.6</v>
      </c>
    </row>
    <row r="14" spans="1:14">
      <c r="D14" s="18">
        <v>46176</v>
      </c>
      <c r="E14" s="6">
        <v>1608661</v>
      </c>
      <c r="F14" s="6" t="s">
        <v>26</v>
      </c>
      <c r="G14" s="6">
        <v>20324423</v>
      </c>
      <c r="H14" s="6" t="s">
        <v>129</v>
      </c>
      <c r="I14" s="6">
        <v>3</v>
      </c>
      <c r="J14" s="32" t="s">
        <v>28</v>
      </c>
      <c r="K14" s="20">
        <f>M14/L14</f>
        <v>18</v>
      </c>
      <c r="L14" s="21">
        <v>4.4</v>
      </c>
      <c r="M14" s="21">
        <v>79.2</v>
      </c>
      <c r="N14" s="21">
        <v>237.6</v>
      </c>
    </row>
    <row r="15" spans="1:14">
      <c r="D15" s="18">
        <v>46176</v>
      </c>
      <c r="E15" s="6">
        <v>1608661</v>
      </c>
      <c r="F15" s="6" t="s">
        <v>26</v>
      </c>
      <c r="G15" s="6">
        <v>20324063</v>
      </c>
      <c r="H15" s="6" t="s">
        <v>491</v>
      </c>
      <c r="I15" s="6">
        <v>1</v>
      </c>
      <c r="J15" s="32" t="s">
        <v>28</v>
      </c>
      <c r="K15" s="20">
        <f>M15/L15</f>
        <v>13</v>
      </c>
      <c r="L15" s="21">
        <v>4.4</v>
      </c>
      <c r="M15" s="21">
        <v>57.2</v>
      </c>
      <c r="N15" s="21">
        <v>57.2</v>
      </c>
    </row>
    <row r="16" spans="1:14">
      <c r="D16" s="18">
        <v>46178</v>
      </c>
      <c r="E16" s="6">
        <v>1609424</v>
      </c>
      <c r="F16" s="6" t="s">
        <v>26</v>
      </c>
      <c r="G16" s="6">
        <v>20324420</v>
      </c>
      <c r="H16" s="6" t="s">
        <v>488</v>
      </c>
      <c r="I16" s="6">
        <v>1</v>
      </c>
      <c r="J16" s="33" t="s">
        <v>28</v>
      </c>
      <c r="K16" s="20">
        <v>3</v>
      </c>
      <c r="L16" s="21">
        <v>4.4</v>
      </c>
      <c r="M16" s="21">
        <v>22</v>
      </c>
      <c r="N16" s="21">
        <f>I16*M16</f>
        <v>22</v>
      </c>
    </row>
    <row r="17" spans="4:14">
      <c r="D17" s="18"/>
      <c r="E17" s="6"/>
      <c r="F17" s="6"/>
      <c r="G17" s="6"/>
      <c r="H17" s="6"/>
      <c r="I17" s="6"/>
      <c r="J17" s="32" t="s">
        <v>489</v>
      </c>
      <c r="K17" s="20">
        <v>1</v>
      </c>
      <c r="L17" s="21">
        <v>8.8</v>
      </c>
      <c r="M17" s="21"/>
      <c r="N17" s="21"/>
    </row>
    <row r="18" spans="4:14">
      <c r="D18" s="18">
        <v>46178</v>
      </c>
      <c r="E18" s="6">
        <v>1609424</v>
      </c>
      <c r="F18" s="6" t="s">
        <v>16</v>
      </c>
      <c r="G18" s="6">
        <v>20324421</v>
      </c>
      <c r="H18" s="6" t="s">
        <v>490</v>
      </c>
      <c r="I18" s="6">
        <v>1</v>
      </c>
      <c r="J18" s="32" t="s">
        <v>28</v>
      </c>
      <c r="K18" s="20">
        <f t="shared" ref="K18:K22" si="0">M18/L18</f>
        <v>3</v>
      </c>
      <c r="L18" s="21">
        <v>4.4</v>
      </c>
      <c r="M18" s="21">
        <v>13.2</v>
      </c>
      <c r="N18" s="21">
        <v>13.2</v>
      </c>
    </row>
    <row r="19" spans="4:14">
      <c r="D19" s="18">
        <v>46178</v>
      </c>
      <c r="E19" s="6">
        <v>1609520</v>
      </c>
      <c r="F19" s="6" t="s">
        <v>16</v>
      </c>
      <c r="G19" s="6">
        <v>20326777</v>
      </c>
      <c r="H19" s="6" t="s">
        <v>492</v>
      </c>
      <c r="I19" s="6">
        <v>1</v>
      </c>
      <c r="J19" s="32" t="s">
        <v>58</v>
      </c>
      <c r="K19" s="20">
        <v>1</v>
      </c>
      <c r="L19" s="21">
        <v>17.6</v>
      </c>
      <c r="M19" s="21">
        <v>17.6</v>
      </c>
      <c r="N19" s="21">
        <v>17.6</v>
      </c>
    </row>
    <row r="20" spans="4:14">
      <c r="D20" s="18">
        <v>46179</v>
      </c>
      <c r="E20" s="6">
        <v>1609865</v>
      </c>
      <c r="F20" s="6" t="s">
        <v>26</v>
      </c>
      <c r="G20" s="6">
        <v>20324423</v>
      </c>
      <c r="H20" s="6" t="s">
        <v>129</v>
      </c>
      <c r="I20" s="6">
        <v>1</v>
      </c>
      <c r="J20" s="32" t="s">
        <v>28</v>
      </c>
      <c r="K20" s="20">
        <f t="shared" si="0"/>
        <v>18</v>
      </c>
      <c r="L20" s="21">
        <v>4.4</v>
      </c>
      <c r="M20" s="21">
        <v>79.2</v>
      </c>
      <c r="N20" s="21">
        <v>79.2</v>
      </c>
    </row>
    <row r="21" spans="4:14">
      <c r="D21" s="18">
        <v>46179</v>
      </c>
      <c r="E21" s="6">
        <v>1609900</v>
      </c>
      <c r="F21" s="6" t="s">
        <v>16</v>
      </c>
      <c r="G21" s="6">
        <v>20326777</v>
      </c>
      <c r="H21" s="6" t="s">
        <v>492</v>
      </c>
      <c r="I21" s="6">
        <v>2</v>
      </c>
      <c r="J21" s="32" t="s">
        <v>58</v>
      </c>
      <c r="K21" s="20">
        <v>1</v>
      </c>
      <c r="L21" s="21">
        <v>17.6</v>
      </c>
      <c r="M21" s="21">
        <v>17.6</v>
      </c>
      <c r="N21" s="21">
        <v>35.2</v>
      </c>
    </row>
    <row r="22" spans="4:14">
      <c r="D22" s="18">
        <v>46182</v>
      </c>
      <c r="E22" s="6">
        <v>1610417</v>
      </c>
      <c r="F22" s="6" t="s">
        <v>26</v>
      </c>
      <c r="G22" s="6">
        <v>20324423</v>
      </c>
      <c r="H22" s="6" t="s">
        <v>129</v>
      </c>
      <c r="I22" s="6">
        <v>3</v>
      </c>
      <c r="J22" s="32" t="s">
        <v>28</v>
      </c>
      <c r="K22" s="20">
        <f t="shared" si="0"/>
        <v>18</v>
      </c>
      <c r="L22" s="21">
        <v>4.4</v>
      </c>
      <c r="M22" s="21">
        <v>79.2</v>
      </c>
      <c r="N22" s="21">
        <v>237.6</v>
      </c>
    </row>
    <row r="23" spans="4:14">
      <c r="D23" s="18">
        <v>46182</v>
      </c>
      <c r="E23" s="6">
        <v>1610417</v>
      </c>
      <c r="F23" s="6" t="s">
        <v>26</v>
      </c>
      <c r="G23" s="6">
        <v>20324420</v>
      </c>
      <c r="H23" s="6" t="s">
        <v>488</v>
      </c>
      <c r="I23" s="6">
        <v>3</v>
      </c>
      <c r="J23" s="33" t="s">
        <v>28</v>
      </c>
      <c r="K23" s="20">
        <v>3</v>
      </c>
      <c r="L23" s="21">
        <v>4.4</v>
      </c>
      <c r="M23" s="21">
        <v>22</v>
      </c>
      <c r="N23" s="21">
        <f>I23*M23</f>
        <v>66</v>
      </c>
    </row>
    <row r="24" spans="4:14">
      <c r="D24" s="18"/>
      <c r="E24" s="6"/>
      <c r="F24" s="6"/>
      <c r="G24" s="6"/>
      <c r="H24" s="6"/>
      <c r="I24" s="6"/>
      <c r="J24" s="32" t="s">
        <v>489</v>
      </c>
      <c r="K24" s="20">
        <v>1</v>
      </c>
      <c r="L24" s="21">
        <v>8.8</v>
      </c>
      <c r="M24" s="21"/>
      <c r="N24" s="21"/>
    </row>
    <row r="25" spans="4:14">
      <c r="D25" s="18">
        <v>46182</v>
      </c>
      <c r="E25" s="6">
        <v>1610417</v>
      </c>
      <c r="F25" s="6" t="s">
        <v>16</v>
      </c>
      <c r="G25" s="6">
        <v>20324421</v>
      </c>
      <c r="H25" s="6" t="s">
        <v>490</v>
      </c>
      <c r="I25" s="6">
        <v>3</v>
      </c>
      <c r="J25" s="32" t="s">
        <v>28</v>
      </c>
      <c r="K25" s="20">
        <f>M25/L25</f>
        <v>3</v>
      </c>
      <c r="L25" s="21">
        <v>4.4</v>
      </c>
      <c r="M25" s="21">
        <v>13.2</v>
      </c>
      <c r="N25" s="21">
        <v>39.6</v>
      </c>
    </row>
    <row r="26" spans="4:14">
      <c r="D26" s="18">
        <v>46182</v>
      </c>
      <c r="E26" s="6">
        <v>1610481</v>
      </c>
      <c r="F26" s="6" t="s">
        <v>16</v>
      </c>
      <c r="G26" s="6">
        <v>20326777</v>
      </c>
      <c r="H26" s="6" t="s">
        <v>492</v>
      </c>
      <c r="I26" s="6">
        <v>2</v>
      </c>
      <c r="J26" s="32" t="s">
        <v>58</v>
      </c>
      <c r="K26" s="20">
        <v>1</v>
      </c>
      <c r="L26" s="21">
        <v>17.6</v>
      </c>
      <c r="M26" s="21">
        <v>17.6</v>
      </c>
      <c r="N26" s="21">
        <v>35.2</v>
      </c>
    </row>
    <row r="27" spans="4:14">
      <c r="D27" s="18">
        <v>46183</v>
      </c>
      <c r="E27" s="6">
        <v>1610851</v>
      </c>
      <c r="F27" s="6" t="s">
        <v>26</v>
      </c>
      <c r="G27" s="6">
        <v>20324420</v>
      </c>
      <c r="H27" s="6" t="s">
        <v>488</v>
      </c>
      <c r="I27" s="6">
        <v>1</v>
      </c>
      <c r="J27" s="33" t="s">
        <v>28</v>
      </c>
      <c r="K27" s="20">
        <v>3</v>
      </c>
      <c r="L27" s="21">
        <v>4.4</v>
      </c>
      <c r="M27" s="21">
        <v>22</v>
      </c>
      <c r="N27" s="21">
        <f>I27*M27</f>
        <v>22</v>
      </c>
    </row>
    <row r="28" spans="4:14">
      <c r="D28" s="18"/>
      <c r="E28" s="6"/>
      <c r="F28" s="6"/>
      <c r="G28" s="6"/>
      <c r="H28" s="6"/>
      <c r="I28" s="6"/>
      <c r="J28" s="32" t="s">
        <v>489</v>
      </c>
      <c r="K28" s="20">
        <v>1</v>
      </c>
      <c r="L28" s="21">
        <v>8.8</v>
      </c>
      <c r="M28" s="21"/>
      <c r="N28" s="21"/>
    </row>
    <row r="29" spans="4:14">
      <c r="D29" s="18">
        <v>46183</v>
      </c>
      <c r="E29" s="6">
        <v>1610851</v>
      </c>
      <c r="F29" s="6" t="s">
        <v>16</v>
      </c>
      <c r="G29" s="6">
        <v>20324421</v>
      </c>
      <c r="H29" s="6" t="s">
        <v>490</v>
      </c>
      <c r="I29" s="6">
        <v>1</v>
      </c>
      <c r="J29" s="32" t="s">
        <v>28</v>
      </c>
      <c r="K29" s="20">
        <f>M29/L29</f>
        <v>3</v>
      </c>
      <c r="L29" s="21">
        <v>4.4</v>
      </c>
      <c r="M29" s="21">
        <v>13.2</v>
      </c>
      <c r="N29" s="21">
        <v>13.2</v>
      </c>
    </row>
    <row r="30" spans="4:14">
      <c r="D30" s="18">
        <v>46183</v>
      </c>
      <c r="E30" s="6">
        <v>1611151</v>
      </c>
      <c r="F30" s="6" t="s">
        <v>26</v>
      </c>
      <c r="G30" s="6">
        <v>20324423</v>
      </c>
      <c r="H30" s="6" t="s">
        <v>129</v>
      </c>
      <c r="I30" s="6">
        <v>2</v>
      </c>
      <c r="J30" s="32" t="s">
        <v>28</v>
      </c>
      <c r="K30" s="20">
        <f>M30/L30</f>
        <v>18</v>
      </c>
      <c r="L30" s="21">
        <v>4.4</v>
      </c>
      <c r="M30" s="21">
        <v>79.2</v>
      </c>
      <c r="N30" s="21">
        <v>158.4</v>
      </c>
    </row>
    <row r="31" spans="4:14">
      <c r="D31" s="18">
        <v>46183</v>
      </c>
      <c r="E31" s="6">
        <v>1611151</v>
      </c>
      <c r="F31" s="6" t="s">
        <v>26</v>
      </c>
      <c r="G31" s="6">
        <v>20324420</v>
      </c>
      <c r="H31" s="6" t="s">
        <v>488</v>
      </c>
      <c r="I31" s="6">
        <v>1</v>
      </c>
      <c r="J31" s="33" t="s">
        <v>28</v>
      </c>
      <c r="K31" s="20">
        <v>3</v>
      </c>
      <c r="L31" s="21">
        <v>4.4</v>
      </c>
      <c r="M31" s="21">
        <v>22</v>
      </c>
      <c r="N31" s="21">
        <f>I31*M31</f>
        <v>22</v>
      </c>
    </row>
    <row r="32" spans="4:14">
      <c r="D32" s="18"/>
      <c r="E32" s="6"/>
      <c r="F32" s="6"/>
      <c r="G32" s="6"/>
      <c r="H32" s="6"/>
      <c r="I32" s="6"/>
      <c r="J32" s="32" t="s">
        <v>489</v>
      </c>
      <c r="K32" s="20">
        <v>1</v>
      </c>
      <c r="L32" s="21">
        <v>8.8</v>
      </c>
      <c r="M32" s="21"/>
      <c r="N32" s="21"/>
    </row>
    <row r="33" spans="4:14">
      <c r="D33" s="18">
        <v>46183</v>
      </c>
      <c r="E33" s="6">
        <v>1611151</v>
      </c>
      <c r="F33" s="6" t="s">
        <v>16</v>
      </c>
      <c r="G33" s="6">
        <v>20324421</v>
      </c>
      <c r="H33" s="6" t="s">
        <v>490</v>
      </c>
      <c r="I33" s="6">
        <v>1</v>
      </c>
      <c r="J33" s="32" t="s">
        <v>28</v>
      </c>
      <c r="K33" s="20">
        <f>M33/L33</f>
        <v>3</v>
      </c>
      <c r="L33" s="21">
        <v>4.4</v>
      </c>
      <c r="M33" s="21">
        <v>13.2</v>
      </c>
      <c r="N33" s="21">
        <v>13.2</v>
      </c>
    </row>
    <row r="34" spans="4:14">
      <c r="D34" s="18">
        <v>46185</v>
      </c>
      <c r="E34" s="6">
        <v>1611895</v>
      </c>
      <c r="F34" s="6" t="s">
        <v>16</v>
      </c>
      <c r="G34" s="6">
        <v>20324363</v>
      </c>
      <c r="H34" s="6" t="s">
        <v>25</v>
      </c>
      <c r="I34" s="6">
        <v>1</v>
      </c>
      <c r="J34" s="19" t="s">
        <v>18</v>
      </c>
      <c r="K34" s="20">
        <v>1</v>
      </c>
      <c r="L34" s="21">
        <v>6.4</v>
      </c>
      <c r="M34" s="21">
        <v>6.4</v>
      </c>
      <c r="N34" s="21">
        <v>6.4</v>
      </c>
    </row>
    <row r="35" spans="4:14">
      <c r="D35" s="18">
        <v>46185</v>
      </c>
      <c r="E35" s="6">
        <v>1611895</v>
      </c>
      <c r="F35" s="6" t="s">
        <v>26</v>
      </c>
      <c r="G35" s="6">
        <v>20324420</v>
      </c>
      <c r="H35" s="6" t="s">
        <v>488</v>
      </c>
      <c r="I35" s="6">
        <v>1</v>
      </c>
      <c r="J35" s="33" t="s">
        <v>28</v>
      </c>
      <c r="K35" s="20">
        <v>3</v>
      </c>
      <c r="L35" s="21">
        <v>4.4</v>
      </c>
      <c r="M35" s="21">
        <v>22</v>
      </c>
      <c r="N35" s="21">
        <f>I35*M35</f>
        <v>22</v>
      </c>
    </row>
    <row r="36" spans="4:14">
      <c r="D36" s="18"/>
      <c r="E36" s="6"/>
      <c r="F36" s="6"/>
      <c r="G36" s="6"/>
      <c r="H36" s="6"/>
      <c r="I36" s="6"/>
      <c r="J36" s="32" t="s">
        <v>489</v>
      </c>
      <c r="K36" s="20">
        <v>1</v>
      </c>
      <c r="L36" s="21">
        <v>8.8</v>
      </c>
      <c r="M36" s="21"/>
      <c r="N36" s="21"/>
    </row>
    <row r="37" spans="4:14">
      <c r="D37" s="18">
        <v>46185</v>
      </c>
      <c r="E37" s="6">
        <v>1611895</v>
      </c>
      <c r="F37" s="6" t="s">
        <v>16</v>
      </c>
      <c r="G37" s="6">
        <v>20324421</v>
      </c>
      <c r="H37" s="6" t="s">
        <v>490</v>
      </c>
      <c r="I37" s="6">
        <v>1</v>
      </c>
      <c r="J37" s="32" t="s">
        <v>28</v>
      </c>
      <c r="K37" s="20">
        <f>M37/L37</f>
        <v>3</v>
      </c>
      <c r="L37" s="21">
        <v>4.4</v>
      </c>
      <c r="M37" s="21">
        <v>13.2</v>
      </c>
      <c r="N37" s="21">
        <v>13.2</v>
      </c>
    </row>
    <row r="38" spans="4:14">
      <c r="D38" s="18">
        <v>46185</v>
      </c>
      <c r="E38" s="6">
        <v>1611941</v>
      </c>
      <c r="F38" s="19" t="s">
        <v>16</v>
      </c>
      <c r="G38" s="6">
        <v>20342640</v>
      </c>
      <c r="H38" s="6" t="s">
        <v>493</v>
      </c>
      <c r="I38" s="6">
        <v>1</v>
      </c>
      <c r="J38" s="32" t="s">
        <v>58</v>
      </c>
      <c r="K38" s="20">
        <v>1</v>
      </c>
      <c r="L38" s="21">
        <v>17.6</v>
      </c>
      <c r="M38" s="21">
        <v>17.6</v>
      </c>
      <c r="N38" s="21">
        <v>17.6</v>
      </c>
    </row>
    <row r="39" spans="4:14">
      <c r="D39" s="18">
        <v>46189</v>
      </c>
      <c r="E39" s="6">
        <v>1612417</v>
      </c>
      <c r="F39" s="6" t="s">
        <v>26</v>
      </c>
      <c r="G39" s="6">
        <v>20324423</v>
      </c>
      <c r="H39" s="6" t="s">
        <v>129</v>
      </c>
      <c r="I39" s="6">
        <v>1</v>
      </c>
      <c r="J39" s="32" t="s">
        <v>28</v>
      </c>
      <c r="K39" s="20">
        <f>M39/L39</f>
        <v>18</v>
      </c>
      <c r="L39" s="21">
        <v>4.4</v>
      </c>
      <c r="M39" s="21">
        <v>79.2</v>
      </c>
      <c r="N39" s="21">
        <v>79.2</v>
      </c>
    </row>
    <row r="40" spans="4:14">
      <c r="D40" s="18">
        <v>46189</v>
      </c>
      <c r="E40" s="6">
        <v>1612472</v>
      </c>
      <c r="F40" s="6" t="s">
        <v>16</v>
      </c>
      <c r="G40" s="6">
        <v>20326777</v>
      </c>
      <c r="H40" s="6" t="s">
        <v>492</v>
      </c>
      <c r="I40" s="6">
        <v>2</v>
      </c>
      <c r="J40" s="32" t="s">
        <v>58</v>
      </c>
      <c r="K40" s="20">
        <v>1</v>
      </c>
      <c r="L40" s="21">
        <v>17.6</v>
      </c>
      <c r="M40" s="21">
        <v>17.6</v>
      </c>
      <c r="N40" s="21">
        <v>35.2</v>
      </c>
    </row>
    <row r="41" spans="4:14">
      <c r="D41" s="18">
        <v>46190</v>
      </c>
      <c r="E41" s="6">
        <v>1612794</v>
      </c>
      <c r="F41" s="6" t="s">
        <v>26</v>
      </c>
      <c r="G41" s="6">
        <v>20324423</v>
      </c>
      <c r="H41" s="6" t="s">
        <v>129</v>
      </c>
      <c r="I41" s="6">
        <v>1</v>
      </c>
      <c r="J41" s="32" t="s">
        <v>28</v>
      </c>
      <c r="K41" s="20">
        <f>M41/L41</f>
        <v>18</v>
      </c>
      <c r="L41" s="21">
        <v>4.4</v>
      </c>
      <c r="M41" s="21">
        <v>79.2</v>
      </c>
      <c r="N41" s="21">
        <v>79.2</v>
      </c>
    </row>
    <row r="42" spans="4:14">
      <c r="D42" s="18">
        <v>46190</v>
      </c>
      <c r="E42" s="6">
        <v>1612794</v>
      </c>
      <c r="F42" s="6" t="s">
        <v>26</v>
      </c>
      <c r="G42" s="6">
        <v>20324420</v>
      </c>
      <c r="H42" s="6" t="s">
        <v>488</v>
      </c>
      <c r="I42" s="6">
        <v>1</v>
      </c>
      <c r="J42" s="33" t="s">
        <v>28</v>
      </c>
      <c r="K42" s="20">
        <v>3</v>
      </c>
      <c r="L42" s="21">
        <v>4.4</v>
      </c>
      <c r="M42" s="21">
        <v>22</v>
      </c>
      <c r="N42" s="21">
        <f>I42*M42</f>
        <v>22</v>
      </c>
    </row>
    <row r="43" spans="4:14">
      <c r="D43" s="18"/>
      <c r="E43" s="6"/>
      <c r="F43" s="6"/>
      <c r="G43" s="6"/>
      <c r="H43" s="6"/>
      <c r="I43" s="6"/>
      <c r="J43" s="32" t="s">
        <v>489</v>
      </c>
      <c r="K43" s="20">
        <v>1</v>
      </c>
      <c r="L43" s="21">
        <v>8.8</v>
      </c>
      <c r="M43" s="21"/>
      <c r="N43" s="21"/>
    </row>
    <row r="44" spans="4:14">
      <c r="D44" s="18">
        <v>46190</v>
      </c>
      <c r="E44" s="6">
        <v>1612794</v>
      </c>
      <c r="F44" s="6" t="s">
        <v>16</v>
      </c>
      <c r="G44" s="6">
        <v>20324421</v>
      </c>
      <c r="H44" s="6" t="s">
        <v>490</v>
      </c>
      <c r="I44" s="6">
        <v>1</v>
      </c>
      <c r="J44" s="32" t="s">
        <v>28</v>
      </c>
      <c r="K44" s="20">
        <f>M44/L44</f>
        <v>3</v>
      </c>
      <c r="L44" s="21">
        <v>4.4</v>
      </c>
      <c r="M44" s="21">
        <v>13.2</v>
      </c>
      <c r="N44" s="21">
        <v>13.2</v>
      </c>
    </row>
    <row r="45" spans="4:14">
      <c r="D45" s="18">
        <v>46190</v>
      </c>
      <c r="E45" s="6">
        <v>1612804</v>
      </c>
      <c r="F45" s="6" t="s">
        <v>26</v>
      </c>
      <c r="G45" s="6">
        <v>20324423</v>
      </c>
      <c r="H45" s="6" t="s">
        <v>129</v>
      </c>
      <c r="I45" s="6">
        <v>1</v>
      </c>
      <c r="J45" s="32" t="s">
        <v>28</v>
      </c>
      <c r="K45" s="20">
        <f>M45/L45</f>
        <v>18</v>
      </c>
      <c r="L45" s="21">
        <v>4.4</v>
      </c>
      <c r="M45" s="21">
        <v>79.2</v>
      </c>
      <c r="N45" s="21">
        <v>79.2</v>
      </c>
    </row>
    <row r="46" spans="4:14">
      <c r="D46" s="18">
        <v>46190</v>
      </c>
      <c r="E46" s="6">
        <v>1612866</v>
      </c>
      <c r="F46" s="6" t="s">
        <v>16</v>
      </c>
      <c r="G46" s="6">
        <v>20326777</v>
      </c>
      <c r="H46" s="6" t="s">
        <v>492</v>
      </c>
      <c r="I46" s="6">
        <v>1</v>
      </c>
      <c r="J46" s="32" t="s">
        <v>58</v>
      </c>
      <c r="K46" s="20">
        <v>1</v>
      </c>
      <c r="L46" s="21">
        <v>17.6</v>
      </c>
      <c r="M46" s="21">
        <v>17.6</v>
      </c>
      <c r="N46" s="21">
        <v>17.6</v>
      </c>
    </row>
    <row r="47" spans="4:14">
      <c r="D47" s="18">
        <v>46191</v>
      </c>
      <c r="E47" s="6">
        <v>1613209</v>
      </c>
      <c r="F47" s="6" t="s">
        <v>26</v>
      </c>
      <c r="G47" s="6">
        <v>20324423</v>
      </c>
      <c r="H47" s="6" t="s">
        <v>129</v>
      </c>
      <c r="I47" s="6">
        <v>2</v>
      </c>
      <c r="J47" s="32" t="s">
        <v>28</v>
      </c>
      <c r="K47" s="20">
        <f>M47/L47</f>
        <v>18</v>
      </c>
      <c r="L47" s="21">
        <v>4.4</v>
      </c>
      <c r="M47" s="21">
        <v>79.2</v>
      </c>
      <c r="N47" s="21">
        <v>158.4</v>
      </c>
    </row>
    <row r="48" spans="4:14">
      <c r="D48" s="18">
        <v>46191</v>
      </c>
      <c r="E48" s="6">
        <v>1613209</v>
      </c>
      <c r="F48" s="6" t="s">
        <v>51</v>
      </c>
      <c r="G48" s="6">
        <v>20375423</v>
      </c>
      <c r="H48" s="6" t="s">
        <v>494</v>
      </c>
      <c r="I48" s="6">
        <v>13</v>
      </c>
      <c r="J48" s="33" t="s">
        <v>86</v>
      </c>
      <c r="K48" s="20">
        <v>1</v>
      </c>
      <c r="L48" s="21">
        <v>3.2</v>
      </c>
      <c r="M48" s="21">
        <v>3.2</v>
      </c>
      <c r="N48" s="21">
        <v>41.6</v>
      </c>
    </row>
    <row r="49" spans="4:14">
      <c r="D49" s="18">
        <v>46191</v>
      </c>
      <c r="E49" s="6">
        <v>1613553</v>
      </c>
      <c r="F49" s="6" t="s">
        <v>26</v>
      </c>
      <c r="G49" s="6">
        <v>20324063</v>
      </c>
      <c r="H49" s="6" t="s">
        <v>491</v>
      </c>
      <c r="I49" s="6">
        <v>1</v>
      </c>
      <c r="J49" s="32" t="s">
        <v>28</v>
      </c>
      <c r="K49" s="20">
        <f>M49/L49</f>
        <v>13</v>
      </c>
      <c r="L49" s="21">
        <v>4.4</v>
      </c>
      <c r="M49" s="21">
        <v>57.2</v>
      </c>
      <c r="N49" s="21">
        <v>57.2</v>
      </c>
    </row>
    <row r="50" spans="4:14">
      <c r="D50" s="18">
        <v>46195</v>
      </c>
      <c r="E50" s="6">
        <v>1614190</v>
      </c>
      <c r="F50" s="6" t="s">
        <v>26</v>
      </c>
      <c r="G50" s="6">
        <v>20324420</v>
      </c>
      <c r="H50" s="6" t="s">
        <v>488</v>
      </c>
      <c r="I50" s="6">
        <v>3</v>
      </c>
      <c r="J50" s="33" t="s">
        <v>28</v>
      </c>
      <c r="K50" s="20">
        <v>3</v>
      </c>
      <c r="L50" s="21">
        <v>4.4</v>
      </c>
      <c r="M50" s="21">
        <v>22</v>
      </c>
      <c r="N50" s="21">
        <f>I50*M50</f>
        <v>66</v>
      </c>
    </row>
    <row r="51" spans="4:14">
      <c r="D51" s="18"/>
      <c r="E51" s="6"/>
      <c r="F51" s="6"/>
      <c r="G51" s="6"/>
      <c r="H51" s="6"/>
      <c r="I51" s="6"/>
      <c r="J51" s="32" t="s">
        <v>489</v>
      </c>
      <c r="K51" s="20">
        <v>1</v>
      </c>
      <c r="L51" s="21">
        <v>8.8</v>
      </c>
      <c r="M51" s="21"/>
      <c r="N51" s="21"/>
    </row>
    <row r="52" spans="4:14">
      <c r="D52" s="18">
        <v>46197</v>
      </c>
      <c r="E52" s="6">
        <v>1614548</v>
      </c>
      <c r="F52" s="6" t="s">
        <v>26</v>
      </c>
      <c r="G52" s="6">
        <v>20324423</v>
      </c>
      <c r="H52" s="6" t="s">
        <v>129</v>
      </c>
      <c r="I52" s="6">
        <v>1</v>
      </c>
      <c r="J52" s="32" t="s">
        <v>28</v>
      </c>
      <c r="K52" s="20">
        <f>M52/L52</f>
        <v>18</v>
      </c>
      <c r="L52" s="21">
        <v>4.4</v>
      </c>
      <c r="M52" s="21">
        <v>79.2</v>
      </c>
      <c r="N52" s="21">
        <v>79.2</v>
      </c>
    </row>
    <row r="53" spans="4:14">
      <c r="D53" s="18">
        <v>46197</v>
      </c>
      <c r="E53" s="6">
        <v>1614548</v>
      </c>
      <c r="F53" s="6" t="s">
        <v>26</v>
      </c>
      <c r="G53" s="6">
        <v>20324063</v>
      </c>
      <c r="H53" s="6" t="s">
        <v>491</v>
      </c>
      <c r="I53" s="6">
        <v>1</v>
      </c>
      <c r="J53" s="32" t="s">
        <v>28</v>
      </c>
      <c r="K53" s="20">
        <f>M53/L53</f>
        <v>13</v>
      </c>
      <c r="L53" s="21">
        <v>4.4</v>
      </c>
      <c r="M53" s="21">
        <v>57.2</v>
      </c>
      <c r="N53" s="21">
        <v>57.2</v>
      </c>
    </row>
    <row r="54" spans="4:14">
      <c r="D54" s="18">
        <v>46197</v>
      </c>
      <c r="E54" s="6">
        <v>1614548</v>
      </c>
      <c r="F54" s="6" t="s">
        <v>26</v>
      </c>
      <c r="G54" s="6">
        <v>20324420</v>
      </c>
      <c r="H54" s="6" t="s">
        <v>488</v>
      </c>
      <c r="I54" s="6">
        <v>1</v>
      </c>
      <c r="J54" s="33" t="s">
        <v>28</v>
      </c>
      <c r="K54" s="20">
        <v>3</v>
      </c>
      <c r="L54" s="21">
        <v>4.4</v>
      </c>
      <c r="M54" s="21">
        <v>22</v>
      </c>
      <c r="N54" s="21">
        <f>I54*M54</f>
        <v>22</v>
      </c>
    </row>
    <row r="55" spans="4:14">
      <c r="D55" s="18"/>
      <c r="E55" s="6"/>
      <c r="F55" s="6"/>
      <c r="G55" s="6"/>
      <c r="H55" s="6"/>
      <c r="I55" s="6"/>
      <c r="J55" s="32" t="s">
        <v>489</v>
      </c>
      <c r="K55" s="20">
        <v>1</v>
      </c>
      <c r="L55" s="21">
        <v>8.8</v>
      </c>
      <c r="M55" s="21"/>
      <c r="N55" s="21"/>
    </row>
    <row r="56" spans="4:14">
      <c r="D56" s="18">
        <v>46197</v>
      </c>
      <c r="E56" s="6">
        <v>1614548</v>
      </c>
      <c r="F56" s="6" t="s">
        <v>16</v>
      </c>
      <c r="G56" s="6">
        <v>20324421</v>
      </c>
      <c r="H56" s="6" t="s">
        <v>490</v>
      </c>
      <c r="I56" s="6">
        <v>1</v>
      </c>
      <c r="J56" s="32" t="s">
        <v>28</v>
      </c>
      <c r="K56" s="20">
        <f t="shared" ref="K56:K58" si="1">M56/L56</f>
        <v>3</v>
      </c>
      <c r="L56" s="21">
        <v>4.4</v>
      </c>
      <c r="M56" s="21">
        <v>13.2</v>
      </c>
      <c r="N56" s="21">
        <v>13.2</v>
      </c>
    </row>
    <row r="57" spans="4:14">
      <c r="D57" s="18">
        <v>46202</v>
      </c>
      <c r="E57" s="6">
        <v>1616127</v>
      </c>
      <c r="F57" s="6" t="s">
        <v>26</v>
      </c>
      <c r="G57" s="6">
        <v>20324423</v>
      </c>
      <c r="H57" s="6" t="s">
        <v>129</v>
      </c>
      <c r="I57" s="6">
        <v>1</v>
      </c>
      <c r="J57" s="32" t="s">
        <v>28</v>
      </c>
      <c r="K57" s="20">
        <f t="shared" si="1"/>
        <v>18</v>
      </c>
      <c r="L57" s="21">
        <v>4.4</v>
      </c>
      <c r="M57" s="21">
        <v>79.2</v>
      </c>
      <c r="N57" s="21">
        <v>79.2</v>
      </c>
    </row>
    <row r="58" spans="4:14">
      <c r="D58" s="18">
        <v>46202</v>
      </c>
      <c r="E58" s="6">
        <v>1616127</v>
      </c>
      <c r="F58" s="6" t="s">
        <v>26</v>
      </c>
      <c r="G58" s="6">
        <v>20324063</v>
      </c>
      <c r="H58" s="6" t="s">
        <v>491</v>
      </c>
      <c r="I58" s="6">
        <v>1</v>
      </c>
      <c r="J58" s="32" t="s">
        <v>28</v>
      </c>
      <c r="K58" s="20">
        <f t="shared" si="1"/>
        <v>13</v>
      </c>
      <c r="L58" s="21">
        <v>4.4</v>
      </c>
      <c r="M58" s="21">
        <v>57.2</v>
      </c>
      <c r="N58" s="21">
        <v>57.2</v>
      </c>
    </row>
    <row r="59" spans="4:14">
      <c r="D59" s="18">
        <v>46202</v>
      </c>
      <c r="E59" s="6">
        <v>1616127</v>
      </c>
      <c r="F59" s="6" t="s">
        <v>26</v>
      </c>
      <c r="G59" s="6">
        <v>20324420</v>
      </c>
      <c r="H59" s="6" t="s">
        <v>488</v>
      </c>
      <c r="I59" s="6">
        <v>1</v>
      </c>
      <c r="J59" s="33" t="s">
        <v>28</v>
      </c>
      <c r="K59" s="20">
        <v>3</v>
      </c>
      <c r="L59" s="21">
        <v>4.4</v>
      </c>
      <c r="M59" s="21">
        <v>22</v>
      </c>
      <c r="N59" s="21">
        <f>I59*M59</f>
        <v>22</v>
      </c>
    </row>
    <row r="60" spans="4:14">
      <c r="D60" s="18"/>
      <c r="E60" s="6"/>
      <c r="F60" s="6"/>
      <c r="G60" s="6"/>
      <c r="H60" s="6"/>
      <c r="I60" s="6"/>
      <c r="J60" s="32" t="s">
        <v>489</v>
      </c>
      <c r="K60" s="20">
        <v>1</v>
      </c>
      <c r="L60" s="21">
        <v>8.8</v>
      </c>
      <c r="M60" s="21"/>
      <c r="N60" s="21"/>
    </row>
    <row r="61" spans="4:14">
      <c r="D61" s="18">
        <v>46202</v>
      </c>
      <c r="E61" s="6">
        <v>1616127</v>
      </c>
      <c r="F61" s="6" t="s">
        <v>16</v>
      </c>
      <c r="G61" s="6">
        <v>20324421</v>
      </c>
      <c r="H61" s="6" t="s">
        <v>490</v>
      </c>
      <c r="I61" s="6">
        <v>1</v>
      </c>
      <c r="J61" s="32" t="s">
        <v>28</v>
      </c>
      <c r="K61" s="20">
        <f>M61/L61</f>
        <v>3</v>
      </c>
      <c r="L61" s="21">
        <v>4.4</v>
      </c>
      <c r="M61" s="21">
        <v>13.2</v>
      </c>
      <c r="N61" s="21">
        <v>13.2</v>
      </c>
    </row>
    <row r="62" spans="4:14">
      <c r="D62" s="18">
        <v>46203</v>
      </c>
      <c r="E62" s="6">
        <v>1616195</v>
      </c>
      <c r="F62" s="6" t="s">
        <v>16</v>
      </c>
      <c r="G62" s="6">
        <v>20326777</v>
      </c>
      <c r="H62" s="6" t="s">
        <v>492</v>
      </c>
      <c r="I62" s="6">
        <v>1</v>
      </c>
      <c r="J62" s="32" t="s">
        <v>58</v>
      </c>
      <c r="K62" s="20">
        <v>1</v>
      </c>
      <c r="L62" s="21">
        <v>17.6</v>
      </c>
      <c r="M62" s="21">
        <v>17.6</v>
      </c>
      <c r="N62" s="21">
        <v>17.6</v>
      </c>
    </row>
    <row r="63" ht="0.05" customHeight="1"/>
  </sheetData>
  <autoFilter xmlns:etc="http://www.wps.cn/officeDocument/2017/etCustomData" ref="A7:N62" etc:filterBottomFollowUsedRange="0">
    <extLst/>
  </autoFilter>
  <mergeCells count="85">
    <mergeCell ref="D8:H8"/>
    <mergeCell ref="C7:C62"/>
    <mergeCell ref="D11:D12"/>
    <mergeCell ref="D16:D17"/>
    <mergeCell ref="D23:D24"/>
    <mergeCell ref="D27:D28"/>
    <mergeCell ref="D31:D32"/>
    <mergeCell ref="D35:D36"/>
    <mergeCell ref="D42:D43"/>
    <mergeCell ref="D50:D51"/>
    <mergeCell ref="D54:D55"/>
    <mergeCell ref="D59:D60"/>
    <mergeCell ref="E11:E12"/>
    <mergeCell ref="E16:E17"/>
    <mergeCell ref="E23:E24"/>
    <mergeCell ref="E27:E28"/>
    <mergeCell ref="E31:E32"/>
    <mergeCell ref="E35:E36"/>
    <mergeCell ref="E42:E43"/>
    <mergeCell ref="E50:E51"/>
    <mergeCell ref="E54:E55"/>
    <mergeCell ref="E59:E60"/>
    <mergeCell ref="F11:F12"/>
    <mergeCell ref="F16:F17"/>
    <mergeCell ref="F23:F24"/>
    <mergeCell ref="F27:F28"/>
    <mergeCell ref="F31:F32"/>
    <mergeCell ref="F35:F36"/>
    <mergeCell ref="F42:F43"/>
    <mergeCell ref="F50:F51"/>
    <mergeCell ref="F54:F55"/>
    <mergeCell ref="F59:F60"/>
    <mergeCell ref="G11:G12"/>
    <mergeCell ref="G16:G17"/>
    <mergeCell ref="G23:G24"/>
    <mergeCell ref="G27:G28"/>
    <mergeCell ref="G31:G32"/>
    <mergeCell ref="G35:G36"/>
    <mergeCell ref="G42:G43"/>
    <mergeCell ref="G50:G51"/>
    <mergeCell ref="G54:G55"/>
    <mergeCell ref="G59:G60"/>
    <mergeCell ref="H11:H12"/>
    <mergeCell ref="H16:H17"/>
    <mergeCell ref="H23:H24"/>
    <mergeCell ref="H27:H28"/>
    <mergeCell ref="H31:H32"/>
    <mergeCell ref="H35:H36"/>
    <mergeCell ref="H42:H43"/>
    <mergeCell ref="H50:H51"/>
    <mergeCell ref="H54:H55"/>
    <mergeCell ref="H59:H60"/>
    <mergeCell ref="I11:I12"/>
    <mergeCell ref="I16:I17"/>
    <mergeCell ref="I23:I24"/>
    <mergeCell ref="I27:I28"/>
    <mergeCell ref="I31:I32"/>
    <mergeCell ref="I35:I36"/>
    <mergeCell ref="I42:I43"/>
    <mergeCell ref="I50:I51"/>
    <mergeCell ref="I54:I55"/>
    <mergeCell ref="I59:I60"/>
    <mergeCell ref="M11:M12"/>
    <mergeCell ref="M16:M17"/>
    <mergeCell ref="M23:M24"/>
    <mergeCell ref="M27:M28"/>
    <mergeCell ref="M31:M32"/>
    <mergeCell ref="M35:M36"/>
    <mergeCell ref="M42:M43"/>
    <mergeCell ref="M50:M51"/>
    <mergeCell ref="M54:M55"/>
    <mergeCell ref="M59:M60"/>
    <mergeCell ref="N11:N12"/>
    <mergeCell ref="N16:N17"/>
    <mergeCell ref="N23:N24"/>
    <mergeCell ref="N27:N28"/>
    <mergeCell ref="N31:N32"/>
    <mergeCell ref="N35:N36"/>
    <mergeCell ref="N42:N43"/>
    <mergeCell ref="N50:N51"/>
    <mergeCell ref="N54:N55"/>
    <mergeCell ref="N59:N60"/>
    <mergeCell ref="B4:H5"/>
    <mergeCell ref="C1:H2"/>
    <mergeCell ref="A7:B6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showGridLines="0" view="pageBreakPreview" zoomScaleNormal="100" workbookViewId="0">
      <pane ySplit="6" topLeftCell="A7" activePane="bottomLeft" state="frozen"/>
      <selection/>
      <selection pane="bottomLeft" activeCell="F10" sqref="F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625" customWidth="1"/>
    <col min="12" max="12" width="12.25" customWidth="1"/>
    <col min="13" max="13" width="10.625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495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14</v>
      </c>
      <c r="J8" s="42"/>
      <c r="K8" s="43"/>
      <c r="L8" s="43"/>
      <c r="M8" s="43"/>
      <c r="N8" s="43">
        <v>246.8</v>
      </c>
    </row>
    <row r="9" spans="1:14">
      <c r="D9" s="13">
        <v>46175</v>
      </c>
      <c r="E9" s="14">
        <v>1608263</v>
      </c>
      <c r="F9" s="14" t="s">
        <v>16</v>
      </c>
      <c r="G9" s="14">
        <v>20338571</v>
      </c>
      <c r="H9" s="14" t="s">
        <v>496</v>
      </c>
      <c r="I9" s="14">
        <v>1</v>
      </c>
      <c r="J9" s="14" t="s">
        <v>124</v>
      </c>
      <c r="K9" s="16">
        <f>M9/L9</f>
        <v>3</v>
      </c>
      <c r="L9" s="17">
        <v>4.4</v>
      </c>
      <c r="M9" s="17">
        <v>13.2</v>
      </c>
      <c r="N9" s="17">
        <v>13.2</v>
      </c>
    </row>
    <row r="10" spans="1:14">
      <c r="D10" s="18">
        <v>46175</v>
      </c>
      <c r="E10" s="6">
        <v>1608263</v>
      </c>
      <c r="F10" s="19" t="s">
        <v>16</v>
      </c>
      <c r="G10" s="6">
        <v>20352765</v>
      </c>
      <c r="H10" s="6" t="s">
        <v>497</v>
      </c>
      <c r="I10" s="6">
        <v>1</v>
      </c>
      <c r="J10" s="32" t="s">
        <v>28</v>
      </c>
      <c r="K10" s="20">
        <f>M10/L10</f>
        <v>12</v>
      </c>
      <c r="L10" s="21">
        <v>4.4</v>
      </c>
      <c r="M10" s="21">
        <v>52.8</v>
      </c>
      <c r="N10" s="21">
        <v>52.8</v>
      </c>
    </row>
    <row r="11" spans="1:14">
      <c r="D11" s="18">
        <v>46177</v>
      </c>
      <c r="E11" s="6">
        <v>1609082</v>
      </c>
      <c r="F11" s="6" t="s">
        <v>16</v>
      </c>
      <c r="G11" s="6">
        <v>20324411</v>
      </c>
      <c r="H11" s="6" t="s">
        <v>498</v>
      </c>
      <c r="I11" s="6">
        <v>1</v>
      </c>
      <c r="J11" s="19" t="s">
        <v>18</v>
      </c>
      <c r="K11" s="20">
        <v>1</v>
      </c>
      <c r="L11" s="21">
        <v>6.4</v>
      </c>
      <c r="M11" s="21">
        <v>6.4</v>
      </c>
      <c r="N11" s="21">
        <v>6.4</v>
      </c>
    </row>
    <row r="12" spans="1:14">
      <c r="D12" s="18">
        <v>46177</v>
      </c>
      <c r="E12" s="6">
        <v>1609082</v>
      </c>
      <c r="F12" s="6" t="s">
        <v>16</v>
      </c>
      <c r="G12" s="6">
        <v>20358759</v>
      </c>
      <c r="H12" s="6" t="s">
        <v>205</v>
      </c>
      <c r="I12" s="6">
        <v>1</v>
      </c>
      <c r="J12" s="19" t="s">
        <v>18</v>
      </c>
      <c r="K12" s="20">
        <v>1</v>
      </c>
      <c r="L12" s="21">
        <v>6.4</v>
      </c>
      <c r="M12" s="21">
        <v>6.4</v>
      </c>
      <c r="N12" s="21">
        <v>6.4</v>
      </c>
    </row>
    <row r="13" spans="1:14">
      <c r="D13" s="18">
        <v>46177</v>
      </c>
      <c r="E13" s="6">
        <v>1609082</v>
      </c>
      <c r="F13" s="6" t="s">
        <v>16</v>
      </c>
      <c r="G13" s="6">
        <v>20324364</v>
      </c>
      <c r="H13" s="6" t="s">
        <v>21</v>
      </c>
      <c r="I13" s="6">
        <v>1</v>
      </c>
      <c r="J13" s="19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18">
        <v>46177</v>
      </c>
      <c r="E14" s="6">
        <v>1609082</v>
      </c>
      <c r="F14" s="6" t="s">
        <v>16</v>
      </c>
      <c r="G14" s="6">
        <v>20338571</v>
      </c>
      <c r="H14" s="6" t="s">
        <v>496</v>
      </c>
      <c r="I14" s="6">
        <v>1</v>
      </c>
      <c r="J14" s="6" t="s">
        <v>124</v>
      </c>
      <c r="K14" s="20">
        <f t="shared" ref="K14:K20" si="0">M14/L14</f>
        <v>3</v>
      </c>
      <c r="L14" s="21">
        <v>4.4</v>
      </c>
      <c r="M14" s="21">
        <v>13.2</v>
      </c>
      <c r="N14" s="21">
        <v>13.2</v>
      </c>
    </row>
    <row r="15" spans="1:14">
      <c r="D15" s="18">
        <v>46179</v>
      </c>
      <c r="E15" s="6">
        <v>1609866</v>
      </c>
      <c r="F15" s="6" t="s">
        <v>16</v>
      </c>
      <c r="G15" s="6">
        <v>20338571</v>
      </c>
      <c r="H15" s="6" t="s">
        <v>496</v>
      </c>
      <c r="I15" s="6">
        <v>1</v>
      </c>
      <c r="J15" s="6" t="s">
        <v>124</v>
      </c>
      <c r="K15" s="20">
        <f t="shared" si="0"/>
        <v>3</v>
      </c>
      <c r="L15" s="21">
        <v>4.4</v>
      </c>
      <c r="M15" s="21">
        <v>13.2</v>
      </c>
      <c r="N15" s="21">
        <v>13.2</v>
      </c>
    </row>
    <row r="16" spans="1:14">
      <c r="D16" s="18">
        <v>46184</v>
      </c>
      <c r="E16" s="6">
        <v>1611541</v>
      </c>
      <c r="F16" s="6" t="s">
        <v>16</v>
      </c>
      <c r="G16" s="6">
        <v>20358759</v>
      </c>
      <c r="H16" s="6" t="s">
        <v>205</v>
      </c>
      <c r="I16" s="6">
        <v>1</v>
      </c>
      <c r="J16" s="19" t="s">
        <v>18</v>
      </c>
      <c r="K16" s="20">
        <v>1</v>
      </c>
      <c r="L16" s="21">
        <v>6.4</v>
      </c>
      <c r="M16" s="21">
        <v>6.4</v>
      </c>
      <c r="N16" s="21">
        <v>6.4</v>
      </c>
    </row>
    <row r="17" spans="4:14">
      <c r="D17" s="18">
        <v>46184</v>
      </c>
      <c r="E17" s="6">
        <v>1611541</v>
      </c>
      <c r="F17" s="6" t="s">
        <v>16</v>
      </c>
      <c r="G17" s="6">
        <v>20324363</v>
      </c>
      <c r="H17" s="6" t="s">
        <v>25</v>
      </c>
      <c r="I17" s="6">
        <v>1</v>
      </c>
      <c r="J17" s="19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spans="4:14">
      <c r="D18" s="18">
        <v>46196</v>
      </c>
      <c r="E18" s="6">
        <v>1614242</v>
      </c>
      <c r="F18" s="19" t="s">
        <v>16</v>
      </c>
      <c r="G18" s="6">
        <v>20326144</v>
      </c>
      <c r="H18" s="6" t="s">
        <v>499</v>
      </c>
      <c r="I18" s="6">
        <v>1</v>
      </c>
      <c r="J18" s="33" t="s">
        <v>183</v>
      </c>
      <c r="K18" s="20">
        <v>1</v>
      </c>
      <c r="L18" s="21">
        <v>28</v>
      </c>
      <c r="M18" s="21">
        <v>28</v>
      </c>
      <c r="N18" s="21">
        <v>28</v>
      </c>
    </row>
    <row r="19" spans="4:14">
      <c r="D19" s="18">
        <v>46198</v>
      </c>
      <c r="E19" s="6">
        <v>1615302</v>
      </c>
      <c r="F19" s="6" t="s">
        <v>16</v>
      </c>
      <c r="G19" s="6">
        <v>20338571</v>
      </c>
      <c r="H19" s="6" t="s">
        <v>496</v>
      </c>
      <c r="I19" s="6">
        <v>1</v>
      </c>
      <c r="J19" s="6" t="s">
        <v>124</v>
      </c>
      <c r="K19" s="20">
        <f t="shared" si="0"/>
        <v>3</v>
      </c>
      <c r="L19" s="21">
        <v>4.4</v>
      </c>
      <c r="M19" s="21">
        <v>13.2</v>
      </c>
      <c r="N19" s="21">
        <v>13.2</v>
      </c>
    </row>
    <row r="20" spans="4:14">
      <c r="D20" s="18">
        <v>46199</v>
      </c>
      <c r="E20" s="6">
        <v>1615575</v>
      </c>
      <c r="F20" s="19" t="s">
        <v>16</v>
      </c>
      <c r="G20" s="6">
        <v>20370929</v>
      </c>
      <c r="H20" s="6" t="s">
        <v>500</v>
      </c>
      <c r="I20" s="6">
        <v>1</v>
      </c>
      <c r="J20" s="32" t="s">
        <v>28</v>
      </c>
      <c r="K20" s="20">
        <f t="shared" si="0"/>
        <v>14</v>
      </c>
      <c r="L20" s="21">
        <v>4.4</v>
      </c>
      <c r="M20" s="21">
        <v>61.6</v>
      </c>
      <c r="N20" s="21">
        <v>61.6</v>
      </c>
    </row>
    <row r="21" spans="4:14">
      <c r="D21" s="18">
        <v>46202</v>
      </c>
      <c r="E21" s="6">
        <v>1616128</v>
      </c>
      <c r="F21" s="6" t="s">
        <v>16</v>
      </c>
      <c r="G21" s="6">
        <v>20324364</v>
      </c>
      <c r="H21" s="6" t="s">
        <v>21</v>
      </c>
      <c r="I21" s="6">
        <v>1</v>
      </c>
      <c r="J21" s="19" t="s">
        <v>18</v>
      </c>
      <c r="K21" s="20">
        <v>1</v>
      </c>
      <c r="L21" s="21">
        <v>6.4</v>
      </c>
      <c r="M21" s="21">
        <v>6.4</v>
      </c>
      <c r="N21" s="21">
        <v>6.4</v>
      </c>
    </row>
    <row r="22" spans="4:14">
      <c r="D22" s="18">
        <v>46202</v>
      </c>
      <c r="E22" s="6">
        <v>1616128</v>
      </c>
      <c r="F22" s="6" t="s">
        <v>16</v>
      </c>
      <c r="G22" s="6">
        <v>20338571</v>
      </c>
      <c r="H22" s="6" t="s">
        <v>496</v>
      </c>
      <c r="I22" s="6">
        <v>1</v>
      </c>
      <c r="J22" s="6" t="s">
        <v>124</v>
      </c>
      <c r="K22" s="20">
        <f>M22/L22</f>
        <v>3</v>
      </c>
      <c r="L22" s="21">
        <v>4.4</v>
      </c>
      <c r="M22" s="21">
        <v>13.2</v>
      </c>
      <c r="N22" s="21">
        <v>13.2</v>
      </c>
    </row>
  </sheetData>
  <autoFilter xmlns:etc="http://www.wps.cn/officeDocument/2017/etCustomData" ref="A7:N22" etc:filterBottomFollowUsedRange="0">
    <extLst/>
  </autoFilter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H35" sqref="H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625" customWidth="1"/>
    <col min="12" max="12" width="12.25" customWidth="1"/>
    <col min="13" max="13" width="10.625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3" t="s">
        <v>4</v>
      </c>
      <c r="E7" s="63" t="s">
        <v>5</v>
      </c>
      <c r="F7" s="63" t="s">
        <v>6</v>
      </c>
      <c r="G7" s="63" t="s">
        <v>7</v>
      </c>
      <c r="H7" s="63" t="s">
        <v>8</v>
      </c>
      <c r="I7" s="63" t="s">
        <v>9</v>
      </c>
      <c r="J7" s="63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64" t="s">
        <v>501</v>
      </c>
      <c r="E8" s="65" t="s">
        <v>2</v>
      </c>
      <c r="F8" s="65" t="s">
        <v>2</v>
      </c>
      <c r="G8" s="65" t="s">
        <v>2</v>
      </c>
      <c r="H8" s="65" t="s">
        <v>2</v>
      </c>
      <c r="I8" s="64">
        <v>16</v>
      </c>
      <c r="J8" s="66"/>
      <c r="K8" s="43"/>
      <c r="L8" s="43"/>
      <c r="M8" s="43"/>
      <c r="N8" s="43">
        <v>111.2</v>
      </c>
    </row>
    <row r="9" spans="1:14">
      <c r="D9" s="26">
        <v>46183</v>
      </c>
      <c r="E9" s="27">
        <v>1611152</v>
      </c>
      <c r="F9" s="27" t="s">
        <v>16</v>
      </c>
      <c r="G9" s="27">
        <v>20324413</v>
      </c>
      <c r="H9" s="27" t="s">
        <v>158</v>
      </c>
      <c r="I9" s="27">
        <v>1</v>
      </c>
      <c r="J9" s="28" t="s">
        <v>18</v>
      </c>
      <c r="K9" s="16">
        <v>1</v>
      </c>
      <c r="L9" s="17">
        <v>6.4</v>
      </c>
      <c r="M9" s="17">
        <v>6.4</v>
      </c>
      <c r="N9" s="17">
        <v>6.4</v>
      </c>
    </row>
    <row r="10" spans="1:14">
      <c r="D10" s="29">
        <v>46183</v>
      </c>
      <c r="E10" s="22">
        <v>1611152</v>
      </c>
      <c r="F10" s="22" t="s">
        <v>16</v>
      </c>
      <c r="G10" s="22">
        <v>20324893</v>
      </c>
      <c r="H10" s="22" t="s">
        <v>502</v>
      </c>
      <c r="I10" s="22">
        <v>1</v>
      </c>
      <c r="J10" s="67" t="s">
        <v>23</v>
      </c>
      <c r="K10" s="20">
        <v>1</v>
      </c>
      <c r="L10" s="21">
        <v>12.8</v>
      </c>
      <c r="M10" s="21">
        <v>12.8</v>
      </c>
      <c r="N10" s="21">
        <v>12.8</v>
      </c>
    </row>
    <row r="11" spans="1:14">
      <c r="D11" s="29">
        <v>46183</v>
      </c>
      <c r="E11" s="22">
        <v>1611152</v>
      </c>
      <c r="F11" s="22" t="s">
        <v>16</v>
      </c>
      <c r="G11" s="22">
        <v>20324364</v>
      </c>
      <c r="H11" s="22" t="s">
        <v>21</v>
      </c>
      <c r="I11" s="22">
        <v>1</v>
      </c>
      <c r="J11" s="31" t="s">
        <v>18</v>
      </c>
      <c r="K11" s="20">
        <v>1</v>
      </c>
      <c r="L11" s="21">
        <v>6.4</v>
      </c>
      <c r="M11" s="21">
        <v>6.4</v>
      </c>
      <c r="N11" s="21">
        <v>6.4</v>
      </c>
    </row>
    <row r="12" spans="1:14">
      <c r="D12" s="29">
        <v>46183</v>
      </c>
      <c r="E12" s="22">
        <v>1611152</v>
      </c>
      <c r="F12" s="22" t="s">
        <v>16</v>
      </c>
      <c r="G12" s="22">
        <v>20324405</v>
      </c>
      <c r="H12" s="22" t="s">
        <v>30</v>
      </c>
      <c r="I12" s="22">
        <v>1</v>
      </c>
      <c r="J12" s="22" t="s">
        <v>20</v>
      </c>
      <c r="K12" s="20">
        <v>1</v>
      </c>
      <c r="L12" s="21">
        <v>8.8</v>
      </c>
      <c r="M12" s="21">
        <v>8.8</v>
      </c>
      <c r="N12" s="21">
        <v>8.8</v>
      </c>
    </row>
    <row r="13" spans="1:14">
      <c r="D13" s="29">
        <v>46183</v>
      </c>
      <c r="E13" s="22">
        <v>1611152</v>
      </c>
      <c r="F13" s="22" t="s">
        <v>16</v>
      </c>
      <c r="G13" s="22">
        <v>20324418</v>
      </c>
      <c r="H13" s="22" t="s">
        <v>503</v>
      </c>
      <c r="I13" s="22">
        <v>2</v>
      </c>
      <c r="J13" s="31" t="s">
        <v>18</v>
      </c>
      <c r="K13" s="20">
        <v>1</v>
      </c>
      <c r="L13" s="21">
        <v>6.4</v>
      </c>
      <c r="M13" s="21">
        <v>6.4</v>
      </c>
      <c r="N13" s="21">
        <v>12.8</v>
      </c>
    </row>
    <row r="14" spans="1:14">
      <c r="D14" s="29">
        <v>46183</v>
      </c>
      <c r="E14" s="22">
        <v>1611152</v>
      </c>
      <c r="F14" s="22" t="s">
        <v>16</v>
      </c>
      <c r="G14" s="22">
        <v>20324533</v>
      </c>
      <c r="H14" s="22" t="s">
        <v>122</v>
      </c>
      <c r="I14" s="22">
        <v>1</v>
      </c>
      <c r="J14" s="31" t="s">
        <v>18</v>
      </c>
      <c r="K14" s="20">
        <v>1</v>
      </c>
      <c r="L14" s="21">
        <v>6.4</v>
      </c>
      <c r="M14" s="21">
        <v>6.4</v>
      </c>
      <c r="N14" s="21">
        <v>6.4</v>
      </c>
    </row>
    <row r="15" spans="1:14">
      <c r="D15" s="29">
        <v>46183</v>
      </c>
      <c r="E15" s="22">
        <v>1611152</v>
      </c>
      <c r="F15" s="22" t="s">
        <v>16</v>
      </c>
      <c r="G15" s="22">
        <v>20324363</v>
      </c>
      <c r="H15" s="22" t="s">
        <v>25</v>
      </c>
      <c r="I15" s="22">
        <v>3</v>
      </c>
      <c r="J15" s="31" t="s">
        <v>18</v>
      </c>
      <c r="K15" s="20">
        <v>1</v>
      </c>
      <c r="L15" s="21">
        <v>6.4</v>
      </c>
      <c r="M15" s="21">
        <v>6.4</v>
      </c>
      <c r="N15" s="21">
        <v>19.2</v>
      </c>
    </row>
    <row r="16" spans="1:14">
      <c r="D16" s="29">
        <v>46191</v>
      </c>
      <c r="E16" s="22">
        <v>1613554</v>
      </c>
      <c r="F16" s="22" t="s">
        <v>16</v>
      </c>
      <c r="G16" s="22">
        <v>20324413</v>
      </c>
      <c r="H16" s="22" t="s">
        <v>158</v>
      </c>
      <c r="I16" s="22">
        <v>2</v>
      </c>
      <c r="J16" s="31" t="s">
        <v>18</v>
      </c>
      <c r="K16" s="20">
        <v>1</v>
      </c>
      <c r="L16" s="21">
        <v>6.4</v>
      </c>
      <c r="M16" s="21">
        <v>6.4</v>
      </c>
      <c r="N16" s="21">
        <v>12.8</v>
      </c>
    </row>
    <row r="17" spans="4:14">
      <c r="D17" s="29">
        <v>46191</v>
      </c>
      <c r="E17" s="22">
        <v>1613554</v>
      </c>
      <c r="F17" s="22" t="s">
        <v>16</v>
      </c>
      <c r="G17" s="22">
        <v>20324533</v>
      </c>
      <c r="H17" s="22" t="s">
        <v>122</v>
      </c>
      <c r="I17" s="22">
        <v>1</v>
      </c>
      <c r="J17" s="31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spans="4:14">
      <c r="D18" s="68">
        <v>46191</v>
      </c>
      <c r="E18" s="69">
        <v>1613554</v>
      </c>
      <c r="F18" s="69" t="s">
        <v>16</v>
      </c>
      <c r="G18" s="69">
        <v>20324363</v>
      </c>
      <c r="H18" s="69" t="s">
        <v>25</v>
      </c>
      <c r="I18" s="69">
        <v>3</v>
      </c>
      <c r="J18" s="70" t="s">
        <v>18</v>
      </c>
      <c r="K18" s="35">
        <v>1</v>
      </c>
      <c r="L18" s="36">
        <v>6.4</v>
      </c>
      <c r="M18" s="71">
        <v>6.4</v>
      </c>
      <c r="N18" s="71">
        <v>19.2</v>
      </c>
    </row>
    <row r="19" ht="0.05" customHeight="1"/>
  </sheetData>
  <autoFilter xmlns:etc="http://www.wps.cn/officeDocument/2017/etCustomData" ref="A7:N18" etc:filterBottomFollowUsedRange="0">
    <extLst/>
  </autoFilter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H35" sqref="H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625" customWidth="1"/>
    <col min="12" max="12" width="12.25" customWidth="1"/>
    <col min="13" max="13" width="10.625" customWidth="1"/>
    <col min="14" max="14" width="12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45" t="s">
        <v>4</v>
      </c>
      <c r="E7" s="45" t="s">
        <v>5</v>
      </c>
      <c r="F7" s="45" t="s">
        <v>6</v>
      </c>
      <c r="G7" s="45" t="s">
        <v>7</v>
      </c>
      <c r="H7" s="45" t="s">
        <v>8</v>
      </c>
      <c r="I7" s="45" t="s">
        <v>9</v>
      </c>
      <c r="J7" s="37" t="s">
        <v>10</v>
      </c>
      <c r="K7" s="38" t="s">
        <v>11</v>
      </c>
      <c r="L7" s="39" t="s">
        <v>12</v>
      </c>
      <c r="M7" s="45" t="s">
        <v>13</v>
      </c>
      <c r="N7" s="45" t="s">
        <v>14</v>
      </c>
    </row>
    <row r="8" ht="14.25" spans="1:14">
      <c r="D8" s="46" t="s">
        <v>504</v>
      </c>
      <c r="E8" s="47" t="s">
        <v>2</v>
      </c>
      <c r="F8" s="47" t="s">
        <v>2</v>
      </c>
      <c r="G8" s="47" t="s">
        <v>2</v>
      </c>
      <c r="H8" s="47" t="s">
        <v>2</v>
      </c>
      <c r="I8" s="48">
        <v>1</v>
      </c>
      <c r="J8" s="49"/>
      <c r="K8" s="49"/>
      <c r="L8" s="49"/>
      <c r="M8" s="49"/>
      <c r="N8" s="49">
        <v>6.4</v>
      </c>
    </row>
    <row r="9" spans="1:14">
      <c r="D9" s="50">
        <v>46191</v>
      </c>
      <c r="E9" s="51">
        <v>1613555</v>
      </c>
      <c r="F9" s="51" t="s">
        <v>16</v>
      </c>
      <c r="G9" s="52">
        <v>20324557</v>
      </c>
      <c r="H9" s="51" t="s">
        <v>147</v>
      </c>
      <c r="I9" s="52">
        <v>1</v>
      </c>
      <c r="J9" s="15" t="s">
        <v>18</v>
      </c>
      <c r="K9" s="16">
        <v>1</v>
      </c>
      <c r="L9" s="17">
        <v>6.4</v>
      </c>
      <c r="M9" s="53">
        <v>6.4</v>
      </c>
      <c r="N9" s="53">
        <v>6.4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showGridLines="0" view="pageBreakPreview" zoomScaleNormal="100" workbookViewId="0">
      <pane ySplit="6" topLeftCell="A7" activePane="bottomLeft" state="frozen"/>
      <selection/>
      <selection pane="bottomLeft" activeCell="K32" sqref="K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625" customWidth="1"/>
    <col min="12" max="12" width="12.25" customWidth="1"/>
    <col min="13" max="13" width="10.625" customWidth="1"/>
    <col min="14" max="14" width="12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45" t="s">
        <v>4</v>
      </c>
      <c r="E7" s="45" t="s">
        <v>5</v>
      </c>
      <c r="F7" s="45" t="s">
        <v>6</v>
      </c>
      <c r="G7" s="45" t="s">
        <v>7</v>
      </c>
      <c r="H7" s="45" t="s">
        <v>8</v>
      </c>
      <c r="I7" s="45" t="s">
        <v>9</v>
      </c>
      <c r="J7" s="37" t="s">
        <v>10</v>
      </c>
      <c r="K7" s="38" t="s">
        <v>11</v>
      </c>
      <c r="L7" s="39" t="s">
        <v>12</v>
      </c>
      <c r="M7" s="45" t="s">
        <v>13</v>
      </c>
      <c r="N7" s="45" t="s">
        <v>14</v>
      </c>
    </row>
    <row r="8" ht="14.25" spans="1:14">
      <c r="D8" s="46" t="s">
        <v>505</v>
      </c>
      <c r="E8" s="47" t="s">
        <v>2</v>
      </c>
      <c r="F8" s="47" t="s">
        <v>2</v>
      </c>
      <c r="G8" s="47" t="s">
        <v>2</v>
      </c>
      <c r="H8" s="47" t="s">
        <v>2</v>
      </c>
      <c r="I8" s="48">
        <v>42</v>
      </c>
      <c r="J8" s="49"/>
      <c r="K8" s="49"/>
      <c r="L8" s="49"/>
      <c r="M8" s="49"/>
      <c r="N8" s="49">
        <v>1325.6</v>
      </c>
    </row>
    <row r="9" spans="1:14">
      <c r="D9" s="50">
        <v>46178</v>
      </c>
      <c r="E9" s="51">
        <v>1609425</v>
      </c>
      <c r="F9" s="51" t="s">
        <v>16</v>
      </c>
      <c r="G9" s="52">
        <v>20352347</v>
      </c>
      <c r="H9" s="51" t="s">
        <v>506</v>
      </c>
      <c r="I9" s="52">
        <v>1</v>
      </c>
      <c r="J9" s="59" t="s">
        <v>23</v>
      </c>
      <c r="K9" s="60">
        <v>1</v>
      </c>
      <c r="L9" s="53">
        <v>12.8</v>
      </c>
      <c r="M9" s="53">
        <v>12.8</v>
      </c>
      <c r="N9" s="53">
        <v>12.8</v>
      </c>
    </row>
    <row r="10" spans="1:14">
      <c r="D10" s="54">
        <v>46178</v>
      </c>
      <c r="E10" s="55">
        <v>1609425</v>
      </c>
      <c r="F10" s="55" t="s">
        <v>16</v>
      </c>
      <c r="G10" s="56">
        <v>20324560</v>
      </c>
      <c r="H10" s="55" t="s">
        <v>507</v>
      </c>
      <c r="I10" s="56">
        <v>1</v>
      </c>
      <c r="J10" s="19" t="s">
        <v>18</v>
      </c>
      <c r="K10" s="20">
        <v>1</v>
      </c>
      <c r="L10" s="21">
        <v>6.4</v>
      </c>
      <c r="M10" s="57">
        <v>6.4</v>
      </c>
      <c r="N10" s="57">
        <v>6.4</v>
      </c>
    </row>
    <row r="11" spans="1:14">
      <c r="D11" s="54">
        <v>46178</v>
      </c>
      <c r="E11" s="55">
        <v>1609425</v>
      </c>
      <c r="F11" s="55" t="s">
        <v>16</v>
      </c>
      <c r="G11" s="56">
        <v>20324401</v>
      </c>
      <c r="H11" s="55" t="s">
        <v>22</v>
      </c>
      <c r="I11" s="56">
        <v>4</v>
      </c>
      <c r="J11" s="61" t="s">
        <v>23</v>
      </c>
      <c r="K11" s="62">
        <v>1</v>
      </c>
      <c r="L11" s="57">
        <v>12.8</v>
      </c>
      <c r="M11" s="57">
        <v>12.8</v>
      </c>
      <c r="N11" s="57">
        <v>51.2</v>
      </c>
    </row>
    <row r="12" spans="1:14">
      <c r="D12" s="54">
        <v>46178</v>
      </c>
      <c r="E12" s="55">
        <v>1609425</v>
      </c>
      <c r="F12" s="55" t="s">
        <v>16</v>
      </c>
      <c r="G12" s="56">
        <v>20329168</v>
      </c>
      <c r="H12" s="55" t="s">
        <v>508</v>
      </c>
      <c r="I12" s="56">
        <v>1</v>
      </c>
      <c r="J12" s="32" t="s">
        <v>28</v>
      </c>
      <c r="K12" s="20">
        <f t="shared" ref="K12:K15" si="0">M12/L12</f>
        <v>21</v>
      </c>
      <c r="L12" s="21">
        <v>4.4</v>
      </c>
      <c r="M12" s="57">
        <v>92.4</v>
      </c>
      <c r="N12" s="57">
        <v>92.4</v>
      </c>
    </row>
    <row r="13" spans="1:14">
      <c r="D13" s="54">
        <v>46179</v>
      </c>
      <c r="E13" s="55">
        <v>1609867</v>
      </c>
      <c r="F13" s="55" t="s">
        <v>26</v>
      </c>
      <c r="G13" s="56">
        <v>20324552</v>
      </c>
      <c r="H13" s="55" t="s">
        <v>509</v>
      </c>
      <c r="I13" s="56">
        <v>2</v>
      </c>
      <c r="J13" s="32" t="s">
        <v>28</v>
      </c>
      <c r="K13" s="20">
        <f t="shared" si="0"/>
        <v>19</v>
      </c>
      <c r="L13" s="21">
        <v>4.4</v>
      </c>
      <c r="M13" s="57">
        <v>83.6</v>
      </c>
      <c r="N13" s="57">
        <v>167.2</v>
      </c>
    </row>
    <row r="14" spans="1:14">
      <c r="D14" s="54">
        <v>46179</v>
      </c>
      <c r="E14" s="55">
        <v>1609867</v>
      </c>
      <c r="F14" s="55" t="s">
        <v>16</v>
      </c>
      <c r="G14" s="56">
        <v>20324369</v>
      </c>
      <c r="H14" s="55" t="s">
        <v>139</v>
      </c>
      <c r="I14" s="56">
        <v>1</v>
      </c>
      <c r="J14" s="32" t="s">
        <v>28</v>
      </c>
      <c r="K14" s="20">
        <f t="shared" si="0"/>
        <v>3</v>
      </c>
      <c r="L14" s="21">
        <v>4.4</v>
      </c>
      <c r="M14" s="57">
        <v>13.2</v>
      </c>
      <c r="N14" s="57">
        <v>13.2</v>
      </c>
    </row>
    <row r="15" spans="1:14">
      <c r="D15" s="54">
        <v>46182</v>
      </c>
      <c r="E15" s="55">
        <v>1610418</v>
      </c>
      <c r="F15" s="55" t="s">
        <v>26</v>
      </c>
      <c r="G15" s="56">
        <v>20324052</v>
      </c>
      <c r="H15" s="55" t="s">
        <v>510</v>
      </c>
      <c r="I15" s="56">
        <v>1</v>
      </c>
      <c r="J15" s="32" t="s">
        <v>28</v>
      </c>
      <c r="K15" s="20">
        <f t="shared" si="0"/>
        <v>10</v>
      </c>
      <c r="L15" s="21">
        <v>4.4</v>
      </c>
      <c r="M15" s="57">
        <v>44</v>
      </c>
      <c r="N15" s="57">
        <v>44</v>
      </c>
    </row>
    <row r="16" spans="1:14">
      <c r="D16" s="54">
        <v>46182</v>
      </c>
      <c r="E16" s="55">
        <v>1610418</v>
      </c>
      <c r="F16" s="55" t="s">
        <v>16</v>
      </c>
      <c r="G16" s="56">
        <v>20352347</v>
      </c>
      <c r="H16" s="55" t="s">
        <v>506</v>
      </c>
      <c r="I16" s="56">
        <v>1</v>
      </c>
      <c r="J16" s="61" t="s">
        <v>23</v>
      </c>
      <c r="K16" s="62">
        <v>1</v>
      </c>
      <c r="L16" s="57">
        <v>12.8</v>
      </c>
      <c r="M16" s="57">
        <v>12.8</v>
      </c>
      <c r="N16" s="57">
        <v>12.8</v>
      </c>
    </row>
    <row r="17" spans="4:14">
      <c r="D17" s="54">
        <v>46182</v>
      </c>
      <c r="E17" s="55">
        <v>1610418</v>
      </c>
      <c r="F17" s="55" t="s">
        <v>16</v>
      </c>
      <c r="G17" s="56">
        <v>20324401</v>
      </c>
      <c r="H17" s="55" t="s">
        <v>22</v>
      </c>
      <c r="I17" s="56">
        <v>4</v>
      </c>
      <c r="J17" s="61" t="s">
        <v>23</v>
      </c>
      <c r="K17" s="62">
        <v>1</v>
      </c>
      <c r="L17" s="57">
        <v>12.8</v>
      </c>
      <c r="M17" s="57">
        <v>12.8</v>
      </c>
      <c r="N17" s="57">
        <v>51.2</v>
      </c>
    </row>
    <row r="18" spans="4:14">
      <c r="D18" s="54">
        <v>46182</v>
      </c>
      <c r="E18" s="55">
        <v>1610418</v>
      </c>
      <c r="F18" s="55" t="s">
        <v>16</v>
      </c>
      <c r="G18" s="56">
        <v>20329168</v>
      </c>
      <c r="H18" s="55" t="s">
        <v>508</v>
      </c>
      <c r="I18" s="56">
        <v>1</v>
      </c>
      <c r="J18" s="32" t="s">
        <v>28</v>
      </c>
      <c r="K18" s="20">
        <f>M18/L18</f>
        <v>21</v>
      </c>
      <c r="L18" s="21">
        <v>4.4</v>
      </c>
      <c r="M18" s="57">
        <v>92.4</v>
      </c>
      <c r="N18" s="57">
        <v>92.4</v>
      </c>
    </row>
    <row r="19" spans="4:14">
      <c r="D19" s="54">
        <v>46185</v>
      </c>
      <c r="E19" s="55">
        <v>1611896</v>
      </c>
      <c r="F19" s="55" t="s">
        <v>16</v>
      </c>
      <c r="G19" s="56">
        <v>20363585</v>
      </c>
      <c r="H19" s="55" t="s">
        <v>511</v>
      </c>
      <c r="I19" s="56">
        <v>2</v>
      </c>
      <c r="J19" s="19" t="s">
        <v>18</v>
      </c>
      <c r="K19" s="20">
        <v>1</v>
      </c>
      <c r="L19" s="21">
        <v>6.4</v>
      </c>
      <c r="M19" s="57">
        <v>6.4</v>
      </c>
      <c r="N19" s="57">
        <v>12.8</v>
      </c>
    </row>
    <row r="20" spans="4:14">
      <c r="D20" s="54">
        <v>46185</v>
      </c>
      <c r="E20" s="55">
        <v>1611896</v>
      </c>
      <c r="F20" s="55" t="s">
        <v>26</v>
      </c>
      <c r="G20" s="56">
        <v>20324552</v>
      </c>
      <c r="H20" s="55" t="s">
        <v>509</v>
      </c>
      <c r="I20" s="56">
        <v>2</v>
      </c>
      <c r="J20" s="32" t="s">
        <v>28</v>
      </c>
      <c r="K20" s="20">
        <f>M20/L20</f>
        <v>19</v>
      </c>
      <c r="L20" s="21">
        <v>4.4</v>
      </c>
      <c r="M20" s="57">
        <v>83.6</v>
      </c>
      <c r="N20" s="57">
        <v>167.2</v>
      </c>
    </row>
    <row r="21" spans="4:14">
      <c r="D21" s="54">
        <v>46190</v>
      </c>
      <c r="E21" s="55">
        <v>1612803</v>
      </c>
      <c r="F21" s="55" t="s">
        <v>16</v>
      </c>
      <c r="G21" s="56">
        <v>20352347</v>
      </c>
      <c r="H21" s="55" t="s">
        <v>506</v>
      </c>
      <c r="I21" s="56">
        <v>1</v>
      </c>
      <c r="J21" s="61" t="s">
        <v>23</v>
      </c>
      <c r="K21" s="62">
        <v>1</v>
      </c>
      <c r="L21" s="57">
        <v>12.8</v>
      </c>
      <c r="M21" s="57">
        <v>12.8</v>
      </c>
      <c r="N21" s="57">
        <v>12.8</v>
      </c>
    </row>
    <row r="22" spans="4:14">
      <c r="D22" s="54">
        <v>46190</v>
      </c>
      <c r="E22" s="55">
        <v>1612803</v>
      </c>
      <c r="F22" s="55" t="s">
        <v>16</v>
      </c>
      <c r="G22" s="56">
        <v>20324560</v>
      </c>
      <c r="H22" s="55" t="s">
        <v>507</v>
      </c>
      <c r="I22" s="56">
        <v>1</v>
      </c>
      <c r="J22" s="19" t="s">
        <v>18</v>
      </c>
      <c r="K22" s="20">
        <v>1</v>
      </c>
      <c r="L22" s="21">
        <v>6.4</v>
      </c>
      <c r="M22" s="57">
        <v>6.4</v>
      </c>
      <c r="N22" s="57">
        <v>6.4</v>
      </c>
    </row>
    <row r="23" spans="4:14">
      <c r="D23" s="54">
        <v>46190</v>
      </c>
      <c r="E23" s="55">
        <v>1612803</v>
      </c>
      <c r="F23" s="55" t="s">
        <v>16</v>
      </c>
      <c r="G23" s="56">
        <v>20324401</v>
      </c>
      <c r="H23" s="55" t="s">
        <v>22</v>
      </c>
      <c r="I23" s="56">
        <v>4</v>
      </c>
      <c r="J23" s="61" t="s">
        <v>23</v>
      </c>
      <c r="K23" s="62">
        <v>1</v>
      </c>
      <c r="L23" s="57">
        <v>12.8</v>
      </c>
      <c r="M23" s="57">
        <v>12.8</v>
      </c>
      <c r="N23" s="57">
        <v>51.2</v>
      </c>
    </row>
    <row r="24" spans="4:14">
      <c r="D24" s="54">
        <v>46190</v>
      </c>
      <c r="E24" s="55">
        <v>1612803</v>
      </c>
      <c r="F24" s="55" t="s">
        <v>16</v>
      </c>
      <c r="G24" s="56">
        <v>20363585</v>
      </c>
      <c r="H24" s="55" t="s">
        <v>511</v>
      </c>
      <c r="I24" s="56">
        <v>4</v>
      </c>
      <c r="J24" s="19" t="s">
        <v>18</v>
      </c>
      <c r="K24" s="20">
        <v>1</v>
      </c>
      <c r="L24" s="21">
        <v>6.4</v>
      </c>
      <c r="M24" s="57">
        <v>6.4</v>
      </c>
      <c r="N24" s="57">
        <v>25.6</v>
      </c>
    </row>
    <row r="25" spans="4:14">
      <c r="D25" s="54">
        <v>46190</v>
      </c>
      <c r="E25" s="55">
        <v>1612803</v>
      </c>
      <c r="F25" s="55" t="s">
        <v>26</v>
      </c>
      <c r="G25" s="56">
        <v>20324552</v>
      </c>
      <c r="H25" s="55" t="s">
        <v>509</v>
      </c>
      <c r="I25" s="56">
        <v>2</v>
      </c>
      <c r="J25" s="32" t="s">
        <v>28</v>
      </c>
      <c r="K25" s="20">
        <f t="shared" ref="K25:K31" si="1">M25/L25</f>
        <v>19</v>
      </c>
      <c r="L25" s="21">
        <v>4.4</v>
      </c>
      <c r="M25" s="57">
        <v>83.6</v>
      </c>
      <c r="N25" s="57">
        <v>167.2</v>
      </c>
    </row>
    <row r="26" spans="4:14">
      <c r="D26" s="54">
        <v>46190</v>
      </c>
      <c r="E26" s="55">
        <v>1612803</v>
      </c>
      <c r="F26" s="55" t="s">
        <v>16</v>
      </c>
      <c r="G26" s="56">
        <v>20329168</v>
      </c>
      <c r="H26" s="55" t="s">
        <v>508</v>
      </c>
      <c r="I26" s="56">
        <v>1</v>
      </c>
      <c r="J26" s="32" t="s">
        <v>28</v>
      </c>
      <c r="K26" s="20">
        <f t="shared" si="1"/>
        <v>21</v>
      </c>
      <c r="L26" s="21">
        <v>4.4</v>
      </c>
      <c r="M26" s="57">
        <v>92.4</v>
      </c>
      <c r="N26" s="57">
        <v>92.4</v>
      </c>
    </row>
    <row r="27" spans="4:14">
      <c r="D27" s="54">
        <v>46197</v>
      </c>
      <c r="E27" s="55">
        <v>1614923</v>
      </c>
      <c r="F27" s="55" t="s">
        <v>16</v>
      </c>
      <c r="G27" s="56">
        <v>20352347</v>
      </c>
      <c r="H27" s="55" t="s">
        <v>506</v>
      </c>
      <c r="I27" s="56">
        <v>1</v>
      </c>
      <c r="J27" s="61" t="s">
        <v>23</v>
      </c>
      <c r="K27" s="62">
        <v>1</v>
      </c>
      <c r="L27" s="57">
        <v>12.8</v>
      </c>
      <c r="M27" s="57">
        <v>12.8</v>
      </c>
      <c r="N27" s="57">
        <v>12.8</v>
      </c>
    </row>
    <row r="28" spans="4:14">
      <c r="D28" s="54">
        <v>46197</v>
      </c>
      <c r="E28" s="55">
        <v>1614923</v>
      </c>
      <c r="F28" s="55" t="s">
        <v>16</v>
      </c>
      <c r="G28" s="56">
        <v>20324560</v>
      </c>
      <c r="H28" s="55" t="s">
        <v>507</v>
      </c>
      <c r="I28" s="56">
        <v>1</v>
      </c>
      <c r="J28" s="19" t="s">
        <v>18</v>
      </c>
      <c r="K28" s="20">
        <v>1</v>
      </c>
      <c r="L28" s="21">
        <v>6.4</v>
      </c>
      <c r="M28" s="57">
        <v>6.4</v>
      </c>
      <c r="N28" s="57">
        <v>6.4</v>
      </c>
    </row>
    <row r="29" spans="4:14">
      <c r="D29" s="54">
        <v>46197</v>
      </c>
      <c r="E29" s="55">
        <v>1614923</v>
      </c>
      <c r="F29" s="55" t="s">
        <v>16</v>
      </c>
      <c r="G29" s="56">
        <v>20324401</v>
      </c>
      <c r="H29" s="55" t="s">
        <v>22</v>
      </c>
      <c r="I29" s="56">
        <v>4</v>
      </c>
      <c r="J29" s="61" t="s">
        <v>23</v>
      </c>
      <c r="K29" s="62">
        <v>1</v>
      </c>
      <c r="L29" s="57">
        <v>12.8</v>
      </c>
      <c r="M29" s="57">
        <v>12.8</v>
      </c>
      <c r="N29" s="57">
        <v>51.2</v>
      </c>
    </row>
    <row r="30" spans="4:14">
      <c r="D30" s="54">
        <v>46197</v>
      </c>
      <c r="E30" s="55">
        <v>1614923</v>
      </c>
      <c r="F30" s="55" t="s">
        <v>26</v>
      </c>
      <c r="G30" s="56">
        <v>20324552</v>
      </c>
      <c r="H30" s="55" t="s">
        <v>509</v>
      </c>
      <c r="I30" s="56">
        <v>1</v>
      </c>
      <c r="J30" s="32" t="s">
        <v>28</v>
      </c>
      <c r="K30" s="20">
        <f t="shared" si="1"/>
        <v>19</v>
      </c>
      <c r="L30" s="21">
        <v>4.4</v>
      </c>
      <c r="M30" s="57">
        <v>83.6</v>
      </c>
      <c r="N30" s="57">
        <v>83.6</v>
      </c>
    </row>
    <row r="31" spans="4:14">
      <c r="D31" s="54">
        <v>46197</v>
      </c>
      <c r="E31" s="55">
        <v>1614923</v>
      </c>
      <c r="F31" s="55" t="s">
        <v>16</v>
      </c>
      <c r="G31" s="56">
        <v>20329168</v>
      </c>
      <c r="H31" s="55" t="s">
        <v>508</v>
      </c>
      <c r="I31" s="56">
        <v>1</v>
      </c>
      <c r="J31" s="32" t="s">
        <v>28</v>
      </c>
      <c r="K31" s="20">
        <f t="shared" si="1"/>
        <v>21</v>
      </c>
      <c r="L31" s="21">
        <v>4.4</v>
      </c>
      <c r="M31" s="57">
        <v>92.4</v>
      </c>
      <c r="N31" s="57">
        <v>92.4</v>
      </c>
    </row>
  </sheetData>
  <autoFilter xmlns:etc="http://www.wps.cn/officeDocument/2017/etCustomData" ref="A7:N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showGridLines="0" view="pageBreakPreview" zoomScaleNormal="100" workbookViewId="0">
      <pane ySplit="6" topLeftCell="A7" activePane="bottomLeft" state="frozen"/>
      <selection/>
      <selection pane="bottomLeft" activeCell="K32" sqref="K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625" customWidth="1"/>
    <col min="12" max="12" width="12.25" customWidth="1"/>
    <col min="13" max="13" width="10.625" customWidth="1"/>
    <col min="14" max="14" width="12.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45" t="s">
        <v>4</v>
      </c>
      <c r="E7" s="45" t="s">
        <v>5</v>
      </c>
      <c r="F7" s="45" t="s">
        <v>6</v>
      </c>
      <c r="G7" s="45" t="s">
        <v>7</v>
      </c>
      <c r="H7" s="45" t="s">
        <v>8</v>
      </c>
      <c r="I7" s="45" t="s">
        <v>9</v>
      </c>
      <c r="J7" s="37" t="s">
        <v>10</v>
      </c>
      <c r="K7" s="38" t="s">
        <v>11</v>
      </c>
      <c r="L7" s="39" t="s">
        <v>12</v>
      </c>
      <c r="M7" s="45" t="s">
        <v>13</v>
      </c>
      <c r="N7" s="45" t="s">
        <v>14</v>
      </c>
    </row>
    <row r="8" ht="14.25" spans="1:14">
      <c r="D8" s="46" t="s">
        <v>512</v>
      </c>
      <c r="E8" s="47" t="s">
        <v>2</v>
      </c>
      <c r="F8" s="47" t="s">
        <v>2</v>
      </c>
      <c r="G8" s="47" t="s">
        <v>2</v>
      </c>
      <c r="H8" s="47" t="s">
        <v>2</v>
      </c>
      <c r="I8" s="48">
        <v>14</v>
      </c>
      <c r="J8" s="49"/>
      <c r="K8" s="49"/>
      <c r="L8" s="49"/>
      <c r="M8" s="49"/>
      <c r="N8" s="49">
        <v>966.4</v>
      </c>
    </row>
    <row r="9" spans="1:14">
      <c r="D9" s="50">
        <v>46177</v>
      </c>
      <c r="E9" s="51">
        <v>1609083</v>
      </c>
      <c r="F9" s="51" t="s">
        <v>16</v>
      </c>
      <c r="G9" s="52">
        <v>20329069</v>
      </c>
      <c r="H9" s="51" t="s">
        <v>513</v>
      </c>
      <c r="I9" s="52">
        <v>1</v>
      </c>
      <c r="J9" s="15" t="s">
        <v>18</v>
      </c>
      <c r="K9" s="16">
        <v>1</v>
      </c>
      <c r="L9" s="17">
        <v>6.4</v>
      </c>
      <c r="M9" s="53">
        <v>6.4</v>
      </c>
      <c r="N9" s="53">
        <v>6.4</v>
      </c>
    </row>
    <row r="10" spans="1:14">
      <c r="D10" s="54">
        <v>46177</v>
      </c>
      <c r="E10" s="55">
        <v>1609083</v>
      </c>
      <c r="F10" s="55" t="s">
        <v>16</v>
      </c>
      <c r="G10" s="56">
        <v>20329068</v>
      </c>
      <c r="H10" s="55" t="s">
        <v>514</v>
      </c>
      <c r="I10" s="56">
        <v>1</v>
      </c>
      <c r="J10" s="19" t="s">
        <v>18</v>
      </c>
      <c r="K10" s="20">
        <v>1</v>
      </c>
      <c r="L10" s="21">
        <v>6.4</v>
      </c>
      <c r="M10" s="57">
        <v>6.4</v>
      </c>
      <c r="N10" s="57">
        <v>6.4</v>
      </c>
    </row>
    <row r="11" spans="1:14">
      <c r="D11" s="54">
        <v>46177</v>
      </c>
      <c r="E11" s="55">
        <v>1609083</v>
      </c>
      <c r="F11" s="55" t="s">
        <v>16</v>
      </c>
      <c r="G11" s="56">
        <v>20423236</v>
      </c>
      <c r="H11" s="55" t="s">
        <v>515</v>
      </c>
      <c r="I11" s="56">
        <v>1</v>
      </c>
      <c r="J11" s="32" t="s">
        <v>28</v>
      </c>
      <c r="K11" s="20">
        <f>M11/L11</f>
        <v>41</v>
      </c>
      <c r="L11" s="21">
        <v>4.4</v>
      </c>
      <c r="M11" s="57">
        <v>180.4</v>
      </c>
      <c r="N11" s="57">
        <v>180.4</v>
      </c>
    </row>
    <row r="12" spans="1:14">
      <c r="D12" s="54">
        <v>46182</v>
      </c>
      <c r="E12" s="55">
        <v>1610419</v>
      </c>
      <c r="F12" s="55" t="s">
        <v>16</v>
      </c>
      <c r="G12" s="56">
        <v>20329069</v>
      </c>
      <c r="H12" s="55" t="s">
        <v>513</v>
      </c>
      <c r="I12" s="56">
        <v>1</v>
      </c>
      <c r="J12" s="19" t="s">
        <v>18</v>
      </c>
      <c r="K12" s="20">
        <v>1</v>
      </c>
      <c r="L12" s="21">
        <v>6.4</v>
      </c>
      <c r="M12" s="57">
        <v>6.4</v>
      </c>
      <c r="N12" s="57">
        <v>6.4</v>
      </c>
    </row>
    <row r="13" spans="1:14">
      <c r="D13" s="54">
        <v>46182</v>
      </c>
      <c r="E13" s="55">
        <v>1610419</v>
      </c>
      <c r="F13" s="55" t="s">
        <v>16</v>
      </c>
      <c r="G13" s="56">
        <v>20329068</v>
      </c>
      <c r="H13" s="55" t="s">
        <v>514</v>
      </c>
      <c r="I13" s="56">
        <v>1</v>
      </c>
      <c r="J13" s="19" t="s">
        <v>18</v>
      </c>
      <c r="K13" s="20">
        <v>1</v>
      </c>
      <c r="L13" s="21">
        <v>6.4</v>
      </c>
      <c r="M13" s="57">
        <v>6.4</v>
      </c>
      <c r="N13" s="57">
        <v>6.4</v>
      </c>
    </row>
    <row r="14" spans="1:14">
      <c r="D14" s="54">
        <v>46182</v>
      </c>
      <c r="E14" s="55">
        <v>1610419</v>
      </c>
      <c r="F14" s="55" t="s">
        <v>16</v>
      </c>
      <c r="G14" s="56">
        <v>20423236</v>
      </c>
      <c r="H14" s="55" t="s">
        <v>515</v>
      </c>
      <c r="I14" s="56">
        <v>1</v>
      </c>
      <c r="J14" s="32" t="s">
        <v>28</v>
      </c>
      <c r="K14" s="20">
        <f t="shared" ref="K14:K18" si="0">M14/L14</f>
        <v>41</v>
      </c>
      <c r="L14" s="21">
        <v>4.4</v>
      </c>
      <c r="M14" s="57">
        <v>180.4</v>
      </c>
      <c r="N14" s="57">
        <v>180.4</v>
      </c>
    </row>
    <row r="15" spans="1:14">
      <c r="D15" s="54">
        <v>46182</v>
      </c>
      <c r="E15" s="55">
        <v>1610419</v>
      </c>
      <c r="F15" s="55" t="s">
        <v>16</v>
      </c>
      <c r="G15" s="56">
        <v>20324369</v>
      </c>
      <c r="H15" s="55" t="s">
        <v>139</v>
      </c>
      <c r="I15" s="56">
        <v>1</v>
      </c>
      <c r="J15" s="32" t="s">
        <v>28</v>
      </c>
      <c r="K15" s="20">
        <f t="shared" si="0"/>
        <v>3</v>
      </c>
      <c r="L15" s="21">
        <v>4.4</v>
      </c>
      <c r="M15" s="57">
        <v>13.2</v>
      </c>
      <c r="N15" s="57">
        <v>13.2</v>
      </c>
    </row>
    <row r="16" spans="1:14">
      <c r="D16" s="54">
        <v>46189</v>
      </c>
      <c r="E16" s="55">
        <v>1612416</v>
      </c>
      <c r="F16" s="55" t="s">
        <v>16</v>
      </c>
      <c r="G16" s="56">
        <v>20329068</v>
      </c>
      <c r="H16" s="55" t="s">
        <v>514</v>
      </c>
      <c r="I16" s="56">
        <v>1</v>
      </c>
      <c r="J16" s="19" t="s">
        <v>18</v>
      </c>
      <c r="K16" s="20">
        <v>1</v>
      </c>
      <c r="L16" s="21">
        <v>6.4</v>
      </c>
      <c r="M16" s="57">
        <v>6.4</v>
      </c>
      <c r="N16" s="57">
        <v>6.4</v>
      </c>
    </row>
    <row r="17" spans="4:14">
      <c r="D17" s="54">
        <v>46189</v>
      </c>
      <c r="E17" s="55">
        <v>1612416</v>
      </c>
      <c r="F17" s="55" t="s">
        <v>16</v>
      </c>
      <c r="G17" s="56">
        <v>20423236</v>
      </c>
      <c r="H17" s="55" t="s">
        <v>515</v>
      </c>
      <c r="I17" s="56">
        <v>1</v>
      </c>
      <c r="J17" s="32" t="s">
        <v>28</v>
      </c>
      <c r="K17" s="20">
        <f t="shared" si="0"/>
        <v>41</v>
      </c>
      <c r="L17" s="21">
        <v>4.4</v>
      </c>
      <c r="M17" s="57">
        <v>180.4</v>
      </c>
      <c r="N17" s="57">
        <v>180.4</v>
      </c>
    </row>
    <row r="18" spans="4:14">
      <c r="D18" s="54">
        <v>46197</v>
      </c>
      <c r="E18" s="55">
        <v>1614924</v>
      </c>
      <c r="F18" s="55" t="s">
        <v>16</v>
      </c>
      <c r="G18" s="56">
        <v>20423236</v>
      </c>
      <c r="H18" s="55" t="s">
        <v>515</v>
      </c>
      <c r="I18" s="56">
        <v>1</v>
      </c>
      <c r="J18" s="32" t="s">
        <v>28</v>
      </c>
      <c r="K18" s="20">
        <f t="shared" si="0"/>
        <v>41</v>
      </c>
      <c r="L18" s="21">
        <v>4.4</v>
      </c>
      <c r="M18" s="57">
        <v>180.4</v>
      </c>
      <c r="N18" s="57">
        <v>180.4</v>
      </c>
    </row>
    <row r="19" spans="4:14">
      <c r="D19" s="54">
        <v>46202</v>
      </c>
      <c r="E19" s="55">
        <v>1616129</v>
      </c>
      <c r="F19" s="55" t="s">
        <v>16</v>
      </c>
      <c r="G19" s="56">
        <v>20329068</v>
      </c>
      <c r="H19" s="55" t="s">
        <v>514</v>
      </c>
      <c r="I19" s="56">
        <v>2</v>
      </c>
      <c r="J19" s="19" t="s">
        <v>18</v>
      </c>
      <c r="K19" s="20">
        <v>1</v>
      </c>
      <c r="L19" s="21">
        <v>6.4</v>
      </c>
      <c r="M19" s="57">
        <v>6.4</v>
      </c>
      <c r="N19" s="57">
        <v>12.8</v>
      </c>
    </row>
    <row r="20" spans="4:14">
      <c r="D20" s="54">
        <v>46202</v>
      </c>
      <c r="E20" s="55">
        <v>1616129</v>
      </c>
      <c r="F20" s="55" t="s">
        <v>16</v>
      </c>
      <c r="G20" s="56">
        <v>20360817</v>
      </c>
      <c r="H20" s="55" t="s">
        <v>516</v>
      </c>
      <c r="I20" s="56">
        <v>1</v>
      </c>
      <c r="J20" s="19" t="s">
        <v>18</v>
      </c>
      <c r="K20" s="20">
        <v>1</v>
      </c>
      <c r="L20" s="21">
        <v>6.4</v>
      </c>
      <c r="M20" s="57">
        <v>6.4</v>
      </c>
      <c r="N20" s="57">
        <v>6.4</v>
      </c>
    </row>
    <row r="21" spans="4:14">
      <c r="D21" s="54">
        <v>46202</v>
      </c>
      <c r="E21" s="55">
        <v>1616129</v>
      </c>
      <c r="F21" s="55" t="s">
        <v>16</v>
      </c>
      <c r="G21" s="56">
        <v>20423236</v>
      </c>
      <c r="H21" s="55" t="s">
        <v>515</v>
      </c>
      <c r="I21" s="56">
        <v>1</v>
      </c>
      <c r="J21" s="32" t="s">
        <v>28</v>
      </c>
      <c r="K21" s="20">
        <f>M21/L21</f>
        <v>41</v>
      </c>
      <c r="L21" s="21">
        <v>4.4</v>
      </c>
      <c r="M21" s="57">
        <v>180.4</v>
      </c>
      <c r="N21" s="57">
        <v>180.4</v>
      </c>
    </row>
    <row r="22" ht="0.05" customHeight="1"/>
  </sheetData>
  <autoFilter xmlns:etc="http://www.wps.cn/officeDocument/2017/etCustomData" ref="A7:N21" etc:filterBottomFollowUsedRange="0">
    <extLst/>
  </autoFilter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showGridLines="0" view="pageBreakPreview" zoomScaleNormal="100" workbookViewId="0">
      <pane ySplit="6" topLeftCell="A7" activePane="bottomLeft" state="frozen"/>
      <selection/>
      <selection pane="bottomLeft" activeCell="K32" sqref="K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625" customWidth="1"/>
    <col min="12" max="12" width="12.25" customWidth="1"/>
    <col min="13" max="13" width="10.625" customWidth="1"/>
    <col min="14" max="14" width="11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517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9</v>
      </c>
      <c r="J8" s="42"/>
      <c r="K8" s="43"/>
      <c r="L8" s="43"/>
      <c r="M8" s="43"/>
      <c r="N8" s="43">
        <v>402</v>
      </c>
    </row>
    <row r="9" spans="1:14">
      <c r="D9" s="13">
        <v>46176</v>
      </c>
      <c r="E9" s="14">
        <v>1608709</v>
      </c>
      <c r="F9" s="14" t="s">
        <v>16</v>
      </c>
      <c r="G9" s="14">
        <v>20329168</v>
      </c>
      <c r="H9" s="14" t="s">
        <v>508</v>
      </c>
      <c r="I9" s="14">
        <v>1</v>
      </c>
      <c r="J9" s="58" t="s">
        <v>28</v>
      </c>
      <c r="K9" s="16">
        <f t="shared" ref="K9:K14" si="0">M9/L9</f>
        <v>21</v>
      </c>
      <c r="L9" s="17">
        <v>4.4</v>
      </c>
      <c r="M9" s="17">
        <v>92.4</v>
      </c>
      <c r="N9" s="17">
        <v>92.4</v>
      </c>
    </row>
    <row r="10" spans="1:14">
      <c r="D10" s="18">
        <v>46176</v>
      </c>
      <c r="E10" s="6">
        <v>1608709</v>
      </c>
      <c r="F10" s="6" t="s">
        <v>16</v>
      </c>
      <c r="G10" s="6">
        <v>20324369</v>
      </c>
      <c r="H10" s="6" t="s">
        <v>139</v>
      </c>
      <c r="I10" s="6">
        <v>1</v>
      </c>
      <c r="J10" s="32" t="s">
        <v>28</v>
      </c>
      <c r="K10" s="20">
        <f t="shared" si="0"/>
        <v>3</v>
      </c>
      <c r="L10" s="21">
        <v>4.4</v>
      </c>
      <c r="M10" s="21">
        <v>13.2</v>
      </c>
      <c r="N10" s="21">
        <v>13.2</v>
      </c>
    </row>
    <row r="11" spans="1:14">
      <c r="D11" s="18">
        <v>46184</v>
      </c>
      <c r="E11" s="6">
        <v>1611542</v>
      </c>
      <c r="F11" s="6" t="s">
        <v>16</v>
      </c>
      <c r="G11" s="6">
        <v>20329068</v>
      </c>
      <c r="H11" s="6" t="s">
        <v>514</v>
      </c>
      <c r="I11" s="6">
        <v>2</v>
      </c>
      <c r="J11" s="19" t="s">
        <v>18</v>
      </c>
      <c r="K11" s="20">
        <v>1</v>
      </c>
      <c r="L11" s="21">
        <v>6.4</v>
      </c>
      <c r="M11" s="21">
        <v>6.4</v>
      </c>
      <c r="N11" s="21">
        <v>12.8</v>
      </c>
    </row>
    <row r="12" spans="1:14">
      <c r="D12" s="18">
        <v>46184</v>
      </c>
      <c r="E12" s="6">
        <v>1611542</v>
      </c>
      <c r="F12" s="6" t="s">
        <v>16</v>
      </c>
      <c r="G12" s="6">
        <v>20418609</v>
      </c>
      <c r="H12" s="6" t="s">
        <v>518</v>
      </c>
      <c r="I12" s="6">
        <v>1</v>
      </c>
      <c r="J12" s="32" t="s">
        <v>28</v>
      </c>
      <c r="K12" s="20">
        <f t="shared" si="0"/>
        <v>18</v>
      </c>
      <c r="L12" s="21">
        <v>4.4</v>
      </c>
      <c r="M12" s="21">
        <v>79.2</v>
      </c>
      <c r="N12" s="21">
        <v>79.2</v>
      </c>
    </row>
    <row r="13" spans="1:14">
      <c r="D13" s="18">
        <v>46195</v>
      </c>
      <c r="E13" s="6">
        <v>1614191</v>
      </c>
      <c r="F13" s="6" t="s">
        <v>16</v>
      </c>
      <c r="G13" s="6">
        <v>20329168</v>
      </c>
      <c r="H13" s="6" t="s">
        <v>508</v>
      </c>
      <c r="I13" s="6">
        <v>1</v>
      </c>
      <c r="J13" s="32" t="s">
        <v>28</v>
      </c>
      <c r="K13" s="20">
        <f t="shared" si="0"/>
        <v>21</v>
      </c>
      <c r="L13" s="21">
        <v>4.4</v>
      </c>
      <c r="M13" s="21">
        <v>92.4</v>
      </c>
      <c r="N13" s="21">
        <v>92.4</v>
      </c>
    </row>
    <row r="14" spans="1:14">
      <c r="D14" s="18">
        <v>46195</v>
      </c>
      <c r="E14" s="6">
        <v>1614191</v>
      </c>
      <c r="F14" s="6" t="s">
        <v>16</v>
      </c>
      <c r="G14" s="6">
        <v>20324369</v>
      </c>
      <c r="H14" s="6" t="s">
        <v>139</v>
      </c>
      <c r="I14" s="6">
        <v>1</v>
      </c>
      <c r="J14" s="32" t="s">
        <v>28</v>
      </c>
      <c r="K14" s="20">
        <f t="shared" si="0"/>
        <v>3</v>
      </c>
      <c r="L14" s="21">
        <v>4.4</v>
      </c>
      <c r="M14" s="21">
        <v>13.2</v>
      </c>
      <c r="N14" s="21">
        <v>13.2</v>
      </c>
    </row>
    <row r="15" spans="1:14">
      <c r="D15" s="18">
        <v>46202</v>
      </c>
      <c r="E15" s="6">
        <v>1616130</v>
      </c>
      <c r="F15" s="6" t="s">
        <v>16</v>
      </c>
      <c r="G15" s="6">
        <v>20329068</v>
      </c>
      <c r="H15" s="6" t="s">
        <v>514</v>
      </c>
      <c r="I15" s="6">
        <v>1</v>
      </c>
      <c r="J15" s="19" t="s">
        <v>18</v>
      </c>
      <c r="K15" s="20">
        <v>1</v>
      </c>
      <c r="L15" s="21">
        <v>6.4</v>
      </c>
      <c r="M15" s="21">
        <v>6.4</v>
      </c>
      <c r="N15" s="21">
        <v>6.4</v>
      </c>
    </row>
    <row r="16" spans="1:14">
      <c r="D16" s="18">
        <v>46202</v>
      </c>
      <c r="E16" s="6">
        <v>1616130</v>
      </c>
      <c r="F16" s="6" t="s">
        <v>16</v>
      </c>
      <c r="G16" s="6">
        <v>20329168</v>
      </c>
      <c r="H16" s="6" t="s">
        <v>508</v>
      </c>
      <c r="I16" s="6">
        <v>1</v>
      </c>
      <c r="J16" s="32" t="s">
        <v>28</v>
      </c>
      <c r="K16" s="20">
        <f>M16/L16</f>
        <v>21</v>
      </c>
      <c r="L16" s="21">
        <v>4.4</v>
      </c>
      <c r="M16" s="21">
        <v>92.4</v>
      </c>
      <c r="N16" s="21">
        <v>92.4</v>
      </c>
    </row>
  </sheetData>
  <autoFilter xmlns:etc="http://www.wps.cn/officeDocument/2017/etCustomData" ref="A7:N16" etc:filterBottomFollowUsedRange="0">
    <extLst/>
  </autoFilter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98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view="pageBreakPreview" zoomScaleNormal="100" workbookViewId="0">
      <pane ySplit="6" topLeftCell="A7" activePane="bottomLeft" state="frozen"/>
      <selection/>
      <selection pane="bottomLeft" activeCell="K32" sqref="K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625" customWidth="1"/>
    <col min="12" max="12" width="12.25" customWidth="1"/>
    <col min="13" max="13" width="10.625" customWidth="1"/>
    <col min="14" max="14" width="13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45" t="s">
        <v>4</v>
      </c>
      <c r="E7" s="45" t="s">
        <v>5</v>
      </c>
      <c r="F7" s="45" t="s">
        <v>6</v>
      </c>
      <c r="G7" s="45" t="s">
        <v>7</v>
      </c>
      <c r="H7" s="45" t="s">
        <v>8</v>
      </c>
      <c r="I7" s="45" t="s">
        <v>9</v>
      </c>
      <c r="J7" s="37" t="s">
        <v>10</v>
      </c>
      <c r="K7" s="38" t="s">
        <v>11</v>
      </c>
      <c r="L7" s="39" t="s">
        <v>12</v>
      </c>
      <c r="M7" s="45" t="s">
        <v>13</v>
      </c>
      <c r="N7" s="45" t="s">
        <v>14</v>
      </c>
    </row>
    <row r="8" ht="14.25" spans="1:14">
      <c r="D8" s="46" t="s">
        <v>519</v>
      </c>
      <c r="E8" s="47" t="s">
        <v>2</v>
      </c>
      <c r="F8" s="47" t="s">
        <v>2</v>
      </c>
      <c r="G8" s="47" t="s">
        <v>2</v>
      </c>
      <c r="H8" s="47" t="s">
        <v>2</v>
      </c>
      <c r="I8" s="48">
        <v>41</v>
      </c>
      <c r="J8" s="49"/>
      <c r="K8" s="49"/>
      <c r="L8" s="49"/>
      <c r="M8" s="49"/>
      <c r="N8" s="49">
        <v>522</v>
      </c>
    </row>
    <row r="9" spans="1:14">
      <c r="D9" s="50">
        <v>46177</v>
      </c>
      <c r="E9" s="51">
        <v>1609084</v>
      </c>
      <c r="F9" s="51" t="s">
        <v>16</v>
      </c>
      <c r="G9" s="52">
        <v>20383301</v>
      </c>
      <c r="H9" s="51" t="s">
        <v>520</v>
      </c>
      <c r="I9" s="52">
        <v>4</v>
      </c>
      <c r="J9" s="14" t="s">
        <v>124</v>
      </c>
      <c r="K9" s="16">
        <f t="shared" ref="K9:K14" si="0">M9/L9</f>
        <v>3</v>
      </c>
      <c r="L9" s="17">
        <v>4.4</v>
      </c>
      <c r="M9" s="53">
        <v>13.2</v>
      </c>
      <c r="N9" s="53">
        <f>M9*I9</f>
        <v>52.8</v>
      </c>
    </row>
    <row r="10" spans="1:14">
      <c r="D10" s="54">
        <v>46182</v>
      </c>
      <c r="E10" s="55">
        <v>1610420</v>
      </c>
      <c r="F10" s="55" t="s">
        <v>16</v>
      </c>
      <c r="G10" s="56">
        <v>20383301</v>
      </c>
      <c r="H10" s="55" t="s">
        <v>520</v>
      </c>
      <c r="I10" s="56">
        <v>3</v>
      </c>
      <c r="J10" s="6" t="s">
        <v>124</v>
      </c>
      <c r="K10" s="20">
        <f t="shared" si="0"/>
        <v>3</v>
      </c>
      <c r="L10" s="21">
        <v>4.4</v>
      </c>
      <c r="M10" s="57">
        <v>13.2</v>
      </c>
      <c r="N10" s="57">
        <f>M10*I10</f>
        <v>39.6</v>
      </c>
    </row>
    <row r="11" spans="1:14">
      <c r="D11" s="54">
        <v>46182</v>
      </c>
      <c r="E11" s="55">
        <v>1610420</v>
      </c>
      <c r="F11" s="55" t="s">
        <v>16</v>
      </c>
      <c r="G11" s="56">
        <v>20396533</v>
      </c>
      <c r="H11" s="55" t="s">
        <v>521</v>
      </c>
      <c r="I11" s="56">
        <v>2</v>
      </c>
      <c r="J11" s="19" t="s">
        <v>18</v>
      </c>
      <c r="K11" s="20">
        <v>1</v>
      </c>
      <c r="L11" s="21">
        <v>6.4</v>
      </c>
      <c r="M11" s="57">
        <v>6.4</v>
      </c>
      <c r="N11" s="57">
        <v>12.8</v>
      </c>
    </row>
    <row r="12" spans="1:14">
      <c r="D12" s="54">
        <v>46182</v>
      </c>
      <c r="E12" s="55">
        <v>1610420</v>
      </c>
      <c r="F12" s="55" t="s">
        <v>16</v>
      </c>
      <c r="G12" s="56">
        <v>20324562</v>
      </c>
      <c r="H12" s="55" t="s">
        <v>522</v>
      </c>
      <c r="I12" s="56">
        <v>1</v>
      </c>
      <c r="J12" s="19" t="s">
        <v>18</v>
      </c>
      <c r="K12" s="20">
        <v>1</v>
      </c>
      <c r="L12" s="21">
        <v>6.4</v>
      </c>
      <c r="M12" s="57">
        <v>6.4</v>
      </c>
      <c r="N12" s="57">
        <v>6.4</v>
      </c>
    </row>
    <row r="13" spans="1:14">
      <c r="D13" s="54">
        <v>46182</v>
      </c>
      <c r="E13" s="55">
        <v>1610420</v>
      </c>
      <c r="F13" s="55" t="s">
        <v>26</v>
      </c>
      <c r="G13" s="56">
        <v>20324523</v>
      </c>
      <c r="H13" s="55" t="s">
        <v>523</v>
      </c>
      <c r="I13" s="56">
        <v>2</v>
      </c>
      <c r="J13" s="32" t="s">
        <v>28</v>
      </c>
      <c r="K13" s="20">
        <f>M13/L13</f>
        <v>6</v>
      </c>
      <c r="L13" s="21">
        <v>4.4</v>
      </c>
      <c r="M13" s="57">
        <v>26.4</v>
      </c>
      <c r="N13" s="57">
        <f>M13*I13</f>
        <v>52.8</v>
      </c>
    </row>
    <row r="14" spans="1:14">
      <c r="D14" s="54">
        <v>46184</v>
      </c>
      <c r="E14" s="55">
        <v>1611544</v>
      </c>
      <c r="F14" s="55" t="s">
        <v>16</v>
      </c>
      <c r="G14" s="56">
        <v>20383301</v>
      </c>
      <c r="H14" s="55" t="s">
        <v>520</v>
      </c>
      <c r="I14" s="56">
        <v>1</v>
      </c>
      <c r="J14" s="6" t="s">
        <v>124</v>
      </c>
      <c r="K14" s="20">
        <f t="shared" si="0"/>
        <v>3</v>
      </c>
      <c r="L14" s="21">
        <v>4.4</v>
      </c>
      <c r="M14" s="57">
        <v>13.2</v>
      </c>
      <c r="N14" s="57">
        <f>M14*I14</f>
        <v>13.2</v>
      </c>
    </row>
    <row r="15" spans="1:14">
      <c r="D15" s="54">
        <v>46184</v>
      </c>
      <c r="E15" s="55">
        <v>1611544</v>
      </c>
      <c r="F15" s="55" t="s">
        <v>16</v>
      </c>
      <c r="G15" s="56">
        <v>20338947</v>
      </c>
      <c r="H15" s="55" t="s">
        <v>524</v>
      </c>
      <c r="I15" s="56">
        <v>1</v>
      </c>
      <c r="J15" s="19" t="s">
        <v>18</v>
      </c>
      <c r="K15" s="20">
        <v>1</v>
      </c>
      <c r="L15" s="21">
        <v>6.4</v>
      </c>
      <c r="M15" s="57">
        <v>6.4</v>
      </c>
      <c r="N15" s="57">
        <v>6.4</v>
      </c>
    </row>
    <row r="16" spans="1:14">
      <c r="D16" s="54">
        <v>46184</v>
      </c>
      <c r="E16" s="55">
        <v>1611544</v>
      </c>
      <c r="F16" s="55" t="s">
        <v>26</v>
      </c>
      <c r="G16" s="56">
        <v>20324530</v>
      </c>
      <c r="H16" s="55" t="s">
        <v>525</v>
      </c>
      <c r="I16" s="56">
        <v>1</v>
      </c>
      <c r="J16" s="32" t="s">
        <v>28</v>
      </c>
      <c r="K16" s="20">
        <f>M16/L16</f>
        <v>9</v>
      </c>
      <c r="L16" s="21">
        <v>4.4</v>
      </c>
      <c r="M16" s="57">
        <v>39.6</v>
      </c>
      <c r="N16" s="57">
        <f>M16*I16</f>
        <v>39.6</v>
      </c>
    </row>
    <row r="17" spans="4:14">
      <c r="D17" s="54">
        <v>46184</v>
      </c>
      <c r="E17" s="55">
        <v>1611544</v>
      </c>
      <c r="F17" s="55" t="s">
        <v>16</v>
      </c>
      <c r="G17" s="56">
        <v>20325943</v>
      </c>
      <c r="H17" s="55" t="s">
        <v>526</v>
      </c>
      <c r="I17" s="56">
        <v>1</v>
      </c>
      <c r="J17" s="32" t="s">
        <v>28</v>
      </c>
      <c r="K17" s="20">
        <f t="shared" ref="K17:K22" si="1">M17/L17</f>
        <v>3</v>
      </c>
      <c r="L17" s="21">
        <v>4.4</v>
      </c>
      <c r="M17" s="57">
        <v>13.2</v>
      </c>
      <c r="N17" s="57">
        <v>13.2</v>
      </c>
    </row>
    <row r="18" spans="4:14">
      <c r="D18" s="54">
        <v>46189</v>
      </c>
      <c r="E18" s="55">
        <v>1612415</v>
      </c>
      <c r="F18" s="55" t="s">
        <v>16</v>
      </c>
      <c r="G18" s="56">
        <v>20383301</v>
      </c>
      <c r="H18" s="55" t="s">
        <v>520</v>
      </c>
      <c r="I18" s="56">
        <v>4</v>
      </c>
      <c r="J18" s="6" t="s">
        <v>124</v>
      </c>
      <c r="K18" s="20">
        <f t="shared" si="1"/>
        <v>3</v>
      </c>
      <c r="L18" s="21">
        <v>4.4</v>
      </c>
      <c r="M18" s="57">
        <v>13.2</v>
      </c>
      <c r="N18" s="57">
        <f>M18*I18</f>
        <v>52.8</v>
      </c>
    </row>
    <row r="19" spans="4:14">
      <c r="D19" s="54">
        <v>46189</v>
      </c>
      <c r="E19" s="55">
        <v>1612415</v>
      </c>
      <c r="F19" s="55" t="s">
        <v>16</v>
      </c>
      <c r="G19" s="56">
        <v>20396533</v>
      </c>
      <c r="H19" s="55" t="s">
        <v>521</v>
      </c>
      <c r="I19" s="56">
        <v>1</v>
      </c>
      <c r="J19" s="19" t="s">
        <v>18</v>
      </c>
      <c r="K19" s="20">
        <v>1</v>
      </c>
      <c r="L19" s="21">
        <v>6.4</v>
      </c>
      <c r="M19" s="57">
        <v>6.4</v>
      </c>
      <c r="N19" s="57">
        <v>6.4</v>
      </c>
    </row>
    <row r="20" spans="4:14">
      <c r="D20" s="54">
        <v>46189</v>
      </c>
      <c r="E20" s="55">
        <v>1612415</v>
      </c>
      <c r="F20" s="55" t="s">
        <v>26</v>
      </c>
      <c r="G20" s="56">
        <v>20324523</v>
      </c>
      <c r="H20" s="55" t="s">
        <v>523</v>
      </c>
      <c r="I20" s="56">
        <v>1</v>
      </c>
      <c r="J20" s="32" t="s">
        <v>28</v>
      </c>
      <c r="K20" s="20">
        <f>M20/L20</f>
        <v>6</v>
      </c>
      <c r="L20" s="21">
        <v>4.4</v>
      </c>
      <c r="M20" s="57">
        <v>26.4</v>
      </c>
      <c r="N20" s="57">
        <f>M20*I20</f>
        <v>26.4</v>
      </c>
    </row>
    <row r="21" spans="4:14">
      <c r="D21" s="54">
        <v>46197</v>
      </c>
      <c r="E21" s="55">
        <v>1614547</v>
      </c>
      <c r="F21" s="55" t="s">
        <v>16</v>
      </c>
      <c r="G21" s="56">
        <v>20326195</v>
      </c>
      <c r="H21" s="55" t="s">
        <v>527</v>
      </c>
      <c r="I21" s="56">
        <v>2</v>
      </c>
      <c r="J21" s="19" t="s">
        <v>18</v>
      </c>
      <c r="K21" s="20">
        <v>1</v>
      </c>
      <c r="L21" s="21">
        <v>6.4</v>
      </c>
      <c r="M21" s="57">
        <v>6.4</v>
      </c>
      <c r="N21" s="57">
        <v>12.8</v>
      </c>
    </row>
    <row r="22" spans="4:14">
      <c r="D22" s="54">
        <v>46197</v>
      </c>
      <c r="E22" s="55">
        <v>1614547</v>
      </c>
      <c r="F22" s="55" t="s">
        <v>16</v>
      </c>
      <c r="G22" s="56">
        <v>20383301</v>
      </c>
      <c r="H22" s="55" t="s">
        <v>528</v>
      </c>
      <c r="I22" s="56">
        <v>5</v>
      </c>
      <c r="J22" s="6" t="s">
        <v>124</v>
      </c>
      <c r="K22" s="20">
        <f t="shared" si="1"/>
        <v>3</v>
      </c>
      <c r="L22" s="21">
        <v>4.4</v>
      </c>
      <c r="M22" s="57">
        <v>13.2</v>
      </c>
      <c r="N22" s="57">
        <f>M22*I22</f>
        <v>66</v>
      </c>
    </row>
    <row r="23" spans="4:14">
      <c r="D23" s="54">
        <v>46197</v>
      </c>
      <c r="E23" s="55">
        <v>1614547</v>
      </c>
      <c r="F23" s="55" t="s">
        <v>16</v>
      </c>
      <c r="G23" s="56">
        <v>20396534</v>
      </c>
      <c r="H23" s="55" t="s">
        <v>529</v>
      </c>
      <c r="I23" s="56">
        <v>2</v>
      </c>
      <c r="J23" s="19" t="s">
        <v>18</v>
      </c>
      <c r="K23" s="20">
        <v>1</v>
      </c>
      <c r="L23" s="21">
        <v>6.4</v>
      </c>
      <c r="M23" s="57">
        <v>6.4</v>
      </c>
      <c r="N23" s="57">
        <v>12.8</v>
      </c>
    </row>
    <row r="24" spans="4:14">
      <c r="D24" s="54">
        <v>46197</v>
      </c>
      <c r="E24" s="55">
        <v>1614547</v>
      </c>
      <c r="F24" s="55" t="s">
        <v>16</v>
      </c>
      <c r="G24" s="56">
        <v>20396533</v>
      </c>
      <c r="H24" s="55" t="s">
        <v>521</v>
      </c>
      <c r="I24" s="56">
        <v>2</v>
      </c>
      <c r="J24" s="19" t="s">
        <v>18</v>
      </c>
      <c r="K24" s="20">
        <v>1</v>
      </c>
      <c r="L24" s="21">
        <v>6.4</v>
      </c>
      <c r="M24" s="57">
        <v>6.4</v>
      </c>
      <c r="N24" s="57">
        <v>12.8</v>
      </c>
    </row>
    <row r="25" spans="4:14">
      <c r="D25" s="54">
        <v>46197</v>
      </c>
      <c r="E25" s="55">
        <v>1614547</v>
      </c>
      <c r="F25" s="55" t="s">
        <v>16</v>
      </c>
      <c r="G25" s="56">
        <v>20324562</v>
      </c>
      <c r="H25" s="55" t="s">
        <v>522</v>
      </c>
      <c r="I25" s="56">
        <v>1</v>
      </c>
      <c r="J25" s="19" t="s">
        <v>18</v>
      </c>
      <c r="K25" s="20">
        <v>1</v>
      </c>
      <c r="L25" s="21">
        <v>6.4</v>
      </c>
      <c r="M25" s="57">
        <v>6.4</v>
      </c>
      <c r="N25" s="57">
        <v>6.4</v>
      </c>
    </row>
    <row r="26" spans="4:14">
      <c r="D26" s="54">
        <v>46197</v>
      </c>
      <c r="E26" s="55">
        <v>1614547</v>
      </c>
      <c r="F26" s="55" t="s">
        <v>26</v>
      </c>
      <c r="G26" s="56">
        <v>20324523</v>
      </c>
      <c r="H26" s="55" t="s">
        <v>523</v>
      </c>
      <c r="I26" s="56">
        <v>2</v>
      </c>
      <c r="J26" s="32" t="s">
        <v>28</v>
      </c>
      <c r="K26" s="20">
        <f>M26/L26</f>
        <v>6</v>
      </c>
      <c r="L26" s="21">
        <v>4.4</v>
      </c>
      <c r="M26" s="57">
        <v>26.4</v>
      </c>
      <c r="N26" s="57">
        <f>M26*I26</f>
        <v>52.8</v>
      </c>
    </row>
    <row r="27" spans="4:14">
      <c r="D27" s="54">
        <v>46198</v>
      </c>
      <c r="E27" s="55">
        <v>1615303</v>
      </c>
      <c r="F27" s="55" t="s">
        <v>16</v>
      </c>
      <c r="G27" s="56">
        <v>20383301</v>
      </c>
      <c r="H27" s="55" t="s">
        <v>528</v>
      </c>
      <c r="I27" s="56">
        <v>5</v>
      </c>
      <c r="J27" s="6" t="s">
        <v>124</v>
      </c>
      <c r="K27" s="20">
        <f>M27/L27</f>
        <v>3</v>
      </c>
      <c r="L27" s="21">
        <v>4.4</v>
      </c>
      <c r="M27" s="57">
        <v>13.2</v>
      </c>
      <c r="N27" s="57">
        <f>M27*I27</f>
        <v>66</v>
      </c>
    </row>
  </sheetData>
  <autoFilter xmlns:etc="http://www.wps.cn/officeDocument/2017/etCustomData" ref="A7:N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K32" sqref="K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625" customWidth="1"/>
    <col min="12" max="12" width="12.25" customWidth="1"/>
    <col min="13" max="13" width="10.625" customWidth="1"/>
    <col min="14" max="14" width="11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7" t="s">
        <v>4</v>
      </c>
      <c r="E7" s="37" t="s">
        <v>5</v>
      </c>
      <c r="F7" s="37" t="s">
        <v>6</v>
      </c>
      <c r="G7" s="37" t="s">
        <v>7</v>
      </c>
      <c r="H7" s="37" t="s">
        <v>8</v>
      </c>
      <c r="I7" s="37" t="s">
        <v>9</v>
      </c>
      <c r="J7" s="37" t="s">
        <v>10</v>
      </c>
      <c r="K7" s="38" t="s">
        <v>11</v>
      </c>
      <c r="L7" s="39" t="s">
        <v>12</v>
      </c>
      <c r="M7" s="39" t="s">
        <v>13</v>
      </c>
      <c r="N7" s="39" t="s">
        <v>14</v>
      </c>
    </row>
    <row r="8" ht="14.25" spans="1:14">
      <c r="D8" s="40" t="s">
        <v>530</v>
      </c>
      <c r="E8" s="41" t="s">
        <v>2</v>
      </c>
      <c r="F8" s="41" t="s">
        <v>2</v>
      </c>
      <c r="G8" s="41" t="s">
        <v>2</v>
      </c>
      <c r="H8" s="41" t="s">
        <v>2</v>
      </c>
      <c r="I8" s="40">
        <v>33</v>
      </c>
      <c r="J8" s="42"/>
      <c r="K8" s="43"/>
      <c r="L8" s="43"/>
      <c r="M8" s="43"/>
      <c r="N8" s="43">
        <v>448.8</v>
      </c>
    </row>
    <row r="9" spans="1:14">
      <c r="D9" s="13">
        <v>46182</v>
      </c>
      <c r="E9" s="14">
        <v>1610421</v>
      </c>
      <c r="F9" s="14" t="s">
        <v>16</v>
      </c>
      <c r="G9" s="14">
        <v>20383301</v>
      </c>
      <c r="H9" s="14" t="s">
        <v>520</v>
      </c>
      <c r="I9" s="14">
        <v>8</v>
      </c>
      <c r="J9" s="14" t="s">
        <v>124</v>
      </c>
      <c r="K9" s="16">
        <f t="shared" ref="K9:K12" si="0">M9/L9</f>
        <v>3</v>
      </c>
      <c r="L9" s="17">
        <v>4.4</v>
      </c>
      <c r="M9" s="17">
        <v>13.2</v>
      </c>
      <c r="N9" s="17">
        <f>M9*I9</f>
        <v>105.6</v>
      </c>
    </row>
    <row r="10" spans="1:14">
      <c r="D10" s="18">
        <v>46182</v>
      </c>
      <c r="E10" s="6">
        <v>1610421</v>
      </c>
      <c r="F10" s="6" t="s">
        <v>26</v>
      </c>
      <c r="G10" s="6">
        <v>20324523</v>
      </c>
      <c r="H10" s="6" t="s">
        <v>523</v>
      </c>
      <c r="I10" s="6">
        <v>1</v>
      </c>
      <c r="J10" s="32" t="s">
        <v>28</v>
      </c>
      <c r="K10" s="20">
        <f t="shared" si="0"/>
        <v>6</v>
      </c>
      <c r="L10" s="21">
        <v>4.4</v>
      </c>
      <c r="M10" s="21">
        <v>26.4</v>
      </c>
      <c r="N10" s="21">
        <f>M10*I10</f>
        <v>26.4</v>
      </c>
    </row>
    <row r="11" spans="1:14">
      <c r="D11" s="18">
        <v>46190</v>
      </c>
      <c r="E11" s="6">
        <v>1612795</v>
      </c>
      <c r="F11" s="6" t="s">
        <v>16</v>
      </c>
      <c r="G11" s="6">
        <v>20383301</v>
      </c>
      <c r="H11" s="6" t="s">
        <v>520</v>
      </c>
      <c r="I11" s="6">
        <v>9</v>
      </c>
      <c r="J11" s="6" t="s">
        <v>124</v>
      </c>
      <c r="K11" s="20">
        <f t="shared" si="0"/>
        <v>3</v>
      </c>
      <c r="L11" s="21">
        <v>4.4</v>
      </c>
      <c r="M11" s="21">
        <v>13.2</v>
      </c>
      <c r="N11" s="21">
        <f>M11*I11</f>
        <v>118.8</v>
      </c>
    </row>
    <row r="12" spans="1:14">
      <c r="D12" s="18">
        <v>46199</v>
      </c>
      <c r="E12" s="6">
        <v>1615608</v>
      </c>
      <c r="F12" s="6" t="s">
        <v>16</v>
      </c>
      <c r="G12" s="6">
        <v>20383301</v>
      </c>
      <c r="H12" s="6" t="s">
        <v>528</v>
      </c>
      <c r="I12" s="6">
        <v>15</v>
      </c>
      <c r="J12" s="6" t="s">
        <v>124</v>
      </c>
      <c r="K12" s="20">
        <f t="shared" si="0"/>
        <v>3</v>
      </c>
      <c r="L12" s="21">
        <v>4.4</v>
      </c>
      <c r="M12" s="21">
        <v>13.2</v>
      </c>
      <c r="N12" s="21">
        <f>M12*I12</f>
        <v>198</v>
      </c>
    </row>
    <row r="13" ht="0.05" hidden="1" customHeight="1" spans="1:14">
      <c r="N13" s="44">
        <f>M13*I13</f>
        <v>0</v>
      </c>
    </row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8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F29" sqref="F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75" customWidth="1"/>
    <col min="13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531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2</v>
      </c>
      <c r="J8" s="11"/>
      <c r="K8" s="12"/>
      <c r="L8" s="12"/>
      <c r="M8" s="12"/>
      <c r="N8" s="12">
        <v>15.2</v>
      </c>
    </row>
    <row r="9" spans="1:14">
      <c r="D9" s="13">
        <v>46190</v>
      </c>
      <c r="E9" s="14">
        <v>1612796</v>
      </c>
      <c r="F9" s="14" t="s">
        <v>16</v>
      </c>
      <c r="G9" s="14">
        <v>20324557</v>
      </c>
      <c r="H9" s="14" t="s">
        <v>147</v>
      </c>
      <c r="I9" s="14">
        <v>1</v>
      </c>
      <c r="J9" s="15" t="s">
        <v>18</v>
      </c>
      <c r="K9" s="16">
        <v>1</v>
      </c>
      <c r="L9" s="17">
        <v>6.4</v>
      </c>
      <c r="M9" s="17">
        <v>6.4</v>
      </c>
      <c r="N9" s="17">
        <v>6.4</v>
      </c>
    </row>
    <row r="10" spans="1:14">
      <c r="D10" s="18">
        <v>46190</v>
      </c>
      <c r="E10" s="6">
        <v>1612796</v>
      </c>
      <c r="F10" s="6" t="s">
        <v>16</v>
      </c>
      <c r="G10" s="6">
        <v>20324559</v>
      </c>
      <c r="H10" s="6" t="s">
        <v>148</v>
      </c>
      <c r="I10" s="6">
        <v>1</v>
      </c>
      <c r="J10" s="6" t="s">
        <v>20</v>
      </c>
      <c r="K10" s="20">
        <v>1</v>
      </c>
      <c r="L10" s="21">
        <v>8.8</v>
      </c>
      <c r="M10" s="21">
        <v>8.8</v>
      </c>
      <c r="N10" s="21">
        <v>8.8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K43" sqref="K4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2.125" customWidth="1"/>
    <col min="11" max="11" width="20.5" customWidth="1"/>
    <col min="12" max="12" width="13.75" customWidth="1"/>
    <col min="13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532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463</v>
      </c>
      <c r="J8" s="11"/>
      <c r="K8" s="12"/>
      <c r="L8" s="12"/>
      <c r="M8" s="12"/>
      <c r="N8" s="12">
        <v>3178</v>
      </c>
    </row>
    <row r="9" spans="1:14">
      <c r="D9" s="13">
        <v>46174</v>
      </c>
      <c r="E9" s="14">
        <v>1608077</v>
      </c>
      <c r="F9" s="14" t="s">
        <v>16</v>
      </c>
      <c r="G9" s="14">
        <v>20329256</v>
      </c>
      <c r="H9" s="14" t="s">
        <v>533</v>
      </c>
      <c r="I9" s="14">
        <v>16</v>
      </c>
      <c r="J9" s="32" t="s">
        <v>28</v>
      </c>
      <c r="K9" s="20">
        <f t="shared" ref="K9:K13" si="0">M9/L9</f>
        <v>3</v>
      </c>
      <c r="L9" s="21">
        <v>4.4</v>
      </c>
      <c r="M9" s="17">
        <v>13.2</v>
      </c>
      <c r="N9" s="17">
        <v>211.2</v>
      </c>
    </row>
    <row r="10" spans="1:14">
      <c r="D10" s="18">
        <v>46176</v>
      </c>
      <c r="E10" s="6">
        <v>1608662</v>
      </c>
      <c r="F10" s="6" t="s">
        <v>16</v>
      </c>
      <c r="G10" s="6">
        <v>20329256</v>
      </c>
      <c r="H10" s="6" t="s">
        <v>533</v>
      </c>
      <c r="I10" s="6">
        <v>9</v>
      </c>
      <c r="J10" s="32" t="s">
        <v>28</v>
      </c>
      <c r="K10" s="20">
        <f t="shared" si="0"/>
        <v>3</v>
      </c>
      <c r="L10" s="21">
        <v>4.4</v>
      </c>
      <c r="M10" s="21">
        <v>13.2</v>
      </c>
      <c r="N10" s="21">
        <v>118.8</v>
      </c>
    </row>
    <row r="11" spans="1:14">
      <c r="D11" s="18">
        <v>46176</v>
      </c>
      <c r="E11" s="6">
        <v>1608662</v>
      </c>
      <c r="F11" s="6" t="s">
        <v>51</v>
      </c>
      <c r="G11" s="6">
        <v>20324850</v>
      </c>
      <c r="H11" s="6" t="s">
        <v>534</v>
      </c>
      <c r="I11" s="6">
        <v>99</v>
      </c>
      <c r="J11" s="32" t="s">
        <v>53</v>
      </c>
      <c r="K11" s="20">
        <v>1</v>
      </c>
      <c r="L11" s="21">
        <v>2</v>
      </c>
      <c r="M11" s="21">
        <v>2</v>
      </c>
      <c r="N11" s="21">
        <v>198</v>
      </c>
    </row>
    <row r="12" spans="1:14">
      <c r="D12" s="18">
        <v>46178</v>
      </c>
      <c r="E12" s="6">
        <v>1609426</v>
      </c>
      <c r="F12" s="6" t="s">
        <v>16</v>
      </c>
      <c r="G12" s="6">
        <v>20329256</v>
      </c>
      <c r="H12" s="6" t="s">
        <v>533</v>
      </c>
      <c r="I12" s="6">
        <v>15</v>
      </c>
      <c r="J12" s="32" t="s">
        <v>28</v>
      </c>
      <c r="K12" s="20">
        <f t="shared" si="0"/>
        <v>3</v>
      </c>
      <c r="L12" s="21">
        <v>4.4</v>
      </c>
      <c r="M12" s="21">
        <v>13.2</v>
      </c>
      <c r="N12" s="21">
        <v>198</v>
      </c>
    </row>
    <row r="13" spans="1:14">
      <c r="D13" s="18">
        <v>46179</v>
      </c>
      <c r="E13" s="6">
        <v>1609868</v>
      </c>
      <c r="F13" s="6" t="s">
        <v>16</v>
      </c>
      <c r="G13" s="6">
        <v>20329256</v>
      </c>
      <c r="H13" s="6" t="s">
        <v>533</v>
      </c>
      <c r="I13" s="6">
        <v>8</v>
      </c>
      <c r="J13" s="32" t="s">
        <v>28</v>
      </c>
      <c r="K13" s="20">
        <f t="shared" si="0"/>
        <v>3</v>
      </c>
      <c r="L13" s="21">
        <v>4.4</v>
      </c>
      <c r="M13" s="21">
        <v>13.2</v>
      </c>
      <c r="N13" s="21">
        <v>105.6</v>
      </c>
    </row>
    <row r="14" spans="1:14">
      <c r="D14" s="18">
        <v>46181</v>
      </c>
      <c r="E14" s="6">
        <v>1610179</v>
      </c>
      <c r="F14" s="6" t="s">
        <v>16</v>
      </c>
      <c r="G14" s="6">
        <v>20324413</v>
      </c>
      <c r="H14" s="6" t="s">
        <v>158</v>
      </c>
      <c r="I14" s="6">
        <v>2</v>
      </c>
      <c r="J14" s="19" t="s">
        <v>18</v>
      </c>
      <c r="K14" s="20">
        <v>1</v>
      </c>
      <c r="L14" s="21">
        <v>6.4</v>
      </c>
      <c r="M14" s="21">
        <v>6.4</v>
      </c>
      <c r="N14" s="21">
        <v>12.8</v>
      </c>
    </row>
    <row r="15" spans="1:14">
      <c r="D15" s="18">
        <v>46181</v>
      </c>
      <c r="E15" s="6">
        <v>1610179</v>
      </c>
      <c r="F15" s="6" t="s">
        <v>16</v>
      </c>
      <c r="G15" s="6">
        <v>20329256</v>
      </c>
      <c r="H15" s="6" t="s">
        <v>533</v>
      </c>
      <c r="I15" s="6">
        <v>15</v>
      </c>
      <c r="J15" s="32" t="s">
        <v>28</v>
      </c>
      <c r="K15" s="20">
        <f t="shared" ref="K15:K22" si="1">M15/L15</f>
        <v>3</v>
      </c>
      <c r="L15" s="21">
        <v>4.4</v>
      </c>
      <c r="M15" s="21">
        <v>13.2</v>
      </c>
      <c r="N15" s="21">
        <v>198</v>
      </c>
    </row>
    <row r="16" spans="1:14">
      <c r="D16" s="18">
        <v>46183</v>
      </c>
      <c r="E16" s="6">
        <v>1610852</v>
      </c>
      <c r="F16" s="6" t="s">
        <v>16</v>
      </c>
      <c r="G16" s="6">
        <v>20324413</v>
      </c>
      <c r="H16" s="6" t="s">
        <v>158</v>
      </c>
      <c r="I16" s="6">
        <v>2</v>
      </c>
      <c r="J16" s="19" t="s">
        <v>18</v>
      </c>
      <c r="K16" s="20">
        <v>1</v>
      </c>
      <c r="L16" s="21">
        <v>6.4</v>
      </c>
      <c r="M16" s="21">
        <v>6.4</v>
      </c>
      <c r="N16" s="21">
        <v>12.8</v>
      </c>
    </row>
    <row r="17" spans="4:14">
      <c r="D17" s="18">
        <v>46183</v>
      </c>
      <c r="E17" s="6">
        <v>1610852</v>
      </c>
      <c r="F17" s="6" t="s">
        <v>16</v>
      </c>
      <c r="G17" s="6">
        <v>20329256</v>
      </c>
      <c r="H17" s="6" t="s">
        <v>533</v>
      </c>
      <c r="I17" s="6">
        <v>6</v>
      </c>
      <c r="J17" s="32" t="s">
        <v>28</v>
      </c>
      <c r="K17" s="20">
        <f t="shared" si="1"/>
        <v>3</v>
      </c>
      <c r="L17" s="21">
        <v>4.4</v>
      </c>
      <c r="M17" s="21">
        <v>13.2</v>
      </c>
      <c r="N17" s="21">
        <v>79.2</v>
      </c>
    </row>
    <row r="18" spans="4:14">
      <c r="D18" s="18">
        <v>46184</v>
      </c>
      <c r="E18" s="6">
        <v>1611507</v>
      </c>
      <c r="F18" s="6" t="s">
        <v>51</v>
      </c>
      <c r="G18" s="6">
        <v>20324850</v>
      </c>
      <c r="H18" s="6" t="s">
        <v>534</v>
      </c>
      <c r="I18" s="6">
        <v>160</v>
      </c>
      <c r="J18" s="32" t="s">
        <v>53</v>
      </c>
      <c r="K18" s="20">
        <v>1</v>
      </c>
      <c r="L18" s="21">
        <v>2</v>
      </c>
      <c r="M18" s="21">
        <v>2</v>
      </c>
      <c r="N18" s="21">
        <v>320</v>
      </c>
    </row>
    <row r="19" spans="4:14">
      <c r="D19" s="18">
        <v>46184</v>
      </c>
      <c r="E19" s="6">
        <v>1611543</v>
      </c>
      <c r="F19" s="6" t="s">
        <v>16</v>
      </c>
      <c r="G19" s="6">
        <v>20329256</v>
      </c>
      <c r="H19" s="6" t="s">
        <v>533</v>
      </c>
      <c r="I19" s="6">
        <v>12</v>
      </c>
      <c r="J19" s="32" t="s">
        <v>28</v>
      </c>
      <c r="K19" s="20">
        <f t="shared" si="1"/>
        <v>3</v>
      </c>
      <c r="L19" s="21">
        <v>4.4</v>
      </c>
      <c r="M19" s="21">
        <v>13.2</v>
      </c>
      <c r="N19" s="21">
        <v>158.4</v>
      </c>
    </row>
    <row r="20" spans="4:14">
      <c r="D20" s="18">
        <v>46185</v>
      </c>
      <c r="E20" s="6">
        <v>1611897</v>
      </c>
      <c r="F20" s="6" t="s">
        <v>16</v>
      </c>
      <c r="G20" s="6">
        <v>20324413</v>
      </c>
      <c r="H20" s="6" t="s">
        <v>158</v>
      </c>
      <c r="I20" s="6">
        <v>1</v>
      </c>
      <c r="J20" s="19" t="s">
        <v>18</v>
      </c>
      <c r="K20" s="20">
        <v>1</v>
      </c>
      <c r="L20" s="21">
        <v>6.4</v>
      </c>
      <c r="M20" s="21">
        <v>6.4</v>
      </c>
      <c r="N20" s="21">
        <v>6.4</v>
      </c>
    </row>
    <row r="21" spans="4:14">
      <c r="D21" s="18">
        <v>46185</v>
      </c>
      <c r="E21" s="6">
        <v>1611897</v>
      </c>
      <c r="F21" s="6" t="s">
        <v>16</v>
      </c>
      <c r="G21" s="6">
        <v>20329256</v>
      </c>
      <c r="H21" s="6" t="s">
        <v>533</v>
      </c>
      <c r="I21" s="6">
        <v>7</v>
      </c>
      <c r="J21" s="32" t="s">
        <v>28</v>
      </c>
      <c r="K21" s="20">
        <f t="shared" si="1"/>
        <v>3</v>
      </c>
      <c r="L21" s="21">
        <v>4.4</v>
      </c>
      <c r="M21" s="21">
        <v>13.2</v>
      </c>
      <c r="N21" s="21">
        <v>92.4</v>
      </c>
    </row>
    <row r="22" spans="4:14">
      <c r="D22" s="18">
        <v>46188</v>
      </c>
      <c r="E22" s="6">
        <v>1612195</v>
      </c>
      <c r="F22" s="6" t="s">
        <v>16</v>
      </c>
      <c r="G22" s="6">
        <v>20329256</v>
      </c>
      <c r="H22" s="6" t="s">
        <v>533</v>
      </c>
      <c r="I22" s="6">
        <v>16</v>
      </c>
      <c r="J22" s="32" t="s">
        <v>28</v>
      </c>
      <c r="K22" s="20">
        <f t="shared" si="1"/>
        <v>3</v>
      </c>
      <c r="L22" s="21">
        <v>4.4</v>
      </c>
      <c r="M22" s="21">
        <v>13.2</v>
      </c>
      <c r="N22" s="21">
        <v>211.2</v>
      </c>
    </row>
    <row r="23" spans="4:14">
      <c r="D23" s="18">
        <v>46189</v>
      </c>
      <c r="E23" s="6">
        <v>1612414</v>
      </c>
      <c r="F23" s="6" t="s">
        <v>16</v>
      </c>
      <c r="G23" s="6">
        <v>20429806</v>
      </c>
      <c r="H23" s="6" t="s">
        <v>535</v>
      </c>
      <c r="I23" s="6">
        <v>15</v>
      </c>
      <c r="J23" s="32" t="s">
        <v>28</v>
      </c>
      <c r="K23" s="20">
        <f t="shared" ref="K23:K26" si="2">M23/L23</f>
        <v>3</v>
      </c>
      <c r="L23" s="21">
        <v>4.4</v>
      </c>
      <c r="M23" s="21">
        <v>13.2</v>
      </c>
      <c r="N23" s="21">
        <v>198</v>
      </c>
    </row>
    <row r="24" spans="4:14">
      <c r="D24" s="18">
        <v>46189</v>
      </c>
      <c r="E24" s="6">
        <v>1612414</v>
      </c>
      <c r="F24" s="6" t="s">
        <v>16</v>
      </c>
      <c r="G24" s="6">
        <v>20429807</v>
      </c>
      <c r="H24" s="6" t="s">
        <v>536</v>
      </c>
      <c r="I24" s="6">
        <v>5</v>
      </c>
      <c r="J24" s="32" t="s">
        <v>28</v>
      </c>
      <c r="K24" s="20">
        <f t="shared" si="2"/>
        <v>3</v>
      </c>
      <c r="L24" s="21">
        <v>4.4</v>
      </c>
      <c r="M24" s="21">
        <v>13.2</v>
      </c>
      <c r="N24" s="21">
        <v>66</v>
      </c>
    </row>
    <row r="25" spans="4:14">
      <c r="D25" s="18">
        <v>46190</v>
      </c>
      <c r="E25" s="6">
        <v>1612797</v>
      </c>
      <c r="F25" s="6" t="s">
        <v>16</v>
      </c>
      <c r="G25" s="6">
        <v>20329256</v>
      </c>
      <c r="H25" s="6" t="s">
        <v>533</v>
      </c>
      <c r="I25" s="6">
        <v>16</v>
      </c>
      <c r="J25" s="32" t="s">
        <v>28</v>
      </c>
      <c r="K25" s="20">
        <f t="shared" si="2"/>
        <v>3</v>
      </c>
      <c r="L25" s="21">
        <v>4.4</v>
      </c>
      <c r="M25" s="21">
        <v>13.2</v>
      </c>
      <c r="N25" s="21">
        <v>211.2</v>
      </c>
    </row>
    <row r="26" spans="4:14">
      <c r="D26" s="18">
        <v>46191</v>
      </c>
      <c r="E26" s="6">
        <v>1613556</v>
      </c>
      <c r="F26" s="6" t="s">
        <v>16</v>
      </c>
      <c r="G26" s="6">
        <v>20329256</v>
      </c>
      <c r="H26" s="6" t="s">
        <v>533</v>
      </c>
      <c r="I26" s="6">
        <v>14</v>
      </c>
      <c r="J26" s="32" t="s">
        <v>28</v>
      </c>
      <c r="K26" s="20">
        <f t="shared" si="2"/>
        <v>3</v>
      </c>
      <c r="L26" s="21">
        <v>4.4</v>
      </c>
      <c r="M26" s="21">
        <v>13.2</v>
      </c>
      <c r="N26" s="21">
        <v>184.8</v>
      </c>
    </row>
    <row r="27" spans="4:14">
      <c r="D27" s="18">
        <v>46197</v>
      </c>
      <c r="E27" s="6">
        <v>1614925</v>
      </c>
      <c r="F27" s="6" t="s">
        <v>16</v>
      </c>
      <c r="G27" s="6">
        <v>20324413</v>
      </c>
      <c r="H27" s="6" t="s">
        <v>158</v>
      </c>
      <c r="I27" s="6">
        <v>1</v>
      </c>
      <c r="J27" s="19" t="s">
        <v>18</v>
      </c>
      <c r="K27" s="20">
        <v>1</v>
      </c>
      <c r="L27" s="21">
        <v>6.4</v>
      </c>
      <c r="M27" s="21">
        <v>6.4</v>
      </c>
      <c r="N27" s="21">
        <v>6.4</v>
      </c>
    </row>
    <row r="28" spans="4:14">
      <c r="D28" s="18">
        <v>46197</v>
      </c>
      <c r="E28" s="6">
        <v>1614925</v>
      </c>
      <c r="F28" s="6" t="s">
        <v>16</v>
      </c>
      <c r="G28" s="6">
        <v>20329256</v>
      </c>
      <c r="H28" s="6" t="s">
        <v>533</v>
      </c>
      <c r="I28" s="6">
        <v>16</v>
      </c>
      <c r="J28" s="32" t="s">
        <v>28</v>
      </c>
      <c r="K28" s="20">
        <f t="shared" ref="K28:K33" si="3">M28/L28</f>
        <v>3</v>
      </c>
      <c r="L28" s="21">
        <v>4.4</v>
      </c>
      <c r="M28" s="21">
        <v>13.2</v>
      </c>
      <c r="N28" s="21">
        <v>211.2</v>
      </c>
    </row>
    <row r="29" spans="4:14">
      <c r="D29" s="18">
        <v>46199</v>
      </c>
      <c r="E29" s="6">
        <v>1615576</v>
      </c>
      <c r="F29" s="6" t="s">
        <v>16</v>
      </c>
      <c r="G29" s="6">
        <v>20329256</v>
      </c>
      <c r="H29" s="6" t="s">
        <v>533</v>
      </c>
      <c r="I29" s="6">
        <v>12</v>
      </c>
      <c r="J29" s="32" t="s">
        <v>28</v>
      </c>
      <c r="K29" s="20">
        <f t="shared" si="3"/>
        <v>3</v>
      </c>
      <c r="L29" s="21">
        <v>4.4</v>
      </c>
      <c r="M29" s="21">
        <v>13.2</v>
      </c>
      <c r="N29" s="21">
        <v>158.4</v>
      </c>
    </row>
    <row r="30" spans="4:14">
      <c r="D30" s="18">
        <v>46200</v>
      </c>
      <c r="E30" s="6">
        <v>1615682</v>
      </c>
      <c r="F30" s="19" t="s">
        <v>16</v>
      </c>
      <c r="G30" s="6">
        <v>20332947</v>
      </c>
      <c r="H30" s="6" t="s">
        <v>537</v>
      </c>
      <c r="I30" s="6">
        <v>1</v>
      </c>
      <c r="J30" s="33" t="s">
        <v>183</v>
      </c>
      <c r="K30" s="20">
        <v>1</v>
      </c>
      <c r="L30" s="21">
        <v>28</v>
      </c>
      <c r="M30" s="21">
        <v>28</v>
      </c>
      <c r="N30" s="21">
        <v>28</v>
      </c>
    </row>
    <row r="31" spans="4:14">
      <c r="D31" s="18">
        <v>46202</v>
      </c>
      <c r="E31" s="6">
        <v>1615912</v>
      </c>
      <c r="F31" s="6" t="s">
        <v>16</v>
      </c>
      <c r="G31" s="6">
        <v>20324364</v>
      </c>
      <c r="H31" s="6" t="s">
        <v>21</v>
      </c>
      <c r="I31" s="6">
        <v>1</v>
      </c>
      <c r="J31" s="19" t="s">
        <v>18</v>
      </c>
      <c r="K31" s="20">
        <v>1</v>
      </c>
      <c r="L31" s="21">
        <v>6.4</v>
      </c>
      <c r="M31" s="21">
        <v>6.4</v>
      </c>
      <c r="N31" s="21">
        <v>6.4</v>
      </c>
    </row>
    <row r="32" spans="4:14">
      <c r="D32" s="18">
        <v>46202</v>
      </c>
      <c r="E32" s="6">
        <v>1615912</v>
      </c>
      <c r="F32" s="6" t="s">
        <v>16</v>
      </c>
      <c r="G32" s="6">
        <v>20329256</v>
      </c>
      <c r="H32" s="6" t="s">
        <v>533</v>
      </c>
      <c r="I32" s="6">
        <v>14</v>
      </c>
      <c r="J32" s="32" t="s">
        <v>28</v>
      </c>
      <c r="K32" s="20">
        <f t="shared" si="3"/>
        <v>3</v>
      </c>
      <c r="L32" s="21">
        <v>4.4</v>
      </c>
      <c r="M32" s="21">
        <v>13.2</v>
      </c>
      <c r="N32" s="21">
        <v>184.8</v>
      </c>
    </row>
    <row r="33" ht="0.05" customHeight="1" spans="10:12">
      <c r="J33" s="34" t="s">
        <v>28</v>
      </c>
      <c r="K33" s="35">
        <f t="shared" si="3"/>
        <v>0</v>
      </c>
      <c r="L33" s="36">
        <v>4.4</v>
      </c>
    </row>
  </sheetData>
  <autoFilter xmlns:etc="http://www.wps.cn/officeDocument/2017/etCustomData" ref="A7:N33" etc:filterBottomFollowUsedRange="0">
    <extLst/>
  </autoFilter>
  <mergeCells count="5">
    <mergeCell ref="D8:H8"/>
    <mergeCell ref="C7:C32"/>
    <mergeCell ref="B4:H5"/>
    <mergeCell ref="A7:B32"/>
    <mergeCell ref="C1:H2"/>
  </mergeCells>
  <pageMargins left="0.25" right="0.25" top="0.75" bottom="0.75" header="0.298611111111111" footer="0.298611111111111"/>
  <pageSetup paperSize="9" scale="93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K32" sqref="K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75" customWidth="1"/>
    <col min="13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2" t="s">
        <v>9</v>
      </c>
      <c r="J7" s="22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23" t="s">
        <v>538</v>
      </c>
      <c r="E8" s="24" t="s">
        <v>2</v>
      </c>
      <c r="F8" s="24" t="s">
        <v>2</v>
      </c>
      <c r="G8" s="24" t="s">
        <v>2</v>
      </c>
      <c r="H8" s="24" t="s">
        <v>2</v>
      </c>
      <c r="I8" s="23">
        <v>21</v>
      </c>
      <c r="J8" s="25"/>
      <c r="K8" s="12"/>
      <c r="L8" s="12"/>
      <c r="M8" s="12"/>
      <c r="N8" s="12">
        <v>529.6</v>
      </c>
    </row>
    <row r="9" spans="1:14">
      <c r="D9" s="26">
        <v>46182</v>
      </c>
      <c r="E9" s="27">
        <v>1610422</v>
      </c>
      <c r="F9" s="27" t="s">
        <v>16</v>
      </c>
      <c r="G9" s="27">
        <v>20324364</v>
      </c>
      <c r="H9" s="27" t="s">
        <v>21</v>
      </c>
      <c r="I9" s="27">
        <v>4</v>
      </c>
      <c r="J9" s="28" t="s">
        <v>18</v>
      </c>
      <c r="K9" s="16">
        <v>1</v>
      </c>
      <c r="L9" s="17">
        <v>6.4</v>
      </c>
      <c r="M9" s="17">
        <v>6.4</v>
      </c>
      <c r="N9" s="17">
        <v>25.6</v>
      </c>
    </row>
    <row r="10" spans="1:14">
      <c r="D10" s="29">
        <v>46182</v>
      </c>
      <c r="E10" s="22">
        <v>1610422</v>
      </c>
      <c r="F10" s="22" t="s">
        <v>26</v>
      </c>
      <c r="G10" s="22">
        <v>20327130</v>
      </c>
      <c r="H10" s="22" t="s">
        <v>539</v>
      </c>
      <c r="I10" s="22">
        <v>1</v>
      </c>
      <c r="J10" s="30" t="s">
        <v>28</v>
      </c>
      <c r="K10" s="20">
        <f t="shared" ref="K10:K16" si="0">M10/L10</f>
        <v>14</v>
      </c>
      <c r="L10" s="21">
        <v>4.4</v>
      </c>
      <c r="M10" s="21">
        <v>61.6</v>
      </c>
      <c r="N10" s="21">
        <v>61.6</v>
      </c>
    </row>
    <row r="11" spans="1:14">
      <c r="D11" s="29">
        <v>46184</v>
      </c>
      <c r="E11" s="22">
        <v>1611546</v>
      </c>
      <c r="F11" s="22" t="s">
        <v>26</v>
      </c>
      <c r="G11" s="22">
        <v>20324065</v>
      </c>
      <c r="H11" s="22" t="s">
        <v>540</v>
      </c>
      <c r="I11" s="22">
        <v>1</v>
      </c>
      <c r="J11" s="30" t="s">
        <v>28</v>
      </c>
      <c r="K11" s="20">
        <f t="shared" si="0"/>
        <v>14</v>
      </c>
      <c r="L11" s="21">
        <v>4.4</v>
      </c>
      <c r="M11" s="21">
        <v>61.6</v>
      </c>
      <c r="N11" s="21">
        <v>61.6</v>
      </c>
    </row>
    <row r="12" spans="1:14">
      <c r="D12" s="29">
        <v>46184</v>
      </c>
      <c r="E12" s="22">
        <v>1611594</v>
      </c>
      <c r="F12" s="22" t="s">
        <v>16</v>
      </c>
      <c r="G12" s="22">
        <v>20324364</v>
      </c>
      <c r="H12" s="22" t="s">
        <v>21</v>
      </c>
      <c r="I12" s="22">
        <v>1</v>
      </c>
      <c r="J12" s="31" t="s">
        <v>18</v>
      </c>
      <c r="K12" s="20">
        <v>1</v>
      </c>
      <c r="L12" s="21">
        <v>6.4</v>
      </c>
      <c r="M12" s="21">
        <v>6.4</v>
      </c>
      <c r="N12" s="21">
        <v>6.4</v>
      </c>
    </row>
    <row r="13" spans="1:14">
      <c r="D13" s="29">
        <v>46188</v>
      </c>
      <c r="E13" s="22">
        <v>1612196</v>
      </c>
      <c r="F13" s="22" t="s">
        <v>16</v>
      </c>
      <c r="G13" s="22">
        <v>20324364</v>
      </c>
      <c r="H13" s="22" t="s">
        <v>21</v>
      </c>
      <c r="I13" s="22">
        <v>1</v>
      </c>
      <c r="J13" s="31" t="s">
        <v>18</v>
      </c>
      <c r="K13" s="20">
        <v>1</v>
      </c>
      <c r="L13" s="21">
        <v>6.4</v>
      </c>
      <c r="M13" s="21">
        <v>6.4</v>
      </c>
      <c r="N13" s="21">
        <v>6.4</v>
      </c>
    </row>
    <row r="14" spans="1:14">
      <c r="D14" s="29">
        <v>46188</v>
      </c>
      <c r="E14" s="22">
        <v>1612196</v>
      </c>
      <c r="F14" s="22" t="s">
        <v>16</v>
      </c>
      <c r="G14" s="22">
        <v>20337431</v>
      </c>
      <c r="H14" s="22" t="s">
        <v>541</v>
      </c>
      <c r="I14" s="22">
        <v>1</v>
      </c>
      <c r="J14" s="31" t="s">
        <v>18</v>
      </c>
      <c r="K14" s="20">
        <v>1</v>
      </c>
      <c r="L14" s="21">
        <v>6.4</v>
      </c>
      <c r="M14" s="21">
        <v>6.4</v>
      </c>
      <c r="N14" s="21">
        <v>6.4</v>
      </c>
    </row>
    <row r="15" spans="1:14">
      <c r="D15" s="29">
        <v>46188</v>
      </c>
      <c r="E15" s="22">
        <v>1612196</v>
      </c>
      <c r="F15" s="22" t="s">
        <v>26</v>
      </c>
      <c r="G15" s="22">
        <v>20327184</v>
      </c>
      <c r="H15" s="22" t="s">
        <v>542</v>
      </c>
      <c r="I15" s="22">
        <v>1</v>
      </c>
      <c r="J15" s="30" t="s">
        <v>28</v>
      </c>
      <c r="K15" s="20">
        <f t="shared" si="0"/>
        <v>15</v>
      </c>
      <c r="L15" s="21">
        <v>4.4</v>
      </c>
      <c r="M15" s="21">
        <v>66</v>
      </c>
      <c r="N15" s="21">
        <v>66</v>
      </c>
    </row>
    <row r="16" spans="1:14">
      <c r="D16" s="29">
        <v>46190</v>
      </c>
      <c r="E16" s="22">
        <v>1612798</v>
      </c>
      <c r="F16" s="22" t="s">
        <v>26</v>
      </c>
      <c r="G16" s="22">
        <v>20324065</v>
      </c>
      <c r="H16" s="22" t="s">
        <v>540</v>
      </c>
      <c r="I16" s="22">
        <v>1</v>
      </c>
      <c r="J16" s="30" t="s">
        <v>28</v>
      </c>
      <c r="K16" s="20">
        <f t="shared" si="0"/>
        <v>14</v>
      </c>
      <c r="L16" s="21">
        <v>4.4</v>
      </c>
      <c r="M16" s="21">
        <v>61.6</v>
      </c>
      <c r="N16" s="21">
        <v>61.6</v>
      </c>
    </row>
    <row r="17" spans="4:14">
      <c r="D17" s="29">
        <v>46190</v>
      </c>
      <c r="E17" s="22">
        <v>1612798</v>
      </c>
      <c r="F17" s="22" t="s">
        <v>16</v>
      </c>
      <c r="G17" s="22">
        <v>20324533</v>
      </c>
      <c r="H17" s="22" t="s">
        <v>122</v>
      </c>
      <c r="I17" s="22">
        <v>1</v>
      </c>
      <c r="J17" s="31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spans="4:14">
      <c r="D18" s="29">
        <v>46190</v>
      </c>
      <c r="E18" s="22">
        <v>1612798</v>
      </c>
      <c r="F18" s="22" t="s">
        <v>26</v>
      </c>
      <c r="G18" s="22">
        <v>20327130</v>
      </c>
      <c r="H18" s="22" t="s">
        <v>539</v>
      </c>
      <c r="I18" s="22">
        <v>1</v>
      </c>
      <c r="J18" s="30" t="s">
        <v>28</v>
      </c>
      <c r="K18" s="20">
        <f t="shared" ref="K18:K23" si="1">M18/L18</f>
        <v>14</v>
      </c>
      <c r="L18" s="21">
        <v>4.4</v>
      </c>
      <c r="M18" s="21">
        <v>61.6</v>
      </c>
      <c r="N18" s="21">
        <v>61.6</v>
      </c>
    </row>
    <row r="19" spans="4:14">
      <c r="D19" s="29">
        <v>46195</v>
      </c>
      <c r="E19" s="22">
        <v>1614192</v>
      </c>
      <c r="F19" s="22" t="s">
        <v>16</v>
      </c>
      <c r="G19" s="22">
        <v>20324364</v>
      </c>
      <c r="H19" s="22" t="s">
        <v>21</v>
      </c>
      <c r="I19" s="22">
        <v>1</v>
      </c>
      <c r="J19" s="31" t="s">
        <v>18</v>
      </c>
      <c r="K19" s="20">
        <v>1</v>
      </c>
      <c r="L19" s="21">
        <v>6.4</v>
      </c>
      <c r="M19" s="21">
        <v>6.4</v>
      </c>
      <c r="N19" s="21">
        <v>6.4</v>
      </c>
    </row>
    <row r="20" spans="4:14">
      <c r="D20" s="29">
        <v>46195</v>
      </c>
      <c r="E20" s="22">
        <v>1614192</v>
      </c>
      <c r="F20" s="22" t="s">
        <v>16</v>
      </c>
      <c r="G20" s="22">
        <v>20337431</v>
      </c>
      <c r="H20" s="22" t="s">
        <v>541</v>
      </c>
      <c r="I20" s="22">
        <v>2</v>
      </c>
      <c r="J20" s="31" t="s">
        <v>18</v>
      </c>
      <c r="K20" s="20">
        <v>1</v>
      </c>
      <c r="L20" s="21">
        <v>6.4</v>
      </c>
      <c r="M20" s="21">
        <v>6.4</v>
      </c>
      <c r="N20" s="21">
        <v>12.8</v>
      </c>
    </row>
    <row r="21" spans="4:14">
      <c r="D21" s="29">
        <v>46198</v>
      </c>
      <c r="E21" s="22">
        <v>1615304</v>
      </c>
      <c r="F21" s="22" t="s">
        <v>26</v>
      </c>
      <c r="G21" s="22">
        <v>20324065</v>
      </c>
      <c r="H21" s="22" t="s">
        <v>540</v>
      </c>
      <c r="I21" s="22">
        <v>1</v>
      </c>
      <c r="J21" s="30" t="s">
        <v>28</v>
      </c>
      <c r="K21" s="20">
        <f t="shared" si="1"/>
        <v>14</v>
      </c>
      <c r="L21" s="21">
        <v>4.4</v>
      </c>
      <c r="M21" s="21">
        <v>61.6</v>
      </c>
      <c r="N21" s="21">
        <v>61.6</v>
      </c>
    </row>
    <row r="22" spans="4:14">
      <c r="D22" s="29">
        <v>46198</v>
      </c>
      <c r="E22" s="22">
        <v>1615304</v>
      </c>
      <c r="F22" s="22" t="s">
        <v>16</v>
      </c>
      <c r="G22" s="22">
        <v>20324364</v>
      </c>
      <c r="H22" s="22" t="s">
        <v>21</v>
      </c>
      <c r="I22" s="22">
        <v>1</v>
      </c>
      <c r="J22" s="31" t="s">
        <v>18</v>
      </c>
      <c r="K22" s="20">
        <v>1</v>
      </c>
      <c r="L22" s="21">
        <v>6.4</v>
      </c>
      <c r="M22" s="21">
        <v>6.4</v>
      </c>
      <c r="N22" s="21">
        <v>6.4</v>
      </c>
    </row>
    <row r="23" spans="4:14">
      <c r="D23" s="29">
        <v>46198</v>
      </c>
      <c r="E23" s="22">
        <v>1615304</v>
      </c>
      <c r="F23" s="22" t="s">
        <v>26</v>
      </c>
      <c r="G23" s="22">
        <v>20327184</v>
      </c>
      <c r="H23" s="22" t="s">
        <v>542</v>
      </c>
      <c r="I23" s="22">
        <v>1</v>
      </c>
      <c r="J23" s="30" t="s">
        <v>28</v>
      </c>
      <c r="K23" s="20">
        <f t="shared" si="1"/>
        <v>15</v>
      </c>
      <c r="L23" s="21">
        <v>4.4</v>
      </c>
      <c r="M23" s="21">
        <v>66</v>
      </c>
      <c r="N23" s="21">
        <v>66</v>
      </c>
    </row>
    <row r="24" spans="4:14">
      <c r="D24" s="29">
        <v>46199</v>
      </c>
      <c r="E24" s="22">
        <v>1615577</v>
      </c>
      <c r="F24" s="22" t="s">
        <v>16</v>
      </c>
      <c r="G24" s="22">
        <v>20324364</v>
      </c>
      <c r="H24" s="22" t="s">
        <v>21</v>
      </c>
      <c r="I24" s="22">
        <v>1</v>
      </c>
      <c r="J24" s="31" t="s">
        <v>18</v>
      </c>
      <c r="K24" s="20">
        <v>1</v>
      </c>
      <c r="L24" s="21">
        <v>6.4</v>
      </c>
      <c r="M24" s="21">
        <v>6.4</v>
      </c>
      <c r="N24" s="21">
        <v>6.4</v>
      </c>
    </row>
    <row r="25" spans="4:14">
      <c r="D25" s="29">
        <v>46199</v>
      </c>
      <c r="E25" s="22">
        <v>1615577</v>
      </c>
      <c r="F25" s="22" t="s">
        <v>16</v>
      </c>
      <c r="G25" s="22">
        <v>20337431</v>
      </c>
      <c r="H25" s="22" t="s">
        <v>541</v>
      </c>
      <c r="I25" s="22">
        <v>1</v>
      </c>
      <c r="J25" s="31" t="s">
        <v>18</v>
      </c>
      <c r="K25" s="20">
        <v>1</v>
      </c>
      <c r="L25" s="21">
        <v>6.4</v>
      </c>
      <c r="M25" s="21">
        <v>6.4</v>
      </c>
      <c r="N25" s="21">
        <v>6.4</v>
      </c>
    </row>
  </sheetData>
  <autoFilter xmlns:etc="http://www.wps.cn/officeDocument/2017/etCustomData" ref="A7:N25" etc:filterBottomFollowUsedRange="0">
    <extLst/>
  </autoFilter>
  <mergeCells count="5">
    <mergeCell ref="D8:H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"/>
  <sheetViews>
    <sheetView showGridLines="0" topLeftCell="E1" workbookViewId="0">
      <pane ySplit="6" topLeftCell="A7" activePane="bottomLeft" state="frozen"/>
      <selection/>
      <selection pane="bottomLeft" activeCell="P1" sqref="P$1:R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5" customWidth="1"/>
    <col min="12" max="12" width="13.75" customWidth="1"/>
    <col min="13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7" t="s">
        <v>11</v>
      </c>
      <c r="L7" s="8" t="s">
        <v>12</v>
      </c>
      <c r="M7" s="8" t="s">
        <v>13</v>
      </c>
      <c r="N7" s="8" t="s">
        <v>14</v>
      </c>
    </row>
    <row r="8" ht="14.25" spans="1:14">
      <c r="D8" s="9" t="s">
        <v>543</v>
      </c>
      <c r="E8" s="10" t="s">
        <v>2</v>
      </c>
      <c r="F8" s="10" t="s">
        <v>2</v>
      </c>
      <c r="G8" s="10" t="s">
        <v>2</v>
      </c>
      <c r="H8" s="10" t="s">
        <v>2</v>
      </c>
      <c r="I8" s="9">
        <v>142</v>
      </c>
      <c r="J8" s="11"/>
      <c r="K8" s="12"/>
      <c r="L8" s="12"/>
      <c r="M8" s="12"/>
      <c r="N8" s="12">
        <v>1012.4</v>
      </c>
    </row>
    <row r="9" spans="1:14">
      <c r="D9" s="13">
        <v>46176</v>
      </c>
      <c r="E9" s="14">
        <v>1608663</v>
      </c>
      <c r="F9" s="14" t="s">
        <v>16</v>
      </c>
      <c r="G9" s="14">
        <v>20324364</v>
      </c>
      <c r="H9" s="14" t="s">
        <v>21</v>
      </c>
      <c r="I9" s="14">
        <v>4</v>
      </c>
      <c r="J9" s="15" t="s">
        <v>18</v>
      </c>
      <c r="K9" s="16">
        <v>1</v>
      </c>
      <c r="L9" s="17">
        <v>6.4</v>
      </c>
      <c r="M9" s="17">
        <v>6.4</v>
      </c>
      <c r="N9" s="17">
        <v>25.6</v>
      </c>
    </row>
    <row r="10" spans="1:14">
      <c r="D10" s="18">
        <v>46176</v>
      </c>
      <c r="E10" s="6">
        <v>1608663</v>
      </c>
      <c r="F10" s="6" t="s">
        <v>16</v>
      </c>
      <c r="G10" s="6">
        <v>20324707</v>
      </c>
      <c r="H10" s="6" t="s">
        <v>544</v>
      </c>
      <c r="I10" s="6">
        <v>3</v>
      </c>
      <c r="J10" s="19" t="s">
        <v>18</v>
      </c>
      <c r="K10" s="20">
        <v>1</v>
      </c>
      <c r="L10" s="21">
        <v>6.4</v>
      </c>
      <c r="M10" s="21">
        <v>6.4</v>
      </c>
      <c r="N10" s="21">
        <v>19.2</v>
      </c>
    </row>
    <row r="11" spans="1:14">
      <c r="D11" s="18">
        <v>46176</v>
      </c>
      <c r="E11" s="6">
        <v>1608663</v>
      </c>
      <c r="F11" s="6" t="s">
        <v>16</v>
      </c>
      <c r="G11" s="6">
        <v>20325606</v>
      </c>
      <c r="H11" s="6" t="s">
        <v>545</v>
      </c>
      <c r="I11" s="6">
        <v>2</v>
      </c>
      <c r="J11" s="6" t="s">
        <v>20</v>
      </c>
      <c r="K11" s="20">
        <v>1</v>
      </c>
      <c r="L11" s="21">
        <v>8.8</v>
      </c>
      <c r="M11" s="21">
        <v>8.8</v>
      </c>
      <c r="N11" s="21">
        <v>17.6</v>
      </c>
    </row>
    <row r="12" spans="1:14">
      <c r="D12" s="18">
        <v>46176</v>
      </c>
      <c r="E12" s="6">
        <v>1608663</v>
      </c>
      <c r="F12" s="6" t="s">
        <v>16</v>
      </c>
      <c r="G12" s="6">
        <v>20324363</v>
      </c>
      <c r="H12" s="6" t="s">
        <v>25</v>
      </c>
      <c r="I12" s="6">
        <v>1</v>
      </c>
      <c r="J12" s="19" t="s">
        <v>18</v>
      </c>
      <c r="K12" s="20">
        <v>1</v>
      </c>
      <c r="L12" s="21">
        <v>6.4</v>
      </c>
      <c r="M12" s="21">
        <v>6.4</v>
      </c>
      <c r="N12" s="21">
        <v>6.4</v>
      </c>
    </row>
    <row r="13" spans="1:14">
      <c r="D13" s="18">
        <v>46177</v>
      </c>
      <c r="E13" s="6">
        <v>1609085</v>
      </c>
      <c r="F13" s="6" t="s">
        <v>16</v>
      </c>
      <c r="G13" s="6">
        <v>20324364</v>
      </c>
      <c r="H13" s="6" t="s">
        <v>21</v>
      </c>
      <c r="I13" s="6">
        <v>5</v>
      </c>
      <c r="J13" s="19" t="s">
        <v>18</v>
      </c>
      <c r="K13" s="20">
        <v>1</v>
      </c>
      <c r="L13" s="21">
        <v>6.4</v>
      </c>
      <c r="M13" s="21">
        <v>6.4</v>
      </c>
      <c r="N13" s="21">
        <v>32</v>
      </c>
    </row>
    <row r="14" spans="1:14">
      <c r="D14" s="18">
        <v>46177</v>
      </c>
      <c r="E14" s="6">
        <v>1609085</v>
      </c>
      <c r="F14" s="6" t="s">
        <v>16</v>
      </c>
      <c r="G14" s="6">
        <v>20324414</v>
      </c>
      <c r="H14" s="6" t="s">
        <v>546</v>
      </c>
      <c r="I14" s="6">
        <v>2</v>
      </c>
      <c r="J14" s="6" t="s">
        <v>124</v>
      </c>
      <c r="K14" s="20">
        <f>M14/L14</f>
        <v>3</v>
      </c>
      <c r="L14" s="21">
        <v>4.4</v>
      </c>
      <c r="M14" s="21">
        <v>13.2</v>
      </c>
      <c r="N14" s="21">
        <v>26.4</v>
      </c>
    </row>
    <row r="15" spans="1:14">
      <c r="D15" s="18">
        <v>46177</v>
      </c>
      <c r="E15" s="6">
        <v>1609085</v>
      </c>
      <c r="F15" s="6" t="s">
        <v>16</v>
      </c>
      <c r="G15" s="6">
        <v>20324707</v>
      </c>
      <c r="H15" s="6" t="s">
        <v>544</v>
      </c>
      <c r="I15" s="6">
        <v>4</v>
      </c>
      <c r="J15" s="19" t="s">
        <v>18</v>
      </c>
      <c r="K15" s="20">
        <v>1</v>
      </c>
      <c r="L15" s="21">
        <v>6.4</v>
      </c>
      <c r="M15" s="21">
        <v>6.4</v>
      </c>
      <c r="N15" s="21">
        <v>25.6</v>
      </c>
    </row>
    <row r="16" spans="1:14">
      <c r="D16" s="18">
        <v>46177</v>
      </c>
      <c r="E16" s="6">
        <v>1609085</v>
      </c>
      <c r="F16" s="6" t="s">
        <v>16</v>
      </c>
      <c r="G16" s="6">
        <v>20325606</v>
      </c>
      <c r="H16" s="6" t="s">
        <v>545</v>
      </c>
      <c r="I16" s="6">
        <v>1</v>
      </c>
      <c r="J16" s="6" t="s">
        <v>20</v>
      </c>
      <c r="K16" s="20">
        <v>1</v>
      </c>
      <c r="L16" s="21">
        <v>8.8</v>
      </c>
      <c r="M16" s="21">
        <v>8.8</v>
      </c>
      <c r="N16" s="21">
        <v>8.8</v>
      </c>
    </row>
    <row r="17" spans="4:14">
      <c r="D17" s="18">
        <v>46178</v>
      </c>
      <c r="E17" s="6">
        <v>1609427</v>
      </c>
      <c r="F17" s="6" t="s">
        <v>16</v>
      </c>
      <c r="G17" s="6">
        <v>20324370</v>
      </c>
      <c r="H17" s="6" t="s">
        <v>112</v>
      </c>
      <c r="I17" s="6">
        <v>1</v>
      </c>
      <c r="J17" s="19" t="s">
        <v>18</v>
      </c>
      <c r="K17" s="20">
        <v>1</v>
      </c>
      <c r="L17" s="21">
        <v>6.4</v>
      </c>
      <c r="M17" s="21">
        <v>6.4</v>
      </c>
      <c r="N17" s="21">
        <v>6.4</v>
      </c>
    </row>
    <row r="18" spans="4:14">
      <c r="D18" s="18">
        <v>46178</v>
      </c>
      <c r="E18" s="6">
        <v>1609427</v>
      </c>
      <c r="F18" s="6" t="s">
        <v>16</v>
      </c>
      <c r="G18" s="6">
        <v>20324364</v>
      </c>
      <c r="H18" s="6" t="s">
        <v>21</v>
      </c>
      <c r="I18" s="6">
        <v>3</v>
      </c>
      <c r="J18" s="19" t="s">
        <v>18</v>
      </c>
      <c r="K18" s="20">
        <v>1</v>
      </c>
      <c r="L18" s="21">
        <v>6.4</v>
      </c>
      <c r="M18" s="21">
        <v>6.4</v>
      </c>
      <c r="N18" s="21">
        <v>19.2</v>
      </c>
    </row>
    <row r="19" spans="4:14">
      <c r="D19" s="18">
        <v>46178</v>
      </c>
      <c r="E19" s="6">
        <v>1609427</v>
      </c>
      <c r="F19" s="6" t="s">
        <v>16</v>
      </c>
      <c r="G19" s="6">
        <v>20325606</v>
      </c>
      <c r="H19" s="6" t="s">
        <v>545</v>
      </c>
      <c r="I19" s="6">
        <v>1</v>
      </c>
      <c r="J19" s="6" t="s">
        <v>20</v>
      </c>
      <c r="K19" s="20">
        <v>1</v>
      </c>
      <c r="L19" s="21">
        <v>8.8</v>
      </c>
      <c r="M19" s="21">
        <v>8.8</v>
      </c>
      <c r="N19" s="21">
        <v>8.8</v>
      </c>
    </row>
    <row r="20" spans="4:14">
      <c r="D20" s="18">
        <v>46179</v>
      </c>
      <c r="E20" s="6">
        <v>1609869</v>
      </c>
      <c r="F20" s="6" t="s">
        <v>16</v>
      </c>
      <c r="G20" s="6">
        <v>20324364</v>
      </c>
      <c r="H20" s="6" t="s">
        <v>21</v>
      </c>
      <c r="I20" s="6">
        <v>7</v>
      </c>
      <c r="J20" s="19" t="s">
        <v>18</v>
      </c>
      <c r="K20" s="20">
        <v>1</v>
      </c>
      <c r="L20" s="21">
        <v>6.4</v>
      </c>
      <c r="M20" s="21">
        <v>6.4</v>
      </c>
      <c r="N20" s="21">
        <v>44.8</v>
      </c>
    </row>
    <row r="21" spans="4:14">
      <c r="D21" s="18">
        <v>46179</v>
      </c>
      <c r="E21" s="6">
        <v>1609869</v>
      </c>
      <c r="F21" s="6" t="s">
        <v>16</v>
      </c>
      <c r="G21" s="6">
        <v>20324414</v>
      </c>
      <c r="H21" s="6" t="s">
        <v>546</v>
      </c>
      <c r="I21" s="6">
        <v>1</v>
      </c>
      <c r="J21" s="6" t="s">
        <v>124</v>
      </c>
      <c r="K21" s="20">
        <f>M21/L21</f>
        <v>3</v>
      </c>
      <c r="L21" s="21">
        <v>4.4</v>
      </c>
      <c r="M21" s="21">
        <v>13.2</v>
      </c>
      <c r="N21" s="21">
        <v>13.2</v>
      </c>
    </row>
    <row r="22" spans="4:14">
      <c r="D22" s="18">
        <v>46179</v>
      </c>
      <c r="E22" s="6">
        <v>1609869</v>
      </c>
      <c r="F22" s="6" t="s">
        <v>16</v>
      </c>
      <c r="G22" s="6">
        <v>20330329</v>
      </c>
      <c r="H22" s="6" t="s">
        <v>547</v>
      </c>
      <c r="I22" s="6">
        <v>1</v>
      </c>
      <c r="J22" s="19" t="s">
        <v>18</v>
      </c>
      <c r="K22" s="20">
        <v>1</v>
      </c>
      <c r="L22" s="21">
        <v>6.4</v>
      </c>
      <c r="M22" s="21">
        <v>6.4</v>
      </c>
      <c r="N22" s="21">
        <v>6.4</v>
      </c>
    </row>
    <row r="23" spans="4:14">
      <c r="D23" s="18">
        <v>46179</v>
      </c>
      <c r="E23" s="6">
        <v>1609869</v>
      </c>
      <c r="F23" s="6" t="s">
        <v>16</v>
      </c>
      <c r="G23" s="6">
        <v>20324363</v>
      </c>
      <c r="H23" s="6" t="s">
        <v>25</v>
      </c>
      <c r="I23" s="6">
        <v>1</v>
      </c>
      <c r="J23" s="19" t="s">
        <v>18</v>
      </c>
      <c r="K23" s="20">
        <v>1</v>
      </c>
      <c r="L23" s="21">
        <v>6.4</v>
      </c>
      <c r="M23" s="21">
        <v>6.4</v>
      </c>
      <c r="N23" s="21">
        <v>6.4</v>
      </c>
    </row>
    <row r="24" spans="4:14">
      <c r="D24" s="18">
        <v>46182</v>
      </c>
      <c r="E24" s="6">
        <v>1610423</v>
      </c>
      <c r="F24" s="6" t="s">
        <v>16</v>
      </c>
      <c r="G24" s="6">
        <v>20324364</v>
      </c>
      <c r="H24" s="6" t="s">
        <v>21</v>
      </c>
      <c r="I24" s="6">
        <v>4</v>
      </c>
      <c r="J24" s="19" t="s">
        <v>18</v>
      </c>
      <c r="K24" s="20">
        <v>1</v>
      </c>
      <c r="L24" s="21">
        <v>6.4</v>
      </c>
      <c r="M24" s="21">
        <v>6.4</v>
      </c>
      <c r="N24" s="21">
        <v>25.6</v>
      </c>
    </row>
    <row r="25" spans="4:14">
      <c r="D25" s="18">
        <v>46182</v>
      </c>
      <c r="E25" s="6">
        <v>1610423</v>
      </c>
      <c r="F25" s="6" t="s">
        <v>16</v>
      </c>
      <c r="G25" s="6">
        <v>20324414</v>
      </c>
      <c r="H25" s="6" t="s">
        <v>546</v>
      </c>
      <c r="I25" s="6">
        <v>1</v>
      </c>
      <c r="J25" s="6" t="s">
        <v>124</v>
      </c>
      <c r="K25" s="20">
        <f>M25/L25</f>
        <v>3</v>
      </c>
      <c r="L25" s="21">
        <v>4.4</v>
      </c>
      <c r="M25" s="21">
        <v>13.2</v>
      </c>
      <c r="N25" s="21">
        <v>13.2</v>
      </c>
    </row>
    <row r="26" spans="4:14">
      <c r="D26" s="18">
        <v>46182</v>
      </c>
      <c r="E26" s="6">
        <v>1610423</v>
      </c>
      <c r="F26" s="6" t="s">
        <v>16</v>
      </c>
      <c r="G26" s="6">
        <v>20324707</v>
      </c>
      <c r="H26" s="6" t="s">
        <v>544</v>
      </c>
      <c r="I26" s="6">
        <v>5</v>
      </c>
      <c r="J26" s="19" t="s">
        <v>18</v>
      </c>
      <c r="K26" s="20">
        <v>1</v>
      </c>
      <c r="L26" s="21">
        <v>6.4</v>
      </c>
      <c r="M26" s="21">
        <v>6.4</v>
      </c>
      <c r="N26" s="21">
        <v>32</v>
      </c>
    </row>
    <row r="27" spans="4:14">
      <c r="D27" s="18">
        <v>46182</v>
      </c>
      <c r="E27" s="6">
        <v>1610423</v>
      </c>
      <c r="F27" s="6" t="s">
        <v>16</v>
      </c>
      <c r="G27" s="6">
        <v>20324416</v>
      </c>
      <c r="H27" s="6" t="s">
        <v>548</v>
      </c>
      <c r="I27" s="6">
        <v>1</v>
      </c>
      <c r="J27" s="6" t="s">
        <v>20</v>
      </c>
      <c r="K27" s="20">
        <v>1</v>
      </c>
      <c r="L27" s="21">
        <v>8.8</v>
      </c>
      <c r="M27" s="21">
        <v>8.8</v>
      </c>
      <c r="N27" s="21">
        <v>8.8</v>
      </c>
    </row>
    <row r="28" spans="4:14">
      <c r="D28" s="18">
        <v>46182</v>
      </c>
      <c r="E28" s="6">
        <v>1610423</v>
      </c>
      <c r="F28" s="6" t="s">
        <v>16</v>
      </c>
      <c r="G28" s="6">
        <v>20325606</v>
      </c>
      <c r="H28" s="6" t="s">
        <v>545</v>
      </c>
      <c r="I28" s="6">
        <v>3</v>
      </c>
      <c r="J28" s="6" t="s">
        <v>20</v>
      </c>
      <c r="K28" s="20">
        <v>1</v>
      </c>
      <c r="L28" s="21">
        <v>8.8</v>
      </c>
      <c r="M28" s="21">
        <v>8.8</v>
      </c>
      <c r="N28" s="21">
        <v>26.4</v>
      </c>
    </row>
    <row r="29" spans="4:14">
      <c r="D29" s="18">
        <v>46183</v>
      </c>
      <c r="E29" s="6">
        <v>1610853</v>
      </c>
      <c r="F29" s="6" t="s">
        <v>16</v>
      </c>
      <c r="G29" s="6">
        <v>20324364</v>
      </c>
      <c r="H29" s="6" t="s">
        <v>21</v>
      </c>
      <c r="I29" s="6">
        <v>4</v>
      </c>
      <c r="J29" s="19" t="s">
        <v>18</v>
      </c>
      <c r="K29" s="20">
        <v>1</v>
      </c>
      <c r="L29" s="21">
        <v>6.4</v>
      </c>
      <c r="M29" s="21">
        <v>6.4</v>
      </c>
      <c r="N29" s="21">
        <v>25.6</v>
      </c>
    </row>
    <row r="30" spans="4:14">
      <c r="D30" s="18">
        <v>46183</v>
      </c>
      <c r="E30" s="6">
        <v>1610853</v>
      </c>
      <c r="F30" s="6" t="s">
        <v>16</v>
      </c>
      <c r="G30" s="6">
        <v>20324707</v>
      </c>
      <c r="H30" s="6" t="s">
        <v>544</v>
      </c>
      <c r="I30" s="6">
        <v>4</v>
      </c>
      <c r="J30" s="19" t="s">
        <v>18</v>
      </c>
      <c r="K30" s="20">
        <v>1</v>
      </c>
      <c r="L30" s="21">
        <v>6.4</v>
      </c>
      <c r="M30" s="21">
        <v>6.4</v>
      </c>
      <c r="N30" s="21">
        <v>25.6</v>
      </c>
    </row>
    <row r="31" spans="4:14">
      <c r="D31" s="18">
        <v>46184</v>
      </c>
      <c r="E31" s="6">
        <v>1611545</v>
      </c>
      <c r="F31" s="6" t="s">
        <v>16</v>
      </c>
      <c r="G31" s="6">
        <v>20324370</v>
      </c>
      <c r="H31" s="6" t="s">
        <v>112</v>
      </c>
      <c r="I31" s="6">
        <v>1</v>
      </c>
      <c r="J31" s="19" t="s">
        <v>18</v>
      </c>
      <c r="K31" s="20">
        <v>1</v>
      </c>
      <c r="L31" s="21">
        <v>6.4</v>
      </c>
      <c r="M31" s="21">
        <v>6.4</v>
      </c>
      <c r="N31" s="21">
        <v>6.4</v>
      </c>
    </row>
    <row r="32" spans="4:14">
      <c r="D32" s="18">
        <v>46184</v>
      </c>
      <c r="E32" s="6">
        <v>1611545</v>
      </c>
      <c r="F32" s="6" t="s">
        <v>16</v>
      </c>
      <c r="G32" s="6">
        <v>20324364</v>
      </c>
      <c r="H32" s="6" t="s">
        <v>21</v>
      </c>
      <c r="I32" s="6">
        <v>3</v>
      </c>
      <c r="J32" s="19" t="s">
        <v>18</v>
      </c>
      <c r="K32" s="20">
        <v>1</v>
      </c>
      <c r="L32" s="21">
        <v>6.4</v>
      </c>
      <c r="M32" s="21">
        <v>6.4</v>
      </c>
      <c r="N32" s="21">
        <v>19.2</v>
      </c>
    </row>
    <row r="33" spans="4:14">
      <c r="D33" s="18">
        <v>46184</v>
      </c>
      <c r="E33" s="6">
        <v>1611545</v>
      </c>
      <c r="F33" s="6" t="s">
        <v>16</v>
      </c>
      <c r="G33" s="6">
        <v>20324707</v>
      </c>
      <c r="H33" s="6" t="s">
        <v>544</v>
      </c>
      <c r="I33" s="6">
        <v>1</v>
      </c>
      <c r="J33" s="19" t="s">
        <v>18</v>
      </c>
      <c r="K33" s="20">
        <v>1</v>
      </c>
      <c r="L33" s="21">
        <v>6.4</v>
      </c>
      <c r="M33" s="21">
        <v>6.4</v>
      </c>
      <c r="N33" s="21">
        <v>6.4</v>
      </c>
    </row>
    <row r="34" spans="4:14">
      <c r="D34" s="18">
        <v>46189</v>
      </c>
      <c r="E34" s="6">
        <v>1612413</v>
      </c>
      <c r="F34" s="6" t="s">
        <v>16</v>
      </c>
      <c r="G34" s="6">
        <v>20324364</v>
      </c>
      <c r="H34" s="6" t="s">
        <v>21</v>
      </c>
      <c r="I34" s="6">
        <v>6</v>
      </c>
      <c r="J34" s="19" t="s">
        <v>18</v>
      </c>
      <c r="K34" s="20">
        <v>1</v>
      </c>
      <c r="L34" s="21">
        <v>6.4</v>
      </c>
      <c r="M34" s="21">
        <v>6.4</v>
      </c>
      <c r="N34" s="21">
        <v>38.4</v>
      </c>
    </row>
    <row r="35" spans="4:14">
      <c r="D35" s="18">
        <v>46189</v>
      </c>
      <c r="E35" s="6">
        <v>1612413</v>
      </c>
      <c r="F35" s="6" t="s">
        <v>16</v>
      </c>
      <c r="G35" s="6">
        <v>20324414</v>
      </c>
      <c r="H35" s="6" t="s">
        <v>546</v>
      </c>
      <c r="I35" s="6">
        <v>1</v>
      </c>
      <c r="J35" s="6" t="s">
        <v>124</v>
      </c>
      <c r="K35" s="20">
        <f>M35/L35</f>
        <v>3</v>
      </c>
      <c r="L35" s="21">
        <v>4.4</v>
      </c>
      <c r="M35" s="21">
        <v>13.2</v>
      </c>
      <c r="N35" s="21">
        <v>13.2</v>
      </c>
    </row>
    <row r="36" spans="4:14">
      <c r="D36" s="18">
        <v>46189</v>
      </c>
      <c r="E36" s="6">
        <v>1612413</v>
      </c>
      <c r="F36" s="6" t="s">
        <v>16</v>
      </c>
      <c r="G36" s="6">
        <v>20324707</v>
      </c>
      <c r="H36" s="6" t="s">
        <v>544</v>
      </c>
      <c r="I36" s="6">
        <v>1</v>
      </c>
      <c r="J36" s="19" t="s">
        <v>18</v>
      </c>
      <c r="K36" s="20">
        <v>1</v>
      </c>
      <c r="L36" s="21">
        <v>6.4</v>
      </c>
      <c r="M36" s="21">
        <v>6.4</v>
      </c>
      <c r="N36" s="21">
        <v>6.4</v>
      </c>
    </row>
    <row r="37" spans="4:14">
      <c r="D37" s="18">
        <v>46190</v>
      </c>
      <c r="E37" s="6">
        <v>1612799</v>
      </c>
      <c r="F37" s="6" t="s">
        <v>16</v>
      </c>
      <c r="G37" s="6">
        <v>20324364</v>
      </c>
      <c r="H37" s="6" t="s">
        <v>21</v>
      </c>
      <c r="I37" s="6">
        <v>5</v>
      </c>
      <c r="J37" s="19" t="s">
        <v>18</v>
      </c>
      <c r="K37" s="20">
        <v>1</v>
      </c>
      <c r="L37" s="21">
        <v>6.4</v>
      </c>
      <c r="M37" s="21">
        <v>6.4</v>
      </c>
      <c r="N37" s="21">
        <v>32</v>
      </c>
    </row>
    <row r="38" spans="4:14">
      <c r="D38" s="18">
        <v>46190</v>
      </c>
      <c r="E38" s="6">
        <v>1612799</v>
      </c>
      <c r="F38" s="6" t="s">
        <v>16</v>
      </c>
      <c r="G38" s="6">
        <v>20324414</v>
      </c>
      <c r="H38" s="6" t="s">
        <v>546</v>
      </c>
      <c r="I38" s="6">
        <v>1</v>
      </c>
      <c r="J38" s="6" t="s">
        <v>124</v>
      </c>
      <c r="K38" s="20">
        <f>M38/L38</f>
        <v>3</v>
      </c>
      <c r="L38" s="21">
        <v>4.4</v>
      </c>
      <c r="M38" s="21">
        <v>13.2</v>
      </c>
      <c r="N38" s="21">
        <v>13.2</v>
      </c>
    </row>
    <row r="39" spans="4:14">
      <c r="D39" s="18">
        <v>46190</v>
      </c>
      <c r="E39" s="6">
        <v>1612799</v>
      </c>
      <c r="F39" s="6" t="s">
        <v>16</v>
      </c>
      <c r="G39" s="6">
        <v>20324707</v>
      </c>
      <c r="H39" s="6" t="s">
        <v>544</v>
      </c>
      <c r="I39" s="6">
        <v>3</v>
      </c>
      <c r="J39" s="19" t="s">
        <v>18</v>
      </c>
      <c r="K39" s="20">
        <v>1</v>
      </c>
      <c r="L39" s="21">
        <v>6.4</v>
      </c>
      <c r="M39" s="21">
        <v>6.4</v>
      </c>
      <c r="N39" s="21">
        <v>19.2</v>
      </c>
    </row>
    <row r="40" spans="4:14">
      <c r="D40" s="18">
        <v>46190</v>
      </c>
      <c r="E40" s="6">
        <v>1612799</v>
      </c>
      <c r="F40" s="6" t="s">
        <v>16</v>
      </c>
      <c r="G40" s="6">
        <v>20325606</v>
      </c>
      <c r="H40" s="6" t="s">
        <v>545</v>
      </c>
      <c r="I40" s="6">
        <v>1</v>
      </c>
      <c r="J40" s="6" t="s">
        <v>20</v>
      </c>
      <c r="K40" s="20">
        <v>1</v>
      </c>
      <c r="L40" s="21">
        <v>8.8</v>
      </c>
      <c r="M40" s="21">
        <v>8.8</v>
      </c>
      <c r="N40" s="21">
        <v>8.8</v>
      </c>
    </row>
    <row r="41" spans="4:14">
      <c r="D41" s="18">
        <v>46191</v>
      </c>
      <c r="E41" s="6">
        <v>1613210</v>
      </c>
      <c r="F41" s="6" t="s">
        <v>16</v>
      </c>
      <c r="G41" s="6">
        <v>20324364</v>
      </c>
      <c r="H41" s="6" t="s">
        <v>21</v>
      </c>
      <c r="I41" s="6">
        <v>2</v>
      </c>
      <c r="J41" s="19" t="s">
        <v>18</v>
      </c>
      <c r="K41" s="20">
        <v>1</v>
      </c>
      <c r="L41" s="21">
        <v>6.4</v>
      </c>
      <c r="M41" s="21">
        <v>6.4</v>
      </c>
      <c r="N41" s="21">
        <v>12.8</v>
      </c>
    </row>
    <row r="42" spans="4:14">
      <c r="D42" s="18">
        <v>46191</v>
      </c>
      <c r="E42" s="6">
        <v>1613210</v>
      </c>
      <c r="F42" s="6" t="s">
        <v>16</v>
      </c>
      <c r="G42" s="6">
        <v>20324414</v>
      </c>
      <c r="H42" s="6" t="s">
        <v>546</v>
      </c>
      <c r="I42" s="6">
        <v>1</v>
      </c>
      <c r="J42" s="6" t="s">
        <v>124</v>
      </c>
      <c r="K42" s="20">
        <f>M42/L42</f>
        <v>3</v>
      </c>
      <c r="L42" s="21">
        <v>4.4</v>
      </c>
      <c r="M42" s="21">
        <v>13.2</v>
      </c>
      <c r="N42" s="21">
        <v>13.2</v>
      </c>
    </row>
    <row r="43" spans="4:14">
      <c r="D43" s="18">
        <v>46191</v>
      </c>
      <c r="E43" s="6">
        <v>1613210</v>
      </c>
      <c r="F43" s="6" t="s">
        <v>16</v>
      </c>
      <c r="G43" s="6">
        <v>20324707</v>
      </c>
      <c r="H43" s="6" t="s">
        <v>544</v>
      </c>
      <c r="I43" s="6">
        <v>2</v>
      </c>
      <c r="J43" s="19" t="s">
        <v>18</v>
      </c>
      <c r="K43" s="20">
        <v>1</v>
      </c>
      <c r="L43" s="21">
        <v>6.4</v>
      </c>
      <c r="M43" s="21">
        <v>6.4</v>
      </c>
      <c r="N43" s="21">
        <v>12.8</v>
      </c>
    </row>
    <row r="44" spans="4:14">
      <c r="D44" s="18">
        <v>46191</v>
      </c>
      <c r="E44" s="6">
        <v>1613557</v>
      </c>
      <c r="F44" s="6" t="s">
        <v>16</v>
      </c>
      <c r="G44" s="6">
        <v>20324364</v>
      </c>
      <c r="H44" s="6" t="s">
        <v>21</v>
      </c>
      <c r="I44" s="6">
        <v>2</v>
      </c>
      <c r="J44" s="19" t="s">
        <v>18</v>
      </c>
      <c r="K44" s="20">
        <v>1</v>
      </c>
      <c r="L44" s="21">
        <v>6.4</v>
      </c>
      <c r="M44" s="21">
        <v>6.4</v>
      </c>
      <c r="N44" s="21">
        <v>12.8</v>
      </c>
    </row>
    <row r="45" spans="4:14">
      <c r="D45" s="18">
        <v>46191</v>
      </c>
      <c r="E45" s="6">
        <v>1613557</v>
      </c>
      <c r="F45" s="6" t="s">
        <v>16</v>
      </c>
      <c r="G45" s="6">
        <v>20324414</v>
      </c>
      <c r="H45" s="6" t="s">
        <v>546</v>
      </c>
      <c r="I45" s="6">
        <v>1</v>
      </c>
      <c r="J45" s="6" t="s">
        <v>124</v>
      </c>
      <c r="K45" s="20">
        <f>M45/L45</f>
        <v>3</v>
      </c>
      <c r="L45" s="21">
        <v>4.4</v>
      </c>
      <c r="M45" s="21">
        <v>13.2</v>
      </c>
      <c r="N45" s="21">
        <v>13.2</v>
      </c>
    </row>
    <row r="46" spans="4:14">
      <c r="D46" s="18">
        <v>46191</v>
      </c>
      <c r="E46" s="6">
        <v>1613557</v>
      </c>
      <c r="F46" s="6" t="s">
        <v>16</v>
      </c>
      <c r="G46" s="6">
        <v>20324707</v>
      </c>
      <c r="H46" s="6" t="s">
        <v>544</v>
      </c>
      <c r="I46" s="6">
        <v>3</v>
      </c>
      <c r="J46" s="19" t="s">
        <v>18</v>
      </c>
      <c r="K46" s="20">
        <v>1</v>
      </c>
      <c r="L46" s="21">
        <v>6.4</v>
      </c>
      <c r="M46" s="21">
        <v>6.4</v>
      </c>
      <c r="N46" s="21">
        <v>19.2</v>
      </c>
    </row>
    <row r="47" spans="4:14">
      <c r="D47" s="18">
        <v>46195</v>
      </c>
      <c r="E47" s="6">
        <v>1614193</v>
      </c>
      <c r="F47" s="6" t="s">
        <v>16</v>
      </c>
      <c r="G47" s="6">
        <v>20324364</v>
      </c>
      <c r="H47" s="6" t="s">
        <v>21</v>
      </c>
      <c r="I47" s="6">
        <v>5</v>
      </c>
      <c r="J47" s="19" t="s">
        <v>18</v>
      </c>
      <c r="K47" s="20">
        <v>1</v>
      </c>
      <c r="L47" s="21">
        <v>6.4</v>
      </c>
      <c r="M47" s="21">
        <v>6.4</v>
      </c>
      <c r="N47" s="21">
        <v>32</v>
      </c>
    </row>
    <row r="48" spans="4:14">
      <c r="D48" s="18">
        <v>46195</v>
      </c>
      <c r="E48" s="6">
        <v>1614193</v>
      </c>
      <c r="F48" s="6" t="s">
        <v>16</v>
      </c>
      <c r="G48" s="6">
        <v>20324707</v>
      </c>
      <c r="H48" s="6" t="s">
        <v>544</v>
      </c>
      <c r="I48" s="6">
        <v>2</v>
      </c>
      <c r="J48" s="19" t="s">
        <v>18</v>
      </c>
      <c r="K48" s="20">
        <v>1</v>
      </c>
      <c r="L48" s="21">
        <v>6.4</v>
      </c>
      <c r="M48" s="21">
        <v>6.4</v>
      </c>
      <c r="N48" s="21">
        <v>12.8</v>
      </c>
    </row>
    <row r="49" spans="4:14">
      <c r="D49" s="18">
        <v>46195</v>
      </c>
      <c r="E49" s="6">
        <v>1614193</v>
      </c>
      <c r="F49" s="6" t="s">
        <v>16</v>
      </c>
      <c r="G49" s="6">
        <v>20325606</v>
      </c>
      <c r="H49" s="6" t="s">
        <v>545</v>
      </c>
      <c r="I49" s="6">
        <v>1</v>
      </c>
      <c r="J49" s="6" t="s">
        <v>20</v>
      </c>
      <c r="K49" s="20">
        <v>1</v>
      </c>
      <c r="L49" s="21">
        <v>8.8</v>
      </c>
      <c r="M49" s="21">
        <v>8.8</v>
      </c>
      <c r="N49" s="21">
        <v>8.8</v>
      </c>
    </row>
    <row r="50" spans="4:14">
      <c r="D50" s="18">
        <v>46195</v>
      </c>
      <c r="E50" s="6">
        <v>1614193</v>
      </c>
      <c r="F50" s="6" t="s">
        <v>16</v>
      </c>
      <c r="G50" s="6">
        <v>20324363</v>
      </c>
      <c r="H50" s="6" t="s">
        <v>25</v>
      </c>
      <c r="I50" s="6">
        <v>1</v>
      </c>
      <c r="J50" s="19" t="s">
        <v>18</v>
      </c>
      <c r="K50" s="20">
        <v>1</v>
      </c>
      <c r="L50" s="21">
        <v>6.4</v>
      </c>
      <c r="M50" s="21">
        <v>6.4</v>
      </c>
      <c r="N50" s="21">
        <v>6.4</v>
      </c>
    </row>
    <row r="51" spans="4:14">
      <c r="D51" s="18">
        <v>46197</v>
      </c>
      <c r="E51" s="6">
        <v>1614546</v>
      </c>
      <c r="F51" s="6" t="s">
        <v>16</v>
      </c>
      <c r="G51" s="6">
        <v>20324370</v>
      </c>
      <c r="H51" s="6" t="s">
        <v>112</v>
      </c>
      <c r="I51" s="6">
        <v>1</v>
      </c>
      <c r="J51" s="19" t="s">
        <v>18</v>
      </c>
      <c r="K51" s="20">
        <v>1</v>
      </c>
      <c r="L51" s="21">
        <v>6.4</v>
      </c>
      <c r="M51" s="21">
        <v>6.4</v>
      </c>
      <c r="N51" s="21">
        <v>6.4</v>
      </c>
    </row>
    <row r="52" spans="4:14">
      <c r="D52" s="18">
        <v>46197</v>
      </c>
      <c r="E52" s="6">
        <v>1614546</v>
      </c>
      <c r="F52" s="6" t="s">
        <v>16</v>
      </c>
      <c r="G52" s="6">
        <v>20324364</v>
      </c>
      <c r="H52" s="6" t="s">
        <v>21</v>
      </c>
      <c r="I52" s="6">
        <v>1</v>
      </c>
      <c r="J52" s="19" t="s">
        <v>18</v>
      </c>
      <c r="K52" s="20">
        <v>1</v>
      </c>
      <c r="L52" s="21">
        <v>6.4</v>
      </c>
      <c r="M52" s="21">
        <v>6.4</v>
      </c>
      <c r="N52" s="21">
        <v>6.4</v>
      </c>
    </row>
    <row r="53" spans="4:14">
      <c r="D53" s="18">
        <v>46197</v>
      </c>
      <c r="E53" s="6">
        <v>1614546</v>
      </c>
      <c r="F53" s="6" t="s">
        <v>16</v>
      </c>
      <c r="G53" s="6">
        <v>20324414</v>
      </c>
      <c r="H53" s="6" t="s">
        <v>546</v>
      </c>
      <c r="I53" s="6">
        <v>1</v>
      </c>
      <c r="J53" s="6" t="s">
        <v>124</v>
      </c>
      <c r="K53" s="20">
        <f>M53/L53</f>
        <v>3</v>
      </c>
      <c r="L53" s="21">
        <v>4.4</v>
      </c>
      <c r="M53" s="21">
        <v>13.2</v>
      </c>
      <c r="N53" s="21">
        <v>13.2</v>
      </c>
    </row>
    <row r="54" spans="4:14">
      <c r="D54" s="18">
        <v>46197</v>
      </c>
      <c r="E54" s="6">
        <v>1614546</v>
      </c>
      <c r="F54" s="6" t="s">
        <v>16</v>
      </c>
      <c r="G54" s="6">
        <v>20324363</v>
      </c>
      <c r="H54" s="6" t="s">
        <v>25</v>
      </c>
      <c r="I54" s="6">
        <v>2</v>
      </c>
      <c r="J54" s="19" t="s">
        <v>18</v>
      </c>
      <c r="K54" s="20">
        <v>1</v>
      </c>
      <c r="L54" s="21">
        <v>6.4</v>
      </c>
      <c r="M54" s="21">
        <v>6.4</v>
      </c>
      <c r="N54" s="21">
        <v>12.8</v>
      </c>
    </row>
    <row r="55" spans="4:14">
      <c r="D55" s="18">
        <v>46197</v>
      </c>
      <c r="E55" s="6">
        <v>1614926</v>
      </c>
      <c r="F55" s="6" t="s">
        <v>16</v>
      </c>
      <c r="G55" s="6">
        <v>20324364</v>
      </c>
      <c r="H55" s="6" t="s">
        <v>21</v>
      </c>
      <c r="I55" s="6">
        <v>8</v>
      </c>
      <c r="J55" s="19" t="s">
        <v>18</v>
      </c>
      <c r="K55" s="20">
        <v>1</v>
      </c>
      <c r="L55" s="21">
        <v>6.4</v>
      </c>
      <c r="M55" s="21">
        <v>6.4</v>
      </c>
      <c r="N55" s="21">
        <v>51.2</v>
      </c>
    </row>
    <row r="56" spans="4:14">
      <c r="D56" s="18">
        <v>46197</v>
      </c>
      <c r="E56" s="6">
        <v>1614926</v>
      </c>
      <c r="F56" s="6" t="s">
        <v>16</v>
      </c>
      <c r="G56" s="6">
        <v>20324707</v>
      </c>
      <c r="H56" s="6" t="s">
        <v>544</v>
      </c>
      <c r="I56" s="6">
        <v>4</v>
      </c>
      <c r="J56" s="19" t="s">
        <v>18</v>
      </c>
      <c r="K56" s="20">
        <v>1</v>
      </c>
      <c r="L56" s="21">
        <v>6.4</v>
      </c>
      <c r="M56" s="21">
        <v>6.4</v>
      </c>
      <c r="N56" s="21">
        <v>25.6</v>
      </c>
    </row>
    <row r="57" spans="4:14">
      <c r="D57" s="18">
        <v>46197</v>
      </c>
      <c r="E57" s="6">
        <v>1614926</v>
      </c>
      <c r="F57" s="6" t="s">
        <v>16</v>
      </c>
      <c r="G57" s="6">
        <v>20325606</v>
      </c>
      <c r="H57" s="6" t="s">
        <v>545</v>
      </c>
      <c r="I57" s="6">
        <v>1</v>
      </c>
      <c r="J57" s="6" t="s">
        <v>20</v>
      </c>
      <c r="K57" s="20">
        <v>1</v>
      </c>
      <c r="L57" s="21">
        <v>8.8</v>
      </c>
      <c r="M57" s="21">
        <v>8.8</v>
      </c>
      <c r="N57" s="21">
        <v>8.8</v>
      </c>
    </row>
    <row r="58" spans="4:14">
      <c r="D58" s="18">
        <v>46199</v>
      </c>
      <c r="E58" s="6">
        <v>1615578</v>
      </c>
      <c r="F58" s="6" t="s">
        <v>16</v>
      </c>
      <c r="G58" s="6">
        <v>20374760</v>
      </c>
      <c r="H58" s="6" t="s">
        <v>549</v>
      </c>
      <c r="I58" s="6">
        <v>1</v>
      </c>
      <c r="J58" s="19" t="s">
        <v>18</v>
      </c>
      <c r="K58" s="20">
        <v>1</v>
      </c>
      <c r="L58" s="21">
        <v>6.4</v>
      </c>
      <c r="M58" s="21">
        <v>6.4</v>
      </c>
      <c r="N58" s="21">
        <v>6.4</v>
      </c>
    </row>
    <row r="59" spans="4:14">
      <c r="D59" s="18">
        <v>46199</v>
      </c>
      <c r="E59" s="6">
        <v>1615578</v>
      </c>
      <c r="F59" s="6" t="s">
        <v>16</v>
      </c>
      <c r="G59" s="6">
        <v>20324370</v>
      </c>
      <c r="H59" s="6" t="s">
        <v>112</v>
      </c>
      <c r="I59" s="6">
        <v>1</v>
      </c>
      <c r="J59" s="19" t="s">
        <v>18</v>
      </c>
      <c r="K59" s="20">
        <v>1</v>
      </c>
      <c r="L59" s="21">
        <v>6.4</v>
      </c>
      <c r="M59" s="21">
        <v>6.4</v>
      </c>
      <c r="N59" s="21">
        <v>6.4</v>
      </c>
    </row>
    <row r="60" spans="4:14">
      <c r="D60" s="18">
        <v>46199</v>
      </c>
      <c r="E60" s="6">
        <v>1615578</v>
      </c>
      <c r="F60" s="6" t="s">
        <v>16</v>
      </c>
      <c r="G60" s="6">
        <v>20324364</v>
      </c>
      <c r="H60" s="6" t="s">
        <v>21</v>
      </c>
      <c r="I60" s="6">
        <v>4</v>
      </c>
      <c r="J60" s="19" t="s">
        <v>18</v>
      </c>
      <c r="K60" s="20">
        <v>1</v>
      </c>
      <c r="L60" s="21">
        <v>6.4</v>
      </c>
      <c r="M60" s="21">
        <v>6.4</v>
      </c>
      <c r="N60" s="21">
        <v>25.6</v>
      </c>
    </row>
    <row r="61" spans="4:14">
      <c r="D61" s="18">
        <v>46199</v>
      </c>
      <c r="E61" s="6">
        <v>1615578</v>
      </c>
      <c r="F61" s="6" t="s">
        <v>16</v>
      </c>
      <c r="G61" s="6">
        <v>20324707</v>
      </c>
      <c r="H61" s="6" t="s">
        <v>544</v>
      </c>
      <c r="I61" s="6">
        <v>2</v>
      </c>
      <c r="J61" s="19" t="s">
        <v>18</v>
      </c>
      <c r="K61" s="20">
        <v>1</v>
      </c>
      <c r="L61" s="21">
        <v>6.4</v>
      </c>
      <c r="M61" s="21">
        <v>6.4</v>
      </c>
      <c r="N61" s="21">
        <v>12.8</v>
      </c>
    </row>
    <row r="62" spans="4:14">
      <c r="D62" s="18">
        <v>46199</v>
      </c>
      <c r="E62" s="6">
        <v>1615578</v>
      </c>
      <c r="F62" s="6" t="s">
        <v>16</v>
      </c>
      <c r="G62" s="6">
        <v>20325606</v>
      </c>
      <c r="H62" s="6" t="s">
        <v>545</v>
      </c>
      <c r="I62" s="6">
        <v>1</v>
      </c>
      <c r="J62" s="6" t="s">
        <v>20</v>
      </c>
      <c r="K62" s="20">
        <v>1</v>
      </c>
      <c r="L62" s="21">
        <v>8.8</v>
      </c>
      <c r="M62" s="21">
        <v>8.8</v>
      </c>
      <c r="N62" s="21">
        <v>8.8</v>
      </c>
    </row>
    <row r="63" spans="4:14">
      <c r="D63" s="18">
        <v>46202</v>
      </c>
      <c r="E63" s="6">
        <v>1616131</v>
      </c>
      <c r="F63" s="6" t="s">
        <v>16</v>
      </c>
      <c r="G63" s="6">
        <v>20380302</v>
      </c>
      <c r="H63" s="6" t="s">
        <v>550</v>
      </c>
      <c r="I63" s="6">
        <v>1</v>
      </c>
      <c r="J63" s="19" t="s">
        <v>18</v>
      </c>
      <c r="K63" s="20">
        <v>1</v>
      </c>
      <c r="L63" s="21">
        <v>6.4</v>
      </c>
      <c r="M63" s="21">
        <v>6.4</v>
      </c>
      <c r="N63" s="21">
        <v>6.4</v>
      </c>
    </row>
    <row r="64" spans="4:14">
      <c r="D64" s="18">
        <v>46202</v>
      </c>
      <c r="E64" s="6">
        <v>1616131</v>
      </c>
      <c r="F64" s="6" t="s">
        <v>16</v>
      </c>
      <c r="G64" s="6">
        <v>20324364</v>
      </c>
      <c r="H64" s="6" t="s">
        <v>21</v>
      </c>
      <c r="I64" s="6">
        <v>6</v>
      </c>
      <c r="J64" s="19" t="s">
        <v>18</v>
      </c>
      <c r="K64" s="20">
        <v>1</v>
      </c>
      <c r="L64" s="21">
        <v>6.4</v>
      </c>
      <c r="M64" s="21">
        <v>6.4</v>
      </c>
      <c r="N64" s="21">
        <v>38.4</v>
      </c>
    </row>
    <row r="65" spans="4:14">
      <c r="D65" s="18">
        <v>46202</v>
      </c>
      <c r="E65" s="6">
        <v>1616131</v>
      </c>
      <c r="F65" s="6" t="s">
        <v>16</v>
      </c>
      <c r="G65" s="6">
        <v>20324414</v>
      </c>
      <c r="H65" s="6" t="s">
        <v>546</v>
      </c>
      <c r="I65" s="6">
        <v>2</v>
      </c>
      <c r="J65" s="6" t="s">
        <v>124</v>
      </c>
      <c r="K65" s="20">
        <f>M65/L65</f>
        <v>3</v>
      </c>
      <c r="L65" s="21">
        <v>4.4</v>
      </c>
      <c r="M65" s="21">
        <v>13.2</v>
      </c>
      <c r="N65" s="21">
        <v>26.4</v>
      </c>
    </row>
    <row r="66" spans="4:14">
      <c r="D66" s="18">
        <v>46202</v>
      </c>
      <c r="E66" s="6">
        <v>1616131</v>
      </c>
      <c r="F66" s="6" t="s">
        <v>16</v>
      </c>
      <c r="G66" s="6">
        <v>20324707</v>
      </c>
      <c r="H66" s="6" t="s">
        <v>544</v>
      </c>
      <c r="I66" s="6">
        <v>4</v>
      </c>
      <c r="J66" s="19" t="s">
        <v>18</v>
      </c>
      <c r="K66" s="20">
        <v>1</v>
      </c>
      <c r="L66" s="21">
        <v>6.4</v>
      </c>
      <c r="M66" s="21">
        <v>6.4</v>
      </c>
      <c r="N66" s="21">
        <v>25.6</v>
      </c>
    </row>
    <row r="67" ht="0.05" customHeight="1"/>
  </sheetData>
  <autoFilter xmlns:etc="http://www.wps.cn/officeDocument/2017/etCustomData" ref="A7:N66" etc:filterBottomFollowUsedRange="0">
    <extLst/>
  </autoFilter>
  <mergeCells count="5">
    <mergeCell ref="D8:H8"/>
    <mergeCell ref="C7:C66"/>
    <mergeCell ref="B4:H5"/>
    <mergeCell ref="A7:B66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9:29 
&amp;"-,Bold"&amp;10 黑龙江省铂康医疗灭菌有限公司 &amp;R&amp;"Droid Sans Fallback"&amp;9第&amp;P页，共&amp;N页 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45</vt:i4>
      </vt:variant>
    </vt:vector>
  </HeadingPairs>
  <TitlesOfParts>
    <vt:vector size="45" baseType="lpstr">
      <vt:lpstr>产科门诊236</vt:lpstr>
      <vt:lpstr>超声</vt:lpstr>
      <vt:lpstr>耳鼻喉病房</vt:lpstr>
      <vt:lpstr>耳鼻喉门诊</vt:lpstr>
      <vt:lpstr>妇二</vt:lpstr>
      <vt:lpstr>妇二门诊561</vt:lpstr>
      <vt:lpstr>妇科门诊</vt:lpstr>
      <vt:lpstr>妇三</vt:lpstr>
      <vt:lpstr>妇一</vt:lpstr>
      <vt:lpstr>肛肠科</vt:lpstr>
      <vt:lpstr>肛肠门诊</vt:lpstr>
      <vt:lpstr>宫腔镜</vt:lpstr>
      <vt:lpstr>骨二</vt:lpstr>
      <vt:lpstr>骨三</vt:lpstr>
      <vt:lpstr>骨四</vt:lpstr>
      <vt:lpstr>急诊</vt:lpstr>
      <vt:lpstr>计划生育手术室</vt:lpstr>
      <vt:lpstr>介入科</vt:lpstr>
      <vt:lpstr>静配中心</vt:lpstr>
      <vt:lpstr>康复二科</vt:lpstr>
      <vt:lpstr>口腔科</vt:lpstr>
      <vt:lpstr>门诊手术室</vt:lpstr>
      <vt:lpstr>内分泌（二）</vt:lpstr>
      <vt:lpstr>内镜诊疗室</vt:lpstr>
      <vt:lpstr>清洁区（手术室）</vt:lpstr>
      <vt:lpstr>肾病一科</vt:lpstr>
      <vt:lpstr>手术室(二区)</vt:lpstr>
      <vt:lpstr>手术室(一区)</vt:lpstr>
      <vt:lpstr>外来</vt:lpstr>
      <vt:lpstr>透析</vt:lpstr>
      <vt:lpstr>外二</vt:lpstr>
      <vt:lpstr>外三</vt:lpstr>
      <vt:lpstr>外四</vt:lpstr>
      <vt:lpstr>消化微创病房</vt:lpstr>
      <vt:lpstr>眼科病房</vt:lpstr>
      <vt:lpstr>眼科门诊322</vt:lpstr>
      <vt:lpstr>眼科门诊357</vt:lpstr>
      <vt:lpstr>眼科门诊手术室（二）</vt:lpstr>
      <vt:lpstr>眼科门诊手术室（一）</vt:lpstr>
      <vt:lpstr>中医经典病房</vt:lpstr>
      <vt:lpstr>重症医学科</vt:lpstr>
      <vt:lpstr>周围血管二</vt:lpstr>
      <vt:lpstr>周围血管一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2026-07-01T01:29:00Z</dcterms:created>
  <dcterms:modified xsi:type="dcterms:W3CDTF">2026-07-02T05:41:11Z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4D512A9FD69547EF8797653D757494BA_12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