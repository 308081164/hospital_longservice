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11"/>
  </bookViews>
  <sheets>
    <sheet name="产科" sheetId="1" r:id="rId1"/>
    <sheet name="产科门诊236" sheetId="2" r:id="rId2"/>
    <sheet name="耳鼻喉病房" sheetId="3" r:id="rId3"/>
    <sheet name="耳鼻喉门诊" sheetId="4" r:id="rId4"/>
    <sheet name="发热门诊" sheetId="5" r:id="rId5"/>
    <sheet name="妇二" sheetId="6" r:id="rId6"/>
    <sheet name="妇二门诊561" sheetId="7" r:id="rId7"/>
    <sheet name="妇科门诊" sheetId="8" r:id="rId8"/>
    <sheet name="妇三" sheetId="9" r:id="rId9"/>
    <sheet name="妇一" sheetId="10" r:id="rId10"/>
    <sheet name="肛肠科" sheetId="11" r:id="rId11"/>
    <sheet name="肛肠门诊" sheetId="12" r:id="rId12"/>
    <sheet name="宫腔镜" sheetId="13" r:id="rId13"/>
    <sheet name="骨三" sheetId="14" r:id="rId14"/>
    <sheet name="急诊" sheetId="15" r:id="rId15"/>
    <sheet name="计划生育手术室" sheetId="16" r:id="rId16"/>
    <sheet name="介入科" sheetId="17" r:id="rId17"/>
    <sheet name="静配中心" sheetId="18" r:id="rId18"/>
    <sheet name="口腔科" sheetId="19" r:id="rId19"/>
    <sheet name="老年病病房" sheetId="20" r:id="rId20"/>
    <sheet name="门诊手术室" sheetId="21" r:id="rId21"/>
    <sheet name="内镜诊疗室" sheetId="22" r:id="rId22"/>
    <sheet name="清洁区（手术室）" sheetId="23" r:id="rId23"/>
    <sheet name="肾病一科" sheetId="24" r:id="rId24"/>
    <sheet name="手术室(二区)" sheetId="25" r:id="rId25"/>
    <sheet name="手术室(一区)" sheetId="26" r:id="rId26"/>
    <sheet name="外来" sheetId="42" r:id="rId27"/>
    <sheet name="透析" sheetId="27" r:id="rId28"/>
    <sheet name="外二" sheetId="28" r:id="rId29"/>
    <sheet name="外三" sheetId="29" r:id="rId30"/>
    <sheet name="外四" sheetId="30" r:id="rId31"/>
    <sheet name="外一" sheetId="31" r:id="rId32"/>
    <sheet name="血液" sheetId="32" r:id="rId33"/>
    <sheet name="眼科病房" sheetId="33" r:id="rId34"/>
    <sheet name="眼科门诊322" sheetId="34" r:id="rId35"/>
    <sheet name="眼科门诊357" sheetId="35" r:id="rId36"/>
    <sheet name="眼科门诊手术室（二）" sheetId="36" r:id="rId37"/>
    <sheet name="眼科门诊手术室（一）" sheetId="37" r:id="rId38"/>
    <sheet name="针灸二" sheetId="38" r:id="rId39"/>
    <sheet name="重症医学科" sheetId="39" r:id="rId40"/>
    <sheet name="周围血管二" sheetId="40" r:id="rId41"/>
    <sheet name="周围血管一" sheetId="41" r:id="rId42"/>
  </sheets>
  <definedNames>
    <definedName name="_xlnm._FilterDatabase" localSheetId="2" hidden="1">耳鼻喉病房!$A$7:$N$57</definedName>
    <definedName name="_xlnm._FilterDatabase" localSheetId="3" hidden="1">耳鼻喉门诊!$A$7:$N$106</definedName>
    <definedName name="_xlnm._FilterDatabase" localSheetId="5" hidden="1">妇二!$A$7:$N$56</definedName>
    <definedName name="_xlnm._FilterDatabase" localSheetId="7" hidden="1">妇科门诊!$A$7:$N$18</definedName>
    <definedName name="_xlnm._FilterDatabase" localSheetId="8" hidden="1">妇三!$A$7:$N$33</definedName>
    <definedName name="_xlnm._FilterDatabase" localSheetId="9" hidden="1">妇一!$A$7:$N$19</definedName>
    <definedName name="_xlnm._FilterDatabase" localSheetId="10" hidden="1">肛肠科!$A$7:$N$82</definedName>
    <definedName name="_xlnm._FilterDatabase" localSheetId="11" hidden="1">肛肠门诊!$A$7:$N$20</definedName>
    <definedName name="_xlnm._FilterDatabase" localSheetId="12" hidden="1">宫腔镜!$A$7:$N$78</definedName>
    <definedName name="_xlnm._FilterDatabase" localSheetId="13" hidden="1">骨三!$A$7:$N$20</definedName>
    <definedName name="_xlnm._FilterDatabase" localSheetId="14" hidden="1">急诊!$A$7:$N$20</definedName>
    <definedName name="_xlnm._FilterDatabase" localSheetId="15" hidden="1">计划生育手术室!$A$7:$N$34</definedName>
    <definedName name="_xlnm._FilterDatabase" localSheetId="18" hidden="1">口腔科!$A$7:$N$74</definedName>
    <definedName name="_xlnm._FilterDatabase" localSheetId="20" hidden="1">门诊手术室!$A$7:$N$18</definedName>
    <definedName name="_xlnm._FilterDatabase" localSheetId="22" hidden="1">'清洁区（手术室）'!$A$7:$N$27</definedName>
    <definedName name="_xlnm._FilterDatabase" localSheetId="24" hidden="1">'手术室(二区)'!$A$7:$N$70</definedName>
    <definedName name="_xlnm._FilterDatabase" localSheetId="25" hidden="1">'手术室(一区)'!$A$7:$N$344</definedName>
    <definedName name="_xlnm._FilterDatabase" localSheetId="26" hidden="1">外来!$A$3:$Q$43</definedName>
    <definedName name="_xlnm._FilterDatabase" localSheetId="27" hidden="1">透析!$A$7:$N$30</definedName>
    <definedName name="_xlnm._FilterDatabase" localSheetId="28" hidden="1">外二!$A$7:$N$44</definedName>
    <definedName name="_xlnm._FilterDatabase" localSheetId="29" hidden="1">外三!$A$7:$N$18</definedName>
    <definedName name="_xlnm._FilterDatabase" localSheetId="33" hidden="1">眼科病房!$A$7:$N$17</definedName>
    <definedName name="_xlnm._FilterDatabase" localSheetId="34" hidden="1">眼科门诊322!$A$7:$N$21</definedName>
    <definedName name="_xlnm._FilterDatabase" localSheetId="35" hidden="1">眼科门诊357!$A$7:$N$30</definedName>
    <definedName name="_xlnm._FilterDatabase" localSheetId="36" hidden="1">'眼科门诊手术室（二）'!$A$7:$N$26</definedName>
    <definedName name="_xlnm._FilterDatabase" localSheetId="39" hidden="1">重症医学科!$A$7:$N$25</definedName>
    <definedName name="_xlnm._FilterDatabase" localSheetId="40" hidden="1">周围血管二!$A$7:$N$15</definedName>
    <definedName name="_xlnm._FilterDatabase" localSheetId="41" hidden="1">周围血管一!$A$7:$N$43</definedName>
    <definedName name="_xlnm.Print_Titles" localSheetId="0">产科!$1:$6</definedName>
    <definedName name="_xlnm.Print_Titles" localSheetId="1">产科门诊236!$1:$6</definedName>
    <definedName name="_xlnm.Print_Titles" localSheetId="2">耳鼻喉病房!$1:$6</definedName>
    <definedName name="_xlnm.Print_Titles" localSheetId="3">耳鼻喉门诊!$1:$6</definedName>
    <definedName name="_xlnm.Print_Titles" localSheetId="4">发热门诊!$1:$6</definedName>
    <definedName name="_xlnm.Print_Titles" localSheetId="5">妇二!$1:$6</definedName>
    <definedName name="_xlnm.Print_Titles" localSheetId="6">妇二门诊561!$1:$6</definedName>
    <definedName name="_xlnm.Print_Titles" localSheetId="7">妇科门诊!$1:$6</definedName>
    <definedName name="_xlnm.Print_Titles" localSheetId="8">妇三!$1:$6</definedName>
    <definedName name="_xlnm.Print_Titles" localSheetId="9">妇一!$1:$6</definedName>
    <definedName name="_xlnm.Print_Titles" localSheetId="10">肛肠科!$1:$6</definedName>
    <definedName name="_xlnm.Print_Titles" localSheetId="11">肛肠门诊!$1:$6</definedName>
    <definedName name="_xlnm.Print_Titles" localSheetId="12">宫腔镜!$1:$6</definedName>
    <definedName name="_xlnm.Print_Titles" localSheetId="13">骨三!$1:$6</definedName>
    <definedName name="_xlnm.Print_Titles" localSheetId="14">急诊!$1:$6</definedName>
    <definedName name="_xlnm.Print_Titles" localSheetId="15">计划生育手术室!$1:$6</definedName>
    <definedName name="_xlnm.Print_Titles" localSheetId="16">介入科!$1:$6</definedName>
    <definedName name="_xlnm.Print_Titles" localSheetId="17">静配中心!$1:$6</definedName>
    <definedName name="_xlnm.Print_Titles" localSheetId="18">口腔科!$1:$6</definedName>
    <definedName name="_xlnm.Print_Titles" localSheetId="19">老年病病房!$1:$6</definedName>
    <definedName name="_xlnm.Print_Titles" localSheetId="20">门诊手术室!$1:$6</definedName>
    <definedName name="_xlnm.Print_Titles" localSheetId="21">内镜诊疗室!$1:$6</definedName>
    <definedName name="_xlnm.Print_Titles" localSheetId="22">'清洁区（手术室）'!$1:$6</definedName>
    <definedName name="_xlnm.Print_Titles" localSheetId="23">肾病一科!$1:$6</definedName>
    <definedName name="_xlnm.Print_Titles" localSheetId="24">'手术室(二区)'!$1:$6</definedName>
    <definedName name="_xlnm.Print_Titles" localSheetId="25">'手术室(一区)'!$1:$6</definedName>
    <definedName name="_xlnm.Print_Titles" localSheetId="27">透析!$1:$6</definedName>
    <definedName name="_xlnm.Print_Titles" localSheetId="28">外二!$1:$6</definedName>
    <definedName name="_xlnm.Print_Titles" localSheetId="29">外三!$1:$6</definedName>
    <definedName name="_xlnm.Print_Titles" localSheetId="30">外四!$1:$6</definedName>
    <definedName name="_xlnm.Print_Titles" localSheetId="31">外一!$1:$6</definedName>
    <definedName name="_xlnm.Print_Titles" localSheetId="32">血液!$1:$6</definedName>
    <definedName name="_xlnm.Print_Titles" localSheetId="33">眼科病房!$1:$6</definedName>
    <definedName name="_xlnm.Print_Titles" localSheetId="34">眼科门诊322!$1:$6</definedName>
    <definedName name="_xlnm.Print_Titles" localSheetId="35">眼科门诊357!$1:$6</definedName>
    <definedName name="_xlnm.Print_Titles" localSheetId="36">'眼科门诊手术室（二）'!$1:$6</definedName>
    <definedName name="_xlnm.Print_Titles" localSheetId="37">'眼科门诊手术室（一）'!$1:$6</definedName>
    <definedName name="_xlnm.Print_Titles" localSheetId="38">针灸二!$1:$6</definedName>
    <definedName name="_xlnm.Print_Titles" localSheetId="39">重症医学科!$1:$6</definedName>
    <definedName name="_xlnm.Print_Titles" localSheetId="40">周围血管二!$1:$6</definedName>
    <definedName name="_xlnm.Print_Titles" localSheetId="41">周围血管一!$1:$6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<sst xmlns="http://schemas.openxmlformats.org/spreadsheetml/2006/main" count="4700" uniqueCount="490">
  <si>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</si>
  <si>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</si>
  <si>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</si>
  <si>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黑龙江中医药大学附属第一医院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</si>
  <si>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</si>
  <si>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</si>
  <si>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</si>
  <si>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</si>
  <si>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</si>
  <si>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</si>
  <si>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</si>
  <si>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</si>
  <si>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</si>
  <si>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</si>
  <si>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</si>
  <si>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产科</t>
  </si>
  <si>
    <t>器械包</t>
  </si>
  <si>
    <t>刮宫包</t>
  </si>
  <si>
    <t>无纺布</t>
  </si>
  <si>
    <t>产科门诊236</t>
  </si>
  <si>
    <t>额外包</t>
  </si>
  <si>
    <t>棉球缸-1/z2530</t>
  </si>
  <si>
    <r>
      <rPr>
        <sz val="10"/>
        <color rgb="FF000000"/>
        <rFont val="WenQuanYiZenHeiSharp"/>
        <charset val="134"/>
      </rPr>
      <t xml:space="preserve">纸塑袋 </t>
    </r>
    <r>
      <rPr>
        <sz val="10"/>
        <color rgb="FF000000"/>
        <rFont val="LiberationSerif"/>
        <charset val="134"/>
      </rPr>
      <t>25cm</t>
    </r>
    <r>
      <rPr>
        <sz val="10"/>
        <color rgb="FF000000"/>
        <rFont val="WenQuanYiZenHeiSharp"/>
        <charset val="134"/>
      </rPr>
      <t>（特大）</t>
    </r>
  </si>
  <si>
    <t>上取环包</t>
  </si>
  <si>
    <t>通水包（产科236）</t>
  </si>
  <si>
    <t>耳鼻喉病房</t>
  </si>
  <si>
    <t>单包装包</t>
  </si>
  <si>
    <t>鼻镜20 方盘1/W9050</t>
  </si>
  <si>
    <t>穿刺针-1/Z7526</t>
  </si>
  <si>
    <r>
      <rPr>
        <sz val="10"/>
        <color rgb="FF000000"/>
        <rFont val="宋体"/>
        <charset val="134"/>
      </rPr>
      <t>纸塑袋</t>
    </r>
    <r>
      <rPr>
        <sz val="10"/>
        <color rgb="FF000000"/>
        <rFont val="Droid Sans Fallback"/>
        <charset val="134"/>
      </rPr>
      <t xml:space="preserve"> 10cm  (</t>
    </r>
    <r>
      <rPr>
        <sz val="10"/>
        <color rgb="FF000000"/>
        <rFont val="宋体"/>
        <charset val="134"/>
      </rPr>
      <t>小）</t>
    </r>
  </si>
  <si>
    <t>止血钳-1/Z1029</t>
  </si>
  <si>
    <t>组织钳-1/Z1026</t>
  </si>
  <si>
    <t>弯针25镊子26吸引管16喉镜31盘1/W9050</t>
  </si>
  <si>
    <t>橄榄头-106/z2030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</si>
  <si>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20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</si>
  <si>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（套）</t>
    </r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</si>
  <si>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10cm</t>
    </r>
  </si>
  <si>
    <t>鼻镜-1/Z1026</t>
  </si>
  <si>
    <t>喉镜-1/Z1026</t>
  </si>
  <si>
    <t>烙治头-1/Z7534</t>
  </si>
  <si>
    <t>喉镜25枪状镊17吸管12弯针23盘1/W9050</t>
  </si>
  <si>
    <t>敷料包</t>
  </si>
  <si>
    <t>纱条/Z1029</t>
  </si>
  <si>
    <r>
      <rPr>
        <sz val="10"/>
        <color rgb="FF000000"/>
        <rFont val="宋体"/>
        <charset val="134"/>
      </rPr>
      <t>大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20cm*20cm*15cm</t>
    </r>
    <r>
      <rPr>
        <sz val="10"/>
        <color rgb="FF000000"/>
        <rFont val="宋体"/>
        <charset val="134"/>
      </rPr>
      <t>）</t>
    </r>
  </si>
  <si>
    <t>冲洗头-94/Z3040</t>
  </si>
  <si>
    <t>枪状镊19吸管14喉镜19弯针16盘1/w9050</t>
  </si>
  <si>
    <t>枪状镊30喉镜23弯针18吸引管17盘1/w9050</t>
  </si>
  <si>
    <t>冲洗头-113/z2030</t>
  </si>
  <si>
    <t>枪状镊44喉镜15吸管26弯针10盘1/w9050</t>
  </si>
  <si>
    <t>冲洗头-111/z2030</t>
  </si>
  <si>
    <t>冲洗头-42/z2030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</si>
  <si>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</t>
    </r>
    <r>
      <rPr>
        <sz val="10"/>
        <color rgb="FF000000"/>
        <rFont val="宋体"/>
        <charset val="134"/>
      </rPr>
      <t>（套）</t>
    </r>
    <r>
      <rPr>
        <sz val="10"/>
        <color rgb="FF000000"/>
        <rFont val="Droid Sans Fallback"/>
        <charset val="134"/>
      </rPr>
      <t>10</t>
    </r>
    <r>
      <rPr>
        <sz val="10"/>
        <color rgb="FF000000"/>
        <rFont val="宋体"/>
        <charset val="134"/>
      </rPr>
      <t>件</t>
    </r>
  </si>
  <si>
    <t>1 （套）</t>
  </si>
  <si>
    <t>枪状镊8喉镜2吸管2盘1/W9050</t>
  </si>
  <si>
    <t>13</t>
  </si>
  <si>
    <t>枪状镊3喉镜1吸引管3盘1/W9050</t>
  </si>
  <si>
    <t>8</t>
  </si>
  <si>
    <t>喉镜2吸引管4镊子13盘1/W9050</t>
  </si>
  <si>
    <t>耳鼻喉门诊</t>
  </si>
  <si>
    <t>鼻镜25 方盘1/W9050</t>
  </si>
  <si>
    <t>橄榄头-20/Z2030</t>
  </si>
  <si>
    <r>
      <rPr>
        <sz val="10"/>
        <color rgb="FF000000"/>
        <rFont val="宋体"/>
        <charset val="134"/>
      </rPr>
      <t>低温灭菌（套）</t>
    </r>
    <r>
      <rPr>
        <sz val="10"/>
        <color rgb="FF000000"/>
        <rFont val="Droid Sans Fallback"/>
        <charset val="134"/>
      </rPr>
      <t>5</t>
    </r>
    <r>
      <rPr>
        <sz val="10"/>
        <color rgb="FF000000"/>
        <rFont val="宋体"/>
        <charset val="134"/>
      </rPr>
      <t>件</t>
    </r>
  </si>
  <si>
    <r>
      <rPr>
        <sz val="10"/>
        <color rgb="FF000000"/>
        <rFont val="Droid Sans Fallback"/>
        <charset val="134"/>
      </rPr>
      <t xml:space="preserve">1 </t>
    </r>
    <r>
      <rPr>
        <sz val="10"/>
        <color rgb="FF000000"/>
        <rFont val="宋体"/>
        <charset val="134"/>
      </rPr>
      <t>（套）</t>
    </r>
  </si>
  <si>
    <t>异物钳-1/Z1535</t>
  </si>
  <si>
    <t>纸塑袋 15cm  (中）</t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</si>
  <si>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69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12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66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11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</si>
  <si>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t>159</t>
  </si>
  <si>
    <r>
      <rPr>
        <sz val="10"/>
        <rFont val="宋体"/>
        <charset val="134"/>
      </rPr>
      <t>鼻镜</t>
    </r>
    <r>
      <rPr>
        <sz val="10"/>
        <rFont val="Droid Sans Fallback"/>
        <charset val="134"/>
      </rPr>
      <t xml:space="preserve">25 </t>
    </r>
    <r>
      <rPr>
        <sz val="10"/>
        <rFont val="宋体"/>
        <charset val="134"/>
      </rPr>
      <t>方盘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</si>
  <si>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烙治头</t>
    </r>
    <r>
      <rPr>
        <sz val="10"/>
        <rFont val="Droid Sans Fallback"/>
        <charset val="134"/>
      </rPr>
      <t>-1/Z7534</t>
    </r>
  </si>
  <si>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 xml:space="preserve"> 10cm  (</t>
    </r>
    <r>
      <rPr>
        <sz val="10"/>
        <rFont val="宋体"/>
        <charset val="134"/>
      </rPr>
      <t>小）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</si>
  <si>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21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吸管</t>
    </r>
    <r>
      <rPr>
        <sz val="10"/>
        <rFont val="Droid Sans Fallback"/>
        <charset val="134"/>
      </rPr>
      <t>18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3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</si>
  <si>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橄榄头</t>
    </r>
    <r>
      <rPr>
        <sz val="10"/>
        <rFont val="Droid Sans Fallback"/>
        <charset val="134"/>
      </rPr>
      <t>-20/Z2030</t>
    </r>
  </si>
  <si>
    <r>
      <rPr>
        <sz val="10"/>
        <rFont val="宋体"/>
        <charset val="134"/>
      </rPr>
      <t>低温灭菌（套）</t>
    </r>
    <r>
      <rPr>
        <sz val="10"/>
        <rFont val="Droid Sans Fallback"/>
        <charset val="134"/>
      </rPr>
      <t>5</t>
    </r>
    <r>
      <rPr>
        <sz val="10"/>
        <rFont val="宋体"/>
        <charset val="134"/>
      </rPr>
      <t>件</t>
    </r>
  </si>
  <si>
    <r>
      <rPr>
        <sz val="10"/>
        <rFont val="Droid Sans Fallback"/>
        <charset val="134"/>
      </rPr>
      <t xml:space="preserve">1 </t>
    </r>
    <r>
      <rPr>
        <sz val="10"/>
        <rFont val="宋体"/>
        <charset val="134"/>
      </rPr>
      <t>（套）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</si>
  <si>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43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3</t>
    </r>
    <r>
      <rPr>
        <sz val="10"/>
        <rFont val="宋体"/>
        <charset val="134"/>
      </rPr>
      <t>吸管</t>
    </r>
    <r>
      <rPr>
        <sz val="10"/>
        <rFont val="Droid Sans Fallback"/>
        <charset val="134"/>
      </rPr>
      <t>39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</si>
  <si>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耳镜</t>
    </r>
    <r>
      <rPr>
        <sz val="10"/>
        <rFont val="Droid Sans Fallback"/>
        <charset val="134"/>
      </rPr>
      <t>-1/Z1020</t>
    </r>
  </si>
  <si>
    <r>
      <rPr>
        <sz val="10"/>
        <rFont val="宋体"/>
        <charset val="134"/>
      </rPr>
      <t>组织钳</t>
    </r>
    <r>
      <rPr>
        <sz val="10"/>
        <rFont val="Droid Sans Fallback"/>
        <charset val="134"/>
      </rPr>
      <t>-1/Z1026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</si>
  <si>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46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47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</si>
  <si>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直角压舌板</t>
    </r>
    <r>
      <rPr>
        <sz val="10"/>
        <rFont val="Droid Sans Fallback"/>
        <charset val="134"/>
      </rPr>
      <t>-1  /Z1026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</si>
  <si>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42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31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</si>
  <si>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异物钳</t>
    </r>
    <r>
      <rPr>
        <sz val="10"/>
        <rFont val="Droid Sans Fallback"/>
        <charset val="134"/>
      </rPr>
      <t>-1/Z1535</t>
    </r>
  </si>
  <si>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 xml:space="preserve"> 15cm  (</t>
    </r>
    <r>
      <rPr>
        <sz val="10"/>
        <rFont val="宋体"/>
        <charset val="134"/>
      </rPr>
      <t>中）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</si>
  <si>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40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4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18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</si>
  <si>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r>
      <rPr>
        <sz val="10"/>
        <rFont val="宋体"/>
        <charset val="134"/>
      </rPr>
      <t>活检钳</t>
    </r>
    <r>
      <rPr>
        <sz val="10"/>
        <rFont val="Droid Sans Fallback"/>
        <charset val="134"/>
      </rPr>
      <t>-1/Z2530</t>
    </r>
  </si>
  <si>
    <r>
      <rPr>
        <sz val="10"/>
        <rFont val="宋体"/>
        <charset val="134"/>
      </rPr>
      <t>低温灭菌</t>
    </r>
    <r>
      <rPr>
        <sz val="10"/>
        <rFont val="Droid Sans Fallback"/>
        <charset val="134"/>
      </rPr>
      <t xml:space="preserve"> 25cm</t>
    </r>
  </si>
  <si>
    <r>
      <rPr>
        <sz val="10"/>
        <rFont val="宋体"/>
        <charset val="134"/>
      </rPr>
      <t>剪刀</t>
    </r>
    <r>
      <rPr>
        <sz val="10"/>
        <rFont val="Droid Sans Fallback"/>
        <charset val="134"/>
      </rPr>
      <t>-1/Z1029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</si>
  <si>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56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8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39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9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</si>
  <si>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t>113</t>
  </si>
  <si>
    <r>
      <rPr>
        <sz val="10"/>
        <rFont val="宋体"/>
        <charset val="134"/>
      </rPr>
      <t>穿刺针</t>
    </r>
    <r>
      <rPr>
        <sz val="10"/>
        <rFont val="Droid Sans Fallback"/>
        <charset val="134"/>
      </rPr>
      <t>-1/Z7526</t>
    </r>
  </si>
  <si>
    <r>
      <rPr>
        <sz val="10"/>
        <rFont val="宋体"/>
        <charset val="134"/>
      </rPr>
      <t>刮勺</t>
    </r>
    <r>
      <rPr>
        <sz val="10"/>
        <rFont val="Droid Sans Fallback"/>
        <charset val="134"/>
      </rPr>
      <t>-1/Z7526</t>
    </r>
  </si>
  <si>
    <r>
      <rPr>
        <sz val="10"/>
        <rFont val="宋体"/>
        <charset val="134"/>
      </rPr>
      <t>镊子</t>
    </r>
    <r>
      <rPr>
        <sz val="10"/>
        <rFont val="Droid Sans Fallback"/>
        <charset val="134"/>
      </rPr>
      <t>18</t>
    </r>
    <r>
      <rPr>
        <sz val="10"/>
        <rFont val="宋体"/>
        <charset val="134"/>
      </rPr>
      <t>弯针</t>
    </r>
    <r>
      <rPr>
        <sz val="10"/>
        <rFont val="Droid Sans Fallback"/>
        <charset val="134"/>
      </rPr>
      <t>8</t>
    </r>
    <r>
      <rPr>
        <sz val="10"/>
        <rFont val="宋体"/>
        <charset val="134"/>
      </rPr>
      <t>吸引管</t>
    </r>
    <r>
      <rPr>
        <sz val="10"/>
        <rFont val="Droid Sans Fallback"/>
        <charset val="134"/>
      </rPr>
      <t>23</t>
    </r>
    <r>
      <rPr>
        <sz val="10"/>
        <rFont val="宋体"/>
        <charset val="134"/>
      </rPr>
      <t>喉镜</t>
    </r>
    <r>
      <rPr>
        <sz val="10"/>
        <rFont val="Droid Sans Fallback"/>
        <charset val="134"/>
      </rPr>
      <t>5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>1/w9050</t>
    </r>
  </si>
  <si>
    <t>镊子31弯针4吸引管14喉镜4盘1/w9050</t>
  </si>
  <si>
    <t>54</t>
  </si>
  <si>
    <t>锐勺-1/Z1029</t>
  </si>
  <si>
    <t>直角钳-1/Z1029</t>
  </si>
  <si>
    <t>镊子34弯针7吸引管24喉镜7盘1/w9050</t>
  </si>
  <si>
    <t>纱条/z2032</t>
  </si>
  <si>
    <t>20cm*20cm</t>
  </si>
  <si>
    <t>镊子32弯针5吸引管24喉镜6盘1/w9050</t>
  </si>
  <si>
    <t>剪刀-1/Z1029</t>
  </si>
  <si>
    <t>镊子43弯针9吸管31喉镜8盘1/w9050</t>
  </si>
  <si>
    <t>镊子35弯针6吸引管21喉镜6盘1/w9050</t>
  </si>
  <si>
    <t>刮勺-1/Z7526</t>
  </si>
  <si>
    <t>镊子28弯针10吸管53喉镜9盘1/w9050</t>
  </si>
  <si>
    <t>镊子40盘1/w9050</t>
  </si>
  <si>
    <t>镊子30喉镜1吸管21弯针2盘1/w9050</t>
  </si>
  <si>
    <t>镊子38喉镜5吸管24弯针5盘1/w9050</t>
  </si>
  <si>
    <t>镊子32喉镜2吸管28弯针2盘1/w9050</t>
  </si>
  <si>
    <t>镊子48喉镜6吸管46弯针6盘1/w9050</t>
  </si>
  <si>
    <t>镊子36吸管28喉镜4弯针4盘1/W6050</t>
  </si>
  <si>
    <t>发热门诊</t>
  </si>
  <si>
    <t>开口器-1/Z1026</t>
  </si>
  <si>
    <t>舌钳子-1/Z1526</t>
  </si>
  <si>
    <t>妇二</t>
  </si>
  <si>
    <t>扩棒-1/Z7530</t>
  </si>
  <si>
    <t>腔内电极-2/z1530</t>
  </si>
  <si>
    <t>按最低单把单价收取</t>
  </si>
  <si>
    <t>特殊取环器-1/Z1535</t>
  </si>
  <si>
    <t>取环包</t>
  </si>
  <si>
    <t>人流包</t>
  </si>
  <si>
    <t>持物钳罐-2/w6050</t>
  </si>
  <si>
    <t>腔内电极-5/w6050</t>
  </si>
  <si>
    <t>妇科刮勺-1/z7537</t>
  </si>
  <si>
    <t>窥器-1/Z1526</t>
  </si>
  <si>
    <t>镊子-1/Z7534</t>
  </si>
  <si>
    <t>止血钳-1/Z1530</t>
  </si>
  <si>
    <t>通水包（妇二）</t>
  </si>
  <si>
    <t>持针器-1（EO）/z2060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</si>
  <si>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20cm</t>
    </r>
  </si>
  <si>
    <t>举宫杯-7件/z2050</t>
  </si>
  <si>
    <t>双极钳-1/z2060</t>
  </si>
  <si>
    <t>无损伤钳-3/z2060</t>
  </si>
  <si>
    <t>腔内单极-3件/z1530</t>
  </si>
  <si>
    <t>卵圆钳(小头！！！)-1/Z1535</t>
  </si>
  <si>
    <t>阴道探头-4件/Z1526</t>
  </si>
  <si>
    <t>妇二门诊561</t>
  </si>
  <si>
    <t>腔内电极-7/w6050</t>
  </si>
  <si>
    <t>腔内电极-6/w6050</t>
  </si>
  <si>
    <t>妇科门诊</t>
  </si>
  <si>
    <t>阴道镜-4/w6050</t>
  </si>
  <si>
    <t>镊子缸-2/w6050</t>
  </si>
  <si>
    <t>妇三</t>
  </si>
  <si>
    <t>宫颈钳-1/Z1535</t>
  </si>
  <si>
    <t>组织剪-1/Z1029</t>
  </si>
  <si>
    <t>刀柄-1/Z7526</t>
  </si>
  <si>
    <t>切开包</t>
  </si>
  <si>
    <t>取环器-1/Z1535</t>
  </si>
  <si>
    <t>宫腔镜包</t>
  </si>
  <si>
    <t>宫颈治疗包</t>
  </si>
  <si>
    <t>妇一</t>
  </si>
  <si>
    <t>通水包（妇一）</t>
  </si>
  <si>
    <t>电极刀-1/Z1029</t>
  </si>
  <si>
    <t>肛肠科</t>
  </si>
  <si>
    <t>大镊子-1/Z7534</t>
  </si>
  <si>
    <t>换药碗(肛肠包配套)-1/Z2530</t>
  </si>
  <si>
    <t>肛肠包（肛肠科）</t>
  </si>
  <si>
    <t>镊子43盘1/w9050</t>
  </si>
  <si>
    <t>镊子50盘1/w9050</t>
  </si>
  <si>
    <t>探针-1/保/Z7530</t>
  </si>
  <si>
    <t>镊子48盘1/w9050</t>
  </si>
  <si>
    <t>持针器-1/Z1029</t>
  </si>
  <si>
    <t>镊子45盒1/w9050</t>
  </si>
  <si>
    <t>镊子28盘1/W9050</t>
  </si>
  <si>
    <t>镊子38盘1/w9050</t>
  </si>
  <si>
    <t>蚊式-1/Z1026</t>
  </si>
  <si>
    <t>镊子46盒1/w9050</t>
  </si>
  <si>
    <t>47</t>
  </si>
  <si>
    <t>肛肠门诊</t>
  </si>
  <si>
    <t>镊子25盒1/w9050</t>
  </si>
  <si>
    <t>26</t>
  </si>
  <si>
    <t>镊子24盒1/w9050</t>
  </si>
  <si>
    <t>25</t>
  </si>
  <si>
    <t>镊子26盒1/w9050</t>
  </si>
  <si>
    <t>27</t>
  </si>
  <si>
    <t>镊子26盘1/W9050</t>
  </si>
  <si>
    <t>镊子17盘1/W9050</t>
  </si>
  <si>
    <t>18</t>
  </si>
  <si>
    <t>宫腔镜</t>
  </si>
  <si>
    <t>人流包（90布）</t>
  </si>
  <si>
    <t>宫腔镜-2/双/z2044</t>
  </si>
  <si>
    <t>水管-1件(检查密封胶圈)/z3040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</si>
  <si>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30cm</t>
    </r>
  </si>
  <si>
    <t>通水包</t>
  </si>
  <si>
    <t>镜头-3件(盒1)/w9050</t>
  </si>
  <si>
    <t>卵圆钳-1/Z1535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</si>
  <si>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</si>
  <si>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2026/3/2</t>
    </r>
  </si>
  <si>
    <t>处理序号</t>
  </si>
  <si>
    <t>发票操作时间</t>
  </si>
  <si>
    <t>原因</t>
  </si>
  <si>
    <t>处理序号完成时间</t>
  </si>
  <si>
    <t>包名称</t>
  </si>
  <si>
    <t>金额</t>
  </si>
  <si>
    <t>调整</t>
  </si>
  <si>
    <t>骨三</t>
  </si>
  <si>
    <t>剥离器-1/z7526</t>
  </si>
  <si>
    <t>钩镊1 剪刀1/Z1029</t>
  </si>
  <si>
    <t>试管架-1/w6050</t>
  </si>
  <si>
    <t>刀柄-1/Z7520</t>
  </si>
  <si>
    <t>急诊</t>
  </si>
  <si>
    <t>拆线包（钩镊，小剪刀）-2/Z1026</t>
  </si>
  <si>
    <t>缝合包</t>
  </si>
  <si>
    <t>计划生育手术室</t>
  </si>
  <si>
    <t>5号吸头-1件/Z7534</t>
  </si>
  <si>
    <t>6号吸头-1件/Z7534</t>
  </si>
  <si>
    <t>7号吸头-1/Z7534</t>
  </si>
  <si>
    <t>8号吸头-1/Z7534</t>
  </si>
  <si>
    <t>棉球/Z1020</t>
  </si>
  <si>
    <t>介入科</t>
  </si>
  <si>
    <t>静配中心</t>
  </si>
  <si>
    <t>毛巾/z3032</t>
  </si>
  <si>
    <t>口腔科</t>
  </si>
  <si>
    <t>碧兰麻注射器-1/Z1029</t>
  </si>
  <si>
    <t>车针盒-1/Z1526</t>
  </si>
  <si>
    <t>洁牙机-1/z7526</t>
  </si>
  <si>
    <t>手机-1/Z7526</t>
  </si>
  <si>
    <t>挖匙-1/Z7530</t>
  </si>
  <si>
    <t>牙周治疗盒-1/Z2032</t>
  </si>
  <si>
    <t>纸塑袋20cm (大）</t>
  </si>
  <si>
    <t>拔牙钳-1/Z1029</t>
  </si>
  <si>
    <t>拔牙挺-1/Z7526</t>
  </si>
  <si>
    <t>充填器-1/Z7530</t>
  </si>
  <si>
    <t>去冠器-1/Z7534</t>
  </si>
  <si>
    <t>钥匙-1/Z1020</t>
  </si>
  <si>
    <t>注射器-1/Z1029</t>
  </si>
  <si>
    <t>直消盒-6/Z2032</t>
  </si>
  <si>
    <t>直消盒-7/Z2032</t>
  </si>
  <si>
    <t>棉球/Z1526</t>
  </si>
  <si>
    <t>成型夹-1/Z7520</t>
  </si>
  <si>
    <t>洁牙机钥匙-1/Z1020</t>
  </si>
  <si>
    <t>老年病病房</t>
  </si>
  <si>
    <t>门诊手术室</t>
  </si>
  <si>
    <t>小切开包</t>
  </si>
  <si>
    <t>拉钩-1/Z7526</t>
  </si>
  <si>
    <t>棉球/z1020</t>
  </si>
  <si>
    <t>内镜诊疗室</t>
  </si>
  <si>
    <t>纱布/Z3032</t>
  </si>
  <si>
    <t>清洁区（手术室）</t>
  </si>
  <si>
    <t>洗手服（L号）/W15050</t>
  </si>
  <si>
    <r>
      <rPr>
        <sz val="10"/>
        <color rgb="FF000000"/>
        <rFont val="宋体"/>
        <charset val="134"/>
      </rPr>
      <t>敷料大（</t>
    </r>
    <r>
      <rPr>
        <sz val="10"/>
        <color rgb="FF000000"/>
        <rFont val="Droid Sans Fallback"/>
        <charset val="134"/>
      </rPr>
      <t>30cm*30cm*50cm</t>
    </r>
    <r>
      <rPr>
        <sz val="10"/>
        <color rgb="FF000000"/>
        <rFont val="宋体"/>
        <charset val="134"/>
      </rPr>
      <t>）</t>
    </r>
  </si>
  <si>
    <t>洗手服（XL号）/W15050</t>
  </si>
  <si>
    <t>洗手服（XXXL号）/W15050</t>
  </si>
  <si>
    <t>洗手服（XXL号）/W15050</t>
  </si>
  <si>
    <t>洗手服（M号）/W15050</t>
  </si>
  <si>
    <t>肾病一科</t>
  </si>
  <si>
    <t>显微镊-2/Z1029</t>
  </si>
  <si>
    <t>造瘘包</t>
  </si>
  <si>
    <t>手术帽/Z1526</t>
  </si>
  <si>
    <t>手术室(二区)</t>
  </si>
  <si>
    <t>腹腔镜包</t>
  </si>
  <si>
    <t>保温杯(高温)-1Z2044</t>
  </si>
  <si>
    <t>气腹针(高温)-1/Z1029</t>
  </si>
  <si>
    <t>碗1 盘2 杯2 /w6050</t>
  </si>
  <si>
    <t>30°腹腔镜 -1/z2060</t>
  </si>
  <si>
    <t>低温灭菌 20cm</t>
  </si>
  <si>
    <t>1</t>
  </si>
  <si>
    <t>低温器械保护盒</t>
  </si>
  <si>
    <t>超声刀线（低温）-1/z3040</t>
  </si>
  <si>
    <t>持针器（低温）/Z1560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</si>
  <si>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15cm</t>
    </r>
  </si>
  <si>
    <t>可拆吸引器-1件（低温）/z1030</t>
  </si>
  <si>
    <t>气腹管-1/W7050</t>
  </si>
  <si>
    <t>生物夹钳（低温）-1/Z2060</t>
  </si>
  <si>
    <t>弯钳-1（低温）/z2060</t>
  </si>
  <si>
    <t>无损伤钳(低)-1/Z2060</t>
  </si>
  <si>
    <t>手术衣裤/w12050</t>
  </si>
  <si>
    <t>绷带/Z1029</t>
  </si>
  <si>
    <t>毛巾/Z2530</t>
  </si>
  <si>
    <t>膨宫管-1/z3040</t>
  </si>
  <si>
    <t>镜头1 手件4盒1/W12050</t>
  </si>
  <si>
    <t>陈文阁特器剥离质-1/Z1026</t>
  </si>
  <si>
    <t>S钩-2/w6050</t>
  </si>
  <si>
    <t>弯钳-6/w6050</t>
  </si>
  <si>
    <t>戳卡-1/z1029</t>
  </si>
  <si>
    <t>灯把-1/z2035</t>
  </si>
  <si>
    <t>宫腔镜剪刀-1/z2060</t>
  </si>
  <si>
    <t>刨刀特器-18件/w12050</t>
  </si>
  <si>
    <t>膨宫管无铁头-1/Z3040</t>
  </si>
  <si>
    <t>手件-2件/z2035</t>
  </si>
  <si>
    <t>宫腔镜-1/z2060</t>
  </si>
  <si>
    <t>超声刀线-1/z3040</t>
  </si>
  <si>
    <t>持针器-1/z2060</t>
  </si>
  <si>
    <t>宫腔抓钳-1/z2060</t>
  </si>
  <si>
    <t>镜头-1/z2060</t>
  </si>
  <si>
    <t>可拆剪刀-1/z2060</t>
  </si>
  <si>
    <t>可拆吸引器-1件/z1560</t>
  </si>
  <si>
    <t>气腹管-1（布）/w7050</t>
  </si>
  <si>
    <t>双极线-1（需保护）/z3040</t>
  </si>
  <si>
    <t>弯钳-1/z2060</t>
  </si>
  <si>
    <t>无损伤钳-1/z2060</t>
  </si>
  <si>
    <t>小切开</t>
  </si>
  <si>
    <t>直角1小勾1/z1029</t>
  </si>
  <si>
    <t>手术室(一区)</t>
  </si>
  <si>
    <t>肛肠包</t>
  </si>
  <si>
    <t>小小切开包</t>
  </si>
  <si>
    <t>肌钩-2/Z7526</t>
  </si>
  <si>
    <t>膀胱检查镜镜头（过氧化氢）-1/z2060</t>
  </si>
  <si>
    <t>膀胱镜手件（过氧化氢）-4/z2060</t>
  </si>
  <si>
    <t>保温杯-1件/z2045</t>
  </si>
  <si>
    <t>持针器-1件/z2060</t>
  </si>
  <si>
    <t>冲洗瓶（低温）-1/Z2535</t>
  </si>
  <si>
    <r>
      <rPr>
        <sz val="10"/>
        <color rgb="FF000000"/>
        <rFont val="宋体"/>
        <charset val="134"/>
      </rPr>
      <t>低温灭菌</t>
    </r>
    <r>
      <rPr>
        <sz val="10"/>
        <color rgb="FF000000"/>
        <rFont val="Droid Sans Fallback"/>
        <charset val="134"/>
      </rPr>
      <t xml:space="preserve"> 25cm</t>
    </r>
  </si>
  <si>
    <t>单极线-1件/z3040</t>
  </si>
  <si>
    <t>光纤-1（过氧化氢）/z3040</t>
  </si>
  <si>
    <t>剪刀-1（低温）/z2060</t>
  </si>
  <si>
    <t>气腹管-1件/z3040</t>
  </si>
  <si>
    <t>生物夹钳-1件（低温）/z2060</t>
  </si>
  <si>
    <t>无损伤钳（低温）-1/z2060</t>
  </si>
  <si>
    <t>左弯钳-1/Z2060</t>
  </si>
  <si>
    <t>保温瓶-1/z2044</t>
  </si>
  <si>
    <t>单极钩-1/z7550</t>
  </si>
  <si>
    <t>单极线-1/z3040</t>
  </si>
  <si>
    <t>剪刀-1/Z2060</t>
  </si>
  <si>
    <t>气腹管-1/z3044</t>
  </si>
  <si>
    <t>生物夹钳-1/双层z2060</t>
  </si>
  <si>
    <t>吸引器-1/z1560</t>
  </si>
  <si>
    <t>30°腹腔镜-1/z2060</t>
  </si>
  <si>
    <t>骨科包</t>
  </si>
  <si>
    <t>电钻-4件（盒1）/w9050</t>
  </si>
  <si>
    <t>STORZ 3D镜头 光源-2/w12050</t>
  </si>
  <si>
    <t>可吸收生物夹钳-1/Z2060</t>
  </si>
  <si>
    <t>气腹针-1/z1029</t>
  </si>
  <si>
    <t>间盘镜镜头-1件（盒1）/w12050</t>
  </si>
  <si>
    <t>间盘特器-3件（盒1）/z2060</t>
  </si>
  <si>
    <t>间盘包</t>
  </si>
  <si>
    <t>间盘镜特器（高温）-17件</t>
  </si>
  <si>
    <t>间盘镜特器（高温）-18件</t>
  </si>
  <si>
    <t>工作套管-1/Z1026</t>
  </si>
  <si>
    <t>杯1 碗1 盘1/Z3032</t>
  </si>
  <si>
    <t>超乳特器-4/Z2535</t>
  </si>
  <si>
    <t>肛门拉钩-2/Z1526</t>
  </si>
  <si>
    <t>注吸器-1/z7526</t>
  </si>
  <si>
    <t>眼科白内障-13件（盒1）</t>
  </si>
  <si>
    <t>灯把手-8/w6050</t>
  </si>
  <si>
    <t>电钻-带盒5件/w9050</t>
  </si>
  <si>
    <t>中弯-6/w6050</t>
  </si>
  <si>
    <t>间盘镜特器-3件 盒1/z2060</t>
  </si>
  <si>
    <t>手科特器-14/w6050</t>
  </si>
  <si>
    <t>手科特器-5/w6050</t>
  </si>
  <si>
    <t>单极铲-1/Z1035</t>
  </si>
  <si>
    <t>输尿管镜软镜-1件/双/z3095</t>
  </si>
  <si>
    <t>胆囊抓钳-1/Z2060</t>
  </si>
  <si>
    <t>弓形钳-1/Z2060</t>
  </si>
  <si>
    <t>人流包-25件</t>
  </si>
  <si>
    <t>剪刀1 持针器1/Z1526</t>
  </si>
  <si>
    <t>清创包-10框1/w9050</t>
  </si>
  <si>
    <t>尖刀柄-1/Z7530</t>
  </si>
  <si>
    <t>巾钳子-4/Z1526</t>
  </si>
  <si>
    <t>骨科特器-8/w6050</t>
  </si>
  <si>
    <t>光源线-1/z3044</t>
  </si>
  <si>
    <t>经皮肾镜-1/z2060</t>
  </si>
  <si>
    <t>息肉抓钳-1/z2060</t>
  </si>
  <si>
    <t>抓钳-1/z2060</t>
  </si>
  <si>
    <t>单极钩（低温）-1/Z7550</t>
  </si>
  <si>
    <t>气腹针（低温）-1/z1030</t>
  </si>
  <si>
    <t>吸引器(低)-1/Z1560</t>
  </si>
  <si>
    <t>开腹包</t>
  </si>
  <si>
    <t>内六角-3/w6050</t>
  </si>
  <si>
    <r>
      <rPr>
        <sz val="10"/>
        <rFont val="宋体"/>
        <charset val="134"/>
      </rPr>
      <t>碗</t>
    </r>
    <r>
      <rPr>
        <sz val="10"/>
        <rFont val="Droid Sans Fallback"/>
        <charset val="134"/>
      </rPr>
      <t xml:space="preserve">1 </t>
    </r>
    <r>
      <rPr>
        <sz val="10"/>
        <rFont val="宋体"/>
        <charset val="134"/>
      </rPr>
      <t>盘</t>
    </r>
    <r>
      <rPr>
        <sz val="10"/>
        <rFont val="Droid Sans Fallback"/>
        <charset val="134"/>
      </rPr>
      <t xml:space="preserve">2 </t>
    </r>
    <r>
      <rPr>
        <sz val="10"/>
        <rFont val="宋体"/>
        <charset val="134"/>
      </rPr>
      <t>杯</t>
    </r>
    <r>
      <rPr>
        <sz val="10"/>
        <rFont val="Droid Sans Fallback"/>
        <charset val="134"/>
      </rPr>
      <t>2 /w6050</t>
    </r>
  </si>
  <si>
    <t>脊柱内窥镜1/2060</t>
  </si>
  <si>
    <t>弯钳-4/Z1526</t>
  </si>
  <si>
    <t>膀胱检查镜镜头-1/z2060</t>
  </si>
  <si>
    <t>膀胱镜手件-3/双/z2060</t>
  </si>
  <si>
    <t>冲洗球-3件2032</t>
  </si>
  <si>
    <t>光纤-1/z3044</t>
  </si>
  <si>
    <t>30°关节镜（细）-1件/z2060</t>
  </si>
  <si>
    <t>中弯-4/Z1526</t>
  </si>
  <si>
    <t>杯1 碗1 盘1（白内障）/w6050</t>
  </si>
  <si>
    <t>克氏针-5/Z7534</t>
  </si>
  <si>
    <t>咬钉器-1/w9050</t>
  </si>
  <si>
    <t>分离钳-1/z2060</t>
  </si>
  <si>
    <t>间盘镜磨钻-6件（盒1）/w9050</t>
  </si>
  <si>
    <t>磨钻手柄-1件（盒1）/w9050</t>
  </si>
  <si>
    <t>脑棉/Z2530</t>
  </si>
  <si>
    <t>王树人特器-1/z7520</t>
  </si>
  <si>
    <t>王树人特器-16件 （加筐17）</t>
  </si>
  <si>
    <t>电钻-5件（盒1）/w9050</t>
  </si>
  <si>
    <t>黑龙江中医药大学附属第一医院手术室（一区）2026年2月11日加急灭菌费421.6+421.6*25%=527元，加急物流费120元，金额合计647元.</t>
  </si>
  <si>
    <r>
      <rPr>
        <sz val="10"/>
        <color theme="1"/>
        <rFont val="宋体"/>
        <charset val="134"/>
      </rPr>
      <t>单包内器械数量</t>
    </r>
    <r>
      <rPr>
        <sz val="10"/>
        <color theme="1"/>
        <rFont val="Droid Sans Fallback"/>
        <charset val="134"/>
      </rPr>
      <t>/</t>
    </r>
    <r>
      <rPr>
        <sz val="10"/>
        <color theme="1"/>
        <rFont val="宋体"/>
        <charset val="134"/>
      </rPr>
      <t>把</t>
    </r>
  </si>
  <si>
    <t>膀胱碎石镜-1/z2060</t>
  </si>
  <si>
    <t>合计</t>
  </si>
  <si>
    <t>黑龙江中医药大学附属第一医院2026年2月1日-2026年2月28日外来器械灭菌费总计金额2436.8元。</t>
  </si>
  <si>
    <t>黑龙江中医药大学附属第一医院哈尔滨奕顺医疗科技2026年2月1日-2026年2月28日外来器械灭菌费总计金额2212.4元。</t>
  </si>
  <si>
    <t>客户名称</t>
  </si>
  <si>
    <t>包号</t>
  </si>
  <si>
    <t>组件类型</t>
  </si>
  <si>
    <t>组件名</t>
  </si>
  <si>
    <t>组件数量</t>
  </si>
  <si>
    <t>器械数量</t>
  </si>
  <si>
    <t>器械单价</t>
  </si>
  <si>
    <t>器械金额</t>
  </si>
  <si>
    <t>钉盒数量</t>
  </si>
  <si>
    <t>钉盒单价</t>
  </si>
  <si>
    <t>钉盒金额</t>
  </si>
  <si>
    <t>生物监测数量</t>
  </si>
  <si>
    <t>生物监测单价</t>
  </si>
  <si>
    <t>生物监测金额</t>
  </si>
  <si>
    <t>合计金额</t>
  </si>
  <si>
    <t>哈尔滨奕顺医疗科技</t>
  </si>
  <si>
    <t xml:space="preserve">高丽萍-肱骨固定术  1/3 </t>
  </si>
  <si>
    <t>器械</t>
  </si>
  <si>
    <t xml:space="preserve">植入物-钉 </t>
  </si>
  <si>
    <t xml:space="preserve">高丽萍-肱骨固定术  2/3 </t>
  </si>
  <si>
    <t>外来器械组件</t>
  </si>
  <si>
    <t xml:space="preserve">植入物 </t>
  </si>
  <si>
    <t>器械-器皿</t>
  </si>
  <si>
    <t>自带篮筐</t>
  </si>
  <si>
    <t xml:space="preserve">高丽萍-肱骨固定术  3/3 </t>
  </si>
  <si>
    <t>李大龙-股骨头坏死  1/1</t>
  </si>
  <si>
    <t>公司篮筐</t>
  </si>
  <si>
    <t>任长富-胫骨骨折  1/3</t>
  </si>
  <si>
    <t xml:space="preserve">植入物-板 </t>
  </si>
  <si>
    <t>任长富-胫骨骨折  2/3</t>
  </si>
  <si>
    <t>任长富-胫骨骨折  3/3</t>
  </si>
  <si>
    <t>孙美京-粗隆间骨折PFNA  1/4</t>
  </si>
  <si>
    <t>孙美京-粗隆间骨折PFNA  2/4</t>
  </si>
  <si>
    <t>孙美京-粗隆间骨折PFNA  3/4</t>
  </si>
  <si>
    <t>孙美京-粗隆间骨折PFNA  4/4</t>
  </si>
  <si>
    <t>佟沿吉-腰椎固定术  1/5</t>
  </si>
  <si>
    <t>佟沿吉-腰椎固定术  2/5</t>
  </si>
  <si>
    <t>佟沿吉-腰椎固定术  3/5</t>
  </si>
  <si>
    <t>佟沿吉-腰椎固定术  4/5</t>
  </si>
  <si>
    <t>佟沿吉-腰椎固定术  5/5</t>
  </si>
  <si>
    <t>杨志华-股骨固定术  1/2</t>
  </si>
  <si>
    <t>杨志华-股骨固定术  2/2</t>
  </si>
  <si>
    <t>黑龙江中医药大学附属第一医院黑龙江钇嵩医疗器械有限公司2026年2月1日-2026年2月28日外来器械灭菌费总计金额224.4元。</t>
  </si>
  <si>
    <t>黑龙江钇嵩医疗器械有限公司</t>
  </si>
  <si>
    <t>张莲芝-股骨颈骨折1/3</t>
  </si>
  <si>
    <t>张莲芝-股骨颈骨折2/3</t>
  </si>
  <si>
    <t>张莲芝-股骨颈骨折3/3</t>
  </si>
  <si>
    <t>透析</t>
  </si>
  <si>
    <t>血透切开包</t>
  </si>
  <si>
    <t>剪刀1止血钳1/Z1526</t>
  </si>
  <si>
    <t>造瘘手术器械包</t>
  </si>
  <si>
    <t>外二</t>
  </si>
  <si>
    <t>换药包(120布)</t>
  </si>
  <si>
    <t>纸塑袋 15cm (中）</t>
  </si>
  <si>
    <t>换药碗-3/w6050</t>
  </si>
  <si>
    <t>电刀头-1/Z7526</t>
  </si>
  <si>
    <t>棉垫/z3032</t>
  </si>
  <si>
    <t>气管扩张钳-1/Z1526</t>
  </si>
  <si>
    <t>切开包（小）</t>
  </si>
  <si>
    <t>外三</t>
  </si>
  <si>
    <t>钩镊-1/z7526</t>
  </si>
  <si>
    <t>气管套管-3件（一套）/Z1029</t>
  </si>
  <si>
    <t>拆线剪-1/Z1029</t>
  </si>
  <si>
    <t>气管套管-2/Z1526</t>
  </si>
  <si>
    <t>外四</t>
  </si>
  <si>
    <t>外一</t>
  </si>
  <si>
    <t>血液</t>
  </si>
  <si>
    <t>眼科病房</t>
  </si>
  <si>
    <t>带盖托盘-1/Z3044</t>
  </si>
  <si>
    <t>睑板腺夹-1/Z7520</t>
  </si>
  <si>
    <t>眼病治疗盒</t>
  </si>
  <si>
    <t>棉球缸-2/W6050</t>
  </si>
  <si>
    <t>眼科门诊322</t>
  </si>
  <si>
    <t>泪点扩张器-1/Z1026</t>
  </si>
  <si>
    <t>角板20治疗盒1/w6050</t>
  </si>
  <si>
    <t>泪道探针-1/Z7520</t>
  </si>
  <si>
    <t>眼科门诊357</t>
  </si>
  <si>
    <t>开睑器-1/Z1020</t>
  </si>
  <si>
    <t>显微剪刀-1/Z1029</t>
  </si>
  <si>
    <t>显微镊-1/Z7530</t>
  </si>
  <si>
    <t>角板10（盒1）/w6050</t>
  </si>
  <si>
    <t>角板-1/Z7526</t>
  </si>
  <si>
    <t>显微剪刀-1/z7526</t>
  </si>
  <si>
    <t>泪小点扩张器-1/Z1020</t>
  </si>
  <si>
    <t>眼科门诊手术室（二）</t>
  </si>
  <si>
    <t>手柄套-1/Z1029</t>
  </si>
  <si>
    <t>翼状胬肉包-9</t>
  </si>
  <si>
    <t>镊子缸-3/w6050</t>
  </si>
  <si>
    <t>球内注药-3件/W6050</t>
  </si>
  <si>
    <t>显微持针器-1-z7526</t>
  </si>
  <si>
    <t>霰粒肿包</t>
  </si>
  <si>
    <t>眼科门诊手术室（一）</t>
  </si>
  <si>
    <t>针灸二</t>
  </si>
  <si>
    <t>重症医学科</t>
  </si>
  <si>
    <t>气切包-3/w6050</t>
  </si>
  <si>
    <t>剪口纱布/Z1526</t>
  </si>
  <si>
    <t>气管套管-4/Z1026</t>
  </si>
  <si>
    <t>简易呼吸球囊-1/z3044</t>
  </si>
  <si>
    <t>周围血管二</t>
  </si>
  <si>
    <t>清创包</t>
  </si>
  <si>
    <t>压舌板-1/Z1526</t>
  </si>
  <si>
    <t>周围血管一</t>
  </si>
  <si>
    <t>鹰嘴钳-1/Z1526</t>
  </si>
  <si>
    <t>剪刀1止血钳1镊子1/Z1526</t>
  </si>
  <si>
    <t>棉垫/z3044</t>
  </si>
  <si>
    <t>探头-1/Z7526</t>
  </si>
  <si>
    <t>咬骨钳-1/Z1526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</si>
</sst>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[$-10804]0.00;\(0.00\)"/>
    <numFmt numFmtId="178" formatCode="[$-10804]yyyy/m/d"/>
    <numFmt numFmtId="179" formatCode="[$-10804]0.00"/>
    <numFmt numFmtId="180" formatCode="[$-10804]yyyy/m/d\ h:mm:ss"/>
  </numFmts>
  <fonts count="43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WenQuanYiZenHeiSharp"/>
      <charset val="134"/>
    </font>
    <font>
      <b/>
      <sz val="16"/>
      <name val="Microsoft YaHei"/>
      <charset val="134"/>
    </font>
    <font>
      <b/>
      <sz val="11"/>
      <color rgb="FFFFFFFF"/>
      <name val="Microsoft YaHei"/>
      <charset val="134"/>
    </font>
    <font>
      <b/>
      <sz val="11"/>
      <name val="Microsoft YaHei"/>
      <charset val="134"/>
    </font>
    <font>
      <sz val="10"/>
      <color rgb="FF4D4D4D"/>
      <name val="Microsoft YaHei"/>
      <charset val="134"/>
    </font>
    <font>
      <sz val="10"/>
      <name val="Microsoft YaHei"/>
      <charset val="134"/>
    </font>
    <font>
      <sz val="10"/>
      <name val="Droid Sans Fallback"/>
      <charset val="134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  <font>
      <sz val="10"/>
      <color theme="1"/>
      <name val="Droid Sans Fallback"/>
      <charset val="134"/>
    </font>
    <font>
      <sz val="10"/>
      <color rgb="FF000000"/>
      <name val="LiberationSerif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4C68A2"/>
        <bgColor rgb="FF4C68A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auto="1"/>
      </left>
      <right style="thin">
        <color rgb="FF808080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6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7" borderId="23" applyNumberFormat="0" applyAlignment="0" applyProtection="0">
      <alignment vertical="center"/>
    </xf>
    <xf numFmtId="0" fontId="30" fillId="8" borderId="24" applyNumberFormat="0" applyAlignment="0" applyProtection="0">
      <alignment vertical="center"/>
    </xf>
    <xf numFmtId="0" fontId="31" fillId="8" borderId="23" applyNumberFormat="0" applyAlignment="0" applyProtection="0">
      <alignment vertical="center"/>
    </xf>
    <xf numFmtId="0" fontId="32" fillId="9" borderId="25" applyNumberFormat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40" fillId="0" borderId="0"/>
  </cellStyleXfs>
  <cellXfs count="133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0" xfId="0" applyFont="1" applyFill="1" applyBorder="1" applyAlignment="1">
      <alignment horizontal="left" vertical="top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176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center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horizontal="left" vertical="top" wrapText="1" readingOrder="1"/>
    </xf>
    <xf numFmtId="0" fontId="0" fillId="0" borderId="4" xfId="0" applyNumberFormat="1" applyFont="1" applyFill="1" applyBorder="1" applyAlignment="1">
      <alignment horizontal="left" vertical="top" wrapText="1"/>
    </xf>
    <xf numFmtId="177" fontId="4" fillId="2" borderId="3" xfId="0" applyNumberFormat="1" applyFont="1" applyFill="1" applyBorder="1" applyAlignment="1">
      <alignment horizontal="left" vertical="top" wrapText="1" readingOrder="1"/>
    </xf>
    <xf numFmtId="177" fontId="4" fillId="2" borderId="3" xfId="0" applyNumberFormat="1" applyFont="1" applyFill="1" applyBorder="1" applyAlignment="1">
      <alignment horizontal="center" vertical="top" wrapText="1" readingOrder="1"/>
    </xf>
    <xf numFmtId="178" fontId="3" fillId="0" borderId="5" xfId="0" applyNumberFormat="1" applyFont="1" applyFill="1" applyBorder="1" applyAlignment="1">
      <alignment horizontal="left" vertical="top" wrapText="1" readingOrder="1"/>
    </xf>
    <xf numFmtId="0" fontId="3" fillId="0" borderId="5" xfId="0" applyNumberFormat="1" applyFont="1" applyFill="1" applyBorder="1" applyAlignment="1">
      <alignment horizontal="left" vertical="top" wrapText="1" readingOrder="1"/>
    </xf>
    <xf numFmtId="0" fontId="5" fillId="0" borderId="5" xfId="0" applyNumberFormat="1" applyFont="1" applyFill="1" applyBorder="1" applyAlignment="1">
      <alignment horizontal="left" vertical="top" wrapText="1" readingOrder="1"/>
    </xf>
    <xf numFmtId="49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center" vertical="top" wrapText="1" readingOrder="1"/>
    </xf>
    <xf numFmtId="178" fontId="3" fillId="0" borderId="6" xfId="0" applyNumberFormat="1" applyFont="1" applyFill="1" applyBorder="1" applyAlignment="1">
      <alignment horizontal="left" vertical="top" wrapText="1" readingOrder="1"/>
    </xf>
    <xf numFmtId="0" fontId="3" fillId="0" borderId="6" xfId="0" applyNumberFormat="1" applyFont="1" applyFill="1" applyBorder="1" applyAlignment="1">
      <alignment horizontal="left" vertical="top" wrapText="1" readingOrder="1"/>
    </xf>
    <xf numFmtId="0" fontId="5" fillId="0" borderId="6" xfId="0" applyNumberFormat="1" applyFont="1" applyFill="1" applyBorder="1" applyAlignment="1">
      <alignment horizontal="left" vertical="top" wrapText="1" readingOrder="1"/>
    </xf>
    <xf numFmtId="49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center" vertical="top" wrapText="1" readingOrder="1"/>
    </xf>
    <xf numFmtId="177" fontId="3" fillId="0" borderId="6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left" vertical="center" wrapText="1" readingOrder="1"/>
    </xf>
    <xf numFmtId="0" fontId="5" fillId="0" borderId="5" xfId="0" applyNumberFormat="1" applyFont="1" applyFill="1" applyBorder="1" applyAlignment="1">
      <alignment horizontal="left" vertical="center" wrapText="1" readingOrder="1"/>
    </xf>
    <xf numFmtId="177" fontId="5" fillId="0" borderId="6" xfId="0" applyNumberFormat="1" applyFont="1" applyFill="1" applyBorder="1" applyAlignment="1">
      <alignment horizontal="left" vertical="center" wrapText="1" readingOrder="1"/>
    </xf>
    <xf numFmtId="0" fontId="5" fillId="0" borderId="6" xfId="0" applyNumberFormat="1" applyFont="1" applyFill="1" applyBorder="1" applyAlignment="1">
      <alignment horizontal="left" vertical="center" wrapText="1" readingOrder="1"/>
    </xf>
    <xf numFmtId="0" fontId="3" fillId="0" borderId="6" xfId="0" applyNumberFormat="1" applyFont="1" applyFill="1" applyBorder="1" applyAlignment="1">
      <alignment horizontal="left" vertical="center" wrapText="1" readingOrder="1"/>
    </xf>
    <xf numFmtId="177" fontId="4" fillId="2" borderId="3" xfId="0" applyNumberFormat="1" applyFont="1" applyFill="1" applyBorder="1" applyAlignment="1">
      <alignment horizontal="center" vertical="center" wrapText="1" readingOrder="1"/>
    </xf>
    <xf numFmtId="177" fontId="3" fillId="0" borderId="6" xfId="0" applyNumberFormat="1" applyFont="1" applyFill="1" applyBorder="1" applyAlignment="1">
      <alignment horizontal="left" vertical="center" wrapText="1" readingOrder="1"/>
    </xf>
    <xf numFmtId="0" fontId="6" fillId="3" borderId="7" xfId="0" applyNumberFormat="1" applyFont="1" applyFill="1" applyBorder="1" applyAlignment="1">
      <alignment vertical="top" wrapText="1" readingOrder="1"/>
    </xf>
    <xf numFmtId="0" fontId="0" fillId="0" borderId="7" xfId="0" applyNumberFormat="1" applyFont="1" applyFill="1" applyBorder="1" applyAlignment="1">
      <alignment vertical="top" wrapText="1"/>
    </xf>
    <xf numFmtId="0" fontId="3" fillId="3" borderId="7" xfId="0" applyNumberFormat="1" applyFont="1" applyFill="1" applyBorder="1" applyAlignment="1">
      <alignment vertical="top" wrapText="1" readingOrder="1"/>
    </xf>
    <xf numFmtId="179" fontId="3" fillId="3" borderId="7" xfId="0" applyNumberFormat="1" applyFont="1" applyFill="1" applyBorder="1" applyAlignment="1">
      <alignment vertical="top" wrapText="1" readingOrder="1"/>
    </xf>
    <xf numFmtId="0" fontId="4" fillId="2" borderId="7" xfId="0" applyNumberFormat="1" applyFont="1" applyFill="1" applyBorder="1" applyAlignment="1">
      <alignment vertical="top" wrapText="1" readingOrder="1"/>
    </xf>
    <xf numFmtId="0" fontId="3" fillId="2" borderId="7" xfId="0" applyNumberFormat="1" applyFont="1" applyFill="1" applyBorder="1" applyAlignment="1">
      <alignment vertical="top" wrapText="1" readingOrder="1"/>
    </xf>
    <xf numFmtId="179" fontId="3" fillId="2" borderId="7" xfId="0" applyNumberFormat="1" applyFont="1" applyFill="1" applyBorder="1" applyAlignment="1">
      <alignment vertical="top" wrapText="1" readingOrder="1"/>
    </xf>
    <xf numFmtId="0" fontId="3" fillId="4" borderId="7" xfId="0" applyNumberFormat="1" applyFont="1" applyFill="1" applyBorder="1" applyAlignment="1">
      <alignment horizontal="left" vertical="top" wrapText="1" readingOrder="1"/>
    </xf>
    <xf numFmtId="0" fontId="3" fillId="4" borderId="7" xfId="0" applyNumberFormat="1" applyFont="1" applyFill="1" applyBorder="1" applyAlignment="1">
      <alignment vertical="top" wrapText="1" readingOrder="1"/>
    </xf>
    <xf numFmtId="179" fontId="3" fillId="4" borderId="7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80" fontId="3" fillId="0" borderId="3" xfId="0" applyNumberFormat="1" applyFont="1" applyFill="1" applyBorder="1" applyAlignment="1">
      <alignment horizontal="left"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5" fillId="0" borderId="3" xfId="0" applyNumberFormat="1" applyFont="1" applyFill="1" applyBorder="1" applyAlignment="1">
      <alignment vertical="top" wrapText="1" readingOrder="1"/>
    </xf>
    <xf numFmtId="18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7" fontId="3" fillId="0" borderId="9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10" xfId="0" applyNumberFormat="1" applyFont="1" applyFill="1" applyBorder="1" applyAlignment="1">
      <alignment horizontal="center" vertical="top" wrapText="1" readingOrder="1"/>
    </xf>
    <xf numFmtId="178" fontId="3" fillId="0" borderId="3" xfId="0" applyNumberFormat="1" applyFont="1" applyFill="1" applyBorder="1" applyAlignment="1">
      <alignment horizontal="left" vertical="top" wrapText="1" readingOrder="1"/>
    </xf>
    <xf numFmtId="0" fontId="3" fillId="0" borderId="11" xfId="0" applyNumberFormat="1" applyFont="1" applyFill="1" applyBorder="1" applyAlignment="1">
      <alignment horizontal="left" vertical="top" wrapText="1" readingOrder="1"/>
    </xf>
    <xf numFmtId="176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6" xfId="0" applyNumberFormat="1" applyFont="1" applyFill="1" applyBorder="1" applyAlignment="1">
      <alignment horizontal="center" vertical="center" wrapText="1" readingOrder="1"/>
    </xf>
    <xf numFmtId="0" fontId="3" fillId="0" borderId="11" xfId="0" applyNumberFormat="1" applyFont="1" applyFill="1" applyBorder="1" applyAlignment="1">
      <alignment horizontal="center" vertical="top" wrapText="1" readingOrder="1"/>
    </xf>
    <xf numFmtId="0" fontId="7" fillId="0" borderId="5" xfId="0" applyFont="1" applyFill="1" applyBorder="1" applyAlignment="1">
      <alignment horizontal="left" vertical="center"/>
    </xf>
    <xf numFmtId="49" fontId="3" fillId="0" borderId="5" xfId="0" applyNumberFormat="1" applyFont="1" applyFill="1" applyBorder="1" applyAlignment="1">
      <alignment horizontal="center" vertical="top" wrapText="1" readingOrder="1"/>
    </xf>
    <xf numFmtId="0" fontId="7" fillId="0" borderId="6" xfId="0" applyFont="1" applyFill="1" applyBorder="1" applyAlignment="1">
      <alignment horizontal="left" vertical="center"/>
    </xf>
    <xf numFmtId="49" fontId="3" fillId="0" borderId="6" xfId="0" applyNumberFormat="1" applyFont="1" applyFill="1" applyBorder="1" applyAlignment="1">
      <alignment horizontal="center" vertical="top" wrapText="1" readingOrder="1"/>
    </xf>
    <xf numFmtId="178" fontId="3" fillId="0" borderId="6" xfId="0" applyNumberFormat="1" applyFont="1" applyFill="1" applyBorder="1" applyAlignment="1">
      <alignment horizontal="left" vertical="center" wrapText="1" readingOrder="1"/>
    </xf>
    <xf numFmtId="0" fontId="4" fillId="2" borderId="3" xfId="0" applyNumberFormat="1" applyFont="1" applyFill="1" applyBorder="1" applyAlignment="1">
      <alignment horizontal="left" vertical="center" wrapText="1" readingOrder="1"/>
    </xf>
    <xf numFmtId="0" fontId="0" fillId="0" borderId="4" xfId="0" applyNumberFormat="1" applyFont="1" applyFill="1" applyBorder="1" applyAlignment="1">
      <alignment horizontal="left" vertical="center" wrapText="1"/>
    </xf>
    <xf numFmtId="177" fontId="4" fillId="2" borderId="3" xfId="0" applyNumberFormat="1" applyFont="1" applyFill="1" applyBorder="1" applyAlignment="1">
      <alignment horizontal="left" vertical="center" wrapText="1" readingOrder="1"/>
    </xf>
    <xf numFmtId="178" fontId="3" fillId="0" borderId="5" xfId="0" applyNumberFormat="1" applyFont="1" applyFill="1" applyBorder="1" applyAlignment="1">
      <alignment horizontal="left" vertical="center" wrapText="1" readingOrder="1"/>
    </xf>
    <xf numFmtId="0" fontId="3" fillId="0" borderId="5" xfId="0" applyNumberFormat="1" applyFont="1" applyFill="1" applyBorder="1" applyAlignment="1">
      <alignment horizontal="left" vertical="center" wrapText="1" readingOrder="1"/>
    </xf>
    <xf numFmtId="177" fontId="5" fillId="0" borderId="5" xfId="0" applyNumberFormat="1" applyFont="1" applyFill="1" applyBorder="1" applyAlignment="1">
      <alignment horizontal="left" vertical="center" wrapText="1" readingOrder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9" fillId="5" borderId="6" xfId="0" applyNumberFormat="1" applyFont="1" applyFill="1" applyBorder="1" applyAlignment="1">
      <alignment horizontal="center" vertical="center" wrapText="1" readingOrder="1"/>
    </xf>
    <xf numFmtId="0" fontId="10" fillId="0" borderId="6" xfId="0" applyNumberFormat="1" applyFont="1" applyFill="1" applyBorder="1" applyAlignment="1">
      <alignment horizontal="center" vertical="center" wrapText="1" readingOrder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1" fillId="0" borderId="6" xfId="0" applyNumberFormat="1" applyFont="1" applyFill="1" applyBorder="1" applyAlignment="1">
      <alignment horizontal="center" vertical="center" wrapText="1" readingOrder="1"/>
    </xf>
    <xf numFmtId="178" fontId="11" fillId="0" borderId="6" xfId="0" applyNumberFormat="1" applyFont="1" applyFill="1" applyBorder="1" applyAlignment="1">
      <alignment horizontal="center" vertical="center" wrapText="1" readingOrder="1"/>
    </xf>
    <xf numFmtId="0" fontId="12" fillId="0" borderId="6" xfId="0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top" wrapText="1" readingOrder="1"/>
    </xf>
    <xf numFmtId="0" fontId="4" fillId="2" borderId="15" xfId="0" applyNumberFormat="1" applyFont="1" applyFill="1" applyBorder="1" applyAlignment="1">
      <alignment horizontal="left" vertical="center" wrapText="1" readingOrder="1"/>
    </xf>
    <xf numFmtId="0" fontId="0" fillId="0" borderId="0" xfId="0" applyNumberFormat="1" applyFont="1" applyFill="1" applyBorder="1" applyAlignment="1">
      <alignment horizontal="left" vertical="center" wrapText="1"/>
    </xf>
    <xf numFmtId="177" fontId="4" fillId="2" borderId="15" xfId="0" applyNumberFormat="1" applyFont="1" applyFill="1" applyBorder="1" applyAlignment="1">
      <alignment horizontal="center" vertical="top" wrapText="1" readingOrder="1"/>
    </xf>
    <xf numFmtId="178" fontId="3" fillId="0" borderId="16" xfId="0" applyNumberFormat="1" applyFont="1" applyFill="1" applyBorder="1" applyAlignment="1">
      <alignment horizontal="left" vertical="center" wrapText="1" readingOrder="1"/>
    </xf>
    <xf numFmtId="0" fontId="3" fillId="0" borderId="16" xfId="0" applyNumberFormat="1" applyFont="1" applyFill="1" applyBorder="1" applyAlignment="1">
      <alignment horizontal="left" vertical="center" wrapText="1" readingOrder="1"/>
    </xf>
    <xf numFmtId="178" fontId="3" fillId="0" borderId="17" xfId="0" applyNumberFormat="1" applyFont="1" applyFill="1" applyBorder="1" applyAlignment="1">
      <alignment horizontal="left" vertical="center" wrapText="1" readingOrder="1"/>
    </xf>
    <xf numFmtId="0" fontId="3" fillId="0" borderId="17" xfId="0" applyNumberFormat="1" applyFont="1" applyFill="1" applyBorder="1" applyAlignment="1">
      <alignment horizontal="left" vertical="center" wrapText="1" readingOrder="1"/>
    </xf>
    <xf numFmtId="178" fontId="13" fillId="0" borderId="6" xfId="0" applyNumberFormat="1" applyFont="1" applyFill="1" applyBorder="1" applyAlignment="1">
      <alignment horizontal="left" vertical="center" wrapText="1" readingOrder="1"/>
    </xf>
    <xf numFmtId="0" fontId="13" fillId="0" borderId="6" xfId="0" applyNumberFormat="1" applyFont="1" applyFill="1" applyBorder="1" applyAlignment="1">
      <alignment horizontal="left" vertical="center" wrapText="1" readingOrder="1"/>
    </xf>
    <xf numFmtId="0" fontId="14" fillId="0" borderId="6" xfId="0" applyNumberFormat="1" applyFont="1" applyFill="1" applyBorder="1" applyAlignment="1">
      <alignment horizontal="left" vertical="center" wrapText="1" readingOrder="1"/>
    </xf>
    <xf numFmtId="177" fontId="14" fillId="0" borderId="6" xfId="0" applyNumberFormat="1" applyFont="1" applyFill="1" applyBorder="1" applyAlignment="1">
      <alignment horizontal="left" vertical="center" wrapText="1" readingOrder="1"/>
    </xf>
    <xf numFmtId="49" fontId="13" fillId="0" borderId="6" xfId="0" applyNumberFormat="1" applyFont="1" applyFill="1" applyBorder="1" applyAlignment="1">
      <alignment horizontal="center" vertical="center" wrapText="1" readingOrder="1"/>
    </xf>
    <xf numFmtId="177" fontId="13" fillId="0" borderId="6" xfId="0" applyNumberFormat="1" applyFont="1" applyFill="1" applyBorder="1" applyAlignment="1">
      <alignment horizontal="center" vertical="center" wrapText="1" readingOrder="1"/>
    </xf>
    <xf numFmtId="0" fontId="15" fillId="0" borderId="0" xfId="0" applyFont="1" applyFill="1" applyAlignment="1">
      <alignment horizontal="center"/>
    </xf>
    <xf numFmtId="0" fontId="16" fillId="0" borderId="2" xfId="0" applyNumberFormat="1" applyFont="1" applyFill="1" applyBorder="1" applyAlignment="1">
      <alignment horizontal="left" vertical="center" wrapText="1" readingOrder="1"/>
    </xf>
    <xf numFmtId="176" fontId="16" fillId="0" borderId="2" xfId="0" applyNumberFormat="1" applyFont="1" applyFill="1" applyBorder="1" applyAlignment="1">
      <alignment horizontal="center" vertical="center" wrapText="1" readingOrder="1"/>
    </xf>
    <xf numFmtId="0" fontId="16" fillId="0" borderId="2" xfId="0" applyNumberFormat="1" applyFont="1" applyFill="1" applyBorder="1" applyAlignment="1">
      <alignment horizontal="center" vertical="center" wrapText="1" readingOrder="1"/>
    </xf>
    <xf numFmtId="0" fontId="0" fillId="0" borderId="12" xfId="0" applyFont="1" applyFill="1" applyBorder="1" applyAlignment="1"/>
    <xf numFmtId="0" fontId="0" fillId="0" borderId="13" xfId="0" applyFont="1" applyFill="1" applyBorder="1" applyAlignment="1"/>
    <xf numFmtId="0" fontId="0" fillId="0" borderId="14" xfId="0" applyFont="1" applyFill="1" applyBorder="1" applyAlignment="1"/>
    <xf numFmtId="177" fontId="3" fillId="0" borderId="16" xfId="0" applyNumberFormat="1" applyFont="1" applyFill="1" applyBorder="1" applyAlignment="1">
      <alignment horizontal="center" vertical="center" wrapText="1" readingOrder="1"/>
    </xf>
    <xf numFmtId="177" fontId="3" fillId="0" borderId="17" xfId="0" applyNumberFormat="1" applyFont="1" applyFill="1" applyBorder="1" applyAlignment="1">
      <alignment horizontal="center" vertical="center" wrapText="1" readingOrder="1"/>
    </xf>
    <xf numFmtId="177" fontId="3" fillId="0" borderId="5" xfId="0" applyNumberFormat="1" applyFont="1" applyFill="1" applyBorder="1" applyAlignment="1">
      <alignment horizontal="left" vertical="center" wrapText="1" readingOrder="1"/>
    </xf>
    <xf numFmtId="0" fontId="17" fillId="2" borderId="3" xfId="0" applyNumberFormat="1" applyFont="1" applyFill="1" applyBorder="1" applyAlignment="1">
      <alignment horizontal="left" vertical="center" wrapText="1" readingOrder="1"/>
    </xf>
    <xf numFmtId="0" fontId="4" fillId="2" borderId="15" xfId="0" applyNumberFormat="1" applyFont="1" applyFill="1" applyBorder="1" applyAlignment="1">
      <alignment horizontal="left" vertical="top" wrapText="1" readingOrder="1"/>
    </xf>
    <xf numFmtId="0" fontId="0" fillId="0" borderId="0" xfId="0" applyNumberFormat="1" applyFont="1" applyFill="1" applyBorder="1" applyAlignment="1">
      <alignment horizontal="left" vertical="top" wrapText="1"/>
    </xf>
    <xf numFmtId="177" fontId="4" fillId="2" borderId="15" xfId="0" applyNumberFormat="1" applyFont="1" applyFill="1" applyBorder="1" applyAlignment="1">
      <alignment horizontal="left" vertical="top" wrapText="1" readingOrder="1"/>
    </xf>
    <xf numFmtId="177" fontId="4" fillId="2" borderId="15" xfId="0" applyNumberFormat="1" applyFont="1" applyFill="1" applyBorder="1" applyAlignment="1">
      <alignment horizontal="center" vertical="center" wrapText="1" readingOrder="1"/>
    </xf>
    <xf numFmtId="0" fontId="4" fillId="2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4" fillId="2" borderId="6" xfId="0" applyNumberFormat="1" applyFont="1" applyFill="1" applyBorder="1" applyAlignment="1">
      <alignment horizontal="center" vertical="top" wrapText="1" readingOrder="1"/>
    </xf>
    <xf numFmtId="177" fontId="4" fillId="2" borderId="6" xfId="0" applyNumberFormat="1" applyFont="1" applyFill="1" applyBorder="1" applyAlignment="1">
      <alignment horizontal="center" vertical="top" wrapText="1" readingOrder="1"/>
    </xf>
    <xf numFmtId="177" fontId="4" fillId="2" borderId="6" xfId="0" applyNumberFormat="1" applyFont="1" applyFill="1" applyBorder="1" applyAlignment="1">
      <alignment horizontal="center" vertical="center" wrapText="1" readingOrder="1"/>
    </xf>
    <xf numFmtId="178" fontId="3" fillId="0" borderId="6" xfId="0" applyNumberFormat="1" applyFont="1" applyFill="1" applyBorder="1" applyAlignment="1">
      <alignment vertical="top" wrapText="1" readingOrder="1"/>
    </xf>
    <xf numFmtId="0" fontId="3" fillId="0" borderId="6" xfId="0" applyNumberFormat="1" applyFont="1" applyFill="1" applyBorder="1" applyAlignment="1">
      <alignment vertical="top" wrapText="1" readingOrder="1"/>
    </xf>
    <xf numFmtId="0" fontId="7" fillId="0" borderId="6" xfId="0" applyFont="1" applyFill="1" applyBorder="1" applyAlignment="1">
      <alignment vertical="center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178" fontId="13" fillId="0" borderId="6" xfId="0" applyNumberFormat="1" applyFont="1" applyFill="1" applyBorder="1" applyAlignment="1">
      <alignment horizontal="left" vertical="top" wrapText="1" readingOrder="1"/>
    </xf>
    <xf numFmtId="0" fontId="13" fillId="0" borderId="6" xfId="0" applyNumberFormat="1" applyFont="1" applyFill="1" applyBorder="1" applyAlignment="1">
      <alignment horizontal="left" vertical="top" wrapText="1" readingOrder="1"/>
    </xf>
    <xf numFmtId="0" fontId="14" fillId="0" borderId="6" xfId="0" applyNumberFormat="1" applyFont="1" applyFill="1" applyBorder="1" applyAlignment="1">
      <alignment horizontal="left" vertical="top" wrapText="1" readingOrder="1"/>
    </xf>
    <xf numFmtId="177" fontId="13" fillId="0" borderId="6" xfId="0" applyNumberFormat="1" applyFont="1" applyFill="1" applyBorder="1" applyAlignment="1">
      <alignment horizontal="center" vertical="top" wrapText="1" readingOrder="1"/>
    </xf>
    <xf numFmtId="0" fontId="18" fillId="0" borderId="0" xfId="0" applyFont="1" applyFill="1" applyBorder="1" applyAlignment="1"/>
    <xf numFmtId="0" fontId="3" fillId="0" borderId="11" xfId="0" applyNumberFormat="1" applyFont="1" applyFill="1" applyBorder="1" applyAlignment="1">
      <alignment horizontal="left" vertical="center" wrapText="1" readingOrder="1"/>
    </xf>
    <xf numFmtId="0" fontId="3" fillId="0" borderId="18" xfId="0" applyNumberFormat="1" applyFont="1" applyFill="1" applyBorder="1" applyAlignment="1">
      <alignment horizontal="left" vertical="center" wrapText="1" readingOrder="1"/>
    </xf>
    <xf numFmtId="0" fontId="19" fillId="3" borderId="3" xfId="0" applyNumberFormat="1" applyFont="1" applyFill="1" applyBorder="1" applyAlignment="1">
      <alignment vertical="top" wrapText="1" readingOrder="1"/>
    </xf>
    <xf numFmtId="0" fontId="19" fillId="3" borderId="3" xfId="0" applyNumberFormat="1" applyFont="1" applyFill="1" applyBorder="1" applyAlignment="1">
      <alignment horizontal="center" vertical="top" wrapText="1" readingOrder="1"/>
    </xf>
    <xf numFmtId="177" fontId="19" fillId="3" borderId="3" xfId="0" applyNumberFormat="1" applyFont="1" applyFill="1" applyBorder="1" applyAlignment="1">
      <alignment horizontal="center" vertical="top" wrapText="1" readingOrder="1"/>
    </xf>
    <xf numFmtId="0" fontId="3" fillId="0" borderId="19" xfId="0" applyNumberFormat="1" applyFont="1" applyFill="1" applyBorder="1" applyAlignment="1">
      <alignment horizontal="left" vertical="center" wrapText="1" readingOrder="1"/>
    </xf>
    <xf numFmtId="176" fontId="3" fillId="0" borderId="19" xfId="0" applyNumberFormat="1" applyFont="1" applyFill="1" applyBorder="1" applyAlignment="1">
      <alignment horizontal="center" vertical="center" wrapText="1" readingOrder="1"/>
    </xf>
    <xf numFmtId="0" fontId="3" fillId="0" borderId="19" xfId="0" applyNumberFormat="1" applyFont="1" applyFill="1" applyBorder="1" applyAlignment="1">
      <alignment horizontal="center" vertical="center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218440</xdr:colOff>
      <xdr:row>1</xdr:row>
      <xdr:rowOff>28575</xdr:rowOff>
    </xdr:from>
    <xdr:to>
      <xdr:col>13</xdr:col>
      <xdr:colOff>728428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768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704215</xdr:colOff>
      <xdr:row>1</xdr:row>
      <xdr:rowOff>38100</xdr:rowOff>
    </xdr:from>
    <xdr:to>
      <xdr:col>13</xdr:col>
      <xdr:colOff>283928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0545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235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759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568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3759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991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854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743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807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378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4711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8807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473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7283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5187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165735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09569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68070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165735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120267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10331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46162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0647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0647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7499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0647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0</xdr:colOff>
      <xdr:row>1</xdr:row>
      <xdr:rowOff>0</xdr:rowOff>
    </xdr:from>
    <xdr:to>
      <xdr:col>13</xdr:col>
      <xdr:colOff>509905</xdr:colOff>
      <xdr:row>3</xdr:row>
      <xdr:rowOff>190500</xdr:rowOff>
    </xdr:to>
    <xdr:pic>
      <xdr:nvPicPr>
        <xdr:cNvPr id="3" name="Picture 1"/>
        <xdr:cNvPicPr/>
      </xdr:nvPicPr>
      <xdr:blipFill>
        <a:blip r:embed="rId1" cstate="print"/>
        <a:stretch>
          <a:fillRect/>
        </a:stretch>
      </xdr:blipFill>
      <xdr:spPr>
        <a:xfrm>
          <a:off x="10064750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34" sqref="K33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6.75" customWidth="1"/>
    <col min="11" max="11" width="18.75" customWidth="1"/>
    <col min="12" max="13" width="12.2083333333333" customWidth="1"/>
    <col min="14" max="14" width="13.625" customWidth="1"/>
  </cols>
  <sheetData>
    <row r="1" spans="2:14">
      <c r="C1" s="1" t="s">
        <v>0</v>
      </c>
    </row>
    <row r="2" ht="23.05" customHeight="1"/>
    <row r="3" ht="2" customHeight="1"/>
    <row r="4" ht="15.2" customHeight="1" spans="2:14">
      <c r="B4" s="2" t="s">
        <v>1</v>
      </c>
    </row>
    <row r="6" ht="2.95" customHeight="1"/>
    <row r="7" ht="3.95" customHeight="1" spans="2:14"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/>
      <c r="J7" s="5"/>
      <c r="K7" s="5"/>
      <c r="L7" s="5"/>
      <c r="M7" s="5"/>
      <c r="N7" s="5"/>
    </row>
    <row r="8" ht="15" spans="2:14">
      <c r="C8" s="4" t="s">
        <v>2</v>
      </c>
      <c r="D8" s="127" t="s">
        <v>3</v>
      </c>
      <c r="E8" s="119" t="s">
        <v>2</v>
      </c>
      <c r="F8" s="119" t="s">
        <v>2</v>
      </c>
      <c r="G8" s="119" t="s">
        <v>2</v>
      </c>
      <c r="H8" s="119" t="s">
        <v>2</v>
      </c>
      <c r="I8" s="128"/>
      <c r="J8" s="129"/>
      <c r="K8" s="129"/>
      <c r="L8" s="129"/>
      <c r="M8" s="129"/>
      <c r="N8" s="129"/>
    </row>
    <row r="9" spans="2:14">
      <c r="C9" s="4" t="s">
        <v>2</v>
      </c>
      <c r="D9" s="130" t="s">
        <v>4</v>
      </c>
      <c r="E9" s="130" t="s">
        <v>5</v>
      </c>
      <c r="F9" s="130" t="s">
        <v>6</v>
      </c>
      <c r="G9" s="130" t="s">
        <v>7</v>
      </c>
      <c r="H9" s="130" t="s">
        <v>8</v>
      </c>
      <c r="I9" s="130" t="s">
        <v>9</v>
      </c>
      <c r="J9" s="130" t="s">
        <v>10</v>
      </c>
      <c r="K9" s="131" t="s">
        <v>11</v>
      </c>
      <c r="L9" s="132" t="s">
        <v>12</v>
      </c>
      <c r="M9" s="132" t="s">
        <v>13</v>
      </c>
      <c r="N9" s="132" t="s">
        <v>14</v>
      </c>
    </row>
    <row r="10" ht="14.25" spans="2:14">
      <c r="D10" s="65" t="s">
        <v>15</v>
      </c>
      <c r="E10" s="66" t="s">
        <v>2</v>
      </c>
      <c r="F10" s="66" t="s">
        <v>2</v>
      </c>
      <c r="G10" s="66" t="s">
        <v>2</v>
      </c>
      <c r="H10" s="66" t="s">
        <v>2</v>
      </c>
      <c r="I10" s="65">
        <v>1</v>
      </c>
      <c r="J10" s="67"/>
      <c r="K10" s="33"/>
      <c r="L10" s="33"/>
      <c r="M10" s="33"/>
      <c r="N10" s="33">
        <v>66</v>
      </c>
    </row>
    <row r="11" spans="2:14">
      <c r="D11" s="15">
        <v>46055</v>
      </c>
      <c r="E11" s="16">
        <v>1575623</v>
      </c>
      <c r="F11" s="16" t="s">
        <v>16</v>
      </c>
      <c r="G11" s="16">
        <v>20324062</v>
      </c>
      <c r="H11" s="16" t="s">
        <v>17</v>
      </c>
      <c r="I11" s="16">
        <v>1</v>
      </c>
      <c r="J11" s="70" t="s">
        <v>18</v>
      </c>
      <c r="K11" s="18">
        <f>M11/L11</f>
        <v>15</v>
      </c>
      <c r="L11" s="19">
        <v>4.4</v>
      </c>
      <c r="M11" s="19">
        <v>66</v>
      </c>
      <c r="N11" s="19">
        <v>66</v>
      </c>
    </row>
    <row r="12" ht="0.05" customHeight="1"/>
  </sheetData>
  <mergeCells count="6">
    <mergeCell ref="D8:H8"/>
    <mergeCell ref="D10:H10"/>
    <mergeCell ref="C9:C11"/>
    <mergeCell ref="B4:H5"/>
    <mergeCell ref="C1:H2"/>
    <mergeCell ref="A8:B11"/>
  </mergeCells>
  <pageMargins left="0.25" right="0.25" top="0.75" bottom="0.75" header="0.298611111111111" footer="0.298611111111111"/>
  <pageSetup paperSize="9" scale="98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K29" sqref="K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375" customWidth="1"/>
    <col min="12" max="12" width="13.25" customWidth="1"/>
    <col min="13" max="13" width="12.2083333333333" customWidth="1"/>
    <col min="14" max="14" width="11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19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6</v>
      </c>
      <c r="J8" s="67"/>
      <c r="K8" s="33"/>
      <c r="L8" s="33"/>
      <c r="M8" s="33"/>
      <c r="N8" s="33">
        <v>166.4</v>
      </c>
    </row>
    <row r="9" spans="1:14">
      <c r="D9" s="68">
        <v>46055</v>
      </c>
      <c r="E9" s="69">
        <v>1575624</v>
      </c>
      <c r="F9" s="29" t="s">
        <v>20</v>
      </c>
      <c r="G9" s="69">
        <v>20324401</v>
      </c>
      <c r="H9" s="69" t="s">
        <v>21</v>
      </c>
      <c r="I9" s="69">
        <v>2</v>
      </c>
      <c r="J9" s="60" t="s">
        <v>22</v>
      </c>
      <c r="K9" s="18">
        <v>1</v>
      </c>
      <c r="L9" s="19">
        <v>12.8</v>
      </c>
      <c r="M9" s="19">
        <v>12.8</v>
      </c>
      <c r="N9" s="19">
        <v>25.6</v>
      </c>
    </row>
    <row r="10" spans="1:14">
      <c r="D10" s="64">
        <v>46055</v>
      </c>
      <c r="E10" s="32">
        <v>1575624</v>
      </c>
      <c r="F10" s="31" t="s">
        <v>16</v>
      </c>
      <c r="G10" s="32">
        <v>20324662</v>
      </c>
      <c r="H10" s="32" t="s">
        <v>23</v>
      </c>
      <c r="I10" s="32">
        <v>2</v>
      </c>
      <c r="J10" s="30" t="s">
        <v>18</v>
      </c>
      <c r="K10" s="24">
        <f>M10/L10</f>
        <v>11</v>
      </c>
      <c r="L10" s="25">
        <v>4.4</v>
      </c>
      <c r="M10" s="25">
        <v>48.4</v>
      </c>
      <c r="N10" s="25">
        <v>96.8</v>
      </c>
    </row>
    <row r="11" spans="1:14">
      <c r="D11" s="64">
        <v>46055</v>
      </c>
      <c r="E11" s="32">
        <v>1575624</v>
      </c>
      <c r="F11" s="31" t="s">
        <v>16</v>
      </c>
      <c r="G11" s="32">
        <v>20324661</v>
      </c>
      <c r="H11" s="32" t="s">
        <v>24</v>
      </c>
      <c r="I11" s="32">
        <v>2</v>
      </c>
      <c r="J11" s="30" t="s">
        <v>18</v>
      </c>
      <c r="K11" s="24">
        <f>M11/L11</f>
        <v>5</v>
      </c>
      <c r="L11" s="25">
        <v>4.4</v>
      </c>
      <c r="M11" s="25">
        <v>22</v>
      </c>
      <c r="N11" s="25">
        <v>44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75" customWidth="1"/>
    <col min="11" max="11" width="17.875" customWidth="1"/>
    <col min="12" max="12" width="13.5" customWidth="1"/>
    <col min="13" max="13" width="12.2083333333333" customWidth="1"/>
    <col min="14" max="14" width="11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125" t="s">
        <v>4</v>
      </c>
      <c r="E7" s="126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25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79</v>
      </c>
      <c r="J8" s="67"/>
      <c r="K8" s="33"/>
      <c r="L8" s="33"/>
      <c r="M8" s="33"/>
      <c r="N8" s="33">
        <v>7227.6</v>
      </c>
    </row>
    <row r="9" spans="1:14">
      <c r="D9" s="68">
        <v>46055</v>
      </c>
      <c r="E9" s="69">
        <v>1575625</v>
      </c>
      <c r="F9" s="69" t="s">
        <v>26</v>
      </c>
      <c r="G9" s="69">
        <v>20330731</v>
      </c>
      <c r="H9" s="69" t="s">
        <v>27</v>
      </c>
      <c r="I9" s="69">
        <v>4</v>
      </c>
      <c r="J9" s="70" t="s">
        <v>18</v>
      </c>
      <c r="K9" s="18">
        <f>M9/L9</f>
        <v>20</v>
      </c>
      <c r="L9" s="19">
        <v>4.4</v>
      </c>
      <c r="M9" s="19">
        <v>88</v>
      </c>
      <c r="N9" s="19">
        <v>352</v>
      </c>
    </row>
    <row r="10" spans="1:14">
      <c r="D10" s="64">
        <v>46055</v>
      </c>
      <c r="E10" s="32">
        <v>1575625</v>
      </c>
      <c r="F10" s="32" t="s">
        <v>20</v>
      </c>
      <c r="G10" s="32">
        <v>20324428</v>
      </c>
      <c r="H10" s="32" t="s">
        <v>28</v>
      </c>
      <c r="I10" s="32">
        <v>3</v>
      </c>
      <c r="J10" s="31" t="s">
        <v>29</v>
      </c>
      <c r="K10" s="24">
        <v>1</v>
      </c>
      <c r="L10" s="25">
        <v>6.4</v>
      </c>
      <c r="M10" s="25">
        <v>6.4</v>
      </c>
      <c r="N10" s="25">
        <v>19.2</v>
      </c>
    </row>
    <row r="11" spans="1:14">
      <c r="D11" s="64">
        <v>46055</v>
      </c>
      <c r="E11" s="32">
        <v>1575625</v>
      </c>
      <c r="F11" s="32" t="s">
        <v>20</v>
      </c>
      <c r="G11" s="32">
        <v>20324363</v>
      </c>
      <c r="H11" s="32" t="s">
        <v>30</v>
      </c>
      <c r="I11" s="32">
        <v>1</v>
      </c>
      <c r="J11" s="31" t="s">
        <v>29</v>
      </c>
      <c r="K11" s="24">
        <v>1</v>
      </c>
      <c r="L11" s="25">
        <v>6.4</v>
      </c>
      <c r="M11" s="25">
        <v>6.4</v>
      </c>
      <c r="N11" s="25">
        <v>6.4</v>
      </c>
    </row>
    <row r="12" spans="1:14">
      <c r="D12" s="64">
        <v>46055</v>
      </c>
      <c r="E12" s="32">
        <v>1575625</v>
      </c>
      <c r="F12" s="32" t="s">
        <v>20</v>
      </c>
      <c r="G12" s="32">
        <v>20324485</v>
      </c>
      <c r="H12" s="32" t="s">
        <v>31</v>
      </c>
      <c r="I12" s="32">
        <v>2</v>
      </c>
      <c r="J12" s="31" t="s">
        <v>29</v>
      </c>
      <c r="K12" s="24">
        <v>1</v>
      </c>
      <c r="L12" s="25">
        <v>6.4</v>
      </c>
      <c r="M12" s="25">
        <v>6.4</v>
      </c>
      <c r="N12" s="25">
        <v>12.8</v>
      </c>
    </row>
    <row r="13" ht="25.5" spans="1:14">
      <c r="D13" s="64">
        <v>46055</v>
      </c>
      <c r="E13" s="32">
        <v>1575625</v>
      </c>
      <c r="F13" s="32" t="s">
        <v>20</v>
      </c>
      <c r="G13" s="32">
        <v>20328286</v>
      </c>
      <c r="H13" s="32" t="s">
        <v>32</v>
      </c>
      <c r="I13" s="32">
        <v>1</v>
      </c>
      <c r="J13" s="30" t="s">
        <v>18</v>
      </c>
      <c r="K13" s="24">
        <f>M13/L13</f>
        <v>99</v>
      </c>
      <c r="L13" s="25">
        <v>4.4</v>
      </c>
      <c r="M13" s="25">
        <v>435.6</v>
      </c>
      <c r="N13" s="25">
        <v>435.6</v>
      </c>
    </row>
    <row r="14" spans="1:14">
      <c r="D14" s="64">
        <v>46056</v>
      </c>
      <c r="E14" s="32">
        <v>1575698</v>
      </c>
      <c r="F14" s="32" t="s">
        <v>20</v>
      </c>
      <c r="G14" s="32">
        <v>20327039</v>
      </c>
      <c r="H14" s="32" t="s">
        <v>33</v>
      </c>
      <c r="I14" s="32">
        <v>1</v>
      </c>
      <c r="J14" s="34" t="s">
        <v>34</v>
      </c>
      <c r="K14" s="24" t="s">
        <v>35</v>
      </c>
      <c r="L14" s="25">
        <v>240</v>
      </c>
      <c r="M14" s="25">
        <v>275.2</v>
      </c>
      <c r="N14" s="25">
        <v>275.2</v>
      </c>
    </row>
    <row r="15" spans="1:14">
      <c r="D15" s="64"/>
      <c r="E15" s="32"/>
      <c r="F15" s="32"/>
      <c r="G15" s="32"/>
      <c r="H15" s="32"/>
      <c r="I15" s="32"/>
      <c r="J15" s="30" t="s">
        <v>36</v>
      </c>
      <c r="K15" s="24">
        <v>1</v>
      </c>
      <c r="L15" s="25">
        <v>17.6</v>
      </c>
      <c r="M15" s="25"/>
      <c r="N15" s="25"/>
    </row>
    <row r="16" spans="1:14">
      <c r="D16" s="64"/>
      <c r="E16" s="32"/>
      <c r="F16" s="32"/>
      <c r="G16" s="32"/>
      <c r="H16" s="32"/>
      <c r="I16" s="32"/>
      <c r="J16" s="30" t="s">
        <v>36</v>
      </c>
      <c r="K16" s="24">
        <v>1</v>
      </c>
      <c r="L16" s="25">
        <v>17.6</v>
      </c>
      <c r="M16" s="25"/>
      <c r="N16" s="25"/>
    </row>
    <row r="17" spans="4:14">
      <c r="D17" s="64">
        <v>46056</v>
      </c>
      <c r="E17" s="32">
        <v>1575982</v>
      </c>
      <c r="F17" s="32" t="s">
        <v>26</v>
      </c>
      <c r="G17" s="32">
        <v>20330731</v>
      </c>
      <c r="H17" s="32" t="s">
        <v>27</v>
      </c>
      <c r="I17" s="32">
        <v>3</v>
      </c>
      <c r="J17" s="30" t="s">
        <v>18</v>
      </c>
      <c r="K17" s="24">
        <f>M17/L17</f>
        <v>20</v>
      </c>
      <c r="L17" s="25">
        <v>4.4</v>
      </c>
      <c r="M17" s="25">
        <v>88</v>
      </c>
      <c r="N17" s="25">
        <v>264</v>
      </c>
    </row>
    <row r="18" spans="4:14">
      <c r="D18" s="64">
        <v>46056</v>
      </c>
      <c r="E18" s="32">
        <v>1575982</v>
      </c>
      <c r="F18" s="32" t="s">
        <v>20</v>
      </c>
      <c r="G18" s="32">
        <v>20411693</v>
      </c>
      <c r="H18" s="32" t="s">
        <v>37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46056</v>
      </c>
      <c r="E19" s="32">
        <v>1575982</v>
      </c>
      <c r="F19" s="32" t="s">
        <v>20</v>
      </c>
      <c r="G19" s="32">
        <v>20411692</v>
      </c>
      <c r="H19" s="32" t="s">
        <v>38</v>
      </c>
      <c r="I19" s="32">
        <v>1</v>
      </c>
      <c r="J19" s="31" t="s">
        <v>29</v>
      </c>
      <c r="K19" s="24">
        <v>1</v>
      </c>
      <c r="L19" s="25">
        <v>6.4</v>
      </c>
      <c r="M19" s="25">
        <v>6.4</v>
      </c>
      <c r="N19" s="25">
        <v>6.4</v>
      </c>
    </row>
    <row r="20" spans="4:14">
      <c r="D20" s="64">
        <v>46056</v>
      </c>
      <c r="E20" s="32">
        <v>1575982</v>
      </c>
      <c r="F20" s="32" t="s">
        <v>20</v>
      </c>
      <c r="G20" s="32">
        <v>20324855</v>
      </c>
      <c r="H20" s="32" t="s">
        <v>39</v>
      </c>
      <c r="I20" s="32">
        <v>1</v>
      </c>
      <c r="J20" s="31" t="s">
        <v>29</v>
      </c>
      <c r="K20" s="24">
        <v>1</v>
      </c>
      <c r="L20" s="25">
        <v>6.4</v>
      </c>
      <c r="M20" s="25">
        <v>6.4</v>
      </c>
      <c r="N20" s="25">
        <v>6.4</v>
      </c>
    </row>
    <row r="21" spans="4:14">
      <c r="D21" s="64">
        <v>46057</v>
      </c>
      <c r="E21" s="32">
        <v>1576307</v>
      </c>
      <c r="F21" s="32" t="s">
        <v>26</v>
      </c>
      <c r="G21" s="32">
        <v>20330731</v>
      </c>
      <c r="H21" s="32" t="s">
        <v>27</v>
      </c>
      <c r="I21" s="32">
        <v>4</v>
      </c>
      <c r="J21" s="30" t="s">
        <v>18</v>
      </c>
      <c r="K21" s="24">
        <f t="shared" ref="K21:K26" si="0">M21/L21</f>
        <v>20</v>
      </c>
      <c r="L21" s="25">
        <v>4.4</v>
      </c>
      <c r="M21" s="25">
        <v>88</v>
      </c>
      <c r="N21" s="25">
        <v>352</v>
      </c>
    </row>
    <row r="22" spans="4:14">
      <c r="D22" s="64">
        <v>46057</v>
      </c>
      <c r="E22" s="32">
        <v>1576307</v>
      </c>
      <c r="F22" s="32" t="s">
        <v>20</v>
      </c>
      <c r="G22" s="32">
        <v>20324428</v>
      </c>
      <c r="H22" s="32" t="s">
        <v>28</v>
      </c>
      <c r="I22" s="32">
        <v>3</v>
      </c>
      <c r="J22" s="31" t="s">
        <v>29</v>
      </c>
      <c r="K22" s="24">
        <v>1</v>
      </c>
      <c r="L22" s="25">
        <v>6.4</v>
      </c>
      <c r="M22" s="25">
        <v>6.4</v>
      </c>
      <c r="N22" s="25">
        <v>19.2</v>
      </c>
    </row>
    <row r="23" spans="4:14">
      <c r="D23" s="64">
        <v>46057</v>
      </c>
      <c r="E23" s="32">
        <v>1576307</v>
      </c>
      <c r="F23" s="32" t="s">
        <v>20</v>
      </c>
      <c r="G23" s="32">
        <v>20324855</v>
      </c>
      <c r="H23" s="32" t="s">
        <v>39</v>
      </c>
      <c r="I23" s="32">
        <v>2</v>
      </c>
      <c r="J23" s="31" t="s">
        <v>29</v>
      </c>
      <c r="K23" s="24">
        <v>1</v>
      </c>
      <c r="L23" s="25">
        <v>6.4</v>
      </c>
      <c r="M23" s="25">
        <v>6.4</v>
      </c>
      <c r="N23" s="25">
        <v>12.8</v>
      </c>
    </row>
    <row r="24" ht="25.5" spans="4:14">
      <c r="D24" s="64">
        <v>46057</v>
      </c>
      <c r="E24" s="32">
        <v>1576307</v>
      </c>
      <c r="F24" s="32" t="s">
        <v>20</v>
      </c>
      <c r="G24" s="32">
        <v>20324972</v>
      </c>
      <c r="H24" s="32" t="s">
        <v>40</v>
      </c>
      <c r="I24" s="32">
        <v>1</v>
      </c>
      <c r="J24" s="30" t="s">
        <v>18</v>
      </c>
      <c r="K24" s="24">
        <f t="shared" si="0"/>
        <v>78</v>
      </c>
      <c r="L24" s="25">
        <v>4.4</v>
      </c>
      <c r="M24" s="25">
        <v>343.2</v>
      </c>
      <c r="N24" s="25">
        <v>343.2</v>
      </c>
    </row>
    <row r="25" spans="4:14">
      <c r="D25" s="64">
        <v>46057</v>
      </c>
      <c r="E25" s="32">
        <v>1576307</v>
      </c>
      <c r="F25" s="32" t="s">
        <v>41</v>
      </c>
      <c r="G25" s="32">
        <v>20324955</v>
      </c>
      <c r="H25" s="32" t="s">
        <v>42</v>
      </c>
      <c r="I25" s="32">
        <v>2</v>
      </c>
      <c r="J25" s="30" t="s">
        <v>43</v>
      </c>
      <c r="K25" s="24">
        <v>1</v>
      </c>
      <c r="L25" s="25">
        <v>2</v>
      </c>
      <c r="M25" s="25">
        <v>2</v>
      </c>
      <c r="N25" s="25">
        <v>4</v>
      </c>
    </row>
    <row r="26" spans="4:14">
      <c r="D26" s="64">
        <v>46058</v>
      </c>
      <c r="E26" s="32">
        <v>1576657</v>
      </c>
      <c r="F26" s="32" t="s">
        <v>26</v>
      </c>
      <c r="G26" s="32">
        <v>20330731</v>
      </c>
      <c r="H26" s="32" t="s">
        <v>27</v>
      </c>
      <c r="I26" s="32">
        <v>4</v>
      </c>
      <c r="J26" s="30" t="s">
        <v>18</v>
      </c>
      <c r="K26" s="24">
        <f t="shared" si="0"/>
        <v>20</v>
      </c>
      <c r="L26" s="25">
        <v>4.4</v>
      </c>
      <c r="M26" s="25">
        <v>88</v>
      </c>
      <c r="N26" s="25">
        <v>352</v>
      </c>
    </row>
    <row r="27" spans="4:14">
      <c r="D27" s="64">
        <v>46059</v>
      </c>
      <c r="E27" s="32">
        <v>1576718</v>
      </c>
      <c r="F27" s="32" t="s">
        <v>20</v>
      </c>
      <c r="G27" s="32">
        <v>20333894</v>
      </c>
      <c r="H27" s="32" t="s">
        <v>44</v>
      </c>
      <c r="I27" s="32">
        <v>1</v>
      </c>
      <c r="J27" s="34" t="s">
        <v>34</v>
      </c>
      <c r="K27" s="24" t="s">
        <v>35</v>
      </c>
      <c r="L27" s="25">
        <v>240</v>
      </c>
      <c r="M27" s="25">
        <v>240</v>
      </c>
      <c r="N27" s="25">
        <v>240</v>
      </c>
    </row>
    <row r="28" spans="4:14">
      <c r="D28" s="64">
        <v>46060</v>
      </c>
      <c r="E28" s="32">
        <v>1577028</v>
      </c>
      <c r="F28" s="32" t="s">
        <v>26</v>
      </c>
      <c r="G28" s="32">
        <v>20330731</v>
      </c>
      <c r="H28" s="32" t="s">
        <v>27</v>
      </c>
      <c r="I28" s="32">
        <v>4</v>
      </c>
      <c r="J28" s="30" t="s">
        <v>18</v>
      </c>
      <c r="K28" s="24">
        <f t="shared" ref="K28:K31" si="1">M28/L28</f>
        <v>20</v>
      </c>
      <c r="L28" s="25">
        <v>4.4</v>
      </c>
      <c r="M28" s="25">
        <v>88</v>
      </c>
      <c r="N28" s="25">
        <v>352</v>
      </c>
    </row>
    <row r="29" spans="4:14">
      <c r="D29" s="64">
        <v>46060</v>
      </c>
      <c r="E29" s="32">
        <v>1577028</v>
      </c>
      <c r="F29" s="32" t="s">
        <v>20</v>
      </c>
      <c r="G29" s="32">
        <v>20324428</v>
      </c>
      <c r="H29" s="32" t="s">
        <v>28</v>
      </c>
      <c r="I29" s="32">
        <v>1</v>
      </c>
      <c r="J29" s="31" t="s">
        <v>29</v>
      </c>
      <c r="K29" s="24">
        <v>1</v>
      </c>
      <c r="L29" s="25">
        <v>6.4</v>
      </c>
      <c r="M29" s="25">
        <v>6.4</v>
      </c>
      <c r="N29" s="25">
        <v>6.4</v>
      </c>
    </row>
    <row r="30" ht="25.5" spans="4:14">
      <c r="D30" s="64">
        <v>46060</v>
      </c>
      <c r="E30" s="32">
        <v>1577028</v>
      </c>
      <c r="F30" s="32" t="s">
        <v>20</v>
      </c>
      <c r="G30" s="32">
        <v>20325852</v>
      </c>
      <c r="H30" s="32" t="s">
        <v>45</v>
      </c>
      <c r="I30" s="32">
        <v>1</v>
      </c>
      <c r="J30" s="30" t="s">
        <v>18</v>
      </c>
      <c r="K30" s="24">
        <f t="shared" si="1"/>
        <v>69</v>
      </c>
      <c r="L30" s="25">
        <v>4.4</v>
      </c>
      <c r="M30" s="25">
        <v>303.6</v>
      </c>
      <c r="N30" s="25">
        <v>303.6</v>
      </c>
    </row>
    <row r="31" spans="4:14">
      <c r="D31" s="64">
        <v>46062</v>
      </c>
      <c r="E31" s="32">
        <v>1577489</v>
      </c>
      <c r="F31" s="32" t="s">
        <v>26</v>
      </c>
      <c r="G31" s="32">
        <v>20330731</v>
      </c>
      <c r="H31" s="32" t="s">
        <v>27</v>
      </c>
      <c r="I31" s="32">
        <v>3</v>
      </c>
      <c r="J31" s="30" t="s">
        <v>18</v>
      </c>
      <c r="K31" s="24">
        <f t="shared" si="1"/>
        <v>20</v>
      </c>
      <c r="L31" s="25">
        <v>4.4</v>
      </c>
      <c r="M31" s="25">
        <v>88</v>
      </c>
      <c r="N31" s="25">
        <v>264</v>
      </c>
    </row>
    <row r="32" spans="4:14">
      <c r="D32" s="64">
        <v>46062</v>
      </c>
      <c r="E32" s="32">
        <v>1577489</v>
      </c>
      <c r="F32" s="32" t="s">
        <v>20</v>
      </c>
      <c r="G32" s="32">
        <v>20324428</v>
      </c>
      <c r="H32" s="32" t="s">
        <v>28</v>
      </c>
      <c r="I32" s="32">
        <v>1</v>
      </c>
      <c r="J32" s="31" t="s">
        <v>29</v>
      </c>
      <c r="K32" s="24">
        <v>1</v>
      </c>
      <c r="L32" s="25">
        <v>6.4</v>
      </c>
      <c r="M32" s="25">
        <v>6.4</v>
      </c>
      <c r="N32" s="25">
        <v>6.4</v>
      </c>
    </row>
    <row r="33" ht="25.5" spans="4:14">
      <c r="D33" s="64">
        <v>46062</v>
      </c>
      <c r="E33" s="32">
        <v>1577489</v>
      </c>
      <c r="F33" s="32" t="s">
        <v>20</v>
      </c>
      <c r="G33" s="32">
        <v>20336649</v>
      </c>
      <c r="H33" s="32" t="s">
        <v>46</v>
      </c>
      <c r="I33" s="32">
        <v>1</v>
      </c>
      <c r="J33" s="30" t="s">
        <v>18</v>
      </c>
      <c r="K33" s="24">
        <f>M33/L33</f>
        <v>89</v>
      </c>
      <c r="L33" s="25">
        <v>4.4</v>
      </c>
      <c r="M33" s="25">
        <v>391.6</v>
      </c>
      <c r="N33" s="25">
        <v>391.6</v>
      </c>
    </row>
    <row r="34" spans="4:14">
      <c r="D34" s="64">
        <v>46062</v>
      </c>
      <c r="E34" s="32">
        <v>1577547</v>
      </c>
      <c r="F34" s="32" t="s">
        <v>20</v>
      </c>
      <c r="G34" s="32">
        <v>20335536</v>
      </c>
      <c r="H34" s="32" t="s">
        <v>47</v>
      </c>
      <c r="I34" s="32">
        <v>1</v>
      </c>
      <c r="J34" s="34" t="s">
        <v>34</v>
      </c>
      <c r="K34" s="24" t="s">
        <v>35</v>
      </c>
      <c r="L34" s="25">
        <v>240</v>
      </c>
      <c r="M34" s="25">
        <v>292.8</v>
      </c>
      <c r="N34" s="25">
        <v>292.8</v>
      </c>
    </row>
    <row r="35" spans="4:14">
      <c r="D35" s="64"/>
      <c r="E35" s="32"/>
      <c r="F35" s="32"/>
      <c r="G35" s="32"/>
      <c r="H35" s="32"/>
      <c r="I35" s="32"/>
      <c r="J35" s="30" t="s">
        <v>36</v>
      </c>
      <c r="K35" s="24">
        <v>1</v>
      </c>
      <c r="L35" s="25">
        <v>17.6</v>
      </c>
      <c r="M35" s="25"/>
      <c r="N35" s="25"/>
    </row>
    <row r="36" spans="4:14">
      <c r="D36" s="64"/>
      <c r="E36" s="32"/>
      <c r="F36" s="32"/>
      <c r="G36" s="32"/>
      <c r="H36" s="32"/>
      <c r="I36" s="32"/>
      <c r="J36" s="30" t="s">
        <v>36</v>
      </c>
      <c r="K36" s="24">
        <v>1</v>
      </c>
      <c r="L36" s="25">
        <v>17.6</v>
      </c>
      <c r="M36" s="25"/>
      <c r="N36" s="25"/>
    </row>
    <row r="37" spans="4:14">
      <c r="D37" s="64"/>
      <c r="E37" s="32"/>
      <c r="F37" s="32"/>
      <c r="G37" s="32"/>
      <c r="H37" s="32"/>
      <c r="I37" s="32"/>
      <c r="J37" s="30" t="s">
        <v>36</v>
      </c>
      <c r="K37" s="24">
        <v>1</v>
      </c>
      <c r="L37" s="25">
        <v>17.6</v>
      </c>
      <c r="M37" s="25"/>
      <c r="N37" s="25"/>
    </row>
    <row r="38" spans="4:14">
      <c r="D38" s="64">
        <v>46063</v>
      </c>
      <c r="E38" s="32">
        <v>1577848</v>
      </c>
      <c r="F38" s="32" t="s">
        <v>26</v>
      </c>
      <c r="G38" s="32">
        <v>20330731</v>
      </c>
      <c r="H38" s="32" t="s">
        <v>27</v>
      </c>
      <c r="I38" s="32">
        <v>4</v>
      </c>
      <c r="J38" s="30" t="s">
        <v>18</v>
      </c>
      <c r="K38" s="24">
        <f t="shared" ref="K38:K40" si="2">M38/L38</f>
        <v>20</v>
      </c>
      <c r="L38" s="25">
        <v>4.4</v>
      </c>
      <c r="M38" s="25">
        <v>88</v>
      </c>
      <c r="N38" s="25">
        <v>352</v>
      </c>
    </row>
    <row r="39" spans="4:14">
      <c r="D39" s="64">
        <v>46064</v>
      </c>
      <c r="E39" s="32">
        <v>1578097</v>
      </c>
      <c r="F39" s="32" t="s">
        <v>26</v>
      </c>
      <c r="G39" s="32">
        <v>20330731</v>
      </c>
      <c r="H39" s="32" t="s">
        <v>27</v>
      </c>
      <c r="I39" s="32">
        <v>3</v>
      </c>
      <c r="J39" s="30" t="s">
        <v>18</v>
      </c>
      <c r="K39" s="24">
        <f t="shared" si="2"/>
        <v>20</v>
      </c>
      <c r="L39" s="25">
        <v>4.4</v>
      </c>
      <c r="M39" s="25">
        <v>88</v>
      </c>
      <c r="N39" s="25">
        <v>264</v>
      </c>
    </row>
    <row r="40" spans="4:14">
      <c r="D40" s="64">
        <v>46065</v>
      </c>
      <c r="E40" s="32">
        <v>1578451</v>
      </c>
      <c r="F40" s="32" t="s">
        <v>26</v>
      </c>
      <c r="G40" s="32">
        <v>20330731</v>
      </c>
      <c r="H40" s="32" t="s">
        <v>27</v>
      </c>
      <c r="I40" s="32">
        <v>2</v>
      </c>
      <c r="J40" s="30" t="s">
        <v>18</v>
      </c>
      <c r="K40" s="24">
        <f t="shared" si="2"/>
        <v>20</v>
      </c>
      <c r="L40" s="25">
        <v>4.4</v>
      </c>
      <c r="M40" s="25">
        <v>88</v>
      </c>
      <c r="N40" s="25">
        <v>176</v>
      </c>
    </row>
    <row r="41" spans="4:14">
      <c r="D41" s="64">
        <v>46065</v>
      </c>
      <c r="E41" s="32">
        <v>1578451</v>
      </c>
      <c r="F41" s="32" t="s">
        <v>41</v>
      </c>
      <c r="G41" s="32">
        <v>20324955</v>
      </c>
      <c r="H41" s="32" t="s">
        <v>42</v>
      </c>
      <c r="I41" s="32">
        <v>1</v>
      </c>
      <c r="J41" s="30" t="s">
        <v>43</v>
      </c>
      <c r="K41" s="24">
        <v>1</v>
      </c>
      <c r="L41" s="25">
        <v>2</v>
      </c>
      <c r="M41" s="25">
        <v>2</v>
      </c>
      <c r="N41" s="25">
        <v>2</v>
      </c>
    </row>
    <row r="42" spans="4:14">
      <c r="D42" s="64">
        <v>46066</v>
      </c>
      <c r="E42" s="32">
        <v>1578707</v>
      </c>
      <c r="F42" s="32" t="s">
        <v>26</v>
      </c>
      <c r="G42" s="32">
        <v>20330731</v>
      </c>
      <c r="H42" s="32" t="s">
        <v>27</v>
      </c>
      <c r="I42" s="32">
        <v>3</v>
      </c>
      <c r="J42" s="30" t="s">
        <v>18</v>
      </c>
      <c r="K42" s="24">
        <f>M42/L42</f>
        <v>20</v>
      </c>
      <c r="L42" s="25">
        <v>4.4</v>
      </c>
      <c r="M42" s="25">
        <v>88</v>
      </c>
      <c r="N42" s="25">
        <v>264</v>
      </c>
    </row>
    <row r="43" ht="25.5" spans="4:14">
      <c r="D43" s="64">
        <v>46066</v>
      </c>
      <c r="E43" s="32">
        <v>1578707</v>
      </c>
      <c r="F43" s="32" t="s">
        <v>20</v>
      </c>
      <c r="G43" s="32">
        <v>20326302</v>
      </c>
      <c r="H43" s="32" t="s">
        <v>48</v>
      </c>
      <c r="I43" s="32">
        <v>1</v>
      </c>
      <c r="J43" s="30" t="s">
        <v>18</v>
      </c>
      <c r="K43" s="24">
        <f>M43/L43</f>
        <v>96</v>
      </c>
      <c r="L43" s="25">
        <v>4.4</v>
      </c>
      <c r="M43" s="25">
        <v>422.4</v>
      </c>
      <c r="N43" s="25">
        <v>422.4</v>
      </c>
    </row>
    <row r="44" spans="4:14">
      <c r="D44" s="64">
        <v>46066</v>
      </c>
      <c r="E44" s="32">
        <v>1578787</v>
      </c>
      <c r="F44" s="32" t="s">
        <v>20</v>
      </c>
      <c r="G44" s="32">
        <v>20335536</v>
      </c>
      <c r="H44" s="32" t="s">
        <v>49</v>
      </c>
      <c r="I44" s="32">
        <v>1</v>
      </c>
      <c r="J44" s="34" t="s">
        <v>34</v>
      </c>
      <c r="K44" s="24" t="s">
        <v>35</v>
      </c>
      <c r="L44" s="25">
        <v>240</v>
      </c>
      <c r="M44" s="25">
        <v>292.8</v>
      </c>
      <c r="N44" s="25">
        <v>292.8</v>
      </c>
    </row>
    <row r="45" spans="4:14">
      <c r="D45" s="64"/>
      <c r="E45" s="32"/>
      <c r="F45" s="32"/>
      <c r="G45" s="32"/>
      <c r="H45" s="32"/>
      <c r="I45" s="32"/>
      <c r="J45" s="30" t="s">
        <v>36</v>
      </c>
      <c r="K45" s="24">
        <v>1</v>
      </c>
      <c r="L45" s="25">
        <v>17.6</v>
      </c>
      <c r="M45" s="25"/>
      <c r="N45" s="25"/>
    </row>
    <row r="46" spans="4:14">
      <c r="D46" s="64"/>
      <c r="E46" s="32"/>
      <c r="F46" s="32"/>
      <c r="G46" s="32"/>
      <c r="H46" s="32"/>
      <c r="I46" s="32"/>
      <c r="J46" s="30" t="s">
        <v>36</v>
      </c>
      <c r="K46" s="24">
        <v>1</v>
      </c>
      <c r="L46" s="25">
        <v>17.6</v>
      </c>
      <c r="M46" s="25"/>
      <c r="N46" s="25"/>
    </row>
    <row r="47" spans="4:14">
      <c r="D47" s="64"/>
      <c r="E47" s="32"/>
      <c r="F47" s="32"/>
      <c r="G47" s="32"/>
      <c r="H47" s="32"/>
      <c r="I47" s="32"/>
      <c r="J47" s="30" t="s">
        <v>36</v>
      </c>
      <c r="K47" s="24">
        <v>1</v>
      </c>
      <c r="L47" s="25">
        <v>17.6</v>
      </c>
      <c r="M47" s="25"/>
      <c r="N47" s="25"/>
    </row>
    <row r="48" spans="4:14">
      <c r="D48" s="64">
        <v>46067</v>
      </c>
      <c r="E48" s="32">
        <v>1579026</v>
      </c>
      <c r="F48" s="32" t="s">
        <v>26</v>
      </c>
      <c r="G48" s="32">
        <v>20330731</v>
      </c>
      <c r="H48" s="32" t="s">
        <v>27</v>
      </c>
      <c r="I48" s="32">
        <v>2</v>
      </c>
      <c r="J48" s="30" t="s">
        <v>18</v>
      </c>
      <c r="K48" s="24">
        <f t="shared" ref="K48:K54" si="3">M48/L48</f>
        <v>20</v>
      </c>
      <c r="L48" s="25">
        <v>4.4</v>
      </c>
      <c r="M48" s="25">
        <v>88</v>
      </c>
      <c r="N48" s="25">
        <v>176</v>
      </c>
    </row>
    <row r="49" spans="4:14">
      <c r="D49" s="64">
        <v>46074</v>
      </c>
      <c r="E49" s="32">
        <v>1579337</v>
      </c>
      <c r="F49" s="32" t="s">
        <v>26</v>
      </c>
      <c r="G49" s="32">
        <v>20330731</v>
      </c>
      <c r="H49" s="32" t="s">
        <v>27</v>
      </c>
      <c r="I49" s="32">
        <v>1</v>
      </c>
      <c r="J49" s="30" t="s">
        <v>18</v>
      </c>
      <c r="K49" s="24">
        <f t="shared" si="3"/>
        <v>20</v>
      </c>
      <c r="L49" s="25">
        <v>4.4</v>
      </c>
      <c r="M49" s="25">
        <v>88</v>
      </c>
      <c r="N49" s="25">
        <v>88</v>
      </c>
    </row>
    <row r="50" spans="4:14">
      <c r="D50" s="64">
        <v>46074</v>
      </c>
      <c r="E50" s="32">
        <v>1579337</v>
      </c>
      <c r="F50" s="32" t="s">
        <v>20</v>
      </c>
      <c r="G50" s="32">
        <v>20324967</v>
      </c>
      <c r="H50" s="32" t="s">
        <v>50</v>
      </c>
      <c r="I50" s="32">
        <v>1</v>
      </c>
      <c r="J50" s="30" t="s">
        <v>51</v>
      </c>
      <c r="K50" s="24" t="s">
        <v>52</v>
      </c>
      <c r="L50" s="25">
        <v>132</v>
      </c>
      <c r="M50" s="25">
        <v>132</v>
      </c>
      <c r="N50" s="25">
        <v>132</v>
      </c>
    </row>
    <row r="51" spans="4:14">
      <c r="D51" s="64">
        <v>46074</v>
      </c>
      <c r="E51" s="32">
        <v>1579337</v>
      </c>
      <c r="F51" s="32" t="s">
        <v>20</v>
      </c>
      <c r="G51" s="32">
        <v>20325627</v>
      </c>
      <c r="H51" s="32" t="s">
        <v>53</v>
      </c>
      <c r="I51" s="32">
        <v>1</v>
      </c>
      <c r="J51" s="30" t="s">
        <v>18</v>
      </c>
      <c r="K51" s="24" t="s">
        <v>54</v>
      </c>
      <c r="L51" s="25">
        <v>4.4</v>
      </c>
      <c r="M51" s="25">
        <v>57.2</v>
      </c>
      <c r="N51" s="25">
        <v>57.2</v>
      </c>
    </row>
    <row r="52" spans="4:14">
      <c r="D52" s="64">
        <v>46077</v>
      </c>
      <c r="E52" s="32">
        <v>1579609</v>
      </c>
      <c r="F52" s="32" t="s">
        <v>26</v>
      </c>
      <c r="G52" s="32">
        <v>20330731</v>
      </c>
      <c r="H52" s="32" t="s">
        <v>27</v>
      </c>
      <c r="I52" s="32">
        <v>1</v>
      </c>
      <c r="J52" s="30" t="s">
        <v>18</v>
      </c>
      <c r="K52" s="24">
        <f t="shared" si="3"/>
        <v>20</v>
      </c>
      <c r="L52" s="25">
        <v>4.4</v>
      </c>
      <c r="M52" s="25">
        <v>88</v>
      </c>
      <c r="N52" s="25">
        <v>88</v>
      </c>
    </row>
    <row r="53" spans="4:14">
      <c r="D53" s="64">
        <v>46077</v>
      </c>
      <c r="E53" s="32">
        <v>1579609</v>
      </c>
      <c r="F53" s="32" t="s">
        <v>20</v>
      </c>
      <c r="G53" s="32">
        <v>20332066</v>
      </c>
      <c r="H53" s="32" t="s">
        <v>55</v>
      </c>
      <c r="I53" s="32">
        <v>1</v>
      </c>
      <c r="J53" s="30" t="s">
        <v>18</v>
      </c>
      <c r="K53" s="24" t="s">
        <v>56</v>
      </c>
      <c r="L53" s="25">
        <v>4.4</v>
      </c>
      <c r="M53" s="25">
        <v>35.2</v>
      </c>
      <c r="N53" s="25">
        <v>35.2</v>
      </c>
    </row>
    <row r="54" spans="4:14">
      <c r="D54" s="64">
        <v>46080</v>
      </c>
      <c r="E54" s="32">
        <v>1580522</v>
      </c>
      <c r="F54" s="32" t="s">
        <v>26</v>
      </c>
      <c r="G54" s="32">
        <v>20330731</v>
      </c>
      <c r="H54" s="32" t="s">
        <v>27</v>
      </c>
      <c r="I54" s="32">
        <v>3</v>
      </c>
      <c r="J54" s="30" t="s">
        <v>18</v>
      </c>
      <c r="K54" s="24">
        <f t="shared" si="3"/>
        <v>20</v>
      </c>
      <c r="L54" s="25">
        <v>4.4</v>
      </c>
      <c r="M54" s="25">
        <v>88</v>
      </c>
      <c r="N54" s="25">
        <v>264</v>
      </c>
    </row>
    <row r="55" spans="4:14">
      <c r="D55" s="64">
        <v>46080</v>
      </c>
      <c r="E55" s="32">
        <v>1580522</v>
      </c>
      <c r="F55" s="32" t="s">
        <v>20</v>
      </c>
      <c r="G55" s="32">
        <v>20324428</v>
      </c>
      <c r="H55" s="32" t="s">
        <v>28</v>
      </c>
      <c r="I55" s="32">
        <v>4</v>
      </c>
      <c r="J55" s="31" t="s">
        <v>29</v>
      </c>
      <c r="K55" s="24">
        <v>1</v>
      </c>
      <c r="L55" s="25">
        <v>6.4</v>
      </c>
      <c r="M55" s="25">
        <v>6.4</v>
      </c>
      <c r="N55" s="25">
        <v>25.6</v>
      </c>
    </row>
    <row r="56" spans="4:14">
      <c r="D56" s="64">
        <v>46080</v>
      </c>
      <c r="E56" s="32">
        <v>1580522</v>
      </c>
      <c r="F56" s="32" t="s">
        <v>20</v>
      </c>
      <c r="G56" s="32">
        <v>20335847</v>
      </c>
      <c r="H56" s="32" t="s">
        <v>57</v>
      </c>
      <c r="I56" s="32">
        <v>1</v>
      </c>
      <c r="J56" s="30" t="s">
        <v>18</v>
      </c>
      <c r="K56" s="24">
        <f>M56/L56</f>
        <v>20</v>
      </c>
      <c r="L56" s="25">
        <v>4.4</v>
      </c>
      <c r="M56" s="25">
        <v>88</v>
      </c>
      <c r="N56" s="25">
        <v>88</v>
      </c>
    </row>
    <row r="57" spans="4:14">
      <c r="D57" s="64">
        <v>46080</v>
      </c>
      <c r="E57" s="32">
        <v>1580859</v>
      </c>
      <c r="F57" s="32" t="s">
        <v>26</v>
      </c>
      <c r="G57" s="32">
        <v>20330731</v>
      </c>
      <c r="H57" s="32" t="s">
        <v>27</v>
      </c>
      <c r="I57" s="32">
        <v>2</v>
      </c>
      <c r="J57" s="30" t="s">
        <v>18</v>
      </c>
      <c r="K57" s="24">
        <f>M57/L57</f>
        <v>20</v>
      </c>
      <c r="L57" s="25">
        <v>4.4</v>
      </c>
      <c r="M57" s="25">
        <v>88</v>
      </c>
      <c r="N57" s="25">
        <v>176</v>
      </c>
    </row>
    <row r="58" ht="0.05" customHeight="1"/>
  </sheetData>
  <autoFilter xmlns:etc="http://www.wps.cn/officeDocument/2017/etCustomData" ref="A7:N57" etc:filterBottomFollowUsedRange="0">
    <extLst/>
  </autoFilter>
  <mergeCells count="29">
    <mergeCell ref="D8:H8"/>
    <mergeCell ref="C7:C57"/>
    <mergeCell ref="D14:D16"/>
    <mergeCell ref="D34:D37"/>
    <mergeCell ref="D44:D47"/>
    <mergeCell ref="E14:E16"/>
    <mergeCell ref="E34:E37"/>
    <mergeCell ref="E44:E47"/>
    <mergeCell ref="F14:F16"/>
    <mergeCell ref="F34:F37"/>
    <mergeCell ref="F44:F47"/>
    <mergeCell ref="G14:G16"/>
    <mergeCell ref="G34:G37"/>
    <mergeCell ref="G44:G47"/>
    <mergeCell ref="H14:H16"/>
    <mergeCell ref="H34:H37"/>
    <mergeCell ref="H44:H47"/>
    <mergeCell ref="I14:I16"/>
    <mergeCell ref="I34:I37"/>
    <mergeCell ref="I44:I47"/>
    <mergeCell ref="M14:M16"/>
    <mergeCell ref="M34:M37"/>
    <mergeCell ref="M44:M47"/>
    <mergeCell ref="N14:N16"/>
    <mergeCell ref="N34:N37"/>
    <mergeCell ref="N44:N47"/>
    <mergeCell ref="B4:H5"/>
    <mergeCell ref="C1:H2"/>
    <mergeCell ref="A7:B57"/>
  </mergeCells>
  <pageMargins left="0.25" right="0.25" top="0.75" bottom="0.75" header="0.298611111111111" footer="0.298611111111111"/>
  <pageSetup paperSize="9" scale="8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6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25" customWidth="1"/>
    <col min="11" max="11" width="17.875" customWidth="1"/>
    <col min="12" max="12" width="13.7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58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282</v>
      </c>
      <c r="J8" s="67"/>
      <c r="K8" s="33"/>
      <c r="L8" s="33"/>
      <c r="M8" s="33"/>
      <c r="N8" s="33">
        <v>20785.2</v>
      </c>
    </row>
    <row r="9" spans="1:14">
      <c r="D9" s="68">
        <v>46054</v>
      </c>
      <c r="E9" s="69">
        <v>1575350</v>
      </c>
      <c r="F9" s="69" t="s">
        <v>26</v>
      </c>
      <c r="G9" s="69">
        <v>20391366</v>
      </c>
      <c r="H9" s="69" t="s">
        <v>59</v>
      </c>
      <c r="I9" s="69">
        <v>2</v>
      </c>
      <c r="J9" s="70" t="s">
        <v>18</v>
      </c>
      <c r="K9" s="18">
        <f>M9/L9</f>
        <v>26</v>
      </c>
      <c r="L9" s="19">
        <v>4.4</v>
      </c>
      <c r="M9" s="19">
        <v>114.4</v>
      </c>
      <c r="N9" s="19">
        <v>228.8</v>
      </c>
    </row>
    <row r="10" spans="1:14">
      <c r="D10" s="21">
        <v>46054</v>
      </c>
      <c r="E10" s="22">
        <v>1575364</v>
      </c>
      <c r="F10" s="22" t="s">
        <v>20</v>
      </c>
      <c r="G10" s="22">
        <v>20332826</v>
      </c>
      <c r="H10" s="22" t="s">
        <v>60</v>
      </c>
      <c r="I10" s="22">
        <v>4</v>
      </c>
      <c r="J10" s="34" t="s">
        <v>61</v>
      </c>
      <c r="K10" s="24" t="s">
        <v>62</v>
      </c>
      <c r="L10" s="25">
        <v>70.4</v>
      </c>
      <c r="M10" s="26">
        <v>70.4</v>
      </c>
      <c r="N10" s="26">
        <v>281.6</v>
      </c>
    </row>
    <row r="11" spans="1:14">
      <c r="D11" s="64">
        <v>46055</v>
      </c>
      <c r="E11" s="32">
        <v>1575420</v>
      </c>
      <c r="F11" s="32" t="s">
        <v>26</v>
      </c>
      <c r="G11" s="32">
        <v>20391366</v>
      </c>
      <c r="H11" s="32" t="s">
        <v>59</v>
      </c>
      <c r="I11" s="32">
        <v>3</v>
      </c>
      <c r="J11" s="30" t="s">
        <v>18</v>
      </c>
      <c r="K11" s="24">
        <f>M11/L11</f>
        <v>26</v>
      </c>
      <c r="L11" s="25">
        <v>4.4</v>
      </c>
      <c r="M11" s="25">
        <v>114.4</v>
      </c>
      <c r="N11" s="25">
        <v>343.2</v>
      </c>
    </row>
    <row r="12" spans="1:14">
      <c r="D12" s="64">
        <v>46055</v>
      </c>
      <c r="E12" s="32">
        <v>1575420</v>
      </c>
      <c r="F12" s="32" t="s">
        <v>20</v>
      </c>
      <c r="G12" s="32">
        <v>20324855</v>
      </c>
      <c r="H12" s="32" t="s">
        <v>39</v>
      </c>
      <c r="I12" s="32">
        <v>3</v>
      </c>
      <c r="J12" s="31" t="s">
        <v>29</v>
      </c>
      <c r="K12" s="24">
        <v>1</v>
      </c>
      <c r="L12" s="25">
        <v>6.4</v>
      </c>
      <c r="M12" s="25">
        <v>6.4</v>
      </c>
      <c r="N12" s="25">
        <v>19.2</v>
      </c>
    </row>
    <row r="13" spans="1:14">
      <c r="D13" s="64">
        <v>46055</v>
      </c>
      <c r="E13" s="32">
        <v>1575420</v>
      </c>
      <c r="F13" s="32" t="s">
        <v>20</v>
      </c>
      <c r="G13" s="32">
        <v>20324950</v>
      </c>
      <c r="H13" s="32" t="s">
        <v>63</v>
      </c>
      <c r="I13" s="32">
        <v>2</v>
      </c>
      <c r="J13" s="32" t="s">
        <v>64</v>
      </c>
      <c r="K13" s="24">
        <v>1</v>
      </c>
      <c r="L13" s="25">
        <v>8.8</v>
      </c>
      <c r="M13" s="25">
        <v>8.8</v>
      </c>
      <c r="N13" s="25">
        <v>17.6</v>
      </c>
    </row>
    <row r="14" ht="25.5" spans="1:14">
      <c r="D14" s="89">
        <v>46055</v>
      </c>
      <c r="E14" s="90">
        <v>1575420</v>
      </c>
      <c r="F14" s="91" t="s">
        <v>20</v>
      </c>
      <c r="G14" s="90">
        <v>20326302</v>
      </c>
      <c r="H14" s="91" t="s">
        <v>65</v>
      </c>
      <c r="I14" s="90">
        <v>1</v>
      </c>
      <c r="J14" s="92" t="s">
        <v>18</v>
      </c>
      <c r="K14" s="93" t="s">
        <v>66</v>
      </c>
      <c r="L14" s="94">
        <v>4.4</v>
      </c>
      <c r="M14" s="94">
        <v>699.6</v>
      </c>
      <c r="N14" s="94">
        <v>699.6</v>
      </c>
    </row>
    <row r="15" spans="1:14">
      <c r="D15" s="89">
        <v>46055</v>
      </c>
      <c r="E15" s="90">
        <v>1575626</v>
      </c>
      <c r="F15" s="91" t="s">
        <v>26</v>
      </c>
      <c r="G15" s="90">
        <v>20391366</v>
      </c>
      <c r="H15" s="91" t="s">
        <v>67</v>
      </c>
      <c r="I15" s="90">
        <v>3</v>
      </c>
      <c r="J15" s="92" t="s">
        <v>18</v>
      </c>
      <c r="K15" s="93">
        <f>M15/L15</f>
        <v>26</v>
      </c>
      <c r="L15" s="94">
        <v>4.4</v>
      </c>
      <c r="M15" s="94">
        <v>114.4</v>
      </c>
      <c r="N15" s="94">
        <v>343.2</v>
      </c>
    </row>
    <row r="16" spans="1:14">
      <c r="D16" s="89">
        <v>46055</v>
      </c>
      <c r="E16" s="90">
        <v>1575626</v>
      </c>
      <c r="F16" s="91" t="s">
        <v>20</v>
      </c>
      <c r="G16" s="90">
        <v>20324855</v>
      </c>
      <c r="H16" s="91" t="s">
        <v>68</v>
      </c>
      <c r="I16" s="90">
        <v>6</v>
      </c>
      <c r="J16" s="91" t="s">
        <v>69</v>
      </c>
      <c r="K16" s="93">
        <v>1</v>
      </c>
      <c r="L16" s="94">
        <v>6.4</v>
      </c>
      <c r="M16" s="94">
        <v>6.4</v>
      </c>
      <c r="N16" s="94">
        <v>38.4</v>
      </c>
    </row>
    <row r="17" ht="25.5" spans="4:14">
      <c r="D17" s="89">
        <v>46055</v>
      </c>
      <c r="E17" s="90">
        <v>1575626</v>
      </c>
      <c r="F17" s="91" t="s">
        <v>20</v>
      </c>
      <c r="G17" s="90">
        <v>20327669</v>
      </c>
      <c r="H17" s="91" t="s">
        <v>70</v>
      </c>
      <c r="I17" s="90">
        <v>1</v>
      </c>
      <c r="J17" s="92" t="s">
        <v>18</v>
      </c>
      <c r="K17" s="93">
        <f t="shared" ref="K17:K22" si="0">M17/L17</f>
        <v>45</v>
      </c>
      <c r="L17" s="94">
        <v>4.4</v>
      </c>
      <c r="M17" s="94">
        <v>198</v>
      </c>
      <c r="N17" s="94">
        <v>198</v>
      </c>
    </row>
    <row r="18" spans="4:14">
      <c r="D18" s="120">
        <v>46056</v>
      </c>
      <c r="E18" s="121">
        <v>1575699</v>
      </c>
      <c r="F18" s="122" t="s">
        <v>20</v>
      </c>
      <c r="G18" s="121">
        <v>20332826</v>
      </c>
      <c r="H18" s="122" t="s">
        <v>71</v>
      </c>
      <c r="I18" s="121">
        <v>4</v>
      </c>
      <c r="J18" s="92" t="s">
        <v>72</v>
      </c>
      <c r="K18" s="93" t="s">
        <v>73</v>
      </c>
      <c r="L18" s="94">
        <v>70.4</v>
      </c>
      <c r="M18" s="123">
        <v>70.4</v>
      </c>
      <c r="N18" s="123">
        <v>281.6</v>
      </c>
    </row>
    <row r="19" spans="4:14">
      <c r="D19" s="89">
        <v>46056</v>
      </c>
      <c r="E19" s="90">
        <v>1575983</v>
      </c>
      <c r="F19" s="91" t="s">
        <v>26</v>
      </c>
      <c r="G19" s="90">
        <v>20391366</v>
      </c>
      <c r="H19" s="91" t="s">
        <v>67</v>
      </c>
      <c r="I19" s="90">
        <v>7</v>
      </c>
      <c r="J19" s="92" t="s">
        <v>18</v>
      </c>
      <c r="K19" s="93">
        <f t="shared" si="0"/>
        <v>26</v>
      </c>
      <c r="L19" s="94">
        <v>4.4</v>
      </c>
      <c r="M19" s="94">
        <v>114.4</v>
      </c>
      <c r="N19" s="94">
        <v>800.8</v>
      </c>
    </row>
    <row r="20" spans="4:14">
      <c r="D20" s="89">
        <v>46056</v>
      </c>
      <c r="E20" s="90">
        <v>1575983</v>
      </c>
      <c r="F20" s="91" t="s">
        <v>20</v>
      </c>
      <c r="G20" s="90">
        <v>20324855</v>
      </c>
      <c r="H20" s="91" t="s">
        <v>68</v>
      </c>
      <c r="I20" s="90">
        <v>9</v>
      </c>
      <c r="J20" s="91" t="s">
        <v>69</v>
      </c>
      <c r="K20" s="93">
        <v>1</v>
      </c>
      <c r="L20" s="94">
        <v>6.4</v>
      </c>
      <c r="M20" s="94">
        <v>6.4</v>
      </c>
      <c r="N20" s="94">
        <v>57.6</v>
      </c>
    </row>
    <row r="21" ht="25.5" spans="4:14">
      <c r="D21" s="89">
        <v>46056</v>
      </c>
      <c r="E21" s="90">
        <v>1575983</v>
      </c>
      <c r="F21" s="91" t="s">
        <v>20</v>
      </c>
      <c r="G21" s="90">
        <v>20343494</v>
      </c>
      <c r="H21" s="91" t="s">
        <v>74</v>
      </c>
      <c r="I21" s="90">
        <v>1</v>
      </c>
      <c r="J21" s="92" t="s">
        <v>18</v>
      </c>
      <c r="K21" s="93">
        <f t="shared" si="0"/>
        <v>88</v>
      </c>
      <c r="L21" s="94">
        <v>4.4</v>
      </c>
      <c r="M21" s="94">
        <v>387.2</v>
      </c>
      <c r="N21" s="94">
        <v>387.2</v>
      </c>
    </row>
    <row r="22" spans="4:14">
      <c r="D22" s="89">
        <v>46057</v>
      </c>
      <c r="E22" s="90">
        <v>1576308</v>
      </c>
      <c r="F22" s="91" t="s">
        <v>26</v>
      </c>
      <c r="G22" s="90">
        <v>20391366</v>
      </c>
      <c r="H22" s="91" t="s">
        <v>67</v>
      </c>
      <c r="I22" s="90">
        <v>5</v>
      </c>
      <c r="J22" s="92" t="s">
        <v>18</v>
      </c>
      <c r="K22" s="93">
        <f t="shared" si="0"/>
        <v>26</v>
      </c>
      <c r="L22" s="94">
        <v>4.4</v>
      </c>
      <c r="M22" s="94">
        <v>114.4</v>
      </c>
      <c r="N22" s="94">
        <v>572</v>
      </c>
    </row>
    <row r="23" spans="4:14">
      <c r="D23" s="89">
        <v>46057</v>
      </c>
      <c r="E23" s="90">
        <v>1576308</v>
      </c>
      <c r="F23" s="91" t="s">
        <v>20</v>
      </c>
      <c r="G23" s="90">
        <v>20324445</v>
      </c>
      <c r="H23" s="91" t="s">
        <v>75</v>
      </c>
      <c r="I23" s="90">
        <v>1</v>
      </c>
      <c r="J23" s="91" t="s">
        <v>69</v>
      </c>
      <c r="K23" s="93">
        <v>1</v>
      </c>
      <c r="L23" s="94">
        <v>6.4</v>
      </c>
      <c r="M23" s="94">
        <v>6.4</v>
      </c>
      <c r="N23" s="94">
        <v>6.4</v>
      </c>
    </row>
    <row r="24" spans="4:14">
      <c r="D24" s="89">
        <v>46057</v>
      </c>
      <c r="E24" s="90">
        <v>1576308</v>
      </c>
      <c r="F24" s="91" t="s">
        <v>20</v>
      </c>
      <c r="G24" s="90">
        <v>20324855</v>
      </c>
      <c r="H24" s="91" t="s">
        <v>68</v>
      </c>
      <c r="I24" s="90">
        <v>7</v>
      </c>
      <c r="J24" s="91" t="s">
        <v>69</v>
      </c>
      <c r="K24" s="93">
        <v>1</v>
      </c>
      <c r="L24" s="94">
        <v>6.4</v>
      </c>
      <c r="M24" s="94">
        <v>6.4</v>
      </c>
      <c r="N24" s="94">
        <v>44.8</v>
      </c>
    </row>
    <row r="25" spans="4:14">
      <c r="D25" s="89">
        <v>46057</v>
      </c>
      <c r="E25" s="90">
        <v>1576308</v>
      </c>
      <c r="F25" s="91" t="s">
        <v>20</v>
      </c>
      <c r="G25" s="90">
        <v>20324485</v>
      </c>
      <c r="H25" s="91" t="s">
        <v>76</v>
      </c>
      <c r="I25" s="90">
        <v>1</v>
      </c>
      <c r="J25" s="91" t="s">
        <v>69</v>
      </c>
      <c r="K25" s="93">
        <v>1</v>
      </c>
      <c r="L25" s="94">
        <v>6.4</v>
      </c>
      <c r="M25" s="94">
        <v>6.4</v>
      </c>
      <c r="N25" s="94">
        <v>6.4</v>
      </c>
    </row>
    <row r="26" ht="25.5" spans="4:14">
      <c r="D26" s="89">
        <v>46057</v>
      </c>
      <c r="E26" s="90">
        <v>1576308</v>
      </c>
      <c r="F26" s="91" t="s">
        <v>20</v>
      </c>
      <c r="G26" s="90">
        <v>20326302</v>
      </c>
      <c r="H26" s="91" t="s">
        <v>77</v>
      </c>
      <c r="I26" s="90">
        <v>1</v>
      </c>
      <c r="J26" s="92" t="s">
        <v>18</v>
      </c>
      <c r="K26" s="93">
        <f>M26/L26</f>
        <v>102</v>
      </c>
      <c r="L26" s="94">
        <v>4.4</v>
      </c>
      <c r="M26" s="94">
        <v>448.8</v>
      </c>
      <c r="N26" s="94">
        <v>448.8</v>
      </c>
    </row>
    <row r="27" spans="4:14">
      <c r="D27" s="120">
        <v>46058</v>
      </c>
      <c r="E27" s="121">
        <v>1576372</v>
      </c>
      <c r="F27" s="122" t="s">
        <v>20</v>
      </c>
      <c r="G27" s="121">
        <v>20332826</v>
      </c>
      <c r="H27" s="122" t="s">
        <v>71</v>
      </c>
      <c r="I27" s="121">
        <v>6</v>
      </c>
      <c r="J27" s="92" t="s">
        <v>72</v>
      </c>
      <c r="K27" s="93" t="s">
        <v>73</v>
      </c>
      <c r="L27" s="94">
        <v>70.4</v>
      </c>
      <c r="M27" s="123">
        <v>70.4</v>
      </c>
      <c r="N27" s="123">
        <v>422.4</v>
      </c>
    </row>
    <row r="28" spans="4:14">
      <c r="D28" s="89">
        <v>46058</v>
      </c>
      <c r="E28" s="90">
        <v>1576658</v>
      </c>
      <c r="F28" s="91" t="s">
        <v>26</v>
      </c>
      <c r="G28" s="90">
        <v>20391366</v>
      </c>
      <c r="H28" s="91" t="s">
        <v>67</v>
      </c>
      <c r="I28" s="90">
        <v>5</v>
      </c>
      <c r="J28" s="92" t="s">
        <v>18</v>
      </c>
      <c r="K28" s="93">
        <f>M28/L28</f>
        <v>26</v>
      </c>
      <c r="L28" s="94">
        <v>4.4</v>
      </c>
      <c r="M28" s="94">
        <v>114.4</v>
      </c>
      <c r="N28" s="94">
        <v>572</v>
      </c>
    </row>
    <row r="29" spans="4:14">
      <c r="D29" s="89">
        <v>46058</v>
      </c>
      <c r="E29" s="90">
        <v>1576658</v>
      </c>
      <c r="F29" s="91" t="s">
        <v>20</v>
      </c>
      <c r="G29" s="90">
        <v>20324855</v>
      </c>
      <c r="H29" s="91" t="s">
        <v>68</v>
      </c>
      <c r="I29" s="90">
        <v>7</v>
      </c>
      <c r="J29" s="91" t="s">
        <v>69</v>
      </c>
      <c r="K29" s="93">
        <v>1</v>
      </c>
      <c r="L29" s="94">
        <v>6.4</v>
      </c>
      <c r="M29" s="94">
        <v>6.4</v>
      </c>
      <c r="N29" s="94">
        <v>44.8</v>
      </c>
    </row>
    <row r="30" spans="4:14">
      <c r="D30" s="89">
        <v>46058</v>
      </c>
      <c r="E30" s="90">
        <v>1576658</v>
      </c>
      <c r="F30" s="91" t="s">
        <v>20</v>
      </c>
      <c r="G30" s="90">
        <v>20350636</v>
      </c>
      <c r="H30" s="91" t="s">
        <v>78</v>
      </c>
      <c r="I30" s="90">
        <v>1</v>
      </c>
      <c r="J30" s="91" t="s">
        <v>69</v>
      </c>
      <c r="K30" s="93">
        <v>1</v>
      </c>
      <c r="L30" s="94">
        <v>6.4</v>
      </c>
      <c r="M30" s="94">
        <v>6.4</v>
      </c>
      <c r="N30" s="94">
        <v>6.4</v>
      </c>
    </row>
    <row r="31" spans="4:14">
      <c r="D31" s="89">
        <v>46058</v>
      </c>
      <c r="E31" s="90">
        <v>1576658</v>
      </c>
      <c r="F31" s="91" t="s">
        <v>20</v>
      </c>
      <c r="G31" s="90">
        <v>20324485</v>
      </c>
      <c r="H31" s="91" t="s">
        <v>76</v>
      </c>
      <c r="I31" s="90">
        <v>2</v>
      </c>
      <c r="J31" s="91" t="s">
        <v>69</v>
      </c>
      <c r="K31" s="93">
        <v>1</v>
      </c>
      <c r="L31" s="94">
        <v>6.4</v>
      </c>
      <c r="M31" s="94">
        <v>6.4</v>
      </c>
      <c r="N31" s="94">
        <v>12.8</v>
      </c>
    </row>
    <row r="32" ht="25.5" spans="4:14">
      <c r="D32" s="89">
        <v>46058</v>
      </c>
      <c r="E32" s="90">
        <v>1576658</v>
      </c>
      <c r="F32" s="91" t="s">
        <v>20</v>
      </c>
      <c r="G32" s="90">
        <v>20326302</v>
      </c>
      <c r="H32" s="91" t="s">
        <v>79</v>
      </c>
      <c r="I32" s="90">
        <v>1</v>
      </c>
      <c r="J32" s="92" t="s">
        <v>18</v>
      </c>
      <c r="K32" s="93">
        <f>M32/L32</f>
        <v>82</v>
      </c>
      <c r="L32" s="94">
        <v>4.4</v>
      </c>
      <c r="M32" s="94">
        <v>360.8</v>
      </c>
      <c r="N32" s="94">
        <v>360.8</v>
      </c>
    </row>
    <row r="33" spans="4:14">
      <c r="D33" s="89">
        <v>46058</v>
      </c>
      <c r="E33" s="90">
        <v>1576673</v>
      </c>
      <c r="F33" s="91" t="s">
        <v>26</v>
      </c>
      <c r="G33" s="90">
        <v>20391366</v>
      </c>
      <c r="H33" s="91" t="s">
        <v>67</v>
      </c>
      <c r="I33" s="90">
        <v>1</v>
      </c>
      <c r="J33" s="92" t="s">
        <v>18</v>
      </c>
      <c r="K33" s="93">
        <f t="shared" ref="K33:K38" si="1">M33/L33</f>
        <v>26</v>
      </c>
      <c r="L33" s="94">
        <v>4.4</v>
      </c>
      <c r="M33" s="94">
        <v>114.4</v>
      </c>
      <c r="N33" s="94">
        <v>114.4</v>
      </c>
    </row>
    <row r="34" spans="4:14">
      <c r="D34" s="89">
        <v>46060</v>
      </c>
      <c r="E34" s="90">
        <v>1577029</v>
      </c>
      <c r="F34" s="91" t="s">
        <v>26</v>
      </c>
      <c r="G34" s="90">
        <v>20391366</v>
      </c>
      <c r="H34" s="91" t="s">
        <v>67</v>
      </c>
      <c r="I34" s="90">
        <v>4</v>
      </c>
      <c r="J34" s="92" t="s">
        <v>18</v>
      </c>
      <c r="K34" s="93">
        <f t="shared" si="1"/>
        <v>26</v>
      </c>
      <c r="L34" s="94">
        <v>4.4</v>
      </c>
      <c r="M34" s="94">
        <v>114.4</v>
      </c>
      <c r="N34" s="94">
        <v>457.6</v>
      </c>
    </row>
    <row r="35" spans="4:14">
      <c r="D35" s="89">
        <v>46060</v>
      </c>
      <c r="E35" s="90">
        <v>1577029</v>
      </c>
      <c r="F35" s="91" t="s">
        <v>20</v>
      </c>
      <c r="G35" s="90">
        <v>20324855</v>
      </c>
      <c r="H35" s="91" t="s">
        <v>68</v>
      </c>
      <c r="I35" s="90">
        <v>7</v>
      </c>
      <c r="J35" s="91" t="s">
        <v>69</v>
      </c>
      <c r="K35" s="93">
        <v>1</v>
      </c>
      <c r="L35" s="94">
        <v>6.4</v>
      </c>
      <c r="M35" s="94">
        <v>6.4</v>
      </c>
      <c r="N35" s="94">
        <v>44.8</v>
      </c>
    </row>
    <row r="36" spans="4:14">
      <c r="D36" s="89">
        <v>46060</v>
      </c>
      <c r="E36" s="90">
        <v>1577029</v>
      </c>
      <c r="F36" s="91" t="s">
        <v>20</v>
      </c>
      <c r="G36" s="90">
        <v>20324950</v>
      </c>
      <c r="H36" s="91" t="s">
        <v>80</v>
      </c>
      <c r="I36" s="90">
        <v>1</v>
      </c>
      <c r="J36" s="91" t="s">
        <v>81</v>
      </c>
      <c r="K36" s="93">
        <v>1</v>
      </c>
      <c r="L36" s="94">
        <v>8.8</v>
      </c>
      <c r="M36" s="94">
        <v>8.8</v>
      </c>
      <c r="N36" s="94">
        <v>8.8</v>
      </c>
    </row>
    <row r="37" spans="4:14">
      <c r="D37" s="89">
        <v>46060</v>
      </c>
      <c r="E37" s="90">
        <v>1577029</v>
      </c>
      <c r="F37" s="91" t="s">
        <v>20</v>
      </c>
      <c r="G37" s="90">
        <v>20324485</v>
      </c>
      <c r="H37" s="91" t="s">
        <v>76</v>
      </c>
      <c r="I37" s="90">
        <v>1</v>
      </c>
      <c r="J37" s="91" t="s">
        <v>69</v>
      </c>
      <c r="K37" s="93">
        <v>1</v>
      </c>
      <c r="L37" s="94">
        <v>6.4</v>
      </c>
      <c r="M37" s="94">
        <v>6.4</v>
      </c>
      <c r="N37" s="94">
        <v>6.4</v>
      </c>
    </row>
    <row r="38" ht="25.5" spans="4:14">
      <c r="D38" s="89">
        <v>46060</v>
      </c>
      <c r="E38" s="90">
        <v>1577029</v>
      </c>
      <c r="F38" s="91" t="s">
        <v>20</v>
      </c>
      <c r="G38" s="90">
        <v>20326302</v>
      </c>
      <c r="H38" s="91" t="s">
        <v>82</v>
      </c>
      <c r="I38" s="90">
        <v>1</v>
      </c>
      <c r="J38" s="92" t="s">
        <v>18</v>
      </c>
      <c r="K38" s="93">
        <f t="shared" si="1"/>
        <v>65</v>
      </c>
      <c r="L38" s="94">
        <v>4.4</v>
      </c>
      <c r="M38" s="94">
        <v>286</v>
      </c>
      <c r="N38" s="94">
        <v>286</v>
      </c>
    </row>
    <row r="39" spans="4:14">
      <c r="D39" s="120">
        <v>46060</v>
      </c>
      <c r="E39" s="121">
        <v>1577048</v>
      </c>
      <c r="F39" s="122" t="s">
        <v>20</v>
      </c>
      <c r="G39" s="121">
        <v>20332826</v>
      </c>
      <c r="H39" s="122" t="s">
        <v>71</v>
      </c>
      <c r="I39" s="121">
        <v>7</v>
      </c>
      <c r="J39" s="92" t="s">
        <v>72</v>
      </c>
      <c r="K39" s="93" t="s">
        <v>73</v>
      </c>
      <c r="L39" s="94">
        <v>70.4</v>
      </c>
      <c r="M39" s="123">
        <v>70.4</v>
      </c>
      <c r="N39" s="123">
        <v>492.8</v>
      </c>
    </row>
    <row r="40" spans="4:14">
      <c r="D40" s="120">
        <v>46060</v>
      </c>
      <c r="E40" s="121">
        <v>1577048</v>
      </c>
      <c r="F40" s="122" t="s">
        <v>20</v>
      </c>
      <c r="G40" s="121">
        <v>20325056</v>
      </c>
      <c r="H40" s="122" t="s">
        <v>83</v>
      </c>
      <c r="I40" s="121">
        <v>1</v>
      </c>
      <c r="J40" s="92" t="s">
        <v>84</v>
      </c>
      <c r="K40" s="93">
        <v>1</v>
      </c>
      <c r="L40" s="94">
        <f>30*0.8</f>
        <v>24</v>
      </c>
      <c r="M40" s="123">
        <v>24</v>
      </c>
      <c r="N40" s="123">
        <v>24</v>
      </c>
    </row>
    <row r="41" spans="4:14">
      <c r="D41" s="89">
        <v>46061</v>
      </c>
      <c r="E41" s="90">
        <v>1577207</v>
      </c>
      <c r="F41" s="91" t="s">
        <v>26</v>
      </c>
      <c r="G41" s="90">
        <v>20391366</v>
      </c>
      <c r="H41" s="91" t="s">
        <v>67</v>
      </c>
      <c r="I41" s="90">
        <v>3</v>
      </c>
      <c r="J41" s="92" t="s">
        <v>18</v>
      </c>
      <c r="K41" s="93">
        <f>M41/L41</f>
        <v>26</v>
      </c>
      <c r="L41" s="94">
        <v>4.4</v>
      </c>
      <c r="M41" s="94">
        <v>114.4</v>
      </c>
      <c r="N41" s="94">
        <v>343.2</v>
      </c>
    </row>
    <row r="42" spans="4:14">
      <c r="D42" s="89">
        <v>46062</v>
      </c>
      <c r="E42" s="90">
        <v>1577271</v>
      </c>
      <c r="F42" s="91" t="s">
        <v>26</v>
      </c>
      <c r="G42" s="90">
        <v>20391366</v>
      </c>
      <c r="H42" s="91" t="s">
        <v>67</v>
      </c>
      <c r="I42" s="90">
        <v>2</v>
      </c>
      <c r="J42" s="92" t="s">
        <v>18</v>
      </c>
      <c r="K42" s="93">
        <f>M42/L42</f>
        <v>26</v>
      </c>
      <c r="L42" s="94">
        <v>4.4</v>
      </c>
      <c r="M42" s="94">
        <v>114.4</v>
      </c>
      <c r="N42" s="94">
        <v>228.8</v>
      </c>
    </row>
    <row r="43" spans="4:14">
      <c r="D43" s="89">
        <v>46062</v>
      </c>
      <c r="E43" s="90">
        <v>1577271</v>
      </c>
      <c r="F43" s="91" t="s">
        <v>20</v>
      </c>
      <c r="G43" s="90">
        <v>20324364</v>
      </c>
      <c r="H43" s="91" t="s">
        <v>85</v>
      </c>
      <c r="I43" s="90">
        <v>1</v>
      </c>
      <c r="J43" s="91" t="s">
        <v>69</v>
      </c>
      <c r="K43" s="93">
        <v>1</v>
      </c>
      <c r="L43" s="94">
        <v>6.4</v>
      </c>
      <c r="M43" s="94">
        <v>6.4</v>
      </c>
      <c r="N43" s="94">
        <v>6.4</v>
      </c>
    </row>
    <row r="44" spans="4:14">
      <c r="D44" s="89">
        <v>46062</v>
      </c>
      <c r="E44" s="90">
        <v>1577271</v>
      </c>
      <c r="F44" s="91" t="s">
        <v>20</v>
      </c>
      <c r="G44" s="90">
        <v>20324855</v>
      </c>
      <c r="H44" s="91" t="s">
        <v>68</v>
      </c>
      <c r="I44" s="90">
        <v>2</v>
      </c>
      <c r="J44" s="91" t="s">
        <v>69</v>
      </c>
      <c r="K44" s="93">
        <v>1</v>
      </c>
      <c r="L44" s="94">
        <v>6.4</v>
      </c>
      <c r="M44" s="94">
        <v>6.4</v>
      </c>
      <c r="N44" s="94">
        <v>12.8</v>
      </c>
    </row>
    <row r="45" spans="4:14">
      <c r="D45" s="89">
        <v>46062</v>
      </c>
      <c r="E45" s="90">
        <v>1577271</v>
      </c>
      <c r="F45" s="91" t="s">
        <v>20</v>
      </c>
      <c r="G45" s="90">
        <v>20324485</v>
      </c>
      <c r="H45" s="91" t="s">
        <v>76</v>
      </c>
      <c r="I45" s="90">
        <v>2</v>
      </c>
      <c r="J45" s="91" t="s">
        <v>69</v>
      </c>
      <c r="K45" s="93">
        <v>1</v>
      </c>
      <c r="L45" s="94">
        <v>6.4</v>
      </c>
      <c r="M45" s="94">
        <v>6.4</v>
      </c>
      <c r="N45" s="94">
        <v>12.8</v>
      </c>
    </row>
    <row r="46" ht="25.5" spans="4:14">
      <c r="D46" s="89">
        <v>46062</v>
      </c>
      <c r="E46" s="90">
        <v>1577271</v>
      </c>
      <c r="F46" s="91" t="s">
        <v>20</v>
      </c>
      <c r="G46" s="90">
        <v>20326302</v>
      </c>
      <c r="H46" s="91" t="s">
        <v>86</v>
      </c>
      <c r="I46" s="90">
        <v>1</v>
      </c>
      <c r="J46" s="92" t="s">
        <v>18</v>
      </c>
      <c r="K46" s="93" t="s">
        <v>87</v>
      </c>
      <c r="L46" s="94">
        <v>4.4</v>
      </c>
      <c r="M46" s="94">
        <v>497.2</v>
      </c>
      <c r="N46" s="94">
        <v>497.2</v>
      </c>
    </row>
    <row r="47" spans="4:14">
      <c r="D47" s="120">
        <v>46062</v>
      </c>
      <c r="E47" s="121">
        <v>1577295</v>
      </c>
      <c r="F47" s="122" t="s">
        <v>20</v>
      </c>
      <c r="G47" s="121">
        <v>20332826</v>
      </c>
      <c r="H47" s="122" t="s">
        <v>71</v>
      </c>
      <c r="I47" s="121">
        <v>5</v>
      </c>
      <c r="J47" s="92" t="s">
        <v>72</v>
      </c>
      <c r="K47" s="93" t="s">
        <v>73</v>
      </c>
      <c r="L47" s="94">
        <v>70.4</v>
      </c>
      <c r="M47" s="123">
        <v>70.4</v>
      </c>
      <c r="N47" s="123">
        <v>352</v>
      </c>
    </row>
    <row r="48" spans="4:14">
      <c r="D48" s="89">
        <v>46062</v>
      </c>
      <c r="E48" s="90">
        <v>1577490</v>
      </c>
      <c r="F48" s="91" t="s">
        <v>26</v>
      </c>
      <c r="G48" s="90">
        <v>20391366</v>
      </c>
      <c r="H48" s="91" t="s">
        <v>67</v>
      </c>
      <c r="I48" s="90">
        <v>3</v>
      </c>
      <c r="J48" s="92" t="s">
        <v>18</v>
      </c>
      <c r="K48" s="93">
        <f>M48/L48</f>
        <v>26</v>
      </c>
      <c r="L48" s="94">
        <v>4.4</v>
      </c>
      <c r="M48" s="94">
        <v>114.4</v>
      </c>
      <c r="N48" s="94">
        <v>343.2</v>
      </c>
    </row>
    <row r="49" spans="4:14">
      <c r="D49" s="89">
        <v>46062</v>
      </c>
      <c r="E49" s="90">
        <v>1577490</v>
      </c>
      <c r="F49" s="91" t="s">
        <v>20</v>
      </c>
      <c r="G49" s="90">
        <v>20324428</v>
      </c>
      <c r="H49" s="91" t="s">
        <v>88</v>
      </c>
      <c r="I49" s="90">
        <v>1</v>
      </c>
      <c r="J49" s="91" t="s">
        <v>69</v>
      </c>
      <c r="K49" s="93">
        <v>1</v>
      </c>
      <c r="L49" s="94">
        <v>6.4</v>
      </c>
      <c r="M49" s="94">
        <v>6.4</v>
      </c>
      <c r="N49" s="94">
        <v>6.4</v>
      </c>
    </row>
    <row r="50" spans="4:14">
      <c r="D50" s="89">
        <v>46062</v>
      </c>
      <c r="E50" s="90">
        <v>1577490</v>
      </c>
      <c r="F50" s="91" t="s">
        <v>20</v>
      </c>
      <c r="G50" s="90">
        <v>20324445</v>
      </c>
      <c r="H50" s="91" t="s">
        <v>75</v>
      </c>
      <c r="I50" s="90">
        <v>1</v>
      </c>
      <c r="J50" s="91" t="s">
        <v>69</v>
      </c>
      <c r="K50" s="93">
        <v>1</v>
      </c>
      <c r="L50" s="94">
        <v>6.4</v>
      </c>
      <c r="M50" s="94">
        <v>6.4</v>
      </c>
      <c r="N50" s="94">
        <v>6.4</v>
      </c>
    </row>
    <row r="51" spans="4:14">
      <c r="D51" s="89">
        <v>46062</v>
      </c>
      <c r="E51" s="90">
        <v>1577490</v>
      </c>
      <c r="F51" s="91" t="s">
        <v>20</v>
      </c>
      <c r="G51" s="90">
        <v>20324370</v>
      </c>
      <c r="H51" s="91" t="s">
        <v>89</v>
      </c>
      <c r="I51" s="90">
        <v>1</v>
      </c>
      <c r="J51" s="91" t="s">
        <v>69</v>
      </c>
      <c r="K51" s="93">
        <v>1</v>
      </c>
      <c r="L51" s="94">
        <v>6.4</v>
      </c>
      <c r="M51" s="94">
        <v>6.4</v>
      </c>
      <c r="N51" s="94">
        <v>6.4</v>
      </c>
    </row>
    <row r="52" spans="4:14">
      <c r="D52" s="89">
        <v>46062</v>
      </c>
      <c r="E52" s="90">
        <v>1577490</v>
      </c>
      <c r="F52" s="91" t="s">
        <v>20</v>
      </c>
      <c r="G52" s="90">
        <v>20324855</v>
      </c>
      <c r="H52" s="91" t="s">
        <v>68</v>
      </c>
      <c r="I52" s="90">
        <v>6</v>
      </c>
      <c r="J52" s="91" t="s">
        <v>69</v>
      </c>
      <c r="K52" s="93">
        <v>1</v>
      </c>
      <c r="L52" s="94">
        <v>6.4</v>
      </c>
      <c r="M52" s="94">
        <v>6.4</v>
      </c>
      <c r="N52" s="94">
        <v>38.4</v>
      </c>
    </row>
    <row r="53" ht="25.5" spans="4:14">
      <c r="D53" s="89">
        <v>46062</v>
      </c>
      <c r="E53" s="90">
        <v>1577490</v>
      </c>
      <c r="F53" s="91" t="s">
        <v>20</v>
      </c>
      <c r="G53" s="90">
        <v>20326302</v>
      </c>
      <c r="H53" s="91" t="s">
        <v>90</v>
      </c>
      <c r="I53" s="90">
        <v>1</v>
      </c>
      <c r="J53" s="92" t="s">
        <v>18</v>
      </c>
      <c r="K53" s="93">
        <f>M53/L53</f>
        <v>55</v>
      </c>
      <c r="L53" s="94">
        <v>4.4</v>
      </c>
      <c r="M53" s="94">
        <v>242</v>
      </c>
      <c r="N53" s="94">
        <v>242</v>
      </c>
    </row>
    <row r="54" spans="4:14">
      <c r="D54" s="89">
        <v>46063</v>
      </c>
      <c r="E54" s="90">
        <v>1577849</v>
      </c>
      <c r="F54" s="91" t="s">
        <v>26</v>
      </c>
      <c r="G54" s="90">
        <v>20391366</v>
      </c>
      <c r="H54" s="91" t="s">
        <v>67</v>
      </c>
      <c r="I54" s="90">
        <v>5</v>
      </c>
      <c r="J54" s="92" t="s">
        <v>18</v>
      </c>
      <c r="K54" s="93">
        <f>M54/L54</f>
        <v>26</v>
      </c>
      <c r="L54" s="94">
        <v>4.4</v>
      </c>
      <c r="M54" s="94">
        <v>114.4</v>
      </c>
      <c r="N54" s="94">
        <v>572</v>
      </c>
    </row>
    <row r="55" spans="4:14">
      <c r="D55" s="89">
        <v>46063</v>
      </c>
      <c r="E55" s="90">
        <v>1577849</v>
      </c>
      <c r="F55" s="91" t="s">
        <v>20</v>
      </c>
      <c r="G55" s="90">
        <v>20324855</v>
      </c>
      <c r="H55" s="91" t="s">
        <v>68</v>
      </c>
      <c r="I55" s="90">
        <v>10</v>
      </c>
      <c r="J55" s="91" t="s">
        <v>69</v>
      </c>
      <c r="K55" s="93">
        <v>1</v>
      </c>
      <c r="L55" s="94">
        <v>6.4</v>
      </c>
      <c r="M55" s="94">
        <v>6.4</v>
      </c>
      <c r="N55" s="94">
        <v>64</v>
      </c>
    </row>
    <row r="56" spans="4:14">
      <c r="D56" s="64">
        <v>46063</v>
      </c>
      <c r="E56" s="32">
        <v>1577849</v>
      </c>
      <c r="F56" s="32" t="s">
        <v>20</v>
      </c>
      <c r="G56" s="32">
        <v>20324485</v>
      </c>
      <c r="H56" s="32" t="s">
        <v>31</v>
      </c>
      <c r="I56" s="32">
        <v>1</v>
      </c>
      <c r="J56" s="31" t="s">
        <v>29</v>
      </c>
      <c r="K56" s="24">
        <v>1</v>
      </c>
      <c r="L56" s="25">
        <v>6.4</v>
      </c>
      <c r="M56" s="25">
        <v>6.4</v>
      </c>
      <c r="N56" s="25">
        <v>6.4</v>
      </c>
    </row>
    <row r="57" ht="25.5" spans="4:14">
      <c r="D57" s="64">
        <v>46063</v>
      </c>
      <c r="E57" s="32">
        <v>1577849</v>
      </c>
      <c r="F57" s="32" t="s">
        <v>20</v>
      </c>
      <c r="G57" s="32">
        <v>20326302</v>
      </c>
      <c r="H57" s="32" t="s">
        <v>91</v>
      </c>
      <c r="I57" s="32">
        <v>1</v>
      </c>
      <c r="J57" s="30" t="s">
        <v>18</v>
      </c>
      <c r="K57" s="24" t="s">
        <v>92</v>
      </c>
      <c r="L57" s="25">
        <v>4.4</v>
      </c>
      <c r="M57" s="25">
        <f>L57*K57</f>
        <v>237.6</v>
      </c>
      <c r="N57" s="25">
        <v>237.6</v>
      </c>
    </row>
    <row r="58" spans="4:14">
      <c r="D58" s="21">
        <v>46064</v>
      </c>
      <c r="E58" s="22">
        <v>1577874</v>
      </c>
      <c r="F58" s="22" t="s">
        <v>20</v>
      </c>
      <c r="G58" s="22">
        <v>20332826</v>
      </c>
      <c r="H58" s="22" t="s">
        <v>60</v>
      </c>
      <c r="I58" s="22">
        <v>6</v>
      </c>
      <c r="J58" s="34" t="s">
        <v>61</v>
      </c>
      <c r="K58" s="24" t="s">
        <v>62</v>
      </c>
      <c r="L58" s="25">
        <v>70.4</v>
      </c>
      <c r="M58" s="26">
        <v>70.4</v>
      </c>
      <c r="N58" s="26">
        <v>422.4</v>
      </c>
    </row>
    <row r="59" spans="4:14">
      <c r="D59" s="64">
        <v>46064</v>
      </c>
      <c r="E59" s="32">
        <v>1578098</v>
      </c>
      <c r="F59" s="32" t="s">
        <v>26</v>
      </c>
      <c r="G59" s="32">
        <v>20391366</v>
      </c>
      <c r="H59" s="32" t="s">
        <v>59</v>
      </c>
      <c r="I59" s="32">
        <v>4</v>
      </c>
      <c r="J59" s="30" t="s">
        <v>18</v>
      </c>
      <c r="K59" s="24">
        <f>M59/L59</f>
        <v>26</v>
      </c>
      <c r="L59" s="25">
        <v>4.4</v>
      </c>
      <c r="M59" s="25">
        <v>114.4</v>
      </c>
      <c r="N59" s="25">
        <v>457.6</v>
      </c>
    </row>
    <row r="60" spans="4:14">
      <c r="D60" s="64">
        <v>46064</v>
      </c>
      <c r="E60" s="32">
        <v>1578098</v>
      </c>
      <c r="F60" s="32" t="s">
        <v>20</v>
      </c>
      <c r="G60" s="32">
        <v>20324855</v>
      </c>
      <c r="H60" s="32" t="s">
        <v>39</v>
      </c>
      <c r="I60" s="32">
        <v>3</v>
      </c>
      <c r="J60" s="31" t="s">
        <v>29</v>
      </c>
      <c r="K60" s="24">
        <v>1</v>
      </c>
      <c r="L60" s="25">
        <v>6.4</v>
      </c>
      <c r="M60" s="25">
        <v>6.4</v>
      </c>
      <c r="N60" s="25">
        <v>19.2</v>
      </c>
    </row>
    <row r="61" spans="4:14">
      <c r="D61" s="64">
        <v>46064</v>
      </c>
      <c r="E61" s="32">
        <v>1578098</v>
      </c>
      <c r="F61" s="32" t="s">
        <v>20</v>
      </c>
      <c r="G61" s="32">
        <v>20324840</v>
      </c>
      <c r="H61" s="32" t="s">
        <v>93</v>
      </c>
      <c r="I61" s="32">
        <v>1</v>
      </c>
      <c r="J61" s="31" t="s">
        <v>29</v>
      </c>
      <c r="K61" s="24">
        <v>1</v>
      </c>
      <c r="L61" s="25">
        <v>6.4</v>
      </c>
      <c r="M61" s="25">
        <v>6.4</v>
      </c>
      <c r="N61" s="25">
        <v>6.4</v>
      </c>
    </row>
    <row r="62" spans="4:14">
      <c r="D62" s="64">
        <v>46064</v>
      </c>
      <c r="E62" s="32">
        <v>1578098</v>
      </c>
      <c r="F62" s="32" t="s">
        <v>20</v>
      </c>
      <c r="G62" s="32">
        <v>20324950</v>
      </c>
      <c r="H62" s="32" t="s">
        <v>63</v>
      </c>
      <c r="I62" s="32">
        <v>1</v>
      </c>
      <c r="J62" s="32" t="s">
        <v>64</v>
      </c>
      <c r="K62" s="24">
        <v>1</v>
      </c>
      <c r="L62" s="25">
        <v>8.8</v>
      </c>
      <c r="M62" s="25">
        <v>8.8</v>
      </c>
      <c r="N62" s="25">
        <v>8.8</v>
      </c>
    </row>
    <row r="63" spans="4:14">
      <c r="D63" s="64">
        <v>46064</v>
      </c>
      <c r="E63" s="32">
        <v>1578098</v>
      </c>
      <c r="F63" s="32" t="s">
        <v>20</v>
      </c>
      <c r="G63" s="32">
        <v>20325260</v>
      </c>
      <c r="H63" s="32" t="s">
        <v>94</v>
      </c>
      <c r="I63" s="32">
        <v>1</v>
      </c>
      <c r="J63" s="31" t="s">
        <v>29</v>
      </c>
      <c r="K63" s="24">
        <v>1</v>
      </c>
      <c r="L63" s="25">
        <v>6.4</v>
      </c>
      <c r="M63" s="25">
        <v>6.4</v>
      </c>
      <c r="N63" s="25">
        <v>6.4</v>
      </c>
    </row>
    <row r="64" ht="25.5" spans="4:14">
      <c r="D64" s="64">
        <v>46064</v>
      </c>
      <c r="E64" s="32">
        <v>1578098</v>
      </c>
      <c r="F64" s="32" t="s">
        <v>20</v>
      </c>
      <c r="G64" s="32">
        <v>20326302</v>
      </c>
      <c r="H64" s="32" t="s">
        <v>95</v>
      </c>
      <c r="I64" s="32">
        <v>1</v>
      </c>
      <c r="J64" s="30" t="s">
        <v>18</v>
      </c>
      <c r="K64" s="24">
        <f>M64/L64</f>
        <v>73</v>
      </c>
      <c r="L64" s="25">
        <v>4.4</v>
      </c>
      <c r="M64" s="25">
        <v>321.2</v>
      </c>
      <c r="N64" s="25">
        <v>321.2</v>
      </c>
    </row>
    <row r="65" spans="4:14">
      <c r="D65" s="64">
        <v>46064</v>
      </c>
      <c r="E65" s="32">
        <v>1578098</v>
      </c>
      <c r="F65" s="32" t="s">
        <v>41</v>
      </c>
      <c r="G65" s="32">
        <v>20353549</v>
      </c>
      <c r="H65" s="32" t="s">
        <v>96</v>
      </c>
      <c r="I65" s="32">
        <v>1</v>
      </c>
      <c r="J65" s="34" t="s">
        <v>97</v>
      </c>
      <c r="K65" s="24">
        <v>1</v>
      </c>
      <c r="L65" s="25">
        <v>3.2</v>
      </c>
      <c r="M65" s="25">
        <v>3.2</v>
      </c>
      <c r="N65" s="25">
        <v>3.2</v>
      </c>
    </row>
    <row r="66" spans="4:14">
      <c r="D66" s="64">
        <v>46065</v>
      </c>
      <c r="E66" s="32">
        <v>1578452</v>
      </c>
      <c r="F66" s="32" t="s">
        <v>26</v>
      </c>
      <c r="G66" s="32">
        <v>20391366</v>
      </c>
      <c r="H66" s="32" t="s">
        <v>59</v>
      </c>
      <c r="I66" s="32">
        <v>4</v>
      </c>
      <c r="J66" s="30" t="s">
        <v>18</v>
      </c>
      <c r="K66" s="24">
        <f>M66/L66</f>
        <v>26</v>
      </c>
      <c r="L66" s="25">
        <v>4.4</v>
      </c>
      <c r="M66" s="25">
        <v>114.4</v>
      </c>
      <c r="N66" s="25">
        <v>457.6</v>
      </c>
    </row>
    <row r="67" ht="25.5" spans="4:14">
      <c r="D67" s="64">
        <v>46065</v>
      </c>
      <c r="E67" s="32">
        <v>1578452</v>
      </c>
      <c r="F67" s="32" t="s">
        <v>20</v>
      </c>
      <c r="G67" s="32">
        <v>20326302</v>
      </c>
      <c r="H67" s="32" t="s">
        <v>98</v>
      </c>
      <c r="I67" s="32">
        <v>1</v>
      </c>
      <c r="J67" s="30" t="s">
        <v>18</v>
      </c>
      <c r="K67" s="24">
        <f>M67/L67</f>
        <v>68</v>
      </c>
      <c r="L67" s="25">
        <v>4.4</v>
      </c>
      <c r="M67" s="25">
        <v>299.2</v>
      </c>
      <c r="N67" s="25">
        <v>299.2</v>
      </c>
    </row>
    <row r="68" spans="4:14">
      <c r="D68" s="64">
        <v>46065</v>
      </c>
      <c r="E68" s="32">
        <v>1578452</v>
      </c>
      <c r="F68" s="32" t="s">
        <v>41</v>
      </c>
      <c r="G68" s="32">
        <v>20324955</v>
      </c>
      <c r="H68" s="32" t="s">
        <v>42</v>
      </c>
      <c r="I68" s="32">
        <v>1</v>
      </c>
      <c r="J68" s="30" t="s">
        <v>43</v>
      </c>
      <c r="K68" s="24">
        <v>1</v>
      </c>
      <c r="L68" s="25">
        <v>2</v>
      </c>
      <c r="M68" s="25">
        <v>2</v>
      </c>
      <c r="N68" s="25">
        <v>2</v>
      </c>
    </row>
    <row r="69" spans="4:14">
      <c r="D69" s="21">
        <v>46065</v>
      </c>
      <c r="E69" s="22">
        <v>1578512</v>
      </c>
      <c r="F69" s="22" t="s">
        <v>20</v>
      </c>
      <c r="G69" s="22">
        <v>20332826</v>
      </c>
      <c r="H69" s="22" t="s">
        <v>60</v>
      </c>
      <c r="I69" s="22">
        <v>5</v>
      </c>
      <c r="J69" s="34" t="s">
        <v>61</v>
      </c>
      <c r="K69" s="24" t="s">
        <v>62</v>
      </c>
      <c r="L69" s="25">
        <v>70.4</v>
      </c>
      <c r="M69" s="26">
        <v>70.4</v>
      </c>
      <c r="N69" s="26">
        <v>352</v>
      </c>
    </row>
    <row r="70" spans="4:14">
      <c r="D70" s="64">
        <v>46066</v>
      </c>
      <c r="E70" s="32">
        <v>1578708</v>
      </c>
      <c r="F70" s="32" t="s">
        <v>26</v>
      </c>
      <c r="G70" s="32">
        <v>20391366</v>
      </c>
      <c r="H70" s="32" t="s">
        <v>59</v>
      </c>
      <c r="I70" s="32">
        <v>4</v>
      </c>
      <c r="J70" s="30" t="s">
        <v>18</v>
      </c>
      <c r="K70" s="24">
        <f>M70/L70</f>
        <v>26</v>
      </c>
      <c r="L70" s="25">
        <v>4.4</v>
      </c>
      <c r="M70" s="25">
        <v>114.4</v>
      </c>
      <c r="N70" s="25">
        <v>457.6</v>
      </c>
    </row>
    <row r="71" spans="4:14">
      <c r="D71" s="64">
        <v>46066</v>
      </c>
      <c r="E71" s="32">
        <v>1578708</v>
      </c>
      <c r="F71" s="32" t="s">
        <v>20</v>
      </c>
      <c r="G71" s="32">
        <v>20324364</v>
      </c>
      <c r="H71" s="32" t="s">
        <v>99</v>
      </c>
      <c r="I71" s="32">
        <v>1</v>
      </c>
      <c r="J71" s="31" t="s">
        <v>29</v>
      </c>
      <c r="K71" s="24">
        <v>1</v>
      </c>
      <c r="L71" s="25">
        <v>6.4</v>
      </c>
      <c r="M71" s="25">
        <v>6.4</v>
      </c>
      <c r="N71" s="25">
        <v>6.4</v>
      </c>
    </row>
    <row r="72" spans="4:14">
      <c r="D72" s="64">
        <v>46066</v>
      </c>
      <c r="E72" s="32">
        <v>1578708</v>
      </c>
      <c r="F72" s="32" t="s">
        <v>20</v>
      </c>
      <c r="G72" s="32">
        <v>20324855</v>
      </c>
      <c r="H72" s="32" t="s">
        <v>39</v>
      </c>
      <c r="I72" s="32">
        <v>8</v>
      </c>
      <c r="J72" s="31" t="s">
        <v>29</v>
      </c>
      <c r="K72" s="24">
        <v>1</v>
      </c>
      <c r="L72" s="25">
        <v>6.4</v>
      </c>
      <c r="M72" s="25">
        <v>6.4</v>
      </c>
      <c r="N72" s="25">
        <v>51.2</v>
      </c>
    </row>
    <row r="73" spans="4:14">
      <c r="D73" s="64">
        <v>46066</v>
      </c>
      <c r="E73" s="32">
        <v>1578708</v>
      </c>
      <c r="F73" s="32" t="s">
        <v>20</v>
      </c>
      <c r="G73" s="32">
        <v>20324485</v>
      </c>
      <c r="H73" s="32" t="s">
        <v>31</v>
      </c>
      <c r="I73" s="32">
        <v>2</v>
      </c>
      <c r="J73" s="31" t="s">
        <v>29</v>
      </c>
      <c r="K73" s="24">
        <v>1</v>
      </c>
      <c r="L73" s="25">
        <v>6.4</v>
      </c>
      <c r="M73" s="25">
        <v>6.4</v>
      </c>
      <c r="N73" s="25">
        <v>12.8</v>
      </c>
    </row>
    <row r="74" ht="25.5" spans="4:14">
      <c r="D74" s="64">
        <v>46066</v>
      </c>
      <c r="E74" s="32">
        <v>1578708</v>
      </c>
      <c r="F74" s="32" t="s">
        <v>20</v>
      </c>
      <c r="G74" s="32">
        <v>20332831</v>
      </c>
      <c r="H74" s="32" t="s">
        <v>100</v>
      </c>
      <c r="I74" s="32">
        <v>1</v>
      </c>
      <c r="J74" s="30" t="s">
        <v>18</v>
      </c>
      <c r="K74" s="24">
        <f>M74/L74</f>
        <v>92</v>
      </c>
      <c r="L74" s="25">
        <v>4.4</v>
      </c>
      <c r="M74" s="25">
        <v>404.8</v>
      </c>
      <c r="N74" s="25">
        <v>404.8</v>
      </c>
    </row>
    <row r="75" spans="4:14">
      <c r="D75" s="21">
        <v>46066</v>
      </c>
      <c r="E75" s="22">
        <v>1578788</v>
      </c>
      <c r="F75" s="22" t="s">
        <v>20</v>
      </c>
      <c r="G75" s="22">
        <v>20332826</v>
      </c>
      <c r="H75" s="22" t="s">
        <v>60</v>
      </c>
      <c r="I75" s="22">
        <v>3</v>
      </c>
      <c r="J75" s="34" t="s">
        <v>61</v>
      </c>
      <c r="K75" s="24" t="s">
        <v>62</v>
      </c>
      <c r="L75" s="25">
        <v>70.4</v>
      </c>
      <c r="M75" s="26">
        <v>70.4</v>
      </c>
      <c r="N75" s="26">
        <v>211.2</v>
      </c>
    </row>
    <row r="76" spans="4:14">
      <c r="D76" s="21">
        <v>46067</v>
      </c>
      <c r="E76" s="22">
        <v>1579010</v>
      </c>
      <c r="F76" s="22" t="s">
        <v>20</v>
      </c>
      <c r="G76" s="22">
        <v>20332826</v>
      </c>
      <c r="H76" s="22" t="s">
        <v>60</v>
      </c>
      <c r="I76" s="22">
        <v>2</v>
      </c>
      <c r="J76" s="34" t="s">
        <v>61</v>
      </c>
      <c r="K76" s="24" t="s">
        <v>62</v>
      </c>
      <c r="L76" s="25">
        <v>70.4</v>
      </c>
      <c r="M76" s="26">
        <v>70.4</v>
      </c>
      <c r="N76" s="26">
        <v>140.8</v>
      </c>
    </row>
    <row r="77" spans="4:14">
      <c r="D77" s="64">
        <v>46067</v>
      </c>
      <c r="E77" s="32">
        <v>1579027</v>
      </c>
      <c r="F77" s="32" t="s">
        <v>26</v>
      </c>
      <c r="G77" s="32">
        <v>20391366</v>
      </c>
      <c r="H77" s="32" t="s">
        <v>59</v>
      </c>
      <c r="I77" s="32">
        <v>2</v>
      </c>
      <c r="J77" s="30" t="s">
        <v>18</v>
      </c>
      <c r="K77" s="24">
        <f>M77/L77</f>
        <v>26</v>
      </c>
      <c r="L77" s="25">
        <v>4.4</v>
      </c>
      <c r="M77" s="25">
        <v>114.4</v>
      </c>
      <c r="N77" s="25">
        <v>228.8</v>
      </c>
    </row>
    <row r="78" ht="25.5" spans="4:14">
      <c r="D78" s="64">
        <v>46067</v>
      </c>
      <c r="E78" s="32">
        <v>1579027</v>
      </c>
      <c r="F78" s="32" t="s">
        <v>20</v>
      </c>
      <c r="G78" s="32">
        <v>20339166</v>
      </c>
      <c r="H78" s="32" t="s">
        <v>101</v>
      </c>
      <c r="I78" s="32">
        <v>1</v>
      </c>
      <c r="J78" s="30" t="s">
        <v>18</v>
      </c>
      <c r="K78" s="24">
        <f t="shared" ref="K78:K83" si="2">M78/L78</f>
        <v>69</v>
      </c>
      <c r="L78" s="25">
        <v>4.4</v>
      </c>
      <c r="M78" s="25">
        <v>303.6</v>
      </c>
      <c r="N78" s="25">
        <v>303.6</v>
      </c>
    </row>
    <row r="79" spans="4:14">
      <c r="D79" s="64">
        <v>46077</v>
      </c>
      <c r="E79" s="32">
        <v>1579610</v>
      </c>
      <c r="F79" s="32" t="s">
        <v>26</v>
      </c>
      <c r="G79" s="32">
        <v>20391366</v>
      </c>
      <c r="H79" s="32" t="s">
        <v>59</v>
      </c>
      <c r="I79" s="32">
        <v>5</v>
      </c>
      <c r="J79" s="30" t="s">
        <v>18</v>
      </c>
      <c r="K79" s="24">
        <f t="shared" si="2"/>
        <v>26</v>
      </c>
      <c r="L79" s="25">
        <v>4.4</v>
      </c>
      <c r="M79" s="25">
        <v>114.4</v>
      </c>
      <c r="N79" s="25">
        <v>572</v>
      </c>
    </row>
    <row r="80" spans="4:14">
      <c r="D80" s="64">
        <v>46077</v>
      </c>
      <c r="E80" s="32">
        <v>1579610</v>
      </c>
      <c r="F80" s="32" t="s">
        <v>20</v>
      </c>
      <c r="G80" s="32">
        <v>20324370</v>
      </c>
      <c r="H80" s="32" t="s">
        <v>102</v>
      </c>
      <c r="I80" s="32">
        <v>1</v>
      </c>
      <c r="J80" s="31" t="s">
        <v>29</v>
      </c>
      <c r="K80" s="24">
        <v>1</v>
      </c>
      <c r="L80" s="25">
        <v>6.4</v>
      </c>
      <c r="M80" s="25">
        <v>6.4</v>
      </c>
      <c r="N80" s="25">
        <v>6.4</v>
      </c>
    </row>
    <row r="81" spans="4:14">
      <c r="D81" s="64">
        <v>46077</v>
      </c>
      <c r="E81" s="32">
        <v>1579610</v>
      </c>
      <c r="F81" s="32" t="s">
        <v>20</v>
      </c>
      <c r="G81" s="32">
        <v>20324855</v>
      </c>
      <c r="H81" s="32" t="s">
        <v>39</v>
      </c>
      <c r="I81" s="32">
        <v>10</v>
      </c>
      <c r="J81" s="31" t="s">
        <v>29</v>
      </c>
      <c r="K81" s="24">
        <v>1</v>
      </c>
      <c r="L81" s="25">
        <v>6.4</v>
      </c>
      <c r="M81" s="25">
        <v>6.4</v>
      </c>
      <c r="N81" s="25">
        <v>64</v>
      </c>
    </row>
    <row r="82" spans="4:14">
      <c r="D82" s="64">
        <v>46077</v>
      </c>
      <c r="E82" s="32">
        <v>1579610</v>
      </c>
      <c r="F82" s="32" t="s">
        <v>20</v>
      </c>
      <c r="G82" s="32">
        <v>20324485</v>
      </c>
      <c r="H82" s="32" t="s">
        <v>31</v>
      </c>
      <c r="I82" s="32">
        <v>1</v>
      </c>
      <c r="J82" s="31" t="s">
        <v>29</v>
      </c>
      <c r="K82" s="24">
        <v>1</v>
      </c>
      <c r="L82" s="25">
        <v>6.4</v>
      </c>
      <c r="M82" s="25">
        <v>6.4</v>
      </c>
      <c r="N82" s="25">
        <v>6.4</v>
      </c>
    </row>
    <row r="83" ht="25.5" spans="4:14">
      <c r="D83" s="64">
        <v>46077</v>
      </c>
      <c r="E83" s="32">
        <v>1579610</v>
      </c>
      <c r="F83" s="32" t="s">
        <v>20</v>
      </c>
      <c r="G83" s="32">
        <v>20332831</v>
      </c>
      <c r="H83" s="32" t="s">
        <v>103</v>
      </c>
      <c r="I83" s="32">
        <v>1</v>
      </c>
      <c r="J83" s="30" t="s">
        <v>18</v>
      </c>
      <c r="K83" s="24">
        <f t="shared" si="2"/>
        <v>101</v>
      </c>
      <c r="L83" s="25">
        <v>4.4</v>
      </c>
      <c r="M83" s="25">
        <v>444.4</v>
      </c>
      <c r="N83" s="25">
        <v>444.4</v>
      </c>
    </row>
    <row r="84" spans="4:14">
      <c r="D84" s="64">
        <v>46077</v>
      </c>
      <c r="E84" s="32">
        <v>1579610</v>
      </c>
      <c r="F84" s="32" t="s">
        <v>20</v>
      </c>
      <c r="G84" s="32">
        <v>20336870</v>
      </c>
      <c r="H84" s="32" t="s">
        <v>104</v>
      </c>
      <c r="I84" s="32">
        <v>1</v>
      </c>
      <c r="J84" s="30" t="s">
        <v>18</v>
      </c>
      <c r="K84" s="24">
        <f t="shared" ref="K84:K89" si="3">M84/L84</f>
        <v>41</v>
      </c>
      <c r="L84" s="25">
        <v>4.4</v>
      </c>
      <c r="M84" s="25">
        <v>180.4</v>
      </c>
      <c r="N84" s="25">
        <v>180.4</v>
      </c>
    </row>
    <row r="85" spans="4:14">
      <c r="D85" s="21">
        <v>46077</v>
      </c>
      <c r="E85" s="22">
        <v>1579615</v>
      </c>
      <c r="F85" s="22" t="s">
        <v>20</v>
      </c>
      <c r="G85" s="22">
        <v>20332826</v>
      </c>
      <c r="H85" s="22" t="s">
        <v>60</v>
      </c>
      <c r="I85" s="22">
        <v>4</v>
      </c>
      <c r="J85" s="34" t="s">
        <v>61</v>
      </c>
      <c r="K85" s="24" t="s">
        <v>62</v>
      </c>
      <c r="L85" s="25">
        <v>70.4</v>
      </c>
      <c r="M85" s="26">
        <v>70.4</v>
      </c>
      <c r="N85" s="26">
        <v>281.6</v>
      </c>
    </row>
    <row r="86" spans="4:14">
      <c r="D86" s="64">
        <v>46077</v>
      </c>
      <c r="E86" s="32">
        <v>1579808</v>
      </c>
      <c r="F86" s="32" t="s">
        <v>26</v>
      </c>
      <c r="G86" s="32">
        <v>20391366</v>
      </c>
      <c r="H86" s="32" t="s">
        <v>59</v>
      </c>
      <c r="I86" s="32">
        <v>4</v>
      </c>
      <c r="J86" s="30" t="s">
        <v>18</v>
      </c>
      <c r="K86" s="24">
        <f t="shared" si="3"/>
        <v>26</v>
      </c>
      <c r="L86" s="25">
        <v>4.4</v>
      </c>
      <c r="M86" s="25">
        <v>114.4</v>
      </c>
      <c r="N86" s="25">
        <v>457.6</v>
      </c>
    </row>
    <row r="87" spans="4:14">
      <c r="D87" s="64">
        <v>46077</v>
      </c>
      <c r="E87" s="32">
        <v>1579808</v>
      </c>
      <c r="F87" s="32" t="s">
        <v>20</v>
      </c>
      <c r="G87" s="32">
        <v>20324855</v>
      </c>
      <c r="H87" s="32" t="s">
        <v>39</v>
      </c>
      <c r="I87" s="32">
        <v>4</v>
      </c>
      <c r="J87" s="31" t="s">
        <v>29</v>
      </c>
      <c r="K87" s="24">
        <v>1</v>
      </c>
      <c r="L87" s="25">
        <v>6.4</v>
      </c>
      <c r="M87" s="25">
        <v>6.4</v>
      </c>
      <c r="N87" s="25">
        <v>25.6</v>
      </c>
    </row>
    <row r="88" ht="25.5" spans="4:14">
      <c r="D88" s="64">
        <v>46077</v>
      </c>
      <c r="E88" s="32">
        <v>1579808</v>
      </c>
      <c r="F88" s="32" t="s">
        <v>20</v>
      </c>
      <c r="G88" s="32">
        <v>20327669</v>
      </c>
      <c r="H88" s="32" t="s">
        <v>105</v>
      </c>
      <c r="I88" s="32">
        <v>1</v>
      </c>
      <c r="J88" s="30" t="s">
        <v>18</v>
      </c>
      <c r="K88" s="24">
        <f t="shared" si="3"/>
        <v>55</v>
      </c>
      <c r="L88" s="25">
        <v>4.4</v>
      </c>
      <c r="M88" s="25">
        <v>242</v>
      </c>
      <c r="N88" s="25">
        <v>242</v>
      </c>
    </row>
    <row r="89" spans="4:14">
      <c r="D89" s="64">
        <v>46078</v>
      </c>
      <c r="E89" s="32">
        <v>1580108</v>
      </c>
      <c r="F89" s="32" t="s">
        <v>26</v>
      </c>
      <c r="G89" s="32">
        <v>20391366</v>
      </c>
      <c r="H89" s="32" t="s">
        <v>59</v>
      </c>
      <c r="I89" s="32">
        <v>5</v>
      </c>
      <c r="J89" s="30" t="s">
        <v>18</v>
      </c>
      <c r="K89" s="24">
        <f t="shared" si="3"/>
        <v>26</v>
      </c>
      <c r="L89" s="25">
        <v>4.4</v>
      </c>
      <c r="M89" s="25">
        <v>114.4</v>
      </c>
      <c r="N89" s="25">
        <v>572</v>
      </c>
    </row>
    <row r="90" spans="4:14">
      <c r="D90" s="64">
        <v>46078</v>
      </c>
      <c r="E90" s="32">
        <v>1580108</v>
      </c>
      <c r="F90" s="32" t="s">
        <v>20</v>
      </c>
      <c r="G90" s="32">
        <v>20324855</v>
      </c>
      <c r="H90" s="32" t="s">
        <v>39</v>
      </c>
      <c r="I90" s="32">
        <v>5</v>
      </c>
      <c r="J90" s="31" t="s">
        <v>29</v>
      </c>
      <c r="K90" s="24">
        <v>1</v>
      </c>
      <c r="L90" s="25">
        <v>6.4</v>
      </c>
      <c r="M90" s="25">
        <v>6.4</v>
      </c>
      <c r="N90" s="25">
        <v>32</v>
      </c>
    </row>
    <row r="91" ht="25.5" spans="4:14">
      <c r="D91" s="64">
        <v>46078</v>
      </c>
      <c r="E91" s="32">
        <v>1580108</v>
      </c>
      <c r="F91" s="32" t="s">
        <v>20</v>
      </c>
      <c r="G91" s="32">
        <v>20327669</v>
      </c>
      <c r="H91" s="32" t="s">
        <v>106</v>
      </c>
      <c r="I91" s="32">
        <v>1</v>
      </c>
      <c r="J91" s="30" t="s">
        <v>18</v>
      </c>
      <c r="K91" s="24">
        <f>M91/L91</f>
        <v>73</v>
      </c>
      <c r="L91" s="25">
        <v>4.4</v>
      </c>
      <c r="M91" s="25">
        <v>321.2</v>
      </c>
      <c r="N91" s="25">
        <v>321.2</v>
      </c>
    </row>
    <row r="92" spans="4:14">
      <c r="D92" s="64">
        <v>46080</v>
      </c>
      <c r="E92" s="32">
        <v>1580523</v>
      </c>
      <c r="F92" s="32" t="s">
        <v>26</v>
      </c>
      <c r="G92" s="32">
        <v>20391366</v>
      </c>
      <c r="H92" s="32" t="s">
        <v>59</v>
      </c>
      <c r="I92" s="32">
        <v>3</v>
      </c>
      <c r="J92" s="30" t="s">
        <v>18</v>
      </c>
      <c r="K92" s="24">
        <f>M92/L92</f>
        <v>26</v>
      </c>
      <c r="L92" s="25">
        <v>4.4</v>
      </c>
      <c r="M92" s="25">
        <v>114.4</v>
      </c>
      <c r="N92" s="25">
        <v>343.2</v>
      </c>
    </row>
    <row r="93" spans="4:14">
      <c r="D93" s="64">
        <v>46080</v>
      </c>
      <c r="E93" s="32">
        <v>1580523</v>
      </c>
      <c r="F93" s="32" t="s">
        <v>20</v>
      </c>
      <c r="G93" s="32">
        <v>20324855</v>
      </c>
      <c r="H93" s="32" t="s">
        <v>39</v>
      </c>
      <c r="I93" s="32">
        <v>3</v>
      </c>
      <c r="J93" s="31" t="s">
        <v>29</v>
      </c>
      <c r="K93" s="24">
        <v>1</v>
      </c>
      <c r="L93" s="25">
        <v>6.4</v>
      </c>
      <c r="M93" s="25">
        <v>6.4</v>
      </c>
      <c r="N93" s="25">
        <v>19.2</v>
      </c>
    </row>
    <row r="94" spans="4:14">
      <c r="D94" s="64">
        <v>46080</v>
      </c>
      <c r="E94" s="32">
        <v>1580523</v>
      </c>
      <c r="F94" s="32" t="s">
        <v>20</v>
      </c>
      <c r="G94" s="32">
        <v>20324485</v>
      </c>
      <c r="H94" s="32" t="s">
        <v>31</v>
      </c>
      <c r="I94" s="32">
        <v>1</v>
      </c>
      <c r="J94" s="31" t="s">
        <v>29</v>
      </c>
      <c r="K94" s="24">
        <v>1</v>
      </c>
      <c r="L94" s="25">
        <v>6.4</v>
      </c>
      <c r="M94" s="25">
        <v>6.4</v>
      </c>
      <c r="N94" s="25">
        <v>6.4</v>
      </c>
    </row>
    <row r="95" ht="25.5" spans="4:14">
      <c r="D95" s="64">
        <v>46080</v>
      </c>
      <c r="E95" s="32">
        <v>1580523</v>
      </c>
      <c r="F95" s="32" t="s">
        <v>20</v>
      </c>
      <c r="G95" s="32">
        <v>20327669</v>
      </c>
      <c r="H95" s="32" t="s">
        <v>107</v>
      </c>
      <c r="I95" s="32">
        <v>1</v>
      </c>
      <c r="J95" s="30" t="s">
        <v>18</v>
      </c>
      <c r="K95" s="24">
        <f>M95/L95</f>
        <v>65</v>
      </c>
      <c r="L95" s="25">
        <v>4.4</v>
      </c>
      <c r="M95" s="25">
        <v>286</v>
      </c>
      <c r="N95" s="25">
        <v>286</v>
      </c>
    </row>
    <row r="96" spans="4:14">
      <c r="D96" s="64">
        <v>46080</v>
      </c>
      <c r="E96" s="32">
        <v>1580523</v>
      </c>
      <c r="F96" s="32" t="s">
        <v>41</v>
      </c>
      <c r="G96" s="32">
        <v>20353549</v>
      </c>
      <c r="H96" s="32" t="s">
        <v>96</v>
      </c>
      <c r="I96" s="32">
        <v>1</v>
      </c>
      <c r="J96" s="34" t="s">
        <v>97</v>
      </c>
      <c r="K96" s="24">
        <v>1</v>
      </c>
      <c r="L96" s="25">
        <v>3.2</v>
      </c>
      <c r="M96" s="25">
        <v>3.2</v>
      </c>
      <c r="N96" s="25">
        <v>3.2</v>
      </c>
    </row>
    <row r="97" spans="4:14">
      <c r="D97" s="21">
        <v>46080</v>
      </c>
      <c r="E97" s="22">
        <v>1580565</v>
      </c>
      <c r="F97" s="22" t="s">
        <v>20</v>
      </c>
      <c r="G97" s="22">
        <v>20332826</v>
      </c>
      <c r="H97" s="22" t="s">
        <v>60</v>
      </c>
      <c r="I97" s="22">
        <v>4</v>
      </c>
      <c r="J97" s="34" t="s">
        <v>61</v>
      </c>
      <c r="K97" s="24" t="s">
        <v>62</v>
      </c>
      <c r="L97" s="25">
        <v>70.4</v>
      </c>
      <c r="M97" s="26">
        <v>70.4</v>
      </c>
      <c r="N97" s="26">
        <v>281.6</v>
      </c>
    </row>
    <row r="98" spans="4:14">
      <c r="D98" s="64">
        <v>46080</v>
      </c>
      <c r="E98" s="32">
        <v>1580860</v>
      </c>
      <c r="F98" s="32" t="s">
        <v>26</v>
      </c>
      <c r="G98" s="32">
        <v>20391366</v>
      </c>
      <c r="H98" s="32" t="s">
        <v>59</v>
      </c>
      <c r="I98" s="32">
        <v>5</v>
      </c>
      <c r="J98" s="30" t="s">
        <v>18</v>
      </c>
      <c r="K98" s="24">
        <f t="shared" ref="K98:K103" si="4">M98/L98</f>
        <v>26</v>
      </c>
      <c r="L98" s="25">
        <v>4.4</v>
      </c>
      <c r="M98" s="25">
        <v>114.4</v>
      </c>
      <c r="N98" s="25">
        <v>572</v>
      </c>
    </row>
    <row r="99" spans="4:14">
      <c r="D99" s="64">
        <v>46080</v>
      </c>
      <c r="E99" s="32">
        <v>1580860</v>
      </c>
      <c r="F99" s="32" t="s">
        <v>20</v>
      </c>
      <c r="G99" s="32">
        <v>20324855</v>
      </c>
      <c r="H99" s="32" t="s">
        <v>39</v>
      </c>
      <c r="I99" s="32">
        <v>5</v>
      </c>
      <c r="J99" s="31" t="s">
        <v>29</v>
      </c>
      <c r="K99" s="24">
        <v>1</v>
      </c>
      <c r="L99" s="25">
        <v>6.4</v>
      </c>
      <c r="M99" s="25">
        <v>6.4</v>
      </c>
      <c r="N99" s="25">
        <v>32</v>
      </c>
    </row>
    <row r="100" spans="4:14">
      <c r="D100" s="64">
        <v>46080</v>
      </c>
      <c r="E100" s="32">
        <v>1580860</v>
      </c>
      <c r="F100" s="32" t="s">
        <v>20</v>
      </c>
      <c r="G100" s="32">
        <v>20324485</v>
      </c>
      <c r="H100" s="32" t="s">
        <v>31</v>
      </c>
      <c r="I100" s="32">
        <v>1</v>
      </c>
      <c r="J100" s="31" t="s">
        <v>29</v>
      </c>
      <c r="K100" s="24">
        <v>1</v>
      </c>
      <c r="L100" s="25">
        <v>6.4</v>
      </c>
      <c r="M100" s="25">
        <v>6.4</v>
      </c>
      <c r="N100" s="25">
        <v>6.4</v>
      </c>
    </row>
    <row r="101" ht="25.5" spans="4:14">
      <c r="D101" s="64">
        <v>46080</v>
      </c>
      <c r="E101" s="32">
        <v>1580860</v>
      </c>
      <c r="F101" s="32" t="s">
        <v>20</v>
      </c>
      <c r="G101" s="32">
        <v>20327669</v>
      </c>
      <c r="H101" s="32" t="s">
        <v>108</v>
      </c>
      <c r="I101" s="32">
        <v>1</v>
      </c>
      <c r="J101" s="30" t="s">
        <v>18</v>
      </c>
      <c r="K101" s="24">
        <f>M101/L101</f>
        <v>107</v>
      </c>
      <c r="L101" s="25">
        <v>4.4</v>
      </c>
      <c r="M101" s="25">
        <v>470.8</v>
      </c>
      <c r="N101" s="25">
        <v>470.8</v>
      </c>
    </row>
    <row r="102" spans="4:14">
      <c r="D102" s="64">
        <v>46081</v>
      </c>
      <c r="E102" s="32">
        <v>1581177</v>
      </c>
      <c r="F102" s="32" t="s">
        <v>26</v>
      </c>
      <c r="G102" s="32">
        <v>20391366</v>
      </c>
      <c r="H102" s="32" t="s">
        <v>59</v>
      </c>
      <c r="I102" s="32">
        <v>2</v>
      </c>
      <c r="J102" s="30" t="s">
        <v>18</v>
      </c>
      <c r="K102" s="24">
        <f t="shared" si="4"/>
        <v>26</v>
      </c>
      <c r="L102" s="25">
        <v>4.4</v>
      </c>
      <c r="M102" s="25">
        <v>114.4</v>
      </c>
      <c r="N102" s="25">
        <v>228.8</v>
      </c>
    </row>
    <row r="103" ht="25.5" spans="4:14">
      <c r="D103" s="64">
        <v>46081</v>
      </c>
      <c r="E103" s="32">
        <v>1581177</v>
      </c>
      <c r="F103" s="32" t="s">
        <v>20</v>
      </c>
      <c r="G103" s="32">
        <v>20384192</v>
      </c>
      <c r="H103" s="32" t="s">
        <v>109</v>
      </c>
      <c r="I103" s="32">
        <v>1</v>
      </c>
      <c r="J103" s="30" t="s">
        <v>18</v>
      </c>
      <c r="K103" s="24">
        <f t="shared" si="4"/>
        <v>73</v>
      </c>
      <c r="L103" s="25">
        <v>4.4</v>
      </c>
      <c r="M103" s="25">
        <v>321.2</v>
      </c>
      <c r="N103" s="25">
        <v>321.2</v>
      </c>
    </row>
    <row r="104" spans="4:14">
      <c r="D104" s="21">
        <v>46081</v>
      </c>
      <c r="E104" s="22">
        <v>1581179</v>
      </c>
      <c r="F104" s="22" t="s">
        <v>20</v>
      </c>
      <c r="G104" s="22">
        <v>20332826</v>
      </c>
      <c r="H104" s="22" t="s">
        <v>60</v>
      </c>
      <c r="I104" s="22">
        <v>3</v>
      </c>
      <c r="J104" s="34" t="s">
        <v>61</v>
      </c>
      <c r="K104" s="24" t="s">
        <v>62</v>
      </c>
      <c r="L104" s="25">
        <v>70.4</v>
      </c>
      <c r="M104" s="26">
        <v>70.4</v>
      </c>
      <c r="N104" s="26">
        <v>211.2</v>
      </c>
    </row>
    <row r="105" spans="4:14">
      <c r="D105" s="64">
        <v>46081</v>
      </c>
      <c r="E105" s="32">
        <v>1581210</v>
      </c>
      <c r="F105" s="32" t="s">
        <v>20</v>
      </c>
      <c r="G105" s="32">
        <v>20324855</v>
      </c>
      <c r="H105" s="32" t="s">
        <v>39</v>
      </c>
      <c r="I105" s="32">
        <v>2</v>
      </c>
      <c r="J105" s="31" t="s">
        <v>29</v>
      </c>
      <c r="K105" s="24">
        <v>1</v>
      </c>
      <c r="L105" s="25">
        <v>6.4</v>
      </c>
      <c r="M105" s="25">
        <v>6.4</v>
      </c>
      <c r="N105" s="25">
        <v>12.8</v>
      </c>
    </row>
    <row r="106" spans="4:14">
      <c r="D106" s="64">
        <v>46081</v>
      </c>
      <c r="E106" s="32">
        <v>1581210</v>
      </c>
      <c r="F106" s="32" t="s">
        <v>20</v>
      </c>
      <c r="G106" s="32">
        <v>20324485</v>
      </c>
      <c r="H106" s="32" t="s">
        <v>31</v>
      </c>
      <c r="I106" s="32">
        <v>1</v>
      </c>
      <c r="J106" s="31" t="s">
        <v>29</v>
      </c>
      <c r="K106" s="24">
        <v>1</v>
      </c>
      <c r="L106" s="25">
        <v>6.4</v>
      </c>
      <c r="M106" s="25">
        <v>6.4</v>
      </c>
      <c r="N106" s="25">
        <v>6.4</v>
      </c>
    </row>
    <row r="116" spans="8:8">
      <c r="H116" s="124"/>
    </row>
  </sheetData>
  <autoFilter xmlns:etc="http://www.wps.cn/officeDocument/2017/etCustomData" ref="A7:N106" etc:filterBottomFollowUsedRange="0">
    <extLst/>
  </autoFilter>
  <mergeCells count="5">
    <mergeCell ref="D8:H8"/>
    <mergeCell ref="C7:C106"/>
    <mergeCell ref="B4:H5"/>
    <mergeCell ref="A7:B106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topLeftCell="D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110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</v>
      </c>
      <c r="J8" s="67"/>
      <c r="K8" s="33"/>
      <c r="L8" s="33"/>
      <c r="M8" s="33"/>
      <c r="N8" s="33">
        <v>15.2</v>
      </c>
    </row>
    <row r="9" spans="1:14">
      <c r="D9" s="68">
        <v>46062</v>
      </c>
      <c r="E9" s="69">
        <v>1577491</v>
      </c>
      <c r="F9" s="69" t="s">
        <v>20</v>
      </c>
      <c r="G9" s="69">
        <v>20324557</v>
      </c>
      <c r="H9" s="69" t="s">
        <v>111</v>
      </c>
      <c r="I9" s="69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64">
        <v>46062</v>
      </c>
      <c r="E10" s="32">
        <v>1577491</v>
      </c>
      <c r="F10" s="32" t="s">
        <v>20</v>
      </c>
      <c r="G10" s="32">
        <v>20324559</v>
      </c>
      <c r="H10" s="32" t="s">
        <v>112</v>
      </c>
      <c r="I10" s="32">
        <v>1</v>
      </c>
      <c r="J10" s="32" t="s">
        <v>64</v>
      </c>
      <c r="K10" s="24">
        <v>1</v>
      </c>
      <c r="L10" s="25">
        <v>8.8</v>
      </c>
      <c r="M10" s="25">
        <v>8.8</v>
      </c>
      <c r="N10" s="25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"/>
  <sheetViews>
    <sheetView showGridLines="0" view="pageBreakPreview" zoomScaleNormal="100" workbookViewId="0">
      <pane ySplit="6" topLeftCell="A7" activePane="bottomLeft" state="frozen"/>
      <selection/>
      <selection pane="bottomLeft" activeCell="K20" sqref="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113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73</v>
      </c>
      <c r="J8" s="67"/>
      <c r="K8" s="33"/>
      <c r="L8" s="33"/>
      <c r="M8" s="33"/>
      <c r="N8" s="33">
        <v>2184.4</v>
      </c>
    </row>
    <row r="9" spans="1:14">
      <c r="D9" s="68">
        <v>46055</v>
      </c>
      <c r="E9" s="69">
        <v>1575627</v>
      </c>
      <c r="F9" s="69" t="s">
        <v>20</v>
      </c>
      <c r="G9" s="69">
        <v>20324364</v>
      </c>
      <c r="H9" s="69" t="s">
        <v>99</v>
      </c>
      <c r="I9" s="69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64">
        <v>46055</v>
      </c>
      <c r="E10" s="32">
        <v>1575627</v>
      </c>
      <c r="F10" s="32" t="s">
        <v>20</v>
      </c>
      <c r="G10" s="32">
        <v>20324403</v>
      </c>
      <c r="H10" s="32" t="s">
        <v>114</v>
      </c>
      <c r="I10" s="32">
        <v>1</v>
      </c>
      <c r="J10" s="31" t="s">
        <v>29</v>
      </c>
      <c r="K10" s="24">
        <v>1</v>
      </c>
      <c r="L10" s="25">
        <v>6.4</v>
      </c>
      <c r="M10" s="25">
        <v>6.4</v>
      </c>
      <c r="N10" s="25">
        <v>6.4</v>
      </c>
    </row>
    <row r="11" spans="1:14">
      <c r="D11" s="64">
        <v>46055</v>
      </c>
      <c r="E11" s="32">
        <v>1575627</v>
      </c>
      <c r="F11" s="32" t="s">
        <v>20</v>
      </c>
      <c r="G11" s="32">
        <v>20406576</v>
      </c>
      <c r="H11" s="32" t="s">
        <v>115</v>
      </c>
      <c r="I11" s="32">
        <v>1</v>
      </c>
      <c r="J11" s="32" t="s">
        <v>64</v>
      </c>
      <c r="K11" s="24">
        <v>1</v>
      </c>
      <c r="L11" s="25">
        <v>8.8</v>
      </c>
      <c r="M11" s="25">
        <v>13.2</v>
      </c>
      <c r="N11" s="25">
        <v>13.2</v>
      </c>
    </row>
    <row r="12" spans="1:14">
      <c r="D12" s="64"/>
      <c r="E12" s="32"/>
      <c r="F12" s="32"/>
      <c r="G12" s="32"/>
      <c r="H12" s="32"/>
      <c r="I12" s="32"/>
      <c r="J12" s="32" t="s">
        <v>116</v>
      </c>
      <c r="K12" s="24">
        <v>1</v>
      </c>
      <c r="L12" s="25">
        <v>4.4</v>
      </c>
      <c r="M12" s="25"/>
      <c r="N12" s="25"/>
    </row>
    <row r="13" spans="1:14">
      <c r="D13" s="64">
        <v>46055</v>
      </c>
      <c r="E13" s="32">
        <v>1575627</v>
      </c>
      <c r="F13" s="32" t="s">
        <v>20</v>
      </c>
      <c r="G13" s="32">
        <v>20324402</v>
      </c>
      <c r="H13" s="32" t="s">
        <v>117</v>
      </c>
      <c r="I13" s="32">
        <v>1</v>
      </c>
      <c r="J13" s="32" t="s">
        <v>64</v>
      </c>
      <c r="K13" s="24">
        <v>1</v>
      </c>
      <c r="L13" s="25">
        <v>8.8</v>
      </c>
      <c r="M13" s="25">
        <v>8.8</v>
      </c>
      <c r="N13" s="25">
        <v>8.8</v>
      </c>
    </row>
    <row r="14" spans="1:14">
      <c r="D14" s="64">
        <v>46055</v>
      </c>
      <c r="E14" s="32">
        <v>1575627</v>
      </c>
      <c r="F14" s="32" t="s">
        <v>16</v>
      </c>
      <c r="G14" s="32">
        <v>20324494</v>
      </c>
      <c r="H14" s="32" t="s">
        <v>118</v>
      </c>
      <c r="I14" s="32">
        <v>5</v>
      </c>
      <c r="J14" s="30" t="s">
        <v>18</v>
      </c>
      <c r="K14" s="24">
        <f>M14/L14</f>
        <v>11</v>
      </c>
      <c r="L14" s="25">
        <v>4.4</v>
      </c>
      <c r="M14" s="25">
        <v>48.4</v>
      </c>
      <c r="N14" s="25">
        <v>242</v>
      </c>
    </row>
    <row r="15" spans="1:14">
      <c r="D15" s="64">
        <v>46055</v>
      </c>
      <c r="E15" s="32">
        <v>1575627</v>
      </c>
      <c r="F15" s="32" t="s">
        <v>16</v>
      </c>
      <c r="G15" s="32">
        <v>20324493</v>
      </c>
      <c r="H15" s="32" t="s">
        <v>119</v>
      </c>
      <c r="I15" s="32">
        <v>2</v>
      </c>
      <c r="J15" s="30" t="s">
        <v>18</v>
      </c>
      <c r="K15" s="24">
        <f>M15/L15</f>
        <v>15</v>
      </c>
      <c r="L15" s="25">
        <v>4.4</v>
      </c>
      <c r="M15" s="25">
        <v>66</v>
      </c>
      <c r="N15" s="25">
        <v>132</v>
      </c>
    </row>
    <row r="16" spans="1:14">
      <c r="D16" s="64">
        <v>46055</v>
      </c>
      <c r="E16" s="32">
        <v>1575627</v>
      </c>
      <c r="F16" s="32" t="s">
        <v>20</v>
      </c>
      <c r="G16" s="32">
        <v>20324717</v>
      </c>
      <c r="H16" s="32" t="s">
        <v>120</v>
      </c>
      <c r="I16" s="32">
        <v>1</v>
      </c>
      <c r="J16" s="30" t="s">
        <v>18</v>
      </c>
      <c r="K16" s="24">
        <f>M16/L16</f>
        <v>3</v>
      </c>
      <c r="L16" s="25">
        <v>4.4</v>
      </c>
      <c r="M16" s="25">
        <v>13.2</v>
      </c>
      <c r="N16" s="25">
        <v>13.2</v>
      </c>
    </row>
    <row r="17" spans="4:14">
      <c r="D17" s="64">
        <v>46055</v>
      </c>
      <c r="E17" s="32">
        <v>1575627</v>
      </c>
      <c r="F17" s="32" t="s">
        <v>20</v>
      </c>
      <c r="G17" s="32">
        <v>20386348</v>
      </c>
      <c r="H17" s="32" t="s">
        <v>121</v>
      </c>
      <c r="I17" s="32">
        <v>3</v>
      </c>
      <c r="J17" s="30" t="s">
        <v>18</v>
      </c>
      <c r="K17" s="24">
        <f>M17/L17</f>
        <v>5</v>
      </c>
      <c r="L17" s="25">
        <v>4.4</v>
      </c>
      <c r="M17" s="25">
        <v>22</v>
      </c>
      <c r="N17" s="25">
        <v>66</v>
      </c>
    </row>
    <row r="18" spans="4:14">
      <c r="D18" s="64">
        <v>46056</v>
      </c>
      <c r="E18" s="32">
        <v>1575984</v>
      </c>
      <c r="F18" s="32" t="s">
        <v>20</v>
      </c>
      <c r="G18" s="32">
        <v>20330459</v>
      </c>
      <c r="H18" s="32" t="s">
        <v>122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46056</v>
      </c>
      <c r="E19" s="32">
        <v>1575984</v>
      </c>
      <c r="F19" s="32" t="s">
        <v>20</v>
      </c>
      <c r="G19" s="32">
        <v>20324691</v>
      </c>
      <c r="H19" s="32" t="s">
        <v>123</v>
      </c>
      <c r="I19" s="32">
        <v>1</v>
      </c>
      <c r="J19" s="32" t="s">
        <v>64</v>
      </c>
      <c r="K19" s="24">
        <v>1</v>
      </c>
      <c r="L19" s="25">
        <v>8.8</v>
      </c>
      <c r="M19" s="25">
        <v>8.8</v>
      </c>
      <c r="N19" s="25">
        <v>8.8</v>
      </c>
    </row>
    <row r="20" spans="4:14">
      <c r="D20" s="64">
        <v>46056</v>
      </c>
      <c r="E20" s="32">
        <v>1575984</v>
      </c>
      <c r="F20" s="32" t="s">
        <v>20</v>
      </c>
      <c r="G20" s="32">
        <v>20324403</v>
      </c>
      <c r="H20" s="32" t="s">
        <v>114</v>
      </c>
      <c r="I20" s="32">
        <v>2</v>
      </c>
      <c r="J20" s="31" t="s">
        <v>29</v>
      </c>
      <c r="K20" s="24">
        <v>1</v>
      </c>
      <c r="L20" s="25">
        <v>6.4</v>
      </c>
      <c r="M20" s="25">
        <v>6.4</v>
      </c>
      <c r="N20" s="25">
        <v>12.8</v>
      </c>
    </row>
    <row r="21" spans="4:14">
      <c r="D21" s="64">
        <v>46056</v>
      </c>
      <c r="E21" s="32">
        <v>1575984</v>
      </c>
      <c r="F21" s="32" t="s">
        <v>20</v>
      </c>
      <c r="G21" s="32">
        <v>20324533</v>
      </c>
      <c r="H21" s="32" t="s">
        <v>124</v>
      </c>
      <c r="I21" s="32">
        <v>1</v>
      </c>
      <c r="J21" s="31" t="s">
        <v>29</v>
      </c>
      <c r="K21" s="24">
        <v>1</v>
      </c>
      <c r="L21" s="25">
        <v>6.4</v>
      </c>
      <c r="M21" s="25">
        <v>6.4</v>
      </c>
      <c r="N21" s="25">
        <v>6.4</v>
      </c>
    </row>
    <row r="22" spans="4:14">
      <c r="D22" s="64">
        <v>46056</v>
      </c>
      <c r="E22" s="32">
        <v>1575984</v>
      </c>
      <c r="F22" s="32" t="s">
        <v>20</v>
      </c>
      <c r="G22" s="32">
        <v>20348523</v>
      </c>
      <c r="H22" s="32" t="s">
        <v>125</v>
      </c>
      <c r="I22" s="32">
        <v>2</v>
      </c>
      <c r="J22" s="32" t="s">
        <v>64</v>
      </c>
      <c r="K22" s="24">
        <v>1</v>
      </c>
      <c r="L22" s="25">
        <v>8.8</v>
      </c>
      <c r="M22" s="25">
        <v>8.8</v>
      </c>
      <c r="N22" s="25">
        <v>17.6</v>
      </c>
    </row>
    <row r="23" spans="4:14">
      <c r="D23" s="64">
        <v>46056</v>
      </c>
      <c r="E23" s="32">
        <v>1575984</v>
      </c>
      <c r="F23" s="32" t="s">
        <v>16</v>
      </c>
      <c r="G23" s="32">
        <v>20324494</v>
      </c>
      <c r="H23" s="32" t="s">
        <v>118</v>
      </c>
      <c r="I23" s="32">
        <v>2</v>
      </c>
      <c r="J23" s="30" t="s">
        <v>18</v>
      </c>
      <c r="K23" s="24">
        <f>M23/L23</f>
        <v>11</v>
      </c>
      <c r="L23" s="25">
        <v>4.4</v>
      </c>
      <c r="M23" s="25">
        <v>48.4</v>
      </c>
      <c r="N23" s="25">
        <v>96.8</v>
      </c>
    </row>
    <row r="24" spans="4:14">
      <c r="D24" s="64">
        <v>46056</v>
      </c>
      <c r="E24" s="32">
        <v>1575984</v>
      </c>
      <c r="F24" s="32" t="s">
        <v>16</v>
      </c>
      <c r="G24" s="32">
        <v>20324492</v>
      </c>
      <c r="H24" s="32" t="s">
        <v>126</v>
      </c>
      <c r="I24" s="32">
        <v>1</v>
      </c>
      <c r="J24" s="30" t="s">
        <v>18</v>
      </c>
      <c r="K24" s="24">
        <f>M24/L24</f>
        <v>3</v>
      </c>
      <c r="L24" s="25">
        <v>4.4</v>
      </c>
      <c r="M24" s="25">
        <v>13.2</v>
      </c>
      <c r="N24" s="25">
        <v>13.2</v>
      </c>
    </row>
    <row r="25" spans="4:14">
      <c r="D25" s="64">
        <v>46056</v>
      </c>
      <c r="E25" s="32">
        <v>1575984</v>
      </c>
      <c r="F25" s="32" t="s">
        <v>20</v>
      </c>
      <c r="G25" s="32">
        <v>20324717</v>
      </c>
      <c r="H25" s="32" t="s">
        <v>120</v>
      </c>
      <c r="I25" s="32">
        <v>1</v>
      </c>
      <c r="J25" s="30" t="s">
        <v>18</v>
      </c>
      <c r="K25" s="24">
        <f>M25/L25</f>
        <v>3</v>
      </c>
      <c r="L25" s="25">
        <v>4.4</v>
      </c>
      <c r="M25" s="25">
        <v>13.2</v>
      </c>
      <c r="N25" s="25">
        <v>13.2</v>
      </c>
    </row>
    <row r="26" spans="4:14">
      <c r="D26" s="64">
        <v>46057</v>
      </c>
      <c r="E26" s="32">
        <v>1576076</v>
      </c>
      <c r="F26" s="32" t="s">
        <v>20</v>
      </c>
      <c r="G26" s="32">
        <v>20330449</v>
      </c>
      <c r="H26" s="32" t="s">
        <v>127</v>
      </c>
      <c r="I26" s="32">
        <v>1</v>
      </c>
      <c r="J26" s="34" t="s">
        <v>128</v>
      </c>
      <c r="K26" s="24">
        <v>1</v>
      </c>
      <c r="L26" s="25">
        <v>22.4</v>
      </c>
      <c r="M26" s="25">
        <v>22.4</v>
      </c>
      <c r="N26" s="25">
        <v>22.4</v>
      </c>
    </row>
    <row r="27" spans="4:14">
      <c r="D27" s="64">
        <v>46057</v>
      </c>
      <c r="E27" s="32">
        <v>1576076</v>
      </c>
      <c r="F27" s="32" t="s">
        <v>20</v>
      </c>
      <c r="G27" s="32">
        <v>20330447</v>
      </c>
      <c r="H27" s="32" t="s">
        <v>129</v>
      </c>
      <c r="I27" s="32">
        <v>1</v>
      </c>
      <c r="J27" s="34" t="s">
        <v>61</v>
      </c>
      <c r="K27" s="24" t="s">
        <v>62</v>
      </c>
      <c r="L27" s="25">
        <v>70.4</v>
      </c>
      <c r="M27" s="25">
        <v>105.6</v>
      </c>
      <c r="N27" s="25">
        <v>105.6</v>
      </c>
    </row>
    <row r="28" spans="4:14">
      <c r="D28" s="64"/>
      <c r="E28" s="32"/>
      <c r="F28" s="32"/>
      <c r="G28" s="32"/>
      <c r="H28" s="32"/>
      <c r="I28" s="32"/>
      <c r="J28" s="30" t="s">
        <v>36</v>
      </c>
      <c r="K28" s="24">
        <v>1</v>
      </c>
      <c r="L28" s="25">
        <v>17.6</v>
      </c>
      <c r="M28" s="25"/>
      <c r="N28" s="25"/>
    </row>
    <row r="29" spans="4:14">
      <c r="D29" s="64"/>
      <c r="E29" s="32"/>
      <c r="F29" s="32"/>
      <c r="G29" s="32"/>
      <c r="H29" s="32"/>
      <c r="I29" s="32"/>
      <c r="J29" s="30" t="s">
        <v>36</v>
      </c>
      <c r="K29" s="24">
        <v>1</v>
      </c>
      <c r="L29" s="25">
        <v>17.6</v>
      </c>
      <c r="M29" s="25"/>
      <c r="N29" s="25"/>
    </row>
    <row r="30" spans="4:14">
      <c r="D30" s="64">
        <v>46057</v>
      </c>
      <c r="E30" s="32">
        <v>1576076</v>
      </c>
      <c r="F30" s="32" t="s">
        <v>20</v>
      </c>
      <c r="G30" s="32">
        <v>20324813</v>
      </c>
      <c r="H30" s="32" t="s">
        <v>130</v>
      </c>
      <c r="I30" s="32">
        <v>1</v>
      </c>
      <c r="J30" s="34" t="s">
        <v>128</v>
      </c>
      <c r="K30" s="24">
        <v>1</v>
      </c>
      <c r="L30" s="25">
        <v>22.4</v>
      </c>
      <c r="M30" s="25">
        <v>22.4</v>
      </c>
      <c r="N30" s="25">
        <v>22.4</v>
      </c>
    </row>
    <row r="31" spans="4:14">
      <c r="D31" s="64">
        <v>46057</v>
      </c>
      <c r="E31" s="32">
        <v>1576076</v>
      </c>
      <c r="F31" s="32" t="s">
        <v>20</v>
      </c>
      <c r="G31" s="32">
        <v>20330448</v>
      </c>
      <c r="H31" s="32" t="s">
        <v>131</v>
      </c>
      <c r="I31" s="32">
        <v>1</v>
      </c>
      <c r="J31" s="30" t="s">
        <v>36</v>
      </c>
      <c r="K31" s="24">
        <v>1</v>
      </c>
      <c r="L31" s="25">
        <v>17.6</v>
      </c>
      <c r="M31" s="25">
        <v>52.8</v>
      </c>
      <c r="N31" s="25">
        <v>52.8</v>
      </c>
    </row>
    <row r="32" spans="4:14">
      <c r="D32" s="64"/>
      <c r="E32" s="32"/>
      <c r="F32" s="32"/>
      <c r="G32" s="32"/>
      <c r="H32" s="32"/>
      <c r="I32" s="32"/>
      <c r="J32" s="30" t="s">
        <v>36</v>
      </c>
      <c r="K32" s="24">
        <v>1</v>
      </c>
      <c r="L32" s="25">
        <v>17.6</v>
      </c>
      <c r="M32" s="25"/>
      <c r="N32" s="25"/>
    </row>
    <row r="33" spans="4:14">
      <c r="D33" s="64"/>
      <c r="E33" s="32"/>
      <c r="F33" s="32"/>
      <c r="G33" s="32"/>
      <c r="H33" s="32"/>
      <c r="I33" s="32"/>
      <c r="J33" s="30" t="s">
        <v>36</v>
      </c>
      <c r="K33" s="24">
        <v>1</v>
      </c>
      <c r="L33" s="25">
        <v>17.6</v>
      </c>
      <c r="M33" s="25"/>
      <c r="N33" s="25"/>
    </row>
    <row r="34" spans="4:14">
      <c r="D34" s="64">
        <v>46060</v>
      </c>
      <c r="E34" s="32">
        <v>1577030</v>
      </c>
      <c r="F34" s="32" t="s">
        <v>20</v>
      </c>
      <c r="G34" s="32">
        <v>20324364</v>
      </c>
      <c r="H34" s="32" t="s">
        <v>99</v>
      </c>
      <c r="I34" s="32">
        <v>2</v>
      </c>
      <c r="J34" s="31" t="s">
        <v>29</v>
      </c>
      <c r="K34" s="24">
        <v>1</v>
      </c>
      <c r="L34" s="25">
        <v>6.4</v>
      </c>
      <c r="M34" s="25">
        <v>6.4</v>
      </c>
      <c r="N34" s="25">
        <v>12.8</v>
      </c>
    </row>
    <row r="35" spans="4:14">
      <c r="D35" s="64">
        <v>46060</v>
      </c>
      <c r="E35" s="32">
        <v>1577030</v>
      </c>
      <c r="F35" s="32" t="s">
        <v>20</v>
      </c>
      <c r="G35" s="32">
        <v>20324402</v>
      </c>
      <c r="H35" s="32" t="s">
        <v>117</v>
      </c>
      <c r="I35" s="32">
        <v>1</v>
      </c>
      <c r="J35" s="32" t="s">
        <v>64</v>
      </c>
      <c r="K35" s="24">
        <v>1</v>
      </c>
      <c r="L35" s="25">
        <v>8.8</v>
      </c>
      <c r="M35" s="25">
        <v>8.8</v>
      </c>
      <c r="N35" s="25">
        <v>8.8</v>
      </c>
    </row>
    <row r="36" spans="4:14">
      <c r="D36" s="64">
        <v>46060</v>
      </c>
      <c r="E36" s="32">
        <v>1577030</v>
      </c>
      <c r="F36" s="32" t="s">
        <v>20</v>
      </c>
      <c r="G36" s="32">
        <v>20348523</v>
      </c>
      <c r="H36" s="32" t="s">
        <v>125</v>
      </c>
      <c r="I36" s="32">
        <v>1</v>
      </c>
      <c r="J36" s="32" t="s">
        <v>64</v>
      </c>
      <c r="K36" s="24">
        <v>1</v>
      </c>
      <c r="L36" s="25">
        <v>8.8</v>
      </c>
      <c r="M36" s="25">
        <v>8.8</v>
      </c>
      <c r="N36" s="25">
        <v>8.8</v>
      </c>
    </row>
    <row r="37" spans="4:14">
      <c r="D37" s="64">
        <v>46060</v>
      </c>
      <c r="E37" s="32">
        <v>1577030</v>
      </c>
      <c r="F37" s="32" t="s">
        <v>16</v>
      </c>
      <c r="G37" s="32">
        <v>20324494</v>
      </c>
      <c r="H37" s="32" t="s">
        <v>118</v>
      </c>
      <c r="I37" s="32">
        <v>1</v>
      </c>
      <c r="J37" s="30" t="s">
        <v>18</v>
      </c>
      <c r="K37" s="24">
        <f>M37/L37</f>
        <v>11</v>
      </c>
      <c r="L37" s="25">
        <v>4.4</v>
      </c>
      <c r="M37" s="25">
        <v>48.4</v>
      </c>
      <c r="N37" s="25">
        <v>48.4</v>
      </c>
    </row>
    <row r="38" spans="4:14">
      <c r="D38" s="64">
        <v>46060</v>
      </c>
      <c r="E38" s="32">
        <v>1577030</v>
      </c>
      <c r="F38" s="32" t="s">
        <v>16</v>
      </c>
      <c r="G38" s="32">
        <v>20324493</v>
      </c>
      <c r="H38" s="32" t="s">
        <v>119</v>
      </c>
      <c r="I38" s="32">
        <v>2</v>
      </c>
      <c r="J38" s="30" t="s">
        <v>18</v>
      </c>
      <c r="K38" s="24">
        <f>M38/L38</f>
        <v>15</v>
      </c>
      <c r="L38" s="25">
        <v>4.4</v>
      </c>
      <c r="M38" s="25">
        <v>66</v>
      </c>
      <c r="N38" s="25">
        <v>132</v>
      </c>
    </row>
    <row r="39" spans="4:14">
      <c r="D39" s="64">
        <v>46062</v>
      </c>
      <c r="E39" s="32">
        <v>1577492</v>
      </c>
      <c r="F39" s="32" t="s">
        <v>20</v>
      </c>
      <c r="G39" s="32">
        <v>20324364</v>
      </c>
      <c r="H39" s="32" t="s">
        <v>99</v>
      </c>
      <c r="I39" s="32">
        <v>3</v>
      </c>
      <c r="J39" s="31" t="s">
        <v>29</v>
      </c>
      <c r="K39" s="24">
        <v>1</v>
      </c>
      <c r="L39" s="25">
        <v>6.4</v>
      </c>
      <c r="M39" s="25">
        <v>6.4</v>
      </c>
      <c r="N39" s="25">
        <v>19.2</v>
      </c>
    </row>
    <row r="40" spans="4:14">
      <c r="D40" s="64">
        <v>46062</v>
      </c>
      <c r="E40" s="32">
        <v>1577492</v>
      </c>
      <c r="F40" s="32" t="s">
        <v>20</v>
      </c>
      <c r="G40" s="32">
        <v>20367695</v>
      </c>
      <c r="H40" s="32" t="s">
        <v>132</v>
      </c>
      <c r="I40" s="32">
        <v>4</v>
      </c>
      <c r="J40" s="32" t="s">
        <v>116</v>
      </c>
      <c r="K40" s="24">
        <f t="shared" ref="K40:K48" si="0">M40/L40</f>
        <v>3</v>
      </c>
      <c r="L40" s="25">
        <v>4.4</v>
      </c>
      <c r="M40" s="25">
        <v>13.2</v>
      </c>
      <c r="N40" s="25">
        <v>52.8</v>
      </c>
    </row>
    <row r="41" spans="4:14">
      <c r="D41" s="64">
        <v>46062</v>
      </c>
      <c r="E41" s="32">
        <v>1577492</v>
      </c>
      <c r="F41" s="32" t="s">
        <v>16</v>
      </c>
      <c r="G41" s="32">
        <v>20324493</v>
      </c>
      <c r="H41" s="32" t="s">
        <v>119</v>
      </c>
      <c r="I41" s="32">
        <v>3</v>
      </c>
      <c r="J41" s="30" t="s">
        <v>18</v>
      </c>
      <c r="K41" s="24">
        <f t="shared" si="0"/>
        <v>15</v>
      </c>
      <c r="L41" s="25">
        <v>4.4</v>
      </c>
      <c r="M41" s="25">
        <v>66</v>
      </c>
      <c r="N41" s="25">
        <v>198</v>
      </c>
    </row>
    <row r="42" spans="4:14">
      <c r="D42" s="64">
        <v>46062</v>
      </c>
      <c r="E42" s="32">
        <v>1577492</v>
      </c>
      <c r="F42" s="32" t="s">
        <v>20</v>
      </c>
      <c r="G42" s="32">
        <v>20324717</v>
      </c>
      <c r="H42" s="32" t="s">
        <v>120</v>
      </c>
      <c r="I42" s="32">
        <v>1</v>
      </c>
      <c r="J42" s="30" t="s">
        <v>18</v>
      </c>
      <c r="K42" s="24">
        <f t="shared" si="0"/>
        <v>3</v>
      </c>
      <c r="L42" s="25">
        <v>4.4</v>
      </c>
      <c r="M42" s="25">
        <v>13.2</v>
      </c>
      <c r="N42" s="25">
        <v>13.2</v>
      </c>
    </row>
    <row r="43" spans="4:14">
      <c r="D43" s="64">
        <v>46071</v>
      </c>
      <c r="E43" s="32">
        <v>1579172</v>
      </c>
      <c r="F43" s="32" t="s">
        <v>20</v>
      </c>
      <c r="G43" s="32">
        <v>20324364</v>
      </c>
      <c r="H43" s="32" t="s">
        <v>99</v>
      </c>
      <c r="I43" s="32">
        <v>1</v>
      </c>
      <c r="J43" s="31" t="s">
        <v>29</v>
      </c>
      <c r="K43" s="24">
        <v>1</v>
      </c>
      <c r="L43" s="25">
        <v>6.4</v>
      </c>
      <c r="M43" s="25">
        <v>6.4</v>
      </c>
      <c r="N43" s="25">
        <v>6.4</v>
      </c>
    </row>
    <row r="44" spans="4:14">
      <c r="D44" s="64">
        <v>46071</v>
      </c>
      <c r="E44" s="32">
        <v>1579172</v>
      </c>
      <c r="F44" s="32" t="s">
        <v>20</v>
      </c>
      <c r="G44" s="32">
        <v>20324533</v>
      </c>
      <c r="H44" s="32" t="s">
        <v>124</v>
      </c>
      <c r="I44" s="32">
        <v>1</v>
      </c>
      <c r="J44" s="31" t="s">
        <v>29</v>
      </c>
      <c r="K44" s="24">
        <v>1</v>
      </c>
      <c r="L44" s="25">
        <v>6.4</v>
      </c>
      <c r="M44" s="25">
        <v>6.4</v>
      </c>
      <c r="N44" s="25">
        <v>6.4</v>
      </c>
    </row>
    <row r="45" spans="4:14">
      <c r="D45" s="64">
        <v>46071</v>
      </c>
      <c r="E45" s="32">
        <v>1579172</v>
      </c>
      <c r="F45" s="32" t="s">
        <v>20</v>
      </c>
      <c r="G45" s="32">
        <v>20367695</v>
      </c>
      <c r="H45" s="32" t="s">
        <v>132</v>
      </c>
      <c r="I45" s="32">
        <v>1</v>
      </c>
      <c r="J45" s="32" t="s">
        <v>116</v>
      </c>
      <c r="K45" s="24">
        <f t="shared" si="0"/>
        <v>3</v>
      </c>
      <c r="L45" s="25">
        <v>4.4</v>
      </c>
      <c r="M45" s="25">
        <v>13.2</v>
      </c>
      <c r="N45" s="25">
        <v>13.2</v>
      </c>
    </row>
    <row r="46" spans="4:14">
      <c r="D46" s="64">
        <v>46071</v>
      </c>
      <c r="E46" s="32">
        <v>1579172</v>
      </c>
      <c r="F46" s="32" t="s">
        <v>16</v>
      </c>
      <c r="G46" s="32">
        <v>20324494</v>
      </c>
      <c r="H46" s="32" t="s">
        <v>118</v>
      </c>
      <c r="I46" s="32">
        <v>1</v>
      </c>
      <c r="J46" s="30" t="s">
        <v>18</v>
      </c>
      <c r="K46" s="24">
        <f t="shared" si="0"/>
        <v>11</v>
      </c>
      <c r="L46" s="25">
        <v>4.4</v>
      </c>
      <c r="M46" s="25">
        <v>48.4</v>
      </c>
      <c r="N46" s="25">
        <v>48.4</v>
      </c>
    </row>
    <row r="47" spans="4:14">
      <c r="D47" s="64">
        <v>46071</v>
      </c>
      <c r="E47" s="32">
        <v>1579172</v>
      </c>
      <c r="F47" s="32" t="s">
        <v>16</v>
      </c>
      <c r="G47" s="32">
        <v>20324493</v>
      </c>
      <c r="H47" s="32" t="s">
        <v>119</v>
      </c>
      <c r="I47" s="32">
        <v>3</v>
      </c>
      <c r="J47" s="30" t="s">
        <v>18</v>
      </c>
      <c r="K47" s="24">
        <f t="shared" si="0"/>
        <v>15</v>
      </c>
      <c r="L47" s="25">
        <v>4.4</v>
      </c>
      <c r="M47" s="25">
        <v>66</v>
      </c>
      <c r="N47" s="25">
        <v>198</v>
      </c>
    </row>
    <row r="48" spans="4:14">
      <c r="D48" s="64">
        <v>46071</v>
      </c>
      <c r="E48" s="32">
        <v>1579172</v>
      </c>
      <c r="F48" s="32" t="s">
        <v>16</v>
      </c>
      <c r="G48" s="32">
        <v>20324492</v>
      </c>
      <c r="H48" s="32" t="s">
        <v>126</v>
      </c>
      <c r="I48" s="32">
        <v>3</v>
      </c>
      <c r="J48" s="30" t="s">
        <v>18</v>
      </c>
      <c r="K48" s="24">
        <f t="shared" si="0"/>
        <v>3</v>
      </c>
      <c r="L48" s="25">
        <v>4.4</v>
      </c>
      <c r="M48" s="25">
        <v>13.2</v>
      </c>
      <c r="N48" s="25">
        <v>39.6</v>
      </c>
    </row>
    <row r="49" spans="4:14">
      <c r="D49" s="64">
        <v>46077</v>
      </c>
      <c r="E49" s="32">
        <v>1579771</v>
      </c>
      <c r="F49" s="32" t="s">
        <v>20</v>
      </c>
      <c r="G49" s="32">
        <v>20330459</v>
      </c>
      <c r="H49" s="32" t="s">
        <v>122</v>
      </c>
      <c r="I49" s="32">
        <v>2</v>
      </c>
      <c r="J49" s="31" t="s">
        <v>29</v>
      </c>
      <c r="K49" s="24">
        <v>1</v>
      </c>
      <c r="L49" s="25">
        <v>6.4</v>
      </c>
      <c r="M49" s="25">
        <v>6.4</v>
      </c>
      <c r="N49" s="25">
        <v>12.8</v>
      </c>
    </row>
    <row r="50" spans="4:14">
      <c r="D50" s="64">
        <v>46077</v>
      </c>
      <c r="E50" s="32">
        <v>1579771</v>
      </c>
      <c r="F50" s="32" t="s">
        <v>20</v>
      </c>
      <c r="G50" s="32">
        <v>20324364</v>
      </c>
      <c r="H50" s="32" t="s">
        <v>99</v>
      </c>
      <c r="I50" s="32">
        <v>1</v>
      </c>
      <c r="J50" s="31" t="s">
        <v>29</v>
      </c>
      <c r="K50" s="24">
        <v>1</v>
      </c>
      <c r="L50" s="25">
        <v>6.4</v>
      </c>
      <c r="M50" s="25">
        <v>6.4</v>
      </c>
      <c r="N50" s="25">
        <v>6.4</v>
      </c>
    </row>
    <row r="51" spans="4:14">
      <c r="D51" s="64">
        <v>46077</v>
      </c>
      <c r="E51" s="32">
        <v>1579771</v>
      </c>
      <c r="F51" s="32" t="s">
        <v>20</v>
      </c>
      <c r="G51" s="32">
        <v>20366999</v>
      </c>
      <c r="H51" s="32" t="s">
        <v>133</v>
      </c>
      <c r="I51" s="32">
        <v>1</v>
      </c>
      <c r="J51" s="32" t="s">
        <v>64</v>
      </c>
      <c r="K51" s="24">
        <v>1</v>
      </c>
      <c r="L51" s="25">
        <v>8.8</v>
      </c>
      <c r="M51" s="25">
        <v>8.8</v>
      </c>
      <c r="N51" s="25">
        <v>8.8</v>
      </c>
    </row>
    <row r="52" spans="4:14">
      <c r="D52" s="64">
        <v>46077</v>
      </c>
      <c r="E52" s="32">
        <v>1579771</v>
      </c>
      <c r="F52" s="32" t="s">
        <v>20</v>
      </c>
      <c r="G52" s="32">
        <v>20324402</v>
      </c>
      <c r="H52" s="32" t="s">
        <v>117</v>
      </c>
      <c r="I52" s="32">
        <v>1</v>
      </c>
      <c r="J52" s="32" t="s">
        <v>64</v>
      </c>
      <c r="K52" s="24">
        <v>1</v>
      </c>
      <c r="L52" s="25">
        <v>8.8</v>
      </c>
      <c r="M52" s="25">
        <v>8.8</v>
      </c>
      <c r="N52" s="25">
        <v>8.8</v>
      </c>
    </row>
    <row r="53" spans="4:14">
      <c r="D53" s="64">
        <v>46077</v>
      </c>
      <c r="E53" s="32">
        <v>1579771</v>
      </c>
      <c r="F53" s="32" t="s">
        <v>20</v>
      </c>
      <c r="G53" s="32">
        <v>20413290</v>
      </c>
      <c r="H53" s="32" t="s">
        <v>134</v>
      </c>
      <c r="I53" s="32">
        <v>2</v>
      </c>
      <c r="J53" s="32" t="s">
        <v>116</v>
      </c>
      <c r="K53" s="24">
        <f t="shared" ref="K53:K56" si="1">M53/L53</f>
        <v>4</v>
      </c>
      <c r="L53" s="25">
        <v>4.4</v>
      </c>
      <c r="M53" s="25">
        <v>17.6</v>
      </c>
      <c r="N53" s="25">
        <v>35.2</v>
      </c>
    </row>
    <row r="54" spans="4:14">
      <c r="D54" s="64">
        <v>46077</v>
      </c>
      <c r="E54" s="32">
        <v>1579771</v>
      </c>
      <c r="F54" s="32" t="s">
        <v>16</v>
      </c>
      <c r="G54" s="32">
        <v>20324494</v>
      </c>
      <c r="H54" s="32" t="s">
        <v>118</v>
      </c>
      <c r="I54" s="32">
        <v>2</v>
      </c>
      <c r="J54" s="30" t="s">
        <v>18</v>
      </c>
      <c r="K54" s="24">
        <f t="shared" si="1"/>
        <v>11</v>
      </c>
      <c r="L54" s="25">
        <v>4.4</v>
      </c>
      <c r="M54" s="25">
        <v>48.4</v>
      </c>
      <c r="N54" s="25">
        <v>96.8</v>
      </c>
    </row>
    <row r="55" spans="4:14">
      <c r="D55" s="64">
        <v>46077</v>
      </c>
      <c r="E55" s="32">
        <v>1579771</v>
      </c>
      <c r="F55" s="32" t="s">
        <v>16</v>
      </c>
      <c r="G55" s="32">
        <v>20324493</v>
      </c>
      <c r="H55" s="32" t="s">
        <v>119</v>
      </c>
      <c r="I55" s="32">
        <v>5</v>
      </c>
      <c r="J55" s="30" t="s">
        <v>18</v>
      </c>
      <c r="K55" s="24">
        <f t="shared" si="1"/>
        <v>15</v>
      </c>
      <c r="L55" s="25">
        <v>4.4</v>
      </c>
      <c r="M55" s="25">
        <v>66</v>
      </c>
      <c r="N55" s="25">
        <v>330</v>
      </c>
    </row>
    <row r="56" spans="4:14">
      <c r="D56" s="64">
        <v>46077</v>
      </c>
      <c r="E56" s="32">
        <v>1579771</v>
      </c>
      <c r="F56" s="32" t="s">
        <v>20</v>
      </c>
      <c r="G56" s="32">
        <v>20324717</v>
      </c>
      <c r="H56" s="32" t="s">
        <v>120</v>
      </c>
      <c r="I56" s="32">
        <v>1</v>
      </c>
      <c r="J56" s="30" t="s">
        <v>18</v>
      </c>
      <c r="K56" s="24">
        <f t="shared" si="1"/>
        <v>3</v>
      </c>
      <c r="L56" s="25">
        <v>4.4</v>
      </c>
      <c r="M56" s="25">
        <v>13.2</v>
      </c>
      <c r="N56" s="25">
        <v>13.2</v>
      </c>
    </row>
  </sheetData>
  <autoFilter xmlns:etc="http://www.wps.cn/officeDocument/2017/etCustomData" ref="A7:N56" etc:filterBottomFollowUsedRange="0">
    <extLst/>
  </autoFilter>
  <mergeCells count="28">
    <mergeCell ref="D8:H8"/>
    <mergeCell ref="C7:C56"/>
    <mergeCell ref="D11:D12"/>
    <mergeCell ref="D27:D29"/>
    <mergeCell ref="D31:D33"/>
    <mergeCell ref="E11:E12"/>
    <mergeCell ref="E27:E29"/>
    <mergeCell ref="E31:E33"/>
    <mergeCell ref="F11:F12"/>
    <mergeCell ref="F27:F29"/>
    <mergeCell ref="F31:F33"/>
    <mergeCell ref="G11:G12"/>
    <mergeCell ref="G27:G29"/>
    <mergeCell ref="G31:G33"/>
    <mergeCell ref="H11:H12"/>
    <mergeCell ref="H27:H29"/>
    <mergeCell ref="H31:H33"/>
    <mergeCell ref="I27:I29"/>
    <mergeCell ref="I31:I33"/>
    <mergeCell ref="M11:M12"/>
    <mergeCell ref="M27:M29"/>
    <mergeCell ref="M31:M33"/>
    <mergeCell ref="N11:N12"/>
    <mergeCell ref="N27:N29"/>
    <mergeCell ref="N31:N33"/>
    <mergeCell ref="B4:H5"/>
    <mergeCell ref="C1:H2"/>
    <mergeCell ref="A7:B56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1" t="s">
        <v>135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20</v>
      </c>
      <c r="J8" s="13"/>
      <c r="K8" s="33"/>
      <c r="L8" s="33"/>
      <c r="M8" s="33"/>
      <c r="N8" s="33">
        <v>406</v>
      </c>
    </row>
    <row r="9" spans="1:14">
      <c r="D9" s="15">
        <v>46055</v>
      </c>
      <c r="E9" s="16">
        <v>1575628</v>
      </c>
      <c r="F9" s="16" t="s">
        <v>20</v>
      </c>
      <c r="G9" s="16">
        <v>20386348</v>
      </c>
      <c r="H9" s="16" t="s">
        <v>121</v>
      </c>
      <c r="I9" s="16">
        <v>4</v>
      </c>
      <c r="J9" s="70" t="s">
        <v>18</v>
      </c>
      <c r="K9" s="18">
        <f t="shared" ref="K9:K13" si="0">M9/L9</f>
        <v>5</v>
      </c>
      <c r="L9" s="19">
        <v>4.4</v>
      </c>
      <c r="M9" s="19">
        <v>22</v>
      </c>
      <c r="N9" s="19">
        <v>88</v>
      </c>
    </row>
    <row r="10" spans="1:14">
      <c r="D10" s="21">
        <v>46056</v>
      </c>
      <c r="E10" s="22">
        <v>1575985</v>
      </c>
      <c r="F10" s="22" t="s">
        <v>20</v>
      </c>
      <c r="G10" s="22">
        <v>20369835</v>
      </c>
      <c r="H10" s="22" t="s">
        <v>136</v>
      </c>
      <c r="I10" s="22">
        <v>2</v>
      </c>
      <c r="J10" s="30" t="s">
        <v>18</v>
      </c>
      <c r="K10" s="24">
        <f t="shared" si="0"/>
        <v>7</v>
      </c>
      <c r="L10" s="25">
        <v>4.4</v>
      </c>
      <c r="M10" s="25">
        <v>30.8</v>
      </c>
      <c r="N10" s="25">
        <v>61.6</v>
      </c>
    </row>
    <row r="11" spans="1:14">
      <c r="D11" s="21">
        <v>46058</v>
      </c>
      <c r="E11" s="22">
        <v>1576653</v>
      </c>
      <c r="F11" s="22" t="s">
        <v>20</v>
      </c>
      <c r="G11" s="22">
        <v>20374357</v>
      </c>
      <c r="H11" s="22" t="s">
        <v>137</v>
      </c>
      <c r="I11" s="22">
        <v>2</v>
      </c>
      <c r="J11" s="30" t="s">
        <v>18</v>
      </c>
      <c r="K11" s="24">
        <f t="shared" si="0"/>
        <v>6</v>
      </c>
      <c r="L11" s="25">
        <v>4.4</v>
      </c>
      <c r="M11" s="25">
        <v>26.4</v>
      </c>
      <c r="N11" s="25">
        <v>52.8</v>
      </c>
    </row>
    <row r="12" spans="1:14">
      <c r="D12" s="21">
        <v>46058</v>
      </c>
      <c r="E12" s="22">
        <v>1576653</v>
      </c>
      <c r="F12" s="22" t="s">
        <v>20</v>
      </c>
      <c r="G12" s="22">
        <v>20369835</v>
      </c>
      <c r="H12" s="22" t="s">
        <v>136</v>
      </c>
      <c r="I12" s="22">
        <v>1</v>
      </c>
      <c r="J12" s="30" t="s">
        <v>18</v>
      </c>
      <c r="K12" s="24">
        <f t="shared" si="0"/>
        <v>7</v>
      </c>
      <c r="L12" s="25">
        <v>4.4</v>
      </c>
      <c r="M12" s="25">
        <v>30.8</v>
      </c>
      <c r="N12" s="25">
        <v>30.8</v>
      </c>
    </row>
    <row r="13" spans="1:14">
      <c r="D13" s="21">
        <v>46063</v>
      </c>
      <c r="E13" s="22">
        <v>1577850</v>
      </c>
      <c r="F13" s="22" t="s">
        <v>20</v>
      </c>
      <c r="G13" s="22">
        <v>20386348</v>
      </c>
      <c r="H13" s="22" t="s">
        <v>121</v>
      </c>
      <c r="I13" s="22">
        <v>4</v>
      </c>
      <c r="J13" s="30" t="s">
        <v>18</v>
      </c>
      <c r="K13" s="24">
        <f t="shared" si="0"/>
        <v>5</v>
      </c>
      <c r="L13" s="25">
        <v>4.4</v>
      </c>
      <c r="M13" s="25">
        <v>22</v>
      </c>
      <c r="N13" s="25">
        <v>88</v>
      </c>
    </row>
    <row r="14" spans="1:14">
      <c r="D14" s="21">
        <v>46065</v>
      </c>
      <c r="E14" s="22">
        <v>1578453</v>
      </c>
      <c r="F14" s="22" t="s">
        <v>20</v>
      </c>
      <c r="G14" s="22">
        <v>20324533</v>
      </c>
      <c r="H14" s="22" t="s">
        <v>124</v>
      </c>
      <c r="I14" s="22">
        <v>5</v>
      </c>
      <c r="J14" s="31" t="s">
        <v>29</v>
      </c>
      <c r="K14" s="24">
        <v>1</v>
      </c>
      <c r="L14" s="25">
        <v>6.4</v>
      </c>
      <c r="M14" s="25">
        <v>6.4</v>
      </c>
      <c r="N14" s="25">
        <v>32</v>
      </c>
    </row>
    <row r="15" spans="1:14">
      <c r="D15" s="21">
        <v>46065</v>
      </c>
      <c r="E15" s="22">
        <v>1578453</v>
      </c>
      <c r="F15" s="22" t="s">
        <v>20</v>
      </c>
      <c r="G15" s="22">
        <v>20374357</v>
      </c>
      <c r="H15" s="22" t="s">
        <v>137</v>
      </c>
      <c r="I15" s="22">
        <v>2</v>
      </c>
      <c r="J15" s="30" t="s">
        <v>18</v>
      </c>
      <c r="K15" s="24">
        <f>M15/L15</f>
        <v>6</v>
      </c>
      <c r="L15" s="25">
        <v>4.4</v>
      </c>
      <c r="M15" s="25">
        <v>26.4</v>
      </c>
      <c r="N15" s="25">
        <v>52.8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25" customWidth="1"/>
    <col min="11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1" t="s">
        <v>138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23</v>
      </c>
      <c r="J8" s="13"/>
      <c r="K8" s="33"/>
      <c r="L8" s="33"/>
      <c r="M8" s="33"/>
      <c r="N8" s="33">
        <v>359.2</v>
      </c>
    </row>
    <row r="9" spans="1:14">
      <c r="D9" s="15">
        <v>46055</v>
      </c>
      <c r="E9" s="16">
        <v>1575629</v>
      </c>
      <c r="F9" s="16" t="s">
        <v>20</v>
      </c>
      <c r="G9" s="16">
        <v>20324626</v>
      </c>
      <c r="H9" s="16" t="s">
        <v>139</v>
      </c>
      <c r="I9" s="16">
        <v>5</v>
      </c>
      <c r="J9" s="70" t="s">
        <v>18</v>
      </c>
      <c r="K9" s="18">
        <f t="shared" ref="K9:K13" si="0">M9/L9</f>
        <v>4</v>
      </c>
      <c r="L9" s="19">
        <v>4.4</v>
      </c>
      <c r="M9" s="19">
        <v>17.6</v>
      </c>
      <c r="N9" s="19">
        <v>88</v>
      </c>
    </row>
    <row r="10" spans="1:14">
      <c r="D10" s="21">
        <v>46057</v>
      </c>
      <c r="E10" s="22">
        <v>1576309</v>
      </c>
      <c r="F10" s="22" t="s">
        <v>20</v>
      </c>
      <c r="G10" s="22">
        <v>20330459</v>
      </c>
      <c r="H10" s="22" t="s">
        <v>122</v>
      </c>
      <c r="I10" s="22">
        <v>1</v>
      </c>
      <c r="J10" s="31" t="s">
        <v>29</v>
      </c>
      <c r="K10" s="24">
        <v>1</v>
      </c>
      <c r="L10" s="25">
        <v>6.4</v>
      </c>
      <c r="M10" s="25">
        <v>6.4</v>
      </c>
      <c r="N10" s="25">
        <v>6.4</v>
      </c>
    </row>
    <row r="11" spans="1:14">
      <c r="D11" s="21">
        <v>46057</v>
      </c>
      <c r="E11" s="22">
        <v>1576309</v>
      </c>
      <c r="F11" s="22" t="s">
        <v>20</v>
      </c>
      <c r="G11" s="22">
        <v>20324401</v>
      </c>
      <c r="H11" s="22" t="s">
        <v>21</v>
      </c>
      <c r="I11" s="22">
        <v>1</v>
      </c>
      <c r="J11" s="62" t="s">
        <v>22</v>
      </c>
      <c r="K11" s="24">
        <v>1</v>
      </c>
      <c r="L11" s="25">
        <v>12.8</v>
      </c>
      <c r="M11" s="25">
        <v>12.8</v>
      </c>
      <c r="N11" s="25">
        <v>12.8</v>
      </c>
    </row>
    <row r="12" spans="1:14">
      <c r="D12" s="21">
        <v>46057</v>
      </c>
      <c r="E12" s="22">
        <v>1576309</v>
      </c>
      <c r="F12" s="22" t="s">
        <v>20</v>
      </c>
      <c r="G12" s="22">
        <v>20324369</v>
      </c>
      <c r="H12" s="22" t="s">
        <v>140</v>
      </c>
      <c r="I12" s="22">
        <v>1</v>
      </c>
      <c r="J12" s="30" t="s">
        <v>18</v>
      </c>
      <c r="K12" s="24">
        <f t="shared" si="0"/>
        <v>3</v>
      </c>
      <c r="L12" s="25">
        <v>4.4</v>
      </c>
      <c r="M12" s="25">
        <v>13.2</v>
      </c>
      <c r="N12" s="25">
        <v>13.2</v>
      </c>
    </row>
    <row r="13" spans="1:14">
      <c r="D13" s="21">
        <v>46057</v>
      </c>
      <c r="E13" s="22">
        <v>1576309</v>
      </c>
      <c r="F13" s="22" t="s">
        <v>20</v>
      </c>
      <c r="G13" s="22">
        <v>20324626</v>
      </c>
      <c r="H13" s="22" t="s">
        <v>139</v>
      </c>
      <c r="I13" s="22">
        <v>6</v>
      </c>
      <c r="J13" s="30" t="s">
        <v>18</v>
      </c>
      <c r="K13" s="24">
        <f t="shared" si="0"/>
        <v>4</v>
      </c>
      <c r="L13" s="25">
        <v>4.4</v>
      </c>
      <c r="M13" s="25">
        <v>17.6</v>
      </c>
      <c r="N13" s="25">
        <v>105.6</v>
      </c>
    </row>
    <row r="14" spans="1:14">
      <c r="D14" s="21">
        <v>46058</v>
      </c>
      <c r="E14" s="22">
        <v>1576654</v>
      </c>
      <c r="F14" s="22" t="s">
        <v>20</v>
      </c>
      <c r="G14" s="22">
        <v>20330459</v>
      </c>
      <c r="H14" s="22" t="s">
        <v>122</v>
      </c>
      <c r="I14" s="22">
        <v>1</v>
      </c>
      <c r="J14" s="31" t="s">
        <v>29</v>
      </c>
      <c r="K14" s="24">
        <v>1</v>
      </c>
      <c r="L14" s="25">
        <v>6.4</v>
      </c>
      <c r="M14" s="25">
        <v>6.4</v>
      </c>
      <c r="N14" s="25">
        <v>6.4</v>
      </c>
    </row>
    <row r="15" spans="1:14">
      <c r="D15" s="21">
        <v>46058</v>
      </c>
      <c r="E15" s="22">
        <v>1576654</v>
      </c>
      <c r="F15" s="22" t="s">
        <v>20</v>
      </c>
      <c r="G15" s="22">
        <v>20324626</v>
      </c>
      <c r="H15" s="22" t="s">
        <v>139</v>
      </c>
      <c r="I15" s="22">
        <v>3</v>
      </c>
      <c r="J15" s="30" t="s">
        <v>18</v>
      </c>
      <c r="K15" s="24">
        <f t="shared" ref="K15:K18" si="1">M15/L15</f>
        <v>4</v>
      </c>
      <c r="L15" s="25">
        <v>4.4</v>
      </c>
      <c r="M15" s="25">
        <v>17.6</v>
      </c>
      <c r="N15" s="25">
        <v>52.8</v>
      </c>
    </row>
    <row r="16" spans="1:14">
      <c r="D16" s="21">
        <v>46066</v>
      </c>
      <c r="E16" s="22">
        <v>1578709</v>
      </c>
      <c r="F16" s="22" t="s">
        <v>20</v>
      </c>
      <c r="G16" s="22">
        <v>20324401</v>
      </c>
      <c r="H16" s="22" t="s">
        <v>21</v>
      </c>
      <c r="I16" s="22">
        <v>2</v>
      </c>
      <c r="J16" s="62" t="s">
        <v>22</v>
      </c>
      <c r="K16" s="24">
        <v>1</v>
      </c>
      <c r="L16" s="25">
        <v>12.8</v>
      </c>
      <c r="M16" s="25">
        <v>12.8</v>
      </c>
      <c r="N16" s="25">
        <v>25.6</v>
      </c>
    </row>
    <row r="17" spans="4:14">
      <c r="D17" s="21">
        <v>46066</v>
      </c>
      <c r="E17" s="22">
        <v>1578709</v>
      </c>
      <c r="F17" s="22" t="s">
        <v>20</v>
      </c>
      <c r="G17" s="22">
        <v>20324369</v>
      </c>
      <c r="H17" s="22" t="s">
        <v>140</v>
      </c>
      <c r="I17" s="22">
        <v>1</v>
      </c>
      <c r="J17" s="30" t="s">
        <v>18</v>
      </c>
      <c r="K17" s="24">
        <f t="shared" si="1"/>
        <v>3</v>
      </c>
      <c r="L17" s="25">
        <v>4.4</v>
      </c>
      <c r="M17" s="25">
        <v>13.2</v>
      </c>
      <c r="N17" s="25">
        <v>13.2</v>
      </c>
    </row>
    <row r="18" spans="4:14">
      <c r="D18" s="21">
        <v>46066</v>
      </c>
      <c r="E18" s="22">
        <v>1578709</v>
      </c>
      <c r="F18" s="22" t="s">
        <v>20</v>
      </c>
      <c r="G18" s="22">
        <v>20324626</v>
      </c>
      <c r="H18" s="22" t="s">
        <v>139</v>
      </c>
      <c r="I18" s="22">
        <v>2</v>
      </c>
      <c r="J18" s="30" t="s">
        <v>18</v>
      </c>
      <c r="K18" s="24">
        <f t="shared" si="1"/>
        <v>4</v>
      </c>
      <c r="L18" s="25">
        <v>4.4</v>
      </c>
      <c r="M18" s="25">
        <v>17.6</v>
      </c>
      <c r="N18" s="25">
        <v>35.2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1" t="s">
        <v>141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40</v>
      </c>
      <c r="J8" s="13"/>
      <c r="K8" s="33"/>
      <c r="L8" s="33"/>
      <c r="M8" s="33"/>
      <c r="N8" s="33">
        <v>1520.4</v>
      </c>
    </row>
    <row r="9" spans="1:14">
      <c r="D9" s="15">
        <v>46055</v>
      </c>
      <c r="E9" s="16">
        <v>1575630</v>
      </c>
      <c r="F9" s="16" t="s">
        <v>20</v>
      </c>
      <c r="G9" s="16">
        <v>20324427</v>
      </c>
      <c r="H9" s="16" t="s">
        <v>142</v>
      </c>
      <c r="I9" s="16">
        <v>1</v>
      </c>
      <c r="J9" s="69" t="s">
        <v>64</v>
      </c>
      <c r="K9" s="18">
        <v>1</v>
      </c>
      <c r="L9" s="19">
        <v>8.8</v>
      </c>
      <c r="M9" s="19">
        <v>8.8</v>
      </c>
      <c r="N9" s="19">
        <v>8.8</v>
      </c>
    </row>
    <row r="10" spans="1:14">
      <c r="D10" s="21">
        <v>46055</v>
      </c>
      <c r="E10" s="22">
        <v>1575630</v>
      </c>
      <c r="F10" s="22" t="s">
        <v>20</v>
      </c>
      <c r="G10" s="22">
        <v>20324364</v>
      </c>
      <c r="H10" s="22" t="s">
        <v>99</v>
      </c>
      <c r="I10" s="22">
        <v>1</v>
      </c>
      <c r="J10" s="31" t="s">
        <v>29</v>
      </c>
      <c r="K10" s="24">
        <v>1</v>
      </c>
      <c r="L10" s="25">
        <v>6.4</v>
      </c>
      <c r="M10" s="25">
        <v>6.4</v>
      </c>
      <c r="N10" s="25">
        <v>6.4</v>
      </c>
    </row>
    <row r="11" spans="1:14">
      <c r="D11" s="21">
        <v>46055</v>
      </c>
      <c r="E11" s="22">
        <v>1575630</v>
      </c>
      <c r="F11" s="22" t="s">
        <v>20</v>
      </c>
      <c r="G11" s="22">
        <v>20324533</v>
      </c>
      <c r="H11" s="22" t="s">
        <v>124</v>
      </c>
      <c r="I11" s="22">
        <v>3</v>
      </c>
      <c r="J11" s="31" t="s">
        <v>29</v>
      </c>
      <c r="K11" s="24">
        <v>1</v>
      </c>
      <c r="L11" s="25">
        <v>6.4</v>
      </c>
      <c r="M11" s="25">
        <v>6.4</v>
      </c>
      <c r="N11" s="25">
        <v>19.2</v>
      </c>
    </row>
    <row r="12" spans="1:14">
      <c r="D12" s="21">
        <v>46055</v>
      </c>
      <c r="E12" s="22">
        <v>1575630</v>
      </c>
      <c r="F12" s="22" t="s">
        <v>20</v>
      </c>
      <c r="G12" s="22">
        <v>20324963</v>
      </c>
      <c r="H12" s="22" t="s">
        <v>143</v>
      </c>
      <c r="I12" s="2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21">
        <v>46055</v>
      </c>
      <c r="E13" s="22">
        <v>1575630</v>
      </c>
      <c r="F13" s="22" t="s">
        <v>16</v>
      </c>
      <c r="G13" s="22">
        <v>20324431</v>
      </c>
      <c r="H13" s="22" t="s">
        <v>119</v>
      </c>
      <c r="I13" s="22">
        <v>3</v>
      </c>
      <c r="J13" s="30" t="s">
        <v>18</v>
      </c>
      <c r="K13" s="24">
        <f>M13/L13</f>
        <v>24</v>
      </c>
      <c r="L13" s="25">
        <v>4.4</v>
      </c>
      <c r="M13" s="25">
        <v>105.6</v>
      </c>
      <c r="N13" s="25">
        <v>316.8</v>
      </c>
    </row>
    <row r="14" spans="1:14">
      <c r="D14" s="21">
        <v>46056</v>
      </c>
      <c r="E14" s="22">
        <v>1575986</v>
      </c>
      <c r="F14" s="22" t="s">
        <v>20</v>
      </c>
      <c r="G14" s="22">
        <v>20324419</v>
      </c>
      <c r="H14" s="22" t="s">
        <v>144</v>
      </c>
      <c r="I14" s="22">
        <v>1</v>
      </c>
      <c r="J14" s="31" t="s">
        <v>29</v>
      </c>
      <c r="K14" s="24">
        <v>1</v>
      </c>
      <c r="L14" s="25">
        <v>6.4</v>
      </c>
      <c r="M14" s="25">
        <v>6.4</v>
      </c>
      <c r="N14" s="25">
        <v>6.4</v>
      </c>
    </row>
    <row r="15" spans="1:14">
      <c r="D15" s="21">
        <v>46056</v>
      </c>
      <c r="E15" s="22">
        <v>1575986</v>
      </c>
      <c r="F15" s="22" t="s">
        <v>16</v>
      </c>
      <c r="G15" s="22">
        <v>20324433</v>
      </c>
      <c r="H15" s="22" t="s">
        <v>145</v>
      </c>
      <c r="I15" s="22">
        <v>1</v>
      </c>
      <c r="J15" s="30" t="s">
        <v>18</v>
      </c>
      <c r="K15" s="24">
        <f>M15/L15</f>
        <v>14</v>
      </c>
      <c r="L15" s="25">
        <v>4.4</v>
      </c>
      <c r="M15" s="25">
        <v>61.6</v>
      </c>
      <c r="N15" s="25">
        <v>61.6</v>
      </c>
    </row>
    <row r="16" spans="1:14">
      <c r="D16" s="21">
        <v>46060</v>
      </c>
      <c r="E16" s="22">
        <v>1577031</v>
      </c>
      <c r="F16" s="22" t="s">
        <v>20</v>
      </c>
      <c r="G16" s="22">
        <v>20324419</v>
      </c>
      <c r="H16" s="22" t="s">
        <v>144</v>
      </c>
      <c r="I16" s="22">
        <v>1</v>
      </c>
      <c r="J16" s="31" t="s">
        <v>29</v>
      </c>
      <c r="K16" s="24">
        <v>1</v>
      </c>
      <c r="L16" s="25">
        <v>6.4</v>
      </c>
      <c r="M16" s="25">
        <v>6.4</v>
      </c>
      <c r="N16" s="25">
        <v>6.4</v>
      </c>
    </row>
    <row r="17" spans="4:14">
      <c r="D17" s="21">
        <v>46060</v>
      </c>
      <c r="E17" s="22">
        <v>1577031</v>
      </c>
      <c r="F17" s="22" t="s">
        <v>20</v>
      </c>
      <c r="G17" s="22">
        <v>20324427</v>
      </c>
      <c r="H17" s="22" t="s">
        <v>142</v>
      </c>
      <c r="I17" s="22">
        <v>1</v>
      </c>
      <c r="J17" s="32" t="s">
        <v>64</v>
      </c>
      <c r="K17" s="24">
        <v>1</v>
      </c>
      <c r="L17" s="25">
        <v>8.8</v>
      </c>
      <c r="M17" s="25">
        <v>8.8</v>
      </c>
      <c r="N17" s="25">
        <v>8.8</v>
      </c>
    </row>
    <row r="18" spans="4:14">
      <c r="D18" s="21">
        <v>46060</v>
      </c>
      <c r="E18" s="22">
        <v>1577031</v>
      </c>
      <c r="F18" s="22" t="s">
        <v>20</v>
      </c>
      <c r="G18" s="22">
        <v>20324364</v>
      </c>
      <c r="H18" s="22" t="s">
        <v>99</v>
      </c>
      <c r="I18" s="2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21">
        <v>46060</v>
      </c>
      <c r="E19" s="22">
        <v>1577031</v>
      </c>
      <c r="F19" s="22" t="s">
        <v>20</v>
      </c>
      <c r="G19" s="22">
        <v>20324533</v>
      </c>
      <c r="H19" s="22" t="s">
        <v>124</v>
      </c>
      <c r="I19" s="22">
        <v>6</v>
      </c>
      <c r="J19" s="31" t="s">
        <v>29</v>
      </c>
      <c r="K19" s="24">
        <v>1</v>
      </c>
      <c r="L19" s="25">
        <v>6.4</v>
      </c>
      <c r="M19" s="25">
        <v>6.4</v>
      </c>
      <c r="N19" s="25">
        <v>38.4</v>
      </c>
    </row>
    <row r="20" spans="4:14">
      <c r="D20" s="21">
        <v>46060</v>
      </c>
      <c r="E20" s="22">
        <v>1577031</v>
      </c>
      <c r="F20" s="22" t="s">
        <v>20</v>
      </c>
      <c r="G20" s="22">
        <v>20324425</v>
      </c>
      <c r="H20" s="22" t="s">
        <v>146</v>
      </c>
      <c r="I20" s="22">
        <v>1</v>
      </c>
      <c r="J20" s="32" t="s">
        <v>64</v>
      </c>
      <c r="K20" s="24">
        <v>1</v>
      </c>
      <c r="L20" s="25">
        <v>8.8</v>
      </c>
      <c r="M20" s="25">
        <v>8.8</v>
      </c>
      <c r="N20" s="25">
        <v>8.8</v>
      </c>
    </row>
    <row r="21" spans="4:14">
      <c r="D21" s="21">
        <v>46060</v>
      </c>
      <c r="E21" s="22">
        <v>1577031</v>
      </c>
      <c r="F21" s="22" t="s">
        <v>20</v>
      </c>
      <c r="G21" s="22">
        <v>20324363</v>
      </c>
      <c r="H21" s="22" t="s">
        <v>30</v>
      </c>
      <c r="I21" s="22">
        <v>1</v>
      </c>
      <c r="J21" s="31" t="s">
        <v>29</v>
      </c>
      <c r="K21" s="24">
        <v>1</v>
      </c>
      <c r="L21" s="25">
        <v>6.4</v>
      </c>
      <c r="M21" s="25">
        <v>6.4</v>
      </c>
      <c r="N21" s="25">
        <v>6.4</v>
      </c>
    </row>
    <row r="22" spans="4:14">
      <c r="D22" s="21">
        <v>46060</v>
      </c>
      <c r="E22" s="22">
        <v>1577031</v>
      </c>
      <c r="F22" s="22" t="s">
        <v>16</v>
      </c>
      <c r="G22" s="22">
        <v>20324432</v>
      </c>
      <c r="H22" s="22" t="s">
        <v>147</v>
      </c>
      <c r="I22" s="22">
        <v>1</v>
      </c>
      <c r="J22" s="30" t="s">
        <v>18</v>
      </c>
      <c r="K22" s="24">
        <f t="shared" ref="K22:K24" si="0">M22/L22</f>
        <v>33</v>
      </c>
      <c r="L22" s="25">
        <v>4.4</v>
      </c>
      <c r="M22" s="25">
        <v>145.2</v>
      </c>
      <c r="N22" s="25">
        <v>145.2</v>
      </c>
    </row>
    <row r="23" spans="4:14">
      <c r="D23" s="21">
        <v>46060</v>
      </c>
      <c r="E23" s="22">
        <v>1577031</v>
      </c>
      <c r="F23" s="22" t="s">
        <v>16</v>
      </c>
      <c r="G23" s="22">
        <v>20324433</v>
      </c>
      <c r="H23" s="22" t="s">
        <v>145</v>
      </c>
      <c r="I23" s="22">
        <v>1</v>
      </c>
      <c r="J23" s="30" t="s">
        <v>18</v>
      </c>
      <c r="K23" s="24">
        <f t="shared" si="0"/>
        <v>14</v>
      </c>
      <c r="L23" s="25">
        <v>4.4</v>
      </c>
      <c r="M23" s="25">
        <v>61.6</v>
      </c>
      <c r="N23" s="25">
        <v>61.6</v>
      </c>
    </row>
    <row r="24" spans="4:14">
      <c r="D24" s="21">
        <v>46060</v>
      </c>
      <c r="E24" s="22">
        <v>1577031</v>
      </c>
      <c r="F24" s="22" t="s">
        <v>16</v>
      </c>
      <c r="G24" s="22">
        <v>20324431</v>
      </c>
      <c r="H24" s="22" t="s">
        <v>119</v>
      </c>
      <c r="I24" s="22">
        <v>3</v>
      </c>
      <c r="J24" s="30" t="s">
        <v>18</v>
      </c>
      <c r="K24" s="24">
        <f t="shared" si="0"/>
        <v>24</v>
      </c>
      <c r="L24" s="25">
        <v>4.4</v>
      </c>
      <c r="M24" s="25">
        <v>105.6</v>
      </c>
      <c r="N24" s="25">
        <v>316.8</v>
      </c>
    </row>
    <row r="25" spans="4:14">
      <c r="D25" s="21">
        <v>46062</v>
      </c>
      <c r="E25" s="22">
        <v>1577493</v>
      </c>
      <c r="F25" s="22" t="s">
        <v>20</v>
      </c>
      <c r="G25" s="22">
        <v>20324364</v>
      </c>
      <c r="H25" s="22" t="s">
        <v>99</v>
      </c>
      <c r="I25" s="22">
        <v>2</v>
      </c>
      <c r="J25" s="31" t="s">
        <v>29</v>
      </c>
      <c r="K25" s="24">
        <v>1</v>
      </c>
      <c r="L25" s="25">
        <v>6.4</v>
      </c>
      <c r="M25" s="25">
        <v>6.4</v>
      </c>
      <c r="N25" s="25">
        <v>12.8</v>
      </c>
    </row>
    <row r="26" spans="4:14">
      <c r="D26" s="21">
        <v>46062</v>
      </c>
      <c r="E26" s="22">
        <v>1577493</v>
      </c>
      <c r="F26" s="22" t="s">
        <v>20</v>
      </c>
      <c r="G26" s="22">
        <v>20324533</v>
      </c>
      <c r="H26" s="22" t="s">
        <v>124</v>
      </c>
      <c r="I26" s="22">
        <v>2</v>
      </c>
      <c r="J26" s="31" t="s">
        <v>29</v>
      </c>
      <c r="K26" s="24">
        <v>1</v>
      </c>
      <c r="L26" s="25">
        <v>6.4</v>
      </c>
      <c r="M26" s="25">
        <v>6.4</v>
      </c>
      <c r="N26" s="25">
        <v>12.8</v>
      </c>
    </row>
    <row r="27" spans="4:14">
      <c r="D27" s="21">
        <v>46062</v>
      </c>
      <c r="E27" s="22">
        <v>1577493</v>
      </c>
      <c r="F27" s="22" t="s">
        <v>20</v>
      </c>
      <c r="G27" s="22">
        <v>20324363</v>
      </c>
      <c r="H27" s="22" t="s">
        <v>30</v>
      </c>
      <c r="I27" s="22">
        <v>1</v>
      </c>
      <c r="J27" s="31" t="s">
        <v>29</v>
      </c>
      <c r="K27" s="24">
        <v>1</v>
      </c>
      <c r="L27" s="25">
        <v>6.4</v>
      </c>
      <c r="M27" s="25">
        <v>6.4</v>
      </c>
      <c r="N27" s="25">
        <v>6.4</v>
      </c>
    </row>
    <row r="28" spans="4:14">
      <c r="D28" s="21">
        <v>46062</v>
      </c>
      <c r="E28" s="22">
        <v>1577493</v>
      </c>
      <c r="F28" s="22" t="s">
        <v>16</v>
      </c>
      <c r="G28" s="22">
        <v>20359097</v>
      </c>
      <c r="H28" s="22" t="s">
        <v>148</v>
      </c>
      <c r="I28" s="22">
        <v>1</v>
      </c>
      <c r="J28" s="30" t="s">
        <v>18</v>
      </c>
      <c r="K28" s="24">
        <f t="shared" ref="K28:K31" si="1">M28/L28</f>
        <v>4</v>
      </c>
      <c r="L28" s="25">
        <v>4.4</v>
      </c>
      <c r="M28" s="25">
        <v>17.6</v>
      </c>
      <c r="N28" s="25">
        <v>17.6</v>
      </c>
    </row>
    <row r="29" spans="4:14">
      <c r="D29" s="21">
        <v>46062</v>
      </c>
      <c r="E29" s="22">
        <v>1577493</v>
      </c>
      <c r="F29" s="22" t="s">
        <v>16</v>
      </c>
      <c r="G29" s="22">
        <v>20324431</v>
      </c>
      <c r="H29" s="22" t="s">
        <v>119</v>
      </c>
      <c r="I29" s="22">
        <v>1</v>
      </c>
      <c r="J29" s="30" t="s">
        <v>18</v>
      </c>
      <c r="K29" s="24">
        <f t="shared" si="1"/>
        <v>24</v>
      </c>
      <c r="L29" s="25">
        <v>4.4</v>
      </c>
      <c r="M29" s="25">
        <v>105.6</v>
      </c>
      <c r="N29" s="25">
        <v>105.6</v>
      </c>
    </row>
    <row r="30" spans="4:14">
      <c r="D30" s="21">
        <v>46065</v>
      </c>
      <c r="E30" s="22">
        <v>1578454</v>
      </c>
      <c r="F30" s="22" t="s">
        <v>20</v>
      </c>
      <c r="G30" s="22">
        <v>20324364</v>
      </c>
      <c r="H30" s="22" t="s">
        <v>99</v>
      </c>
      <c r="I30" s="22">
        <v>1</v>
      </c>
      <c r="J30" s="31" t="s">
        <v>29</v>
      </c>
      <c r="K30" s="24">
        <v>1</v>
      </c>
      <c r="L30" s="25">
        <v>6.4</v>
      </c>
      <c r="M30" s="25">
        <v>6.4</v>
      </c>
      <c r="N30" s="25">
        <v>6.4</v>
      </c>
    </row>
    <row r="31" spans="4:14">
      <c r="D31" s="21">
        <v>46065</v>
      </c>
      <c r="E31" s="22">
        <v>1578454</v>
      </c>
      <c r="F31" s="22" t="s">
        <v>16</v>
      </c>
      <c r="G31" s="22">
        <v>20324431</v>
      </c>
      <c r="H31" s="22" t="s">
        <v>119</v>
      </c>
      <c r="I31" s="22">
        <v>1</v>
      </c>
      <c r="J31" s="30" t="s">
        <v>18</v>
      </c>
      <c r="K31" s="24">
        <f t="shared" si="1"/>
        <v>24</v>
      </c>
      <c r="L31" s="25">
        <v>4.4</v>
      </c>
      <c r="M31" s="25">
        <v>105.6</v>
      </c>
      <c r="N31" s="25">
        <v>105.6</v>
      </c>
    </row>
    <row r="32" spans="4:14">
      <c r="D32" s="21">
        <v>46079</v>
      </c>
      <c r="E32" s="22">
        <v>1580509</v>
      </c>
      <c r="F32" s="22" t="s">
        <v>20</v>
      </c>
      <c r="G32" s="22">
        <v>20324425</v>
      </c>
      <c r="H32" s="22" t="s">
        <v>146</v>
      </c>
      <c r="I32" s="22">
        <v>2</v>
      </c>
      <c r="J32" s="32" t="s">
        <v>64</v>
      </c>
      <c r="K32" s="24">
        <v>1</v>
      </c>
      <c r="L32" s="25">
        <v>8.8</v>
      </c>
      <c r="M32" s="25">
        <v>8.8</v>
      </c>
      <c r="N32" s="25">
        <v>17.6</v>
      </c>
    </row>
    <row r="33" spans="4:14">
      <c r="D33" s="21">
        <v>46079</v>
      </c>
      <c r="E33" s="22">
        <v>1580509</v>
      </c>
      <c r="F33" s="22" t="s">
        <v>16</v>
      </c>
      <c r="G33" s="22">
        <v>20324431</v>
      </c>
      <c r="H33" s="22" t="s">
        <v>119</v>
      </c>
      <c r="I33" s="22">
        <v>2</v>
      </c>
      <c r="J33" s="30" t="s">
        <v>18</v>
      </c>
      <c r="K33" s="24">
        <f>M33/L33</f>
        <v>24</v>
      </c>
      <c r="L33" s="25">
        <v>4.4</v>
      </c>
      <c r="M33" s="25">
        <v>105.6</v>
      </c>
      <c r="N33" s="25">
        <v>211.2</v>
      </c>
    </row>
  </sheetData>
  <autoFilter xmlns:etc="http://www.wps.cn/officeDocument/2017/etCustomData" ref="A7:N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8" t="s">
        <v>149</v>
      </c>
      <c r="E8" s="119" t="s">
        <v>2</v>
      </c>
      <c r="F8" s="119" t="s">
        <v>2</v>
      </c>
      <c r="G8" s="119" t="s">
        <v>2</v>
      </c>
      <c r="H8" s="119" t="s">
        <v>2</v>
      </c>
      <c r="I8" s="11">
        <v>33</v>
      </c>
      <c r="J8" s="14"/>
      <c r="K8" s="14"/>
      <c r="L8" s="14"/>
      <c r="M8" s="14"/>
      <c r="N8" s="14">
        <v>1507.2</v>
      </c>
    </row>
    <row r="9" spans="1:14">
      <c r="D9" s="15">
        <v>46060</v>
      </c>
      <c r="E9" s="16">
        <v>1577032</v>
      </c>
      <c r="F9" s="16" t="s">
        <v>20</v>
      </c>
      <c r="G9" s="16">
        <v>20324364</v>
      </c>
      <c r="H9" s="16" t="s">
        <v>99</v>
      </c>
      <c r="I9" s="16">
        <v>4</v>
      </c>
      <c r="J9" s="29" t="s">
        <v>29</v>
      </c>
      <c r="K9" s="18">
        <v>1</v>
      </c>
      <c r="L9" s="19">
        <v>6.4</v>
      </c>
      <c r="M9" s="20">
        <v>6.4</v>
      </c>
      <c r="N9" s="20">
        <v>25.6</v>
      </c>
    </row>
    <row r="10" spans="1:14">
      <c r="D10" s="21">
        <v>46060</v>
      </c>
      <c r="E10" s="22">
        <v>1577032</v>
      </c>
      <c r="F10" s="22" t="s">
        <v>20</v>
      </c>
      <c r="G10" s="22">
        <v>20324533</v>
      </c>
      <c r="H10" s="22" t="s">
        <v>124</v>
      </c>
      <c r="I10" s="22">
        <v>4</v>
      </c>
      <c r="J10" s="31" t="s">
        <v>29</v>
      </c>
      <c r="K10" s="24">
        <v>1</v>
      </c>
      <c r="L10" s="25">
        <v>6.4</v>
      </c>
      <c r="M10" s="26">
        <v>6.4</v>
      </c>
      <c r="N10" s="26">
        <v>25.6</v>
      </c>
    </row>
    <row r="11" spans="1:14">
      <c r="D11" s="21">
        <v>46060</v>
      </c>
      <c r="E11" s="22">
        <v>1577032</v>
      </c>
      <c r="F11" s="22" t="s">
        <v>20</v>
      </c>
      <c r="G11" s="22">
        <v>20324425</v>
      </c>
      <c r="H11" s="22" t="s">
        <v>146</v>
      </c>
      <c r="I11" s="22">
        <v>1</v>
      </c>
      <c r="J11" s="32" t="s">
        <v>64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46060</v>
      </c>
      <c r="E12" s="22">
        <v>1577032</v>
      </c>
      <c r="F12" s="22" t="s">
        <v>20</v>
      </c>
      <c r="G12" s="22">
        <v>20324363</v>
      </c>
      <c r="H12" s="22" t="s">
        <v>30</v>
      </c>
      <c r="I12" s="22">
        <v>1</v>
      </c>
      <c r="J12" s="31" t="s">
        <v>29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46060</v>
      </c>
      <c r="E13" s="22">
        <v>1577032</v>
      </c>
      <c r="F13" s="22" t="s">
        <v>16</v>
      </c>
      <c r="G13" s="22">
        <v>20324431</v>
      </c>
      <c r="H13" s="22" t="s">
        <v>119</v>
      </c>
      <c r="I13" s="22">
        <v>7</v>
      </c>
      <c r="J13" s="30" t="s">
        <v>18</v>
      </c>
      <c r="K13" s="24">
        <f t="shared" ref="K13:K19" si="0">M13/L13</f>
        <v>24</v>
      </c>
      <c r="L13" s="25">
        <v>4.4</v>
      </c>
      <c r="M13" s="26">
        <v>105.6</v>
      </c>
      <c r="N13" s="26">
        <v>739.2</v>
      </c>
    </row>
    <row r="14" spans="1:14">
      <c r="D14" s="21">
        <v>46060</v>
      </c>
      <c r="E14" s="22">
        <v>1577032</v>
      </c>
      <c r="F14" s="22" t="s">
        <v>16</v>
      </c>
      <c r="G14" s="22">
        <v>20324453</v>
      </c>
      <c r="H14" s="22" t="s">
        <v>150</v>
      </c>
      <c r="I14" s="22">
        <v>4</v>
      </c>
      <c r="J14" s="30" t="s">
        <v>18</v>
      </c>
      <c r="K14" s="24">
        <f t="shared" si="0"/>
        <v>8</v>
      </c>
      <c r="L14" s="25">
        <v>4.4</v>
      </c>
      <c r="M14" s="26">
        <v>35.2</v>
      </c>
      <c r="N14" s="26">
        <v>140.8</v>
      </c>
    </row>
    <row r="15" spans="1:14">
      <c r="D15" s="21">
        <v>46060</v>
      </c>
      <c r="E15" s="22">
        <v>1577063</v>
      </c>
      <c r="F15" s="23" t="s">
        <v>20</v>
      </c>
      <c r="G15" s="22">
        <v>20326628</v>
      </c>
      <c r="H15" s="22" t="s">
        <v>151</v>
      </c>
      <c r="I15" s="22">
        <v>5</v>
      </c>
      <c r="J15" s="30" t="s">
        <v>36</v>
      </c>
      <c r="K15" s="24">
        <v>1</v>
      </c>
      <c r="L15" s="25">
        <v>17.6</v>
      </c>
      <c r="M15" s="26">
        <v>17.6</v>
      </c>
      <c r="N15" s="26">
        <v>88</v>
      </c>
    </row>
    <row r="16" spans="1:14">
      <c r="D16" s="21">
        <v>46077</v>
      </c>
      <c r="E16" s="22">
        <v>1579772</v>
      </c>
      <c r="F16" s="22" t="s">
        <v>20</v>
      </c>
      <c r="G16" s="22">
        <v>20324364</v>
      </c>
      <c r="H16" s="22" t="s">
        <v>99</v>
      </c>
      <c r="I16" s="22">
        <v>1</v>
      </c>
      <c r="J16" s="31" t="s">
        <v>29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46077</v>
      </c>
      <c r="E17" s="22">
        <v>1579772</v>
      </c>
      <c r="F17" s="22" t="s">
        <v>20</v>
      </c>
      <c r="G17" s="22">
        <v>20324425</v>
      </c>
      <c r="H17" s="22" t="s">
        <v>146</v>
      </c>
      <c r="I17" s="22">
        <v>1</v>
      </c>
      <c r="J17" s="32" t="s">
        <v>64</v>
      </c>
      <c r="K17" s="24">
        <v>1</v>
      </c>
      <c r="L17" s="25">
        <v>8.8</v>
      </c>
      <c r="M17" s="26">
        <v>8.8</v>
      </c>
      <c r="N17" s="26">
        <v>8.8</v>
      </c>
    </row>
    <row r="18" spans="4:14">
      <c r="D18" s="21">
        <v>46077</v>
      </c>
      <c r="E18" s="22">
        <v>1579772</v>
      </c>
      <c r="F18" s="22" t="s">
        <v>16</v>
      </c>
      <c r="G18" s="22">
        <v>20324431</v>
      </c>
      <c r="H18" s="22" t="s">
        <v>119</v>
      </c>
      <c r="I18" s="22">
        <v>4</v>
      </c>
      <c r="J18" s="30" t="s">
        <v>18</v>
      </c>
      <c r="K18" s="24">
        <f t="shared" si="0"/>
        <v>24</v>
      </c>
      <c r="L18" s="25">
        <v>4.4</v>
      </c>
      <c r="M18" s="26">
        <v>105.6</v>
      </c>
      <c r="N18" s="26">
        <v>422.4</v>
      </c>
    </row>
    <row r="19" spans="4:14">
      <c r="D19" s="21">
        <v>46077</v>
      </c>
      <c r="E19" s="22">
        <v>1579772</v>
      </c>
      <c r="F19" s="22" t="s">
        <v>16</v>
      </c>
      <c r="G19" s="22">
        <v>20324453</v>
      </c>
      <c r="H19" s="22" t="s">
        <v>150</v>
      </c>
      <c r="I19" s="22">
        <v>1</v>
      </c>
      <c r="J19" s="30" t="s">
        <v>18</v>
      </c>
      <c r="K19" s="24">
        <f t="shared" si="0"/>
        <v>8</v>
      </c>
      <c r="L19" s="25">
        <v>4.4</v>
      </c>
      <c r="M19" s="26">
        <v>35.2</v>
      </c>
      <c r="N19" s="26">
        <v>35.2</v>
      </c>
    </row>
  </sheetData>
  <autoFilter xmlns:etc="http://www.wps.cn/officeDocument/2017/etCustomData" ref="A7:N19" etc:filterBottomFollowUsedRange="0">
    <extLst/>
  </autoFilter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2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0.125" customWidth="1"/>
    <col min="11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81" t="s">
        <v>4</v>
      </c>
      <c r="E7" s="81" t="s">
        <v>5</v>
      </c>
      <c r="F7" s="81" t="s">
        <v>6</v>
      </c>
      <c r="G7" s="81" t="s">
        <v>7</v>
      </c>
      <c r="H7" s="81" t="s">
        <v>8</v>
      </c>
      <c r="I7" s="81" t="s">
        <v>9</v>
      </c>
      <c r="J7" s="32" t="s">
        <v>10</v>
      </c>
      <c r="K7" s="57" t="s">
        <v>11</v>
      </c>
      <c r="L7" s="58" t="s">
        <v>12</v>
      </c>
      <c r="M7" s="81" t="s">
        <v>13</v>
      </c>
      <c r="N7" s="81" t="s">
        <v>14</v>
      </c>
    </row>
    <row r="8" ht="14.25" spans="1:14">
      <c r="D8" s="110" t="s">
        <v>152</v>
      </c>
      <c r="E8" s="111" t="s">
        <v>2</v>
      </c>
      <c r="F8" s="111" t="s">
        <v>2</v>
      </c>
      <c r="G8" s="111" t="s">
        <v>2</v>
      </c>
      <c r="H8" s="111" t="s">
        <v>2</v>
      </c>
      <c r="I8" s="112">
        <v>129</v>
      </c>
      <c r="J8" s="113"/>
      <c r="K8" s="113"/>
      <c r="L8" s="113"/>
      <c r="M8" s="113"/>
      <c r="N8" s="114">
        <v>7518.8</v>
      </c>
    </row>
    <row r="9" spans="1:14">
      <c r="D9" s="115">
        <v>46055</v>
      </c>
      <c r="E9" s="116">
        <v>1575421</v>
      </c>
      <c r="F9" s="116" t="s">
        <v>20</v>
      </c>
      <c r="G9" s="81">
        <v>20324382</v>
      </c>
      <c r="H9" s="116" t="s">
        <v>153</v>
      </c>
      <c r="I9" s="81">
        <v>2</v>
      </c>
      <c r="J9" s="31" t="s">
        <v>29</v>
      </c>
      <c r="K9" s="24">
        <v>1</v>
      </c>
      <c r="L9" s="25">
        <v>6.4</v>
      </c>
      <c r="M9" s="26">
        <v>6.4</v>
      </c>
      <c r="N9" s="26">
        <v>12.8</v>
      </c>
    </row>
    <row r="10" spans="1:14">
      <c r="D10" s="115">
        <v>46055</v>
      </c>
      <c r="E10" s="116">
        <v>1575421</v>
      </c>
      <c r="F10" s="116" t="s">
        <v>20</v>
      </c>
      <c r="G10" s="81">
        <v>20324366</v>
      </c>
      <c r="H10" s="116" t="s">
        <v>154</v>
      </c>
      <c r="I10" s="81">
        <v>2</v>
      </c>
      <c r="J10" s="117" t="s">
        <v>22</v>
      </c>
      <c r="K10" s="63">
        <v>1</v>
      </c>
      <c r="L10" s="26">
        <v>12.8</v>
      </c>
      <c r="M10" s="26">
        <v>12.8</v>
      </c>
      <c r="N10" s="26">
        <v>25.6</v>
      </c>
    </row>
    <row r="11" spans="1:14">
      <c r="D11" s="115">
        <v>46055</v>
      </c>
      <c r="E11" s="116">
        <v>1575421</v>
      </c>
      <c r="F11" s="116" t="s">
        <v>16</v>
      </c>
      <c r="G11" s="81">
        <v>20324360</v>
      </c>
      <c r="H11" s="116" t="s">
        <v>155</v>
      </c>
      <c r="I11" s="81">
        <v>2</v>
      </c>
      <c r="J11" s="30" t="s">
        <v>18</v>
      </c>
      <c r="K11" s="24">
        <f t="shared" ref="K11:K13" si="0">M11/L11</f>
        <v>16</v>
      </c>
      <c r="L11" s="25">
        <v>4.4</v>
      </c>
      <c r="M11" s="26">
        <v>70.4</v>
      </c>
      <c r="N11" s="26">
        <v>140.8</v>
      </c>
    </row>
    <row r="12" spans="1:14">
      <c r="D12" s="115">
        <v>46055</v>
      </c>
      <c r="E12" s="116">
        <v>1575421</v>
      </c>
      <c r="F12" s="116" t="s">
        <v>20</v>
      </c>
      <c r="G12" s="81">
        <v>20342477</v>
      </c>
      <c r="H12" s="116" t="s">
        <v>156</v>
      </c>
      <c r="I12" s="81">
        <v>1</v>
      </c>
      <c r="J12" s="30" t="s">
        <v>18</v>
      </c>
      <c r="K12" s="24">
        <f t="shared" si="0"/>
        <v>44</v>
      </c>
      <c r="L12" s="25">
        <v>4.4</v>
      </c>
      <c r="M12" s="26">
        <v>193.6</v>
      </c>
      <c r="N12" s="26">
        <v>193.6</v>
      </c>
    </row>
    <row r="13" spans="1:14">
      <c r="D13" s="115">
        <v>46055</v>
      </c>
      <c r="E13" s="116">
        <v>1575421</v>
      </c>
      <c r="F13" s="116" t="s">
        <v>20</v>
      </c>
      <c r="G13" s="81">
        <v>20328818</v>
      </c>
      <c r="H13" s="116" t="s">
        <v>157</v>
      </c>
      <c r="I13" s="81">
        <v>2</v>
      </c>
      <c r="J13" s="30" t="s">
        <v>18</v>
      </c>
      <c r="K13" s="24">
        <f t="shared" si="0"/>
        <v>51</v>
      </c>
      <c r="L13" s="25">
        <v>4.4</v>
      </c>
      <c r="M13" s="26">
        <v>224.4</v>
      </c>
      <c r="N13" s="26">
        <v>448.8</v>
      </c>
    </row>
    <row r="14" spans="1:14">
      <c r="D14" s="115">
        <v>46056</v>
      </c>
      <c r="E14" s="116">
        <v>1575987</v>
      </c>
      <c r="F14" s="116" t="s">
        <v>20</v>
      </c>
      <c r="G14" s="81">
        <v>20324366</v>
      </c>
      <c r="H14" s="116" t="s">
        <v>154</v>
      </c>
      <c r="I14" s="81">
        <v>4</v>
      </c>
      <c r="J14" s="117" t="s">
        <v>22</v>
      </c>
      <c r="K14" s="63">
        <v>1</v>
      </c>
      <c r="L14" s="26">
        <v>12.8</v>
      </c>
      <c r="M14" s="26">
        <v>12.8</v>
      </c>
      <c r="N14" s="26">
        <v>51.2</v>
      </c>
    </row>
    <row r="15" spans="1:14">
      <c r="D15" s="115">
        <v>46056</v>
      </c>
      <c r="E15" s="116">
        <v>1575987</v>
      </c>
      <c r="F15" s="116" t="s">
        <v>20</v>
      </c>
      <c r="G15" s="81">
        <v>20324364</v>
      </c>
      <c r="H15" s="116" t="s">
        <v>99</v>
      </c>
      <c r="I15" s="81">
        <v>1</v>
      </c>
      <c r="J15" s="31" t="s">
        <v>29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115">
        <v>46056</v>
      </c>
      <c r="E16" s="116">
        <v>1575987</v>
      </c>
      <c r="F16" s="116" t="s">
        <v>20</v>
      </c>
      <c r="G16" s="81">
        <v>20324533</v>
      </c>
      <c r="H16" s="116" t="s">
        <v>124</v>
      </c>
      <c r="I16" s="81">
        <v>4</v>
      </c>
      <c r="J16" s="31" t="s">
        <v>29</v>
      </c>
      <c r="K16" s="24">
        <v>1</v>
      </c>
      <c r="L16" s="25">
        <v>6.4</v>
      </c>
      <c r="M16" s="26">
        <v>6.4</v>
      </c>
      <c r="N16" s="26">
        <v>25.6</v>
      </c>
    </row>
    <row r="17" spans="4:14">
      <c r="D17" s="115">
        <v>46056</v>
      </c>
      <c r="E17" s="116">
        <v>1575987</v>
      </c>
      <c r="F17" s="116" t="s">
        <v>20</v>
      </c>
      <c r="G17" s="81">
        <v>20324367</v>
      </c>
      <c r="H17" s="116" t="s">
        <v>158</v>
      </c>
      <c r="I17" s="81">
        <v>1</v>
      </c>
      <c r="J17" s="31" t="s">
        <v>29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115">
        <v>46056</v>
      </c>
      <c r="E18" s="116">
        <v>1575987</v>
      </c>
      <c r="F18" s="116" t="s">
        <v>20</v>
      </c>
      <c r="G18" s="81">
        <v>20324363</v>
      </c>
      <c r="H18" s="116" t="s">
        <v>30</v>
      </c>
      <c r="I18" s="81">
        <v>1</v>
      </c>
      <c r="J18" s="31" t="s">
        <v>29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115">
        <v>46056</v>
      </c>
      <c r="E19" s="116">
        <v>1575987</v>
      </c>
      <c r="F19" s="116" t="s">
        <v>16</v>
      </c>
      <c r="G19" s="81">
        <v>20324360</v>
      </c>
      <c r="H19" s="116" t="s">
        <v>155</v>
      </c>
      <c r="I19" s="81">
        <v>4</v>
      </c>
      <c r="J19" s="30" t="s">
        <v>18</v>
      </c>
      <c r="K19" s="24">
        <f>M19/L19</f>
        <v>16</v>
      </c>
      <c r="L19" s="25">
        <v>4.4</v>
      </c>
      <c r="M19" s="26">
        <v>70.4</v>
      </c>
      <c r="N19" s="26">
        <v>281.6</v>
      </c>
    </row>
    <row r="20" spans="4:14">
      <c r="D20" s="115">
        <v>46056</v>
      </c>
      <c r="E20" s="116">
        <v>1575987</v>
      </c>
      <c r="F20" s="116" t="s">
        <v>20</v>
      </c>
      <c r="G20" s="81">
        <v>20328818</v>
      </c>
      <c r="H20" s="116" t="s">
        <v>157</v>
      </c>
      <c r="I20" s="81">
        <v>2</v>
      </c>
      <c r="J20" s="30" t="s">
        <v>18</v>
      </c>
      <c r="K20" s="24">
        <f>M20/L20</f>
        <v>51</v>
      </c>
      <c r="L20" s="25">
        <v>4.4</v>
      </c>
      <c r="M20" s="26">
        <v>224.4</v>
      </c>
      <c r="N20" s="26">
        <v>448.8</v>
      </c>
    </row>
    <row r="21" spans="4:14">
      <c r="D21" s="115">
        <v>46057</v>
      </c>
      <c r="E21" s="116">
        <v>1576310</v>
      </c>
      <c r="F21" s="116" t="s">
        <v>20</v>
      </c>
      <c r="G21" s="81">
        <v>20324366</v>
      </c>
      <c r="H21" s="116" t="s">
        <v>154</v>
      </c>
      <c r="I21" s="81">
        <v>6</v>
      </c>
      <c r="J21" s="117" t="s">
        <v>22</v>
      </c>
      <c r="K21" s="63">
        <v>1</v>
      </c>
      <c r="L21" s="26">
        <v>12.8</v>
      </c>
      <c r="M21" s="26">
        <v>12.8</v>
      </c>
      <c r="N21" s="26">
        <v>76.8</v>
      </c>
    </row>
    <row r="22" spans="4:14">
      <c r="D22" s="115">
        <v>46057</v>
      </c>
      <c r="E22" s="116">
        <v>1576310</v>
      </c>
      <c r="F22" s="116" t="s">
        <v>20</v>
      </c>
      <c r="G22" s="81">
        <v>20324364</v>
      </c>
      <c r="H22" s="116" t="s">
        <v>99</v>
      </c>
      <c r="I22" s="81">
        <v>1</v>
      </c>
      <c r="J22" s="31" t="s">
        <v>29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115">
        <v>46057</v>
      </c>
      <c r="E23" s="116">
        <v>1576310</v>
      </c>
      <c r="F23" s="116" t="s">
        <v>20</v>
      </c>
      <c r="G23" s="81">
        <v>20324533</v>
      </c>
      <c r="H23" s="116" t="s">
        <v>124</v>
      </c>
      <c r="I23" s="81">
        <v>5</v>
      </c>
      <c r="J23" s="31" t="s">
        <v>29</v>
      </c>
      <c r="K23" s="24">
        <v>1</v>
      </c>
      <c r="L23" s="25">
        <v>6.4</v>
      </c>
      <c r="M23" s="26">
        <v>6.4</v>
      </c>
      <c r="N23" s="26">
        <v>32</v>
      </c>
    </row>
    <row r="24" spans="4:14">
      <c r="D24" s="115">
        <v>46057</v>
      </c>
      <c r="E24" s="116">
        <v>1576310</v>
      </c>
      <c r="F24" s="116" t="s">
        <v>20</v>
      </c>
      <c r="G24" s="81">
        <v>20324367</v>
      </c>
      <c r="H24" s="116" t="s">
        <v>158</v>
      </c>
      <c r="I24" s="81">
        <v>1</v>
      </c>
      <c r="J24" s="31" t="s">
        <v>29</v>
      </c>
      <c r="K24" s="24">
        <v>1</v>
      </c>
      <c r="L24" s="25">
        <v>6.4</v>
      </c>
      <c r="M24" s="26">
        <v>6.4</v>
      </c>
      <c r="N24" s="26">
        <v>6.4</v>
      </c>
    </row>
    <row r="25" spans="4:14">
      <c r="D25" s="115">
        <v>46057</v>
      </c>
      <c r="E25" s="116">
        <v>1576310</v>
      </c>
      <c r="F25" s="116" t="s">
        <v>20</v>
      </c>
      <c r="G25" s="81">
        <v>20324363</v>
      </c>
      <c r="H25" s="116" t="s">
        <v>30</v>
      </c>
      <c r="I25" s="81">
        <v>2</v>
      </c>
      <c r="J25" s="31" t="s">
        <v>29</v>
      </c>
      <c r="K25" s="24">
        <v>1</v>
      </c>
      <c r="L25" s="25">
        <v>6.4</v>
      </c>
      <c r="M25" s="26">
        <v>6.4</v>
      </c>
      <c r="N25" s="26">
        <v>12.8</v>
      </c>
    </row>
    <row r="26" spans="4:14">
      <c r="D26" s="115">
        <v>46057</v>
      </c>
      <c r="E26" s="116">
        <v>1576310</v>
      </c>
      <c r="F26" s="116" t="s">
        <v>16</v>
      </c>
      <c r="G26" s="81">
        <v>20324360</v>
      </c>
      <c r="H26" s="116" t="s">
        <v>155</v>
      </c>
      <c r="I26" s="81">
        <v>6</v>
      </c>
      <c r="J26" s="30" t="s">
        <v>18</v>
      </c>
      <c r="K26" s="24">
        <f t="shared" ref="K26:K31" si="1">M26/L26</f>
        <v>16</v>
      </c>
      <c r="L26" s="25">
        <v>4.4</v>
      </c>
      <c r="M26" s="26">
        <v>70.4</v>
      </c>
      <c r="N26" s="26">
        <v>422.4</v>
      </c>
    </row>
    <row r="27" spans="4:14">
      <c r="D27" s="115">
        <v>46057</v>
      </c>
      <c r="E27" s="116">
        <v>1576310</v>
      </c>
      <c r="F27" s="116" t="s">
        <v>20</v>
      </c>
      <c r="G27" s="81">
        <v>20328818</v>
      </c>
      <c r="H27" s="116" t="s">
        <v>157</v>
      </c>
      <c r="I27" s="81">
        <v>1</v>
      </c>
      <c r="J27" s="30" t="s">
        <v>18</v>
      </c>
      <c r="K27" s="24">
        <f t="shared" si="1"/>
        <v>51</v>
      </c>
      <c r="L27" s="25">
        <v>4.4</v>
      </c>
      <c r="M27" s="26">
        <v>224.4</v>
      </c>
      <c r="N27" s="26">
        <v>224.4</v>
      </c>
    </row>
    <row r="28" spans="4:14">
      <c r="D28" s="115">
        <v>46058</v>
      </c>
      <c r="E28" s="116">
        <v>1576655</v>
      </c>
      <c r="F28" s="116" t="s">
        <v>20</v>
      </c>
      <c r="G28" s="81">
        <v>20324366</v>
      </c>
      <c r="H28" s="116" t="s">
        <v>154</v>
      </c>
      <c r="I28" s="81">
        <v>1</v>
      </c>
      <c r="J28" s="117" t="s">
        <v>22</v>
      </c>
      <c r="K28" s="63">
        <v>1</v>
      </c>
      <c r="L28" s="26">
        <v>12.8</v>
      </c>
      <c r="M28" s="26">
        <v>12.8</v>
      </c>
      <c r="N28" s="26">
        <v>12.8</v>
      </c>
    </row>
    <row r="29" spans="4:14">
      <c r="D29" s="115">
        <v>46058</v>
      </c>
      <c r="E29" s="116">
        <v>1576655</v>
      </c>
      <c r="F29" s="116" t="s">
        <v>20</v>
      </c>
      <c r="G29" s="81">
        <v>20324533</v>
      </c>
      <c r="H29" s="116" t="s">
        <v>124</v>
      </c>
      <c r="I29" s="81">
        <v>2</v>
      </c>
      <c r="J29" s="31" t="s">
        <v>29</v>
      </c>
      <c r="K29" s="24">
        <v>1</v>
      </c>
      <c r="L29" s="25">
        <v>6.4</v>
      </c>
      <c r="M29" s="26">
        <v>6.4</v>
      </c>
      <c r="N29" s="26">
        <v>12.8</v>
      </c>
    </row>
    <row r="30" spans="4:14">
      <c r="D30" s="115">
        <v>46058</v>
      </c>
      <c r="E30" s="116">
        <v>1576655</v>
      </c>
      <c r="F30" s="116" t="s">
        <v>16</v>
      </c>
      <c r="G30" s="81">
        <v>20324360</v>
      </c>
      <c r="H30" s="116" t="s">
        <v>155</v>
      </c>
      <c r="I30" s="81">
        <v>1</v>
      </c>
      <c r="J30" s="30" t="s">
        <v>18</v>
      </c>
      <c r="K30" s="24">
        <f t="shared" si="1"/>
        <v>16</v>
      </c>
      <c r="L30" s="25">
        <v>4.4</v>
      </c>
      <c r="M30" s="26">
        <v>70.4</v>
      </c>
      <c r="N30" s="26">
        <v>70.4</v>
      </c>
    </row>
    <row r="31" spans="4:14">
      <c r="D31" s="115">
        <v>46058</v>
      </c>
      <c r="E31" s="116">
        <v>1576655</v>
      </c>
      <c r="F31" s="116" t="s">
        <v>20</v>
      </c>
      <c r="G31" s="81">
        <v>20328818</v>
      </c>
      <c r="H31" s="116" t="s">
        <v>157</v>
      </c>
      <c r="I31" s="81">
        <v>2</v>
      </c>
      <c r="J31" s="30" t="s">
        <v>18</v>
      </c>
      <c r="K31" s="24">
        <f t="shared" si="1"/>
        <v>51</v>
      </c>
      <c r="L31" s="25">
        <v>4.4</v>
      </c>
      <c r="M31" s="26">
        <v>224.4</v>
      </c>
      <c r="N31" s="26">
        <v>448.8</v>
      </c>
    </row>
    <row r="32" spans="4:14">
      <c r="D32" s="115">
        <v>46060</v>
      </c>
      <c r="E32" s="116">
        <v>1577033</v>
      </c>
      <c r="F32" s="116" t="s">
        <v>20</v>
      </c>
      <c r="G32" s="81">
        <v>20324366</v>
      </c>
      <c r="H32" s="116" t="s">
        <v>154</v>
      </c>
      <c r="I32" s="81">
        <v>1</v>
      </c>
      <c r="J32" s="117" t="s">
        <v>22</v>
      </c>
      <c r="K32" s="63">
        <v>1</v>
      </c>
      <c r="L32" s="26">
        <v>12.8</v>
      </c>
      <c r="M32" s="26">
        <v>12.8</v>
      </c>
      <c r="N32" s="26">
        <v>12.8</v>
      </c>
    </row>
    <row r="33" spans="4:14">
      <c r="D33" s="115">
        <v>46060</v>
      </c>
      <c r="E33" s="116">
        <v>1577033</v>
      </c>
      <c r="F33" s="116" t="s">
        <v>20</v>
      </c>
      <c r="G33" s="81">
        <v>20324364</v>
      </c>
      <c r="H33" s="116" t="s">
        <v>99</v>
      </c>
      <c r="I33" s="81">
        <v>1</v>
      </c>
      <c r="J33" s="31" t="s">
        <v>29</v>
      </c>
      <c r="K33" s="24">
        <v>1</v>
      </c>
      <c r="L33" s="25">
        <v>6.4</v>
      </c>
      <c r="M33" s="26">
        <v>6.4</v>
      </c>
      <c r="N33" s="26">
        <v>6.4</v>
      </c>
    </row>
    <row r="34" spans="4:14">
      <c r="D34" s="115">
        <v>46060</v>
      </c>
      <c r="E34" s="116">
        <v>1577033</v>
      </c>
      <c r="F34" s="116" t="s">
        <v>20</v>
      </c>
      <c r="G34" s="81">
        <v>20324533</v>
      </c>
      <c r="H34" s="116" t="s">
        <v>124</v>
      </c>
      <c r="I34" s="81">
        <v>1</v>
      </c>
      <c r="J34" s="31" t="s">
        <v>29</v>
      </c>
      <c r="K34" s="24">
        <v>1</v>
      </c>
      <c r="L34" s="25">
        <v>6.4</v>
      </c>
      <c r="M34" s="26">
        <v>6.4</v>
      </c>
      <c r="N34" s="26">
        <v>6.4</v>
      </c>
    </row>
    <row r="35" spans="4:14">
      <c r="D35" s="115">
        <v>46060</v>
      </c>
      <c r="E35" s="116">
        <v>1577033</v>
      </c>
      <c r="F35" s="116" t="s">
        <v>16</v>
      </c>
      <c r="G35" s="81">
        <v>20324360</v>
      </c>
      <c r="H35" s="116" t="s">
        <v>155</v>
      </c>
      <c r="I35" s="81">
        <v>1</v>
      </c>
      <c r="J35" s="30" t="s">
        <v>18</v>
      </c>
      <c r="K35" s="24">
        <f>M35/L35</f>
        <v>16</v>
      </c>
      <c r="L35" s="25">
        <v>4.4</v>
      </c>
      <c r="M35" s="26">
        <v>70.4</v>
      </c>
      <c r="N35" s="26">
        <v>70.4</v>
      </c>
    </row>
    <row r="36" spans="4:14">
      <c r="D36" s="115">
        <v>46060</v>
      </c>
      <c r="E36" s="116">
        <v>1577033</v>
      </c>
      <c r="F36" s="116" t="s">
        <v>20</v>
      </c>
      <c r="G36" s="81">
        <v>20328818</v>
      </c>
      <c r="H36" s="116" t="s">
        <v>157</v>
      </c>
      <c r="I36" s="81">
        <v>1</v>
      </c>
      <c r="J36" s="30" t="s">
        <v>18</v>
      </c>
      <c r="K36" s="24">
        <f>M36/L36</f>
        <v>51</v>
      </c>
      <c r="L36" s="25">
        <v>4.4</v>
      </c>
      <c r="M36" s="26">
        <v>224.4</v>
      </c>
      <c r="N36" s="26">
        <v>224.4</v>
      </c>
    </row>
    <row r="37" spans="4:14">
      <c r="D37" s="115">
        <v>46062</v>
      </c>
      <c r="E37" s="116">
        <v>1577494</v>
      </c>
      <c r="F37" s="116" t="s">
        <v>20</v>
      </c>
      <c r="G37" s="81">
        <v>20324366</v>
      </c>
      <c r="H37" s="116" t="s">
        <v>154</v>
      </c>
      <c r="I37" s="81">
        <v>1</v>
      </c>
      <c r="J37" s="117" t="s">
        <v>22</v>
      </c>
      <c r="K37" s="63">
        <v>1</v>
      </c>
      <c r="L37" s="26">
        <v>12.8</v>
      </c>
      <c r="M37" s="26">
        <v>12.8</v>
      </c>
      <c r="N37" s="26">
        <v>12.8</v>
      </c>
    </row>
    <row r="38" spans="4:14">
      <c r="D38" s="115">
        <v>46062</v>
      </c>
      <c r="E38" s="116">
        <v>1577494</v>
      </c>
      <c r="F38" s="116" t="s">
        <v>20</v>
      </c>
      <c r="G38" s="81">
        <v>20324364</v>
      </c>
      <c r="H38" s="116" t="s">
        <v>99</v>
      </c>
      <c r="I38" s="81">
        <v>3</v>
      </c>
      <c r="J38" s="31" t="s">
        <v>29</v>
      </c>
      <c r="K38" s="24">
        <v>1</v>
      </c>
      <c r="L38" s="25">
        <v>6.4</v>
      </c>
      <c r="M38" s="26">
        <v>6.4</v>
      </c>
      <c r="N38" s="26">
        <v>19.2</v>
      </c>
    </row>
    <row r="39" spans="4:14">
      <c r="D39" s="115">
        <v>46062</v>
      </c>
      <c r="E39" s="116">
        <v>1577494</v>
      </c>
      <c r="F39" s="116" t="s">
        <v>20</v>
      </c>
      <c r="G39" s="81">
        <v>20324533</v>
      </c>
      <c r="H39" s="116" t="s">
        <v>124</v>
      </c>
      <c r="I39" s="81">
        <v>1</v>
      </c>
      <c r="J39" s="31" t="s">
        <v>29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115">
        <v>46062</v>
      </c>
      <c r="E40" s="116">
        <v>1577494</v>
      </c>
      <c r="F40" s="116" t="s">
        <v>20</v>
      </c>
      <c r="G40" s="81">
        <v>20324363</v>
      </c>
      <c r="H40" s="116" t="s">
        <v>30</v>
      </c>
      <c r="I40" s="81">
        <v>3</v>
      </c>
      <c r="J40" s="31" t="s">
        <v>29</v>
      </c>
      <c r="K40" s="24">
        <v>1</v>
      </c>
      <c r="L40" s="25">
        <v>6.4</v>
      </c>
      <c r="M40" s="26">
        <v>6.4</v>
      </c>
      <c r="N40" s="26">
        <v>19.2</v>
      </c>
    </row>
    <row r="41" spans="4:14">
      <c r="D41" s="115">
        <v>46062</v>
      </c>
      <c r="E41" s="116">
        <v>1577494</v>
      </c>
      <c r="F41" s="116" t="s">
        <v>16</v>
      </c>
      <c r="G41" s="81">
        <v>20324360</v>
      </c>
      <c r="H41" s="116" t="s">
        <v>155</v>
      </c>
      <c r="I41" s="81">
        <v>1</v>
      </c>
      <c r="J41" s="30" t="s">
        <v>18</v>
      </c>
      <c r="K41" s="24">
        <f>M41/L41</f>
        <v>16</v>
      </c>
      <c r="L41" s="25">
        <v>4.4</v>
      </c>
      <c r="M41" s="26">
        <v>70.4</v>
      </c>
      <c r="N41" s="26">
        <v>70.4</v>
      </c>
    </row>
    <row r="42" spans="4:14">
      <c r="D42" s="115">
        <v>46062</v>
      </c>
      <c r="E42" s="116">
        <v>1577494</v>
      </c>
      <c r="F42" s="116" t="s">
        <v>20</v>
      </c>
      <c r="G42" s="81">
        <v>20328818</v>
      </c>
      <c r="H42" s="116" t="s">
        <v>157</v>
      </c>
      <c r="I42" s="81">
        <v>4</v>
      </c>
      <c r="J42" s="30" t="s">
        <v>18</v>
      </c>
      <c r="K42" s="24">
        <f>M42/L42</f>
        <v>51</v>
      </c>
      <c r="L42" s="25">
        <v>4.4</v>
      </c>
      <c r="M42" s="26">
        <v>224.4</v>
      </c>
      <c r="N42" s="26">
        <v>897.6</v>
      </c>
    </row>
    <row r="43" spans="4:14">
      <c r="D43" s="115">
        <v>46063</v>
      </c>
      <c r="E43" s="116">
        <v>1577851</v>
      </c>
      <c r="F43" s="116" t="s">
        <v>20</v>
      </c>
      <c r="G43" s="81">
        <v>20324366</v>
      </c>
      <c r="H43" s="116" t="s">
        <v>154</v>
      </c>
      <c r="I43" s="81">
        <v>1</v>
      </c>
      <c r="J43" s="117" t="s">
        <v>22</v>
      </c>
      <c r="K43" s="63">
        <v>1</v>
      </c>
      <c r="L43" s="26">
        <v>12.8</v>
      </c>
      <c r="M43" s="26">
        <v>12.8</v>
      </c>
      <c r="N43" s="26">
        <v>12.8</v>
      </c>
    </row>
    <row r="44" spans="4:14">
      <c r="D44" s="115">
        <v>46063</v>
      </c>
      <c r="E44" s="116">
        <v>1577851</v>
      </c>
      <c r="F44" s="116" t="s">
        <v>20</v>
      </c>
      <c r="G44" s="81">
        <v>20324364</v>
      </c>
      <c r="H44" s="116" t="s">
        <v>99</v>
      </c>
      <c r="I44" s="81">
        <v>1</v>
      </c>
      <c r="J44" s="31" t="s">
        <v>29</v>
      </c>
      <c r="K44" s="24">
        <v>1</v>
      </c>
      <c r="L44" s="25">
        <v>6.4</v>
      </c>
      <c r="M44" s="26">
        <v>6.4</v>
      </c>
      <c r="N44" s="26">
        <v>6.4</v>
      </c>
    </row>
    <row r="45" spans="4:14">
      <c r="D45" s="115">
        <v>46063</v>
      </c>
      <c r="E45" s="116">
        <v>1577851</v>
      </c>
      <c r="F45" s="116" t="s">
        <v>20</v>
      </c>
      <c r="G45" s="81">
        <v>20324533</v>
      </c>
      <c r="H45" s="116" t="s">
        <v>124</v>
      </c>
      <c r="I45" s="81">
        <v>1</v>
      </c>
      <c r="J45" s="31" t="s">
        <v>29</v>
      </c>
      <c r="K45" s="24">
        <v>1</v>
      </c>
      <c r="L45" s="25">
        <v>6.4</v>
      </c>
      <c r="M45" s="26">
        <v>6.4</v>
      </c>
      <c r="N45" s="26">
        <v>6.4</v>
      </c>
    </row>
    <row r="46" spans="4:14">
      <c r="D46" s="115">
        <v>46063</v>
      </c>
      <c r="E46" s="116">
        <v>1577851</v>
      </c>
      <c r="F46" s="116" t="s">
        <v>20</v>
      </c>
      <c r="G46" s="81">
        <v>20324363</v>
      </c>
      <c r="H46" s="116" t="s">
        <v>30</v>
      </c>
      <c r="I46" s="81">
        <v>2</v>
      </c>
      <c r="J46" s="31" t="s">
        <v>29</v>
      </c>
      <c r="K46" s="24">
        <v>1</v>
      </c>
      <c r="L46" s="25">
        <v>6.4</v>
      </c>
      <c r="M46" s="26">
        <v>6.4</v>
      </c>
      <c r="N46" s="26">
        <v>12.8</v>
      </c>
    </row>
    <row r="47" spans="4:14">
      <c r="D47" s="115">
        <v>46063</v>
      </c>
      <c r="E47" s="116">
        <v>1577851</v>
      </c>
      <c r="F47" s="116" t="s">
        <v>16</v>
      </c>
      <c r="G47" s="81">
        <v>20324360</v>
      </c>
      <c r="H47" s="116" t="s">
        <v>155</v>
      </c>
      <c r="I47" s="81">
        <v>1</v>
      </c>
      <c r="J47" s="30" t="s">
        <v>18</v>
      </c>
      <c r="K47" s="24">
        <f t="shared" ref="K47:K53" si="2">M47/L47</f>
        <v>16</v>
      </c>
      <c r="L47" s="25">
        <v>4.4</v>
      </c>
      <c r="M47" s="26">
        <v>70.4</v>
      </c>
      <c r="N47" s="26">
        <v>70.4</v>
      </c>
    </row>
    <row r="48" spans="4:14">
      <c r="D48" s="115">
        <v>46063</v>
      </c>
      <c r="E48" s="116">
        <v>1577851</v>
      </c>
      <c r="F48" s="116" t="s">
        <v>20</v>
      </c>
      <c r="G48" s="81">
        <v>20328818</v>
      </c>
      <c r="H48" s="116" t="s">
        <v>157</v>
      </c>
      <c r="I48" s="81">
        <v>1</v>
      </c>
      <c r="J48" s="30" t="s">
        <v>18</v>
      </c>
      <c r="K48" s="24">
        <f t="shared" si="2"/>
        <v>51</v>
      </c>
      <c r="L48" s="25">
        <v>4.4</v>
      </c>
      <c r="M48" s="26">
        <v>224.4</v>
      </c>
      <c r="N48" s="26">
        <v>224.4</v>
      </c>
    </row>
    <row r="49" spans="4:14">
      <c r="D49" s="115">
        <v>46064</v>
      </c>
      <c r="E49" s="116">
        <v>1578099</v>
      </c>
      <c r="F49" s="116" t="s">
        <v>20</v>
      </c>
      <c r="G49" s="81">
        <v>20324366</v>
      </c>
      <c r="H49" s="116" t="s">
        <v>154</v>
      </c>
      <c r="I49" s="81">
        <v>2</v>
      </c>
      <c r="J49" s="117" t="s">
        <v>22</v>
      </c>
      <c r="K49" s="63">
        <v>1</v>
      </c>
      <c r="L49" s="26">
        <v>12.8</v>
      </c>
      <c r="M49" s="26">
        <v>12.8</v>
      </c>
      <c r="N49" s="26">
        <v>25.6</v>
      </c>
    </row>
    <row r="50" spans="4:14">
      <c r="D50" s="115">
        <v>46064</v>
      </c>
      <c r="E50" s="116">
        <v>1578099</v>
      </c>
      <c r="F50" s="116" t="s">
        <v>20</v>
      </c>
      <c r="G50" s="81">
        <v>20324533</v>
      </c>
      <c r="H50" s="116" t="s">
        <v>124</v>
      </c>
      <c r="I50" s="81">
        <v>2</v>
      </c>
      <c r="J50" s="31" t="s">
        <v>29</v>
      </c>
      <c r="K50" s="24">
        <v>1</v>
      </c>
      <c r="L50" s="25">
        <v>6.4</v>
      </c>
      <c r="M50" s="26">
        <v>6.4</v>
      </c>
      <c r="N50" s="26">
        <v>12.8</v>
      </c>
    </row>
    <row r="51" spans="4:14">
      <c r="D51" s="115">
        <v>46064</v>
      </c>
      <c r="E51" s="116">
        <v>1578099</v>
      </c>
      <c r="F51" s="116" t="s">
        <v>16</v>
      </c>
      <c r="G51" s="81">
        <v>20324360</v>
      </c>
      <c r="H51" s="116" t="s">
        <v>155</v>
      </c>
      <c r="I51" s="81">
        <v>2</v>
      </c>
      <c r="J51" s="30" t="s">
        <v>18</v>
      </c>
      <c r="K51" s="24">
        <f t="shared" si="2"/>
        <v>16</v>
      </c>
      <c r="L51" s="25">
        <v>4.4</v>
      </c>
      <c r="M51" s="26">
        <v>70.4</v>
      </c>
      <c r="N51" s="26">
        <v>140.8</v>
      </c>
    </row>
    <row r="52" spans="4:14">
      <c r="D52" s="115">
        <v>46064</v>
      </c>
      <c r="E52" s="116">
        <v>1578099</v>
      </c>
      <c r="F52" s="116" t="s">
        <v>20</v>
      </c>
      <c r="G52" s="81">
        <v>20325181</v>
      </c>
      <c r="H52" s="116" t="s">
        <v>159</v>
      </c>
      <c r="I52" s="81">
        <v>1</v>
      </c>
      <c r="J52" s="30" t="s">
        <v>18</v>
      </c>
      <c r="K52" s="24">
        <f t="shared" si="2"/>
        <v>49</v>
      </c>
      <c r="L52" s="25">
        <v>4.4</v>
      </c>
      <c r="M52" s="26">
        <v>215.6</v>
      </c>
      <c r="N52" s="26">
        <v>215.6</v>
      </c>
    </row>
    <row r="53" spans="4:14">
      <c r="D53" s="115">
        <v>46064</v>
      </c>
      <c r="E53" s="116">
        <v>1578099</v>
      </c>
      <c r="F53" s="116" t="s">
        <v>20</v>
      </c>
      <c r="G53" s="81">
        <v>20328818</v>
      </c>
      <c r="H53" s="116" t="s">
        <v>157</v>
      </c>
      <c r="I53" s="81">
        <v>1</v>
      </c>
      <c r="J53" s="30" t="s">
        <v>18</v>
      </c>
      <c r="K53" s="24">
        <f t="shared" si="2"/>
        <v>51</v>
      </c>
      <c r="L53" s="25">
        <v>4.4</v>
      </c>
      <c r="M53" s="26">
        <v>224.4</v>
      </c>
      <c r="N53" s="26">
        <v>224.4</v>
      </c>
    </row>
    <row r="54" spans="4:14">
      <c r="D54" s="115">
        <v>46065</v>
      </c>
      <c r="E54" s="116">
        <v>1578455</v>
      </c>
      <c r="F54" s="116" t="s">
        <v>20</v>
      </c>
      <c r="G54" s="81">
        <v>20324370</v>
      </c>
      <c r="H54" s="116" t="s">
        <v>102</v>
      </c>
      <c r="I54" s="81">
        <v>1</v>
      </c>
      <c r="J54" s="31" t="s">
        <v>29</v>
      </c>
      <c r="K54" s="24">
        <v>1</v>
      </c>
      <c r="L54" s="25">
        <v>6.4</v>
      </c>
      <c r="M54" s="26">
        <v>6.4</v>
      </c>
      <c r="N54" s="26">
        <v>6.4</v>
      </c>
    </row>
    <row r="55" spans="4:14">
      <c r="D55" s="115">
        <v>46065</v>
      </c>
      <c r="E55" s="116">
        <v>1578455</v>
      </c>
      <c r="F55" s="116" t="s">
        <v>20</v>
      </c>
      <c r="G55" s="81">
        <v>20324366</v>
      </c>
      <c r="H55" s="116" t="s">
        <v>154</v>
      </c>
      <c r="I55" s="81">
        <v>1</v>
      </c>
      <c r="J55" s="117" t="s">
        <v>22</v>
      </c>
      <c r="K55" s="63">
        <v>1</v>
      </c>
      <c r="L55" s="26">
        <v>12.8</v>
      </c>
      <c r="M55" s="26">
        <v>12.8</v>
      </c>
      <c r="N55" s="26">
        <v>12.8</v>
      </c>
    </row>
    <row r="56" spans="4:14">
      <c r="D56" s="115">
        <v>46065</v>
      </c>
      <c r="E56" s="116">
        <v>1578455</v>
      </c>
      <c r="F56" s="116" t="s">
        <v>20</v>
      </c>
      <c r="G56" s="81">
        <v>20324364</v>
      </c>
      <c r="H56" s="116" t="s">
        <v>99</v>
      </c>
      <c r="I56" s="81">
        <v>3</v>
      </c>
      <c r="J56" s="31" t="s">
        <v>29</v>
      </c>
      <c r="K56" s="24">
        <v>1</v>
      </c>
      <c r="L56" s="25">
        <v>6.4</v>
      </c>
      <c r="M56" s="26">
        <v>6.4</v>
      </c>
      <c r="N56" s="26">
        <v>19.2</v>
      </c>
    </row>
    <row r="57" spans="4:14">
      <c r="D57" s="115">
        <v>46065</v>
      </c>
      <c r="E57" s="116">
        <v>1578455</v>
      </c>
      <c r="F57" s="116" t="s">
        <v>20</v>
      </c>
      <c r="G57" s="81">
        <v>20324533</v>
      </c>
      <c r="H57" s="116" t="s">
        <v>124</v>
      </c>
      <c r="I57" s="81">
        <v>1</v>
      </c>
      <c r="J57" s="31" t="s">
        <v>29</v>
      </c>
      <c r="K57" s="24">
        <v>1</v>
      </c>
      <c r="L57" s="25">
        <v>6.4</v>
      </c>
      <c r="M57" s="26">
        <v>6.4</v>
      </c>
      <c r="N57" s="26">
        <v>6.4</v>
      </c>
    </row>
    <row r="58" spans="4:14">
      <c r="D58" s="115">
        <v>46065</v>
      </c>
      <c r="E58" s="116">
        <v>1578455</v>
      </c>
      <c r="F58" s="116" t="s">
        <v>20</v>
      </c>
      <c r="G58" s="81">
        <v>20324367</v>
      </c>
      <c r="H58" s="116" t="s">
        <v>158</v>
      </c>
      <c r="I58" s="81">
        <v>2</v>
      </c>
      <c r="J58" s="31" t="s">
        <v>29</v>
      </c>
      <c r="K58" s="24">
        <v>1</v>
      </c>
      <c r="L58" s="25">
        <v>6.4</v>
      </c>
      <c r="M58" s="26">
        <v>6.4</v>
      </c>
      <c r="N58" s="26">
        <v>12.8</v>
      </c>
    </row>
    <row r="59" spans="4:14">
      <c r="D59" s="115">
        <v>46065</v>
      </c>
      <c r="E59" s="116">
        <v>1578455</v>
      </c>
      <c r="F59" s="116" t="s">
        <v>20</v>
      </c>
      <c r="G59" s="81">
        <v>20324363</v>
      </c>
      <c r="H59" s="116" t="s">
        <v>30</v>
      </c>
      <c r="I59" s="81">
        <v>4</v>
      </c>
      <c r="J59" s="31" t="s">
        <v>29</v>
      </c>
      <c r="K59" s="24">
        <v>1</v>
      </c>
      <c r="L59" s="25">
        <v>6.4</v>
      </c>
      <c r="M59" s="26">
        <v>6.4</v>
      </c>
      <c r="N59" s="26">
        <v>25.6</v>
      </c>
    </row>
    <row r="60" spans="4:14">
      <c r="D60" s="115">
        <v>46065</v>
      </c>
      <c r="E60" s="116">
        <v>1578455</v>
      </c>
      <c r="F60" s="116" t="s">
        <v>16</v>
      </c>
      <c r="G60" s="81">
        <v>20324360</v>
      </c>
      <c r="H60" s="116" t="s">
        <v>155</v>
      </c>
      <c r="I60" s="81">
        <v>1</v>
      </c>
      <c r="J60" s="30" t="s">
        <v>18</v>
      </c>
      <c r="K60" s="24">
        <f>M60/L60</f>
        <v>16</v>
      </c>
      <c r="L60" s="25">
        <v>4.4</v>
      </c>
      <c r="M60" s="26">
        <v>70.4</v>
      </c>
      <c r="N60" s="26">
        <v>70.4</v>
      </c>
    </row>
    <row r="61" spans="4:14">
      <c r="D61" s="115">
        <v>46065</v>
      </c>
      <c r="E61" s="116">
        <v>1578455</v>
      </c>
      <c r="F61" s="116" t="s">
        <v>20</v>
      </c>
      <c r="G61" s="81">
        <v>20328818</v>
      </c>
      <c r="H61" s="116" t="s">
        <v>157</v>
      </c>
      <c r="I61" s="81">
        <v>1</v>
      </c>
      <c r="J61" s="30" t="s">
        <v>18</v>
      </c>
      <c r="K61" s="24">
        <f t="shared" ref="K61:K66" si="3">M61/L61</f>
        <v>51</v>
      </c>
      <c r="L61" s="25">
        <v>4.4</v>
      </c>
      <c r="M61" s="26">
        <v>224.4</v>
      </c>
      <c r="N61" s="26">
        <v>224.4</v>
      </c>
    </row>
    <row r="62" spans="4:14">
      <c r="D62" s="115">
        <v>46066</v>
      </c>
      <c r="E62" s="116">
        <v>1578710</v>
      </c>
      <c r="F62" s="116" t="s">
        <v>20</v>
      </c>
      <c r="G62" s="81">
        <v>20324413</v>
      </c>
      <c r="H62" s="116" t="s">
        <v>160</v>
      </c>
      <c r="I62" s="81">
        <v>1</v>
      </c>
      <c r="J62" s="31" t="s">
        <v>29</v>
      </c>
      <c r="K62" s="24">
        <v>1</v>
      </c>
      <c r="L62" s="25">
        <v>6.4</v>
      </c>
      <c r="M62" s="26">
        <v>6.4</v>
      </c>
      <c r="N62" s="26">
        <v>6.4</v>
      </c>
    </row>
    <row r="63" spans="4:14">
      <c r="D63" s="115">
        <v>46066</v>
      </c>
      <c r="E63" s="116">
        <v>1578710</v>
      </c>
      <c r="F63" s="116" t="s">
        <v>20</v>
      </c>
      <c r="G63" s="81">
        <v>20324364</v>
      </c>
      <c r="H63" s="116" t="s">
        <v>99</v>
      </c>
      <c r="I63" s="81">
        <v>1</v>
      </c>
      <c r="J63" s="31" t="s">
        <v>29</v>
      </c>
      <c r="K63" s="24">
        <v>1</v>
      </c>
      <c r="L63" s="25">
        <v>6.4</v>
      </c>
      <c r="M63" s="26">
        <v>6.4</v>
      </c>
      <c r="N63" s="26">
        <v>6.4</v>
      </c>
    </row>
    <row r="64" spans="4:14">
      <c r="D64" s="115">
        <v>46066</v>
      </c>
      <c r="E64" s="116">
        <v>1578710</v>
      </c>
      <c r="F64" s="116" t="s">
        <v>20</v>
      </c>
      <c r="G64" s="81">
        <v>20324533</v>
      </c>
      <c r="H64" s="116" t="s">
        <v>124</v>
      </c>
      <c r="I64" s="81">
        <v>1</v>
      </c>
      <c r="J64" s="31" t="s">
        <v>29</v>
      </c>
      <c r="K64" s="24">
        <v>1</v>
      </c>
      <c r="L64" s="25">
        <v>6.4</v>
      </c>
      <c r="M64" s="26">
        <v>6.4</v>
      </c>
      <c r="N64" s="26">
        <v>6.4</v>
      </c>
    </row>
    <row r="65" spans="4:14">
      <c r="D65" s="115">
        <v>46066</v>
      </c>
      <c r="E65" s="116">
        <v>1578710</v>
      </c>
      <c r="F65" s="116" t="s">
        <v>16</v>
      </c>
      <c r="G65" s="81">
        <v>20324360</v>
      </c>
      <c r="H65" s="116" t="s">
        <v>155</v>
      </c>
      <c r="I65" s="81">
        <v>1</v>
      </c>
      <c r="J65" s="30" t="s">
        <v>18</v>
      </c>
      <c r="K65" s="24">
        <f t="shared" si="3"/>
        <v>16</v>
      </c>
      <c r="L65" s="25">
        <v>4.4</v>
      </c>
      <c r="M65" s="26">
        <v>70.4</v>
      </c>
      <c r="N65" s="26">
        <v>70.4</v>
      </c>
    </row>
    <row r="66" spans="4:14">
      <c r="D66" s="115">
        <v>46066</v>
      </c>
      <c r="E66" s="116">
        <v>1578710</v>
      </c>
      <c r="F66" s="116" t="s">
        <v>20</v>
      </c>
      <c r="G66" s="81">
        <v>20324368</v>
      </c>
      <c r="H66" s="116" t="s">
        <v>161</v>
      </c>
      <c r="I66" s="81">
        <v>1</v>
      </c>
      <c r="J66" s="30" t="s">
        <v>18</v>
      </c>
      <c r="K66" s="24">
        <f t="shared" si="3"/>
        <v>46</v>
      </c>
      <c r="L66" s="25">
        <v>4.4</v>
      </c>
      <c r="M66" s="26">
        <v>202.4</v>
      </c>
      <c r="N66" s="26">
        <v>202.4</v>
      </c>
    </row>
    <row r="67" spans="4:14">
      <c r="D67" s="115">
        <v>46067</v>
      </c>
      <c r="E67" s="116">
        <v>1579028</v>
      </c>
      <c r="F67" s="116" t="s">
        <v>20</v>
      </c>
      <c r="G67" s="81">
        <v>20324366</v>
      </c>
      <c r="H67" s="116" t="s">
        <v>154</v>
      </c>
      <c r="I67" s="81">
        <v>1</v>
      </c>
      <c r="J67" s="117" t="s">
        <v>22</v>
      </c>
      <c r="K67" s="63">
        <v>1</v>
      </c>
      <c r="L67" s="26">
        <v>12.8</v>
      </c>
      <c r="M67" s="26">
        <v>12.8</v>
      </c>
      <c r="N67" s="26">
        <v>12.8</v>
      </c>
    </row>
    <row r="68" spans="4:14">
      <c r="D68" s="115">
        <v>46067</v>
      </c>
      <c r="E68" s="116">
        <v>1579028</v>
      </c>
      <c r="F68" s="116" t="s">
        <v>20</v>
      </c>
      <c r="G68" s="81">
        <v>20324364</v>
      </c>
      <c r="H68" s="116" t="s">
        <v>99</v>
      </c>
      <c r="I68" s="81">
        <v>2</v>
      </c>
      <c r="J68" s="31" t="s">
        <v>29</v>
      </c>
      <c r="K68" s="24">
        <v>1</v>
      </c>
      <c r="L68" s="25">
        <v>6.4</v>
      </c>
      <c r="M68" s="26">
        <v>6.4</v>
      </c>
      <c r="N68" s="26">
        <v>12.8</v>
      </c>
    </row>
    <row r="69" spans="4:14">
      <c r="D69" s="115">
        <v>46067</v>
      </c>
      <c r="E69" s="116">
        <v>1579028</v>
      </c>
      <c r="F69" s="116" t="s">
        <v>20</v>
      </c>
      <c r="G69" s="81">
        <v>20324533</v>
      </c>
      <c r="H69" s="116" t="s">
        <v>124</v>
      </c>
      <c r="I69" s="81">
        <v>1</v>
      </c>
      <c r="J69" s="31" t="s">
        <v>29</v>
      </c>
      <c r="K69" s="24">
        <v>1</v>
      </c>
      <c r="L69" s="25">
        <v>6.4</v>
      </c>
      <c r="M69" s="26">
        <v>6.4</v>
      </c>
      <c r="N69" s="26">
        <v>6.4</v>
      </c>
    </row>
    <row r="70" spans="4:14">
      <c r="D70" s="115">
        <v>46067</v>
      </c>
      <c r="E70" s="116">
        <v>1579028</v>
      </c>
      <c r="F70" s="116" t="s">
        <v>20</v>
      </c>
      <c r="G70" s="81">
        <v>20324363</v>
      </c>
      <c r="H70" s="116" t="s">
        <v>30</v>
      </c>
      <c r="I70" s="81">
        <v>2</v>
      </c>
      <c r="J70" s="31" t="s">
        <v>29</v>
      </c>
      <c r="K70" s="24">
        <v>1</v>
      </c>
      <c r="L70" s="25">
        <v>6.4</v>
      </c>
      <c r="M70" s="26">
        <v>6.4</v>
      </c>
      <c r="N70" s="26">
        <v>12.8</v>
      </c>
    </row>
    <row r="71" spans="4:14">
      <c r="D71" s="115">
        <v>46067</v>
      </c>
      <c r="E71" s="116">
        <v>1579028</v>
      </c>
      <c r="F71" s="116" t="s">
        <v>16</v>
      </c>
      <c r="G71" s="81">
        <v>20324360</v>
      </c>
      <c r="H71" s="116" t="s">
        <v>155</v>
      </c>
      <c r="I71" s="81">
        <v>1</v>
      </c>
      <c r="J71" s="30" t="s">
        <v>18</v>
      </c>
      <c r="K71" s="24">
        <f t="shared" ref="K71:K75" si="4">M71/L71</f>
        <v>16</v>
      </c>
      <c r="L71" s="25">
        <v>4.4</v>
      </c>
      <c r="M71" s="26">
        <v>70.4</v>
      </c>
      <c r="N71" s="26">
        <v>70.4</v>
      </c>
    </row>
    <row r="72" spans="4:14">
      <c r="D72" s="115">
        <v>46067</v>
      </c>
      <c r="E72" s="116">
        <v>1579028</v>
      </c>
      <c r="F72" s="116" t="s">
        <v>20</v>
      </c>
      <c r="G72" s="81">
        <v>20324620</v>
      </c>
      <c r="H72" s="116" t="s">
        <v>162</v>
      </c>
      <c r="I72" s="81">
        <v>1</v>
      </c>
      <c r="J72" s="30" t="s">
        <v>18</v>
      </c>
      <c r="K72" s="24">
        <f t="shared" si="4"/>
        <v>29</v>
      </c>
      <c r="L72" s="25">
        <v>4.4</v>
      </c>
      <c r="M72" s="26">
        <v>127.6</v>
      </c>
      <c r="N72" s="26">
        <v>127.6</v>
      </c>
    </row>
    <row r="73" spans="4:14">
      <c r="D73" s="115">
        <v>46071</v>
      </c>
      <c r="E73" s="116">
        <v>1579173</v>
      </c>
      <c r="F73" s="116" t="s">
        <v>20</v>
      </c>
      <c r="G73" s="81">
        <v>20328818</v>
      </c>
      <c r="H73" s="116" t="s">
        <v>157</v>
      </c>
      <c r="I73" s="81">
        <v>1</v>
      </c>
      <c r="J73" s="30" t="s">
        <v>18</v>
      </c>
      <c r="K73" s="24">
        <f t="shared" si="4"/>
        <v>51</v>
      </c>
      <c r="L73" s="25">
        <v>4.4</v>
      </c>
      <c r="M73" s="26">
        <v>224.4</v>
      </c>
      <c r="N73" s="26">
        <v>224.4</v>
      </c>
    </row>
    <row r="74" spans="4:14">
      <c r="D74" s="115">
        <v>46074</v>
      </c>
      <c r="E74" s="116">
        <v>1579338</v>
      </c>
      <c r="F74" s="116" t="s">
        <v>20</v>
      </c>
      <c r="G74" s="81">
        <v>20325181</v>
      </c>
      <c r="H74" s="116" t="s">
        <v>163</v>
      </c>
      <c r="I74" s="81">
        <v>1</v>
      </c>
      <c r="J74" s="30" t="s">
        <v>18</v>
      </c>
      <c r="K74" s="24">
        <f t="shared" si="4"/>
        <v>39</v>
      </c>
      <c r="L74" s="25">
        <v>4.4</v>
      </c>
      <c r="M74" s="26">
        <v>171.6</v>
      </c>
      <c r="N74" s="26">
        <v>171.6</v>
      </c>
    </row>
    <row r="75" spans="4:14">
      <c r="D75" s="115">
        <v>46074</v>
      </c>
      <c r="E75" s="116">
        <v>1579338</v>
      </c>
      <c r="F75" s="116" t="s">
        <v>20</v>
      </c>
      <c r="G75" s="81">
        <v>20328818</v>
      </c>
      <c r="H75" s="116" t="s">
        <v>157</v>
      </c>
      <c r="I75" s="81">
        <v>1</v>
      </c>
      <c r="J75" s="30" t="s">
        <v>18</v>
      </c>
      <c r="K75" s="24">
        <f t="shared" si="4"/>
        <v>51</v>
      </c>
      <c r="L75" s="25">
        <v>4.4</v>
      </c>
      <c r="M75" s="26">
        <v>224.4</v>
      </c>
      <c r="N75" s="26">
        <v>224.4</v>
      </c>
    </row>
    <row r="76" spans="4:14">
      <c r="D76" s="115">
        <v>46077</v>
      </c>
      <c r="E76" s="116">
        <v>1579809</v>
      </c>
      <c r="F76" s="116" t="s">
        <v>20</v>
      </c>
      <c r="G76" s="81">
        <v>20324364</v>
      </c>
      <c r="H76" s="116" t="s">
        <v>99</v>
      </c>
      <c r="I76" s="81">
        <v>2</v>
      </c>
      <c r="J76" s="31" t="s">
        <v>29</v>
      </c>
      <c r="K76" s="24">
        <v>1</v>
      </c>
      <c r="L76" s="25">
        <v>6.4</v>
      </c>
      <c r="M76" s="26">
        <v>6.4</v>
      </c>
      <c r="N76" s="26">
        <v>12.8</v>
      </c>
    </row>
    <row r="77" spans="4:14">
      <c r="D77" s="115">
        <v>46077</v>
      </c>
      <c r="E77" s="116">
        <v>1579809</v>
      </c>
      <c r="F77" s="116" t="s">
        <v>20</v>
      </c>
      <c r="G77" s="81">
        <v>20324707</v>
      </c>
      <c r="H77" s="116" t="s">
        <v>164</v>
      </c>
      <c r="I77" s="81">
        <v>1</v>
      </c>
      <c r="J77" s="31" t="s">
        <v>29</v>
      </c>
      <c r="K77" s="24">
        <v>1</v>
      </c>
      <c r="L77" s="25">
        <v>6.4</v>
      </c>
      <c r="M77" s="26">
        <v>6.4</v>
      </c>
      <c r="N77" s="26">
        <v>6.4</v>
      </c>
    </row>
    <row r="78" spans="4:14">
      <c r="D78" s="115">
        <v>46077</v>
      </c>
      <c r="E78" s="116">
        <v>1579809</v>
      </c>
      <c r="F78" s="116" t="s">
        <v>20</v>
      </c>
      <c r="G78" s="81">
        <v>20324363</v>
      </c>
      <c r="H78" s="116" t="s">
        <v>30</v>
      </c>
      <c r="I78" s="81">
        <v>1</v>
      </c>
      <c r="J78" s="31" t="s">
        <v>29</v>
      </c>
      <c r="K78" s="24">
        <v>1</v>
      </c>
      <c r="L78" s="25">
        <v>6.4</v>
      </c>
      <c r="M78" s="26">
        <v>6.4</v>
      </c>
      <c r="N78" s="26">
        <v>6.4</v>
      </c>
    </row>
    <row r="79" spans="4:14">
      <c r="D79" s="115">
        <v>46077</v>
      </c>
      <c r="E79" s="116">
        <v>1579809</v>
      </c>
      <c r="F79" s="116" t="s">
        <v>20</v>
      </c>
      <c r="G79" s="81">
        <v>20328818</v>
      </c>
      <c r="H79" s="116" t="s">
        <v>157</v>
      </c>
      <c r="I79" s="81">
        <v>2</v>
      </c>
      <c r="J79" s="30" t="s">
        <v>18</v>
      </c>
      <c r="K79" s="24">
        <f>M79/L79</f>
        <v>51</v>
      </c>
      <c r="L79" s="25">
        <v>4.4</v>
      </c>
      <c r="M79" s="26">
        <v>224.4</v>
      </c>
      <c r="N79" s="26">
        <v>448.8</v>
      </c>
    </row>
    <row r="80" spans="4:14">
      <c r="D80" s="115">
        <v>46080</v>
      </c>
      <c r="E80" s="116">
        <v>1580524</v>
      </c>
      <c r="F80" s="116" t="s">
        <v>20</v>
      </c>
      <c r="G80" s="81">
        <v>20324364</v>
      </c>
      <c r="H80" s="116" t="s">
        <v>99</v>
      </c>
      <c r="I80" s="81">
        <v>4</v>
      </c>
      <c r="J80" s="31" t="s">
        <v>29</v>
      </c>
      <c r="K80" s="24">
        <v>1</v>
      </c>
      <c r="L80" s="25">
        <v>6.4</v>
      </c>
      <c r="M80" s="26">
        <v>6.4</v>
      </c>
      <c r="N80" s="26">
        <v>25.6</v>
      </c>
    </row>
    <row r="81" spans="4:14">
      <c r="D81" s="115">
        <v>46080</v>
      </c>
      <c r="E81" s="116">
        <v>1580524</v>
      </c>
      <c r="F81" s="116" t="s">
        <v>20</v>
      </c>
      <c r="G81" s="81">
        <v>20324363</v>
      </c>
      <c r="H81" s="116" t="s">
        <v>30</v>
      </c>
      <c r="I81" s="81">
        <v>1</v>
      </c>
      <c r="J81" s="31" t="s">
        <v>29</v>
      </c>
      <c r="K81" s="24">
        <v>1</v>
      </c>
      <c r="L81" s="25">
        <v>6.4</v>
      </c>
      <c r="M81" s="26">
        <v>6.4</v>
      </c>
      <c r="N81" s="26">
        <v>6.4</v>
      </c>
    </row>
    <row r="82" spans="4:14">
      <c r="D82" s="115">
        <v>46080</v>
      </c>
      <c r="E82" s="116">
        <v>1580524</v>
      </c>
      <c r="F82" s="116" t="s">
        <v>20</v>
      </c>
      <c r="G82" s="81">
        <v>20378593</v>
      </c>
      <c r="H82" s="116" t="s">
        <v>165</v>
      </c>
      <c r="I82" s="81">
        <v>1</v>
      </c>
      <c r="J82" s="30" t="s">
        <v>18</v>
      </c>
      <c r="K82" s="24" t="s">
        <v>166</v>
      </c>
      <c r="L82" s="25">
        <v>4.4</v>
      </c>
      <c r="M82" s="26">
        <f>L82*K82</f>
        <v>206.8</v>
      </c>
      <c r="N82" s="26">
        <v>206.8</v>
      </c>
    </row>
  </sheetData>
  <autoFilter xmlns:etc="http://www.wps.cn/officeDocument/2017/etCustomData" ref="A7:N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7.875" customWidth="1"/>
    <col min="12" max="12" width="13.5" customWidth="1"/>
    <col min="13" max="13" width="12.2083333333333" customWidth="1"/>
    <col min="14" max="14" width="10.8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32" t="s">
        <v>10</v>
      </c>
      <c r="K7" s="57" t="s">
        <v>11</v>
      </c>
      <c r="L7" s="58" t="s">
        <v>12</v>
      </c>
      <c r="M7" s="58" t="s">
        <v>13</v>
      </c>
      <c r="N7" s="58" t="s">
        <v>14</v>
      </c>
    </row>
    <row r="8" ht="14.25" spans="1:14">
      <c r="D8" s="106" t="s">
        <v>167</v>
      </c>
      <c r="E8" s="107" t="s">
        <v>2</v>
      </c>
      <c r="F8" s="107" t="s">
        <v>2</v>
      </c>
      <c r="G8" s="107" t="s">
        <v>2</v>
      </c>
      <c r="H8" s="107" t="s">
        <v>2</v>
      </c>
      <c r="I8" s="106">
        <v>20</v>
      </c>
      <c r="J8" s="108"/>
      <c r="K8" s="109"/>
      <c r="L8" s="109"/>
      <c r="M8" s="109"/>
      <c r="N8" s="109">
        <v>637.2</v>
      </c>
    </row>
    <row r="9" spans="1:14">
      <c r="D9" s="21">
        <v>46055</v>
      </c>
      <c r="E9" s="22">
        <v>1575631</v>
      </c>
      <c r="F9" s="22" t="s">
        <v>20</v>
      </c>
      <c r="G9" s="22">
        <v>20324364</v>
      </c>
      <c r="H9" s="22" t="s">
        <v>99</v>
      </c>
      <c r="I9" s="22">
        <v>2</v>
      </c>
      <c r="J9" s="31" t="s">
        <v>29</v>
      </c>
      <c r="K9" s="24">
        <v>1</v>
      </c>
      <c r="L9" s="25">
        <v>6.4</v>
      </c>
      <c r="M9" s="25">
        <v>6.4</v>
      </c>
      <c r="N9" s="25">
        <v>12.8</v>
      </c>
    </row>
    <row r="10" spans="1:14">
      <c r="D10" s="21">
        <v>46055</v>
      </c>
      <c r="E10" s="22">
        <v>1575631</v>
      </c>
      <c r="F10" s="22" t="s">
        <v>20</v>
      </c>
      <c r="G10" s="22">
        <v>20324363</v>
      </c>
      <c r="H10" s="22" t="s">
        <v>30</v>
      </c>
      <c r="I10" s="22">
        <v>2</v>
      </c>
      <c r="J10" s="31" t="s">
        <v>29</v>
      </c>
      <c r="K10" s="24">
        <v>1</v>
      </c>
      <c r="L10" s="25">
        <v>6.4</v>
      </c>
      <c r="M10" s="25">
        <v>6.4</v>
      </c>
      <c r="N10" s="25">
        <v>12.8</v>
      </c>
    </row>
    <row r="11" spans="1:14">
      <c r="D11" s="21">
        <v>46055</v>
      </c>
      <c r="E11" s="22">
        <v>1575631</v>
      </c>
      <c r="F11" s="22" t="s">
        <v>20</v>
      </c>
      <c r="G11" s="22">
        <v>20324368</v>
      </c>
      <c r="H11" s="22" t="s">
        <v>168</v>
      </c>
      <c r="I11" s="22">
        <v>1</v>
      </c>
      <c r="J11" s="30" t="s">
        <v>18</v>
      </c>
      <c r="K11" s="24" t="s">
        <v>169</v>
      </c>
      <c r="L11" s="25">
        <v>4.4</v>
      </c>
      <c r="M11" s="25">
        <f>K11*L11</f>
        <v>114.4</v>
      </c>
      <c r="N11" s="25">
        <v>114.4</v>
      </c>
    </row>
    <row r="12" spans="1:14">
      <c r="D12" s="21">
        <v>46058</v>
      </c>
      <c r="E12" s="22">
        <v>1576656</v>
      </c>
      <c r="F12" s="22" t="s">
        <v>20</v>
      </c>
      <c r="G12" s="22">
        <v>20324364</v>
      </c>
      <c r="H12" s="22" t="s">
        <v>99</v>
      </c>
      <c r="I12" s="22">
        <v>3</v>
      </c>
      <c r="J12" s="31" t="s">
        <v>29</v>
      </c>
      <c r="K12" s="24">
        <v>1</v>
      </c>
      <c r="L12" s="25">
        <v>6.4</v>
      </c>
      <c r="M12" s="25">
        <v>6.4</v>
      </c>
      <c r="N12" s="25">
        <v>19.2</v>
      </c>
    </row>
    <row r="13" spans="1:14">
      <c r="D13" s="21">
        <v>46058</v>
      </c>
      <c r="E13" s="22">
        <v>1576656</v>
      </c>
      <c r="F13" s="22" t="s">
        <v>20</v>
      </c>
      <c r="G13" s="22">
        <v>20324363</v>
      </c>
      <c r="H13" s="22" t="s">
        <v>30</v>
      </c>
      <c r="I13" s="22">
        <v>2</v>
      </c>
      <c r="J13" s="31" t="s">
        <v>29</v>
      </c>
      <c r="K13" s="24">
        <v>1</v>
      </c>
      <c r="L13" s="25">
        <v>6.4</v>
      </c>
      <c r="M13" s="25">
        <v>6.4</v>
      </c>
      <c r="N13" s="25">
        <v>12.8</v>
      </c>
    </row>
    <row r="14" spans="1:14">
      <c r="D14" s="21">
        <v>46058</v>
      </c>
      <c r="E14" s="22">
        <v>1576656</v>
      </c>
      <c r="F14" s="22" t="s">
        <v>20</v>
      </c>
      <c r="G14" s="22">
        <v>20324368</v>
      </c>
      <c r="H14" s="22" t="s">
        <v>170</v>
      </c>
      <c r="I14" s="22">
        <v>1</v>
      </c>
      <c r="J14" s="30" t="s">
        <v>18</v>
      </c>
      <c r="K14" s="24" t="s">
        <v>171</v>
      </c>
      <c r="L14" s="25">
        <v>4.4</v>
      </c>
      <c r="M14" s="25">
        <v>110</v>
      </c>
      <c r="N14" s="25">
        <v>110</v>
      </c>
    </row>
    <row r="15" spans="1:14">
      <c r="D15" s="21">
        <v>46062</v>
      </c>
      <c r="E15" s="22">
        <v>1577495</v>
      </c>
      <c r="F15" s="22" t="s">
        <v>20</v>
      </c>
      <c r="G15" s="22">
        <v>20324368</v>
      </c>
      <c r="H15" s="22" t="s">
        <v>172</v>
      </c>
      <c r="I15" s="22">
        <v>1</v>
      </c>
      <c r="J15" s="30" t="s">
        <v>18</v>
      </c>
      <c r="K15" s="24" t="s">
        <v>173</v>
      </c>
      <c r="L15" s="25">
        <v>4.4</v>
      </c>
      <c r="M15" s="25">
        <v>118.8</v>
      </c>
      <c r="N15" s="25">
        <v>118.8</v>
      </c>
    </row>
    <row r="16" spans="1:14">
      <c r="D16" s="21">
        <v>46066</v>
      </c>
      <c r="E16" s="22">
        <v>1578711</v>
      </c>
      <c r="F16" s="22" t="s">
        <v>20</v>
      </c>
      <c r="G16" s="22">
        <v>20324363</v>
      </c>
      <c r="H16" s="22" t="s">
        <v>30</v>
      </c>
      <c r="I16" s="22">
        <v>1</v>
      </c>
      <c r="J16" s="31" t="s">
        <v>29</v>
      </c>
      <c r="K16" s="24">
        <v>1</v>
      </c>
      <c r="L16" s="25">
        <v>6.4</v>
      </c>
      <c r="M16" s="25">
        <v>6.4</v>
      </c>
      <c r="N16" s="25">
        <v>6.4</v>
      </c>
    </row>
    <row r="17" spans="4:14">
      <c r="D17" s="21">
        <v>46066</v>
      </c>
      <c r="E17" s="22">
        <v>1578711</v>
      </c>
      <c r="F17" s="22" t="s">
        <v>20</v>
      </c>
      <c r="G17" s="22">
        <v>20324620</v>
      </c>
      <c r="H17" s="22" t="s">
        <v>174</v>
      </c>
      <c r="I17" s="22">
        <v>1</v>
      </c>
      <c r="J17" s="30" t="s">
        <v>18</v>
      </c>
      <c r="K17" s="24" t="s">
        <v>173</v>
      </c>
      <c r="L17" s="25">
        <v>4.4</v>
      </c>
      <c r="M17" s="25">
        <f>L17*K17</f>
        <v>118.8</v>
      </c>
      <c r="N17" s="25">
        <v>118.8</v>
      </c>
    </row>
    <row r="18" spans="4:14">
      <c r="D18" s="21">
        <v>46077</v>
      </c>
      <c r="E18" s="22">
        <v>1579810</v>
      </c>
      <c r="F18" s="22" t="s">
        <v>20</v>
      </c>
      <c r="G18" s="22">
        <v>20324364</v>
      </c>
      <c r="H18" s="22" t="s">
        <v>99</v>
      </c>
      <c r="I18" s="22">
        <v>4</v>
      </c>
      <c r="J18" s="31" t="s">
        <v>29</v>
      </c>
      <c r="K18" s="24">
        <v>1</v>
      </c>
      <c r="L18" s="25">
        <v>6.4</v>
      </c>
      <c r="M18" s="25">
        <v>6.4</v>
      </c>
      <c r="N18" s="25">
        <v>25.6</v>
      </c>
    </row>
    <row r="19" spans="4:14">
      <c r="D19" s="21">
        <v>46077</v>
      </c>
      <c r="E19" s="22">
        <v>1579810</v>
      </c>
      <c r="F19" s="22" t="s">
        <v>20</v>
      </c>
      <c r="G19" s="22">
        <v>20324363</v>
      </c>
      <c r="H19" s="22" t="s">
        <v>30</v>
      </c>
      <c r="I19" s="22">
        <v>1</v>
      </c>
      <c r="J19" s="31" t="s">
        <v>29</v>
      </c>
      <c r="K19" s="24">
        <v>1</v>
      </c>
      <c r="L19" s="25">
        <v>6.4</v>
      </c>
      <c r="M19" s="25">
        <v>6.4</v>
      </c>
      <c r="N19" s="25">
        <v>6.4</v>
      </c>
    </row>
    <row r="20" spans="4:14">
      <c r="D20" s="21">
        <v>46077</v>
      </c>
      <c r="E20" s="22">
        <v>1579810</v>
      </c>
      <c r="F20" s="22" t="s">
        <v>20</v>
      </c>
      <c r="G20" s="22">
        <v>20324620</v>
      </c>
      <c r="H20" s="22" t="s">
        <v>175</v>
      </c>
      <c r="I20" s="22">
        <v>1</v>
      </c>
      <c r="J20" s="30" t="s">
        <v>18</v>
      </c>
      <c r="K20" s="24" t="s">
        <v>176</v>
      </c>
      <c r="L20" s="25">
        <v>4.4</v>
      </c>
      <c r="M20" s="25">
        <v>79.2</v>
      </c>
      <c r="N20" s="25">
        <v>79.2</v>
      </c>
    </row>
    <row r="21" ht="0.05" customHeight="1"/>
  </sheetData>
  <autoFilter xmlns:etc="http://www.wps.cn/officeDocument/2017/etCustomData" ref="A7:N20" etc:filterBottomFollowUsedRange="0">
    <extLst/>
  </autoFilter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scale="9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4"/>
  <sheetViews>
    <sheetView showGridLines="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11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" customWidth="1"/>
    <col min="10" max="11" width="19.125" customWidth="1"/>
    <col min="12" max="12" width="12.62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177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f>124-1</f>
        <v>123</v>
      </c>
      <c r="J8" s="67"/>
      <c r="K8" s="33"/>
      <c r="L8" s="33"/>
      <c r="M8" s="33"/>
      <c r="N8" s="33">
        <f>7082.4-52.8</f>
        <v>7029.6</v>
      </c>
    </row>
    <row r="9" spans="1:14">
      <c r="D9" s="68">
        <v>46055</v>
      </c>
      <c r="E9" s="69">
        <v>1575632</v>
      </c>
      <c r="F9" s="69" t="s">
        <v>16</v>
      </c>
      <c r="G9" s="69">
        <v>20324632</v>
      </c>
      <c r="H9" s="69" t="s">
        <v>178</v>
      </c>
      <c r="I9" s="69">
        <v>6</v>
      </c>
      <c r="J9" s="70" t="s">
        <v>18</v>
      </c>
      <c r="K9" s="18">
        <f t="shared" ref="K9:K14" si="0">M9/L9</f>
        <v>20</v>
      </c>
      <c r="L9" s="19">
        <v>4.4</v>
      </c>
      <c r="M9" s="19">
        <v>88</v>
      </c>
      <c r="N9" s="19">
        <v>528</v>
      </c>
    </row>
    <row r="10" spans="1:14">
      <c r="D10" s="64">
        <v>46056</v>
      </c>
      <c r="E10" s="32">
        <v>1575743</v>
      </c>
      <c r="F10" s="32" t="s">
        <v>20</v>
      </c>
      <c r="G10" s="32">
        <v>20324617</v>
      </c>
      <c r="H10" s="32" t="s">
        <v>179</v>
      </c>
      <c r="I10" s="32">
        <v>6</v>
      </c>
      <c r="J10" s="30" t="s">
        <v>36</v>
      </c>
      <c r="K10" s="24">
        <v>1</v>
      </c>
      <c r="L10" s="25">
        <v>17.6</v>
      </c>
      <c r="M10" s="25">
        <v>35.2</v>
      </c>
      <c r="N10" s="25">
        <v>211.2</v>
      </c>
    </row>
    <row r="11" spans="1:14">
      <c r="D11" s="64"/>
      <c r="E11" s="32"/>
      <c r="F11" s="32"/>
      <c r="G11" s="32"/>
      <c r="H11" s="32"/>
      <c r="I11" s="32"/>
      <c r="J11" s="30" t="s">
        <v>36</v>
      </c>
      <c r="K11" s="24">
        <v>1</v>
      </c>
      <c r="L11" s="25">
        <v>17.6</v>
      </c>
      <c r="M11" s="25"/>
      <c r="N11" s="25"/>
    </row>
    <row r="12" spans="1:14">
      <c r="D12" s="64">
        <v>46056</v>
      </c>
      <c r="E12" s="32">
        <v>1575743</v>
      </c>
      <c r="F12" s="32" t="s">
        <v>20</v>
      </c>
      <c r="G12" s="32">
        <v>20324583</v>
      </c>
      <c r="H12" s="32" t="s">
        <v>180</v>
      </c>
      <c r="I12" s="32">
        <v>1</v>
      </c>
      <c r="J12" s="34" t="s">
        <v>181</v>
      </c>
      <c r="K12" s="24">
        <v>1</v>
      </c>
      <c r="L12" s="25">
        <v>28</v>
      </c>
      <c r="M12" s="25">
        <v>28</v>
      </c>
      <c r="N12" s="25">
        <v>28</v>
      </c>
    </row>
    <row r="13" spans="1:14">
      <c r="D13" s="64">
        <v>46056</v>
      </c>
      <c r="E13" s="32">
        <v>1575988</v>
      </c>
      <c r="F13" s="32" t="s">
        <v>16</v>
      </c>
      <c r="G13" s="32">
        <v>20324632</v>
      </c>
      <c r="H13" s="32" t="s">
        <v>178</v>
      </c>
      <c r="I13" s="32">
        <v>4</v>
      </c>
      <c r="J13" s="30" t="s">
        <v>18</v>
      </c>
      <c r="K13" s="24">
        <f t="shared" si="0"/>
        <v>20</v>
      </c>
      <c r="L13" s="25">
        <v>4.4</v>
      </c>
      <c r="M13" s="25">
        <v>88</v>
      </c>
      <c r="N13" s="25">
        <v>352</v>
      </c>
    </row>
    <row r="14" spans="1:14">
      <c r="D14" s="64">
        <v>46056</v>
      </c>
      <c r="E14" s="32">
        <v>1575988</v>
      </c>
      <c r="F14" s="32" t="s">
        <v>16</v>
      </c>
      <c r="G14" s="32">
        <v>20324734</v>
      </c>
      <c r="H14" s="32" t="s">
        <v>182</v>
      </c>
      <c r="I14" s="32">
        <v>1</v>
      </c>
      <c r="J14" s="30" t="s">
        <v>18</v>
      </c>
      <c r="K14" s="24">
        <f t="shared" si="0"/>
        <v>6</v>
      </c>
      <c r="L14" s="25">
        <v>4.4</v>
      </c>
      <c r="M14" s="25">
        <v>26.4</v>
      </c>
      <c r="N14" s="25">
        <v>26.4</v>
      </c>
    </row>
    <row r="15" spans="1:14">
      <c r="D15" s="64">
        <v>46057</v>
      </c>
      <c r="E15" s="32">
        <v>1576077</v>
      </c>
      <c r="F15" s="32" t="s">
        <v>20</v>
      </c>
      <c r="G15" s="32">
        <v>20324617</v>
      </c>
      <c r="H15" s="32" t="s">
        <v>179</v>
      </c>
      <c r="I15" s="32">
        <v>3</v>
      </c>
      <c r="J15" s="30" t="s">
        <v>36</v>
      </c>
      <c r="K15" s="24">
        <v>1</v>
      </c>
      <c r="L15" s="25">
        <v>17.6</v>
      </c>
      <c r="M15" s="25">
        <v>35.2</v>
      </c>
      <c r="N15" s="25">
        <v>105.6</v>
      </c>
    </row>
    <row r="16" spans="1:14">
      <c r="D16" s="64"/>
      <c r="E16" s="32"/>
      <c r="F16" s="32"/>
      <c r="G16" s="32"/>
      <c r="H16" s="32"/>
      <c r="I16" s="32"/>
      <c r="J16" s="30" t="s">
        <v>36</v>
      </c>
      <c r="K16" s="24">
        <v>1</v>
      </c>
      <c r="L16" s="25">
        <v>17.6</v>
      </c>
      <c r="M16" s="25"/>
      <c r="N16" s="25"/>
    </row>
    <row r="17" spans="4:14">
      <c r="D17" s="64">
        <v>46057</v>
      </c>
      <c r="E17" s="32">
        <v>1576077</v>
      </c>
      <c r="F17" s="32" t="s">
        <v>20</v>
      </c>
      <c r="G17" s="32">
        <v>20324583</v>
      </c>
      <c r="H17" s="32" t="s">
        <v>180</v>
      </c>
      <c r="I17" s="32">
        <v>1</v>
      </c>
      <c r="J17" s="34" t="s">
        <v>181</v>
      </c>
      <c r="K17" s="24">
        <v>1</v>
      </c>
      <c r="L17" s="25">
        <v>28</v>
      </c>
      <c r="M17" s="25">
        <v>28</v>
      </c>
      <c r="N17" s="25">
        <v>28</v>
      </c>
    </row>
    <row r="18" spans="4:14">
      <c r="D18" s="64">
        <v>46057</v>
      </c>
      <c r="E18" s="32">
        <v>1576077</v>
      </c>
      <c r="F18" s="32" t="s">
        <v>26</v>
      </c>
      <c r="G18" s="32">
        <v>20325607</v>
      </c>
      <c r="H18" s="32" t="s">
        <v>183</v>
      </c>
      <c r="I18" s="32">
        <v>1</v>
      </c>
      <c r="J18" s="30" t="s">
        <v>36</v>
      </c>
      <c r="K18" s="24">
        <v>1</v>
      </c>
      <c r="L18" s="25">
        <v>17.6</v>
      </c>
      <c r="M18" s="25">
        <v>52.8</v>
      </c>
      <c r="N18" s="25">
        <v>52.8</v>
      </c>
    </row>
    <row r="19" spans="4:14">
      <c r="D19" s="64"/>
      <c r="E19" s="32"/>
      <c r="F19" s="32"/>
      <c r="G19" s="32"/>
      <c r="H19" s="32"/>
      <c r="I19" s="32"/>
      <c r="J19" s="30" t="s">
        <v>36</v>
      </c>
      <c r="K19" s="24">
        <v>1</v>
      </c>
      <c r="L19" s="25">
        <v>17.6</v>
      </c>
      <c r="M19" s="25"/>
      <c r="N19" s="25"/>
    </row>
    <row r="20" spans="4:14">
      <c r="D20" s="64"/>
      <c r="E20" s="32"/>
      <c r="F20" s="32"/>
      <c r="G20" s="32"/>
      <c r="H20" s="32"/>
      <c r="I20" s="32"/>
      <c r="J20" s="30" t="s">
        <v>36</v>
      </c>
      <c r="K20" s="24">
        <v>1</v>
      </c>
      <c r="L20" s="25">
        <v>17.6</v>
      </c>
      <c r="M20" s="25"/>
      <c r="N20" s="25"/>
    </row>
    <row r="21" spans="4:14">
      <c r="D21" s="64">
        <v>46057</v>
      </c>
      <c r="E21" s="32">
        <v>1576311</v>
      </c>
      <c r="F21" s="32" t="s">
        <v>16</v>
      </c>
      <c r="G21" s="32">
        <v>20324632</v>
      </c>
      <c r="H21" s="32" t="s">
        <v>178</v>
      </c>
      <c r="I21" s="32">
        <v>5</v>
      </c>
      <c r="J21" s="30" t="s">
        <v>18</v>
      </c>
      <c r="K21" s="24">
        <f>M21/L21</f>
        <v>20</v>
      </c>
      <c r="L21" s="25">
        <v>4.4</v>
      </c>
      <c r="M21" s="25">
        <v>88</v>
      </c>
      <c r="N21" s="25">
        <v>440</v>
      </c>
    </row>
    <row r="22" spans="4:14">
      <c r="D22" s="64">
        <v>46058</v>
      </c>
      <c r="E22" s="32">
        <v>1576363</v>
      </c>
      <c r="F22" s="32" t="s">
        <v>20</v>
      </c>
      <c r="G22" s="32">
        <v>20324617</v>
      </c>
      <c r="H22" s="32" t="s">
        <v>179</v>
      </c>
      <c r="I22" s="32">
        <v>5</v>
      </c>
      <c r="J22" s="30" t="s">
        <v>36</v>
      </c>
      <c r="K22" s="24">
        <v>1</v>
      </c>
      <c r="L22" s="25">
        <v>17.6</v>
      </c>
      <c r="M22" s="25">
        <v>35.2</v>
      </c>
      <c r="N22" s="25">
        <v>176</v>
      </c>
    </row>
    <row r="23" spans="4:14">
      <c r="D23" s="64"/>
      <c r="E23" s="32"/>
      <c r="F23" s="32"/>
      <c r="G23" s="32"/>
      <c r="H23" s="32"/>
      <c r="I23" s="32"/>
      <c r="J23" s="30" t="s">
        <v>36</v>
      </c>
      <c r="K23" s="24">
        <v>1</v>
      </c>
      <c r="L23" s="25">
        <v>17.6</v>
      </c>
      <c r="M23" s="25"/>
      <c r="N23" s="25"/>
    </row>
    <row r="24" spans="4:14">
      <c r="D24" s="64">
        <v>46058</v>
      </c>
      <c r="E24" s="32">
        <v>1576363</v>
      </c>
      <c r="F24" s="32" t="s">
        <v>20</v>
      </c>
      <c r="G24" s="32">
        <v>20324583</v>
      </c>
      <c r="H24" s="32" t="s">
        <v>180</v>
      </c>
      <c r="I24" s="32">
        <v>1</v>
      </c>
      <c r="J24" s="34" t="s">
        <v>181</v>
      </c>
      <c r="K24" s="24">
        <v>1</v>
      </c>
      <c r="L24" s="25">
        <v>28</v>
      </c>
      <c r="M24" s="25">
        <v>28</v>
      </c>
      <c r="N24" s="25">
        <v>28</v>
      </c>
    </row>
    <row r="25" spans="4:14">
      <c r="D25" s="64">
        <v>46058</v>
      </c>
      <c r="E25" s="32">
        <v>1576363</v>
      </c>
      <c r="F25" s="32" t="s">
        <v>26</v>
      </c>
      <c r="G25" s="32">
        <v>20325607</v>
      </c>
      <c r="H25" s="32" t="s">
        <v>183</v>
      </c>
      <c r="I25" s="32">
        <v>1</v>
      </c>
      <c r="J25" s="30" t="s">
        <v>36</v>
      </c>
      <c r="K25" s="24">
        <v>1</v>
      </c>
      <c r="L25" s="25">
        <v>17.6</v>
      </c>
      <c r="M25" s="25">
        <v>52.8</v>
      </c>
      <c r="N25" s="25">
        <v>52.8</v>
      </c>
    </row>
    <row r="26" spans="4:14">
      <c r="D26" s="64"/>
      <c r="E26" s="32"/>
      <c r="F26" s="32"/>
      <c r="G26" s="32"/>
      <c r="H26" s="32"/>
      <c r="I26" s="32"/>
      <c r="J26" s="30" t="s">
        <v>36</v>
      </c>
      <c r="K26" s="24">
        <v>1</v>
      </c>
      <c r="L26" s="25">
        <v>17.6</v>
      </c>
      <c r="M26" s="25"/>
      <c r="N26" s="25"/>
    </row>
    <row r="27" spans="4:14">
      <c r="D27" s="64"/>
      <c r="E27" s="32"/>
      <c r="F27" s="32"/>
      <c r="G27" s="32"/>
      <c r="H27" s="32"/>
      <c r="I27" s="32"/>
      <c r="J27" s="30" t="s">
        <v>36</v>
      </c>
      <c r="K27" s="24">
        <v>1</v>
      </c>
      <c r="L27" s="25">
        <v>17.6</v>
      </c>
      <c r="M27" s="25"/>
      <c r="N27" s="25"/>
    </row>
    <row r="28" spans="4:14">
      <c r="D28" s="64">
        <v>46058</v>
      </c>
      <c r="E28" s="32">
        <v>1576659</v>
      </c>
      <c r="F28" s="32" t="s">
        <v>16</v>
      </c>
      <c r="G28" s="32">
        <v>20324632</v>
      </c>
      <c r="H28" s="32" t="s">
        <v>178</v>
      </c>
      <c r="I28" s="32">
        <v>4</v>
      </c>
      <c r="J28" s="30" t="s">
        <v>18</v>
      </c>
      <c r="K28" s="24">
        <f>M28/L28</f>
        <v>20</v>
      </c>
      <c r="L28" s="25">
        <v>4.4</v>
      </c>
      <c r="M28" s="25">
        <v>88</v>
      </c>
      <c r="N28" s="25">
        <v>352</v>
      </c>
    </row>
    <row r="29" spans="4:14">
      <c r="D29" s="64">
        <v>46059</v>
      </c>
      <c r="E29" s="32">
        <v>1576757</v>
      </c>
      <c r="F29" s="32" t="s">
        <v>20</v>
      </c>
      <c r="G29" s="32">
        <v>20324617</v>
      </c>
      <c r="H29" s="32" t="s">
        <v>179</v>
      </c>
      <c r="I29" s="32">
        <v>3</v>
      </c>
      <c r="J29" s="30" t="s">
        <v>36</v>
      </c>
      <c r="K29" s="24">
        <v>1</v>
      </c>
      <c r="L29" s="25">
        <v>17.6</v>
      </c>
      <c r="M29" s="25">
        <v>35.2</v>
      </c>
      <c r="N29" s="25">
        <v>105.6</v>
      </c>
    </row>
    <row r="30" spans="4:14">
      <c r="D30" s="64"/>
      <c r="E30" s="32"/>
      <c r="F30" s="32"/>
      <c r="G30" s="32"/>
      <c r="H30" s="32"/>
      <c r="I30" s="32"/>
      <c r="J30" s="30" t="s">
        <v>36</v>
      </c>
      <c r="K30" s="24">
        <v>1</v>
      </c>
      <c r="L30" s="25">
        <v>17.6</v>
      </c>
      <c r="M30" s="25"/>
      <c r="N30" s="25"/>
    </row>
    <row r="31" spans="4:14">
      <c r="D31" s="64">
        <v>46059</v>
      </c>
      <c r="E31" s="32">
        <v>1576757</v>
      </c>
      <c r="F31" s="32" t="s">
        <v>20</v>
      </c>
      <c r="G31" s="32">
        <v>20324583</v>
      </c>
      <c r="H31" s="32" t="s">
        <v>180</v>
      </c>
      <c r="I31" s="32">
        <v>1</v>
      </c>
      <c r="J31" s="34" t="s">
        <v>181</v>
      </c>
      <c r="K31" s="24">
        <v>1</v>
      </c>
      <c r="L31" s="25">
        <v>28</v>
      </c>
      <c r="M31" s="25">
        <v>28</v>
      </c>
      <c r="N31" s="25">
        <v>28</v>
      </c>
    </row>
    <row r="32" spans="4:14">
      <c r="D32" s="64">
        <v>46059</v>
      </c>
      <c r="E32" s="32">
        <v>1576757</v>
      </c>
      <c r="F32" s="32" t="s">
        <v>26</v>
      </c>
      <c r="G32" s="32">
        <v>20325607</v>
      </c>
      <c r="H32" s="32" t="s">
        <v>183</v>
      </c>
      <c r="I32" s="32">
        <v>1</v>
      </c>
      <c r="J32" s="30" t="s">
        <v>36</v>
      </c>
      <c r="K32" s="24">
        <v>1</v>
      </c>
      <c r="L32" s="25">
        <v>17.6</v>
      </c>
      <c r="M32" s="25">
        <v>52.8</v>
      </c>
      <c r="N32" s="25">
        <v>52.8</v>
      </c>
    </row>
    <row r="33" spans="4:14">
      <c r="D33" s="64"/>
      <c r="E33" s="32"/>
      <c r="F33" s="32"/>
      <c r="G33" s="32"/>
      <c r="H33" s="32"/>
      <c r="I33" s="32"/>
      <c r="J33" s="30" t="s">
        <v>36</v>
      </c>
      <c r="K33" s="24">
        <v>1</v>
      </c>
      <c r="L33" s="25">
        <v>17.6</v>
      </c>
      <c r="M33" s="25"/>
      <c r="N33" s="25"/>
    </row>
    <row r="34" spans="4:14">
      <c r="D34" s="64"/>
      <c r="E34" s="32"/>
      <c r="F34" s="32"/>
      <c r="G34" s="32"/>
      <c r="H34" s="32"/>
      <c r="I34" s="32"/>
      <c r="J34" s="30" t="s">
        <v>36</v>
      </c>
      <c r="K34" s="24">
        <v>1</v>
      </c>
      <c r="L34" s="25">
        <v>17.6</v>
      </c>
      <c r="M34" s="25"/>
      <c r="N34" s="25"/>
    </row>
    <row r="35" spans="4:14">
      <c r="D35" s="64">
        <v>46060</v>
      </c>
      <c r="E35" s="32">
        <v>1577034</v>
      </c>
      <c r="F35" s="32" t="s">
        <v>20</v>
      </c>
      <c r="G35" s="32">
        <v>20324405</v>
      </c>
      <c r="H35" s="32" t="s">
        <v>184</v>
      </c>
      <c r="I35" s="32">
        <v>1</v>
      </c>
      <c r="J35" s="32" t="s">
        <v>64</v>
      </c>
      <c r="K35" s="24">
        <v>1</v>
      </c>
      <c r="L35" s="25">
        <v>8.8</v>
      </c>
      <c r="M35" s="25">
        <v>8.8</v>
      </c>
      <c r="N35" s="25">
        <v>8.8</v>
      </c>
    </row>
    <row r="36" spans="4:14">
      <c r="D36" s="64">
        <v>46060</v>
      </c>
      <c r="E36" s="32">
        <v>1577034</v>
      </c>
      <c r="F36" s="32" t="s">
        <v>20</v>
      </c>
      <c r="G36" s="32">
        <v>20324363</v>
      </c>
      <c r="H36" s="32" t="s">
        <v>30</v>
      </c>
      <c r="I36" s="32">
        <v>1</v>
      </c>
      <c r="J36" s="31" t="s">
        <v>29</v>
      </c>
      <c r="K36" s="24">
        <v>1</v>
      </c>
      <c r="L36" s="25">
        <v>6.4</v>
      </c>
      <c r="M36" s="25">
        <v>6.4</v>
      </c>
      <c r="N36" s="25">
        <v>6.4</v>
      </c>
    </row>
    <row r="37" spans="4:14">
      <c r="D37" s="64">
        <v>46060</v>
      </c>
      <c r="E37" s="32">
        <v>1577034</v>
      </c>
      <c r="F37" s="32" t="s">
        <v>16</v>
      </c>
      <c r="G37" s="32">
        <v>20324632</v>
      </c>
      <c r="H37" s="32" t="s">
        <v>178</v>
      </c>
      <c r="I37" s="32">
        <v>7</v>
      </c>
      <c r="J37" s="30" t="s">
        <v>18</v>
      </c>
      <c r="K37" s="24">
        <f>M37/L37</f>
        <v>20</v>
      </c>
      <c r="L37" s="25">
        <v>4.4</v>
      </c>
      <c r="M37" s="25">
        <v>88</v>
      </c>
      <c r="N37" s="25">
        <v>616</v>
      </c>
    </row>
    <row r="38" spans="4:14">
      <c r="D38" s="64">
        <v>46060</v>
      </c>
      <c r="E38" s="32">
        <v>1577034</v>
      </c>
      <c r="F38" s="32" t="s">
        <v>16</v>
      </c>
      <c r="G38" s="32">
        <v>20324734</v>
      </c>
      <c r="H38" s="32" t="s">
        <v>182</v>
      </c>
      <c r="I38" s="32">
        <v>1</v>
      </c>
      <c r="J38" s="30" t="s">
        <v>18</v>
      </c>
      <c r="K38" s="24">
        <f>M38/L38</f>
        <v>6</v>
      </c>
      <c r="L38" s="25">
        <v>4.4</v>
      </c>
      <c r="M38" s="25">
        <v>26.4</v>
      </c>
      <c r="N38" s="25">
        <v>26.4</v>
      </c>
    </row>
    <row r="39" spans="4:14">
      <c r="D39" s="64">
        <v>46060</v>
      </c>
      <c r="E39" s="32">
        <v>1577064</v>
      </c>
      <c r="F39" s="32" t="s">
        <v>20</v>
      </c>
      <c r="G39" s="32">
        <v>20324617</v>
      </c>
      <c r="H39" s="32" t="s">
        <v>179</v>
      </c>
      <c r="I39" s="32">
        <v>6</v>
      </c>
      <c r="J39" s="30" t="s">
        <v>36</v>
      </c>
      <c r="K39" s="24">
        <v>1</v>
      </c>
      <c r="L39" s="25">
        <v>17.6</v>
      </c>
      <c r="M39" s="25">
        <v>35.2</v>
      </c>
      <c r="N39" s="25">
        <v>211.2</v>
      </c>
    </row>
    <row r="40" spans="4:14">
      <c r="D40" s="64"/>
      <c r="E40" s="32"/>
      <c r="F40" s="32"/>
      <c r="G40" s="32"/>
      <c r="H40" s="32"/>
      <c r="I40" s="32"/>
      <c r="J40" s="30" t="s">
        <v>36</v>
      </c>
      <c r="K40" s="24">
        <v>1</v>
      </c>
      <c r="L40" s="25">
        <v>17.6</v>
      </c>
      <c r="M40" s="25"/>
      <c r="N40" s="25"/>
    </row>
    <row r="41" spans="4:14">
      <c r="D41" s="64">
        <v>46060</v>
      </c>
      <c r="E41" s="32">
        <v>1577064</v>
      </c>
      <c r="F41" s="32" t="s">
        <v>20</v>
      </c>
      <c r="G41" s="32">
        <v>20324583</v>
      </c>
      <c r="H41" s="32" t="s">
        <v>180</v>
      </c>
      <c r="I41" s="32">
        <v>1</v>
      </c>
      <c r="J41" s="34" t="s">
        <v>181</v>
      </c>
      <c r="K41" s="24">
        <v>1</v>
      </c>
      <c r="L41" s="25">
        <v>28</v>
      </c>
      <c r="M41" s="25">
        <v>28</v>
      </c>
      <c r="N41" s="25">
        <v>28</v>
      </c>
    </row>
    <row r="42" spans="4:14">
      <c r="D42" s="64">
        <v>46060</v>
      </c>
      <c r="E42" s="32">
        <v>1577064</v>
      </c>
      <c r="F42" s="32" t="s">
        <v>26</v>
      </c>
      <c r="G42" s="32">
        <v>20325607</v>
      </c>
      <c r="H42" s="32" t="s">
        <v>183</v>
      </c>
      <c r="I42" s="32">
        <v>1</v>
      </c>
      <c r="J42" s="30" t="s">
        <v>36</v>
      </c>
      <c r="K42" s="24">
        <v>1</v>
      </c>
      <c r="L42" s="25">
        <v>17.6</v>
      </c>
      <c r="M42" s="25">
        <v>52.8</v>
      </c>
      <c r="N42" s="25">
        <v>52.8</v>
      </c>
    </row>
    <row r="43" spans="4:14">
      <c r="D43" s="64"/>
      <c r="E43" s="32"/>
      <c r="F43" s="32"/>
      <c r="G43" s="32"/>
      <c r="H43" s="32"/>
      <c r="I43" s="32"/>
      <c r="J43" s="30" t="s">
        <v>36</v>
      </c>
      <c r="K43" s="24">
        <v>1</v>
      </c>
      <c r="L43" s="25">
        <v>17.6</v>
      </c>
      <c r="M43" s="25"/>
      <c r="N43" s="25"/>
    </row>
    <row r="44" spans="4:14">
      <c r="D44" s="64"/>
      <c r="E44" s="32"/>
      <c r="F44" s="32"/>
      <c r="G44" s="32"/>
      <c r="H44" s="32"/>
      <c r="I44" s="32"/>
      <c r="J44" s="30" t="s">
        <v>36</v>
      </c>
      <c r="K44" s="24">
        <v>1</v>
      </c>
      <c r="L44" s="25">
        <v>17.6</v>
      </c>
      <c r="M44" s="25"/>
      <c r="N44" s="25"/>
    </row>
    <row r="45" spans="4:14">
      <c r="D45" s="64">
        <v>46062</v>
      </c>
      <c r="E45" s="32">
        <v>1577496</v>
      </c>
      <c r="F45" s="32" t="s">
        <v>20</v>
      </c>
      <c r="G45" s="32">
        <v>20324363</v>
      </c>
      <c r="H45" s="32" t="s">
        <v>30</v>
      </c>
      <c r="I45" s="32">
        <v>1</v>
      </c>
      <c r="J45" s="31" t="s">
        <v>29</v>
      </c>
      <c r="K45" s="24">
        <v>1</v>
      </c>
      <c r="L45" s="25">
        <v>6.4</v>
      </c>
      <c r="M45" s="25">
        <v>6.4</v>
      </c>
      <c r="N45" s="25">
        <v>6.4</v>
      </c>
    </row>
    <row r="46" spans="4:14">
      <c r="D46" s="64">
        <v>46062</v>
      </c>
      <c r="E46" s="32">
        <v>1577496</v>
      </c>
      <c r="F46" s="32" t="s">
        <v>16</v>
      </c>
      <c r="G46" s="32">
        <v>20324632</v>
      </c>
      <c r="H46" s="32" t="s">
        <v>178</v>
      </c>
      <c r="I46" s="32">
        <v>3</v>
      </c>
      <c r="J46" s="30" t="s">
        <v>18</v>
      </c>
      <c r="K46" s="24">
        <f>M46/L46</f>
        <v>20</v>
      </c>
      <c r="L46" s="25">
        <v>4.4</v>
      </c>
      <c r="M46" s="25">
        <v>88</v>
      </c>
      <c r="N46" s="25">
        <v>264</v>
      </c>
    </row>
    <row r="47" spans="4:14">
      <c r="D47" s="64">
        <v>46063</v>
      </c>
      <c r="E47" s="32">
        <v>1577561</v>
      </c>
      <c r="F47" s="32" t="s">
        <v>20</v>
      </c>
      <c r="G47" s="32">
        <v>20324617</v>
      </c>
      <c r="H47" s="32" t="s">
        <v>179</v>
      </c>
      <c r="I47" s="32">
        <v>3</v>
      </c>
      <c r="J47" s="30" t="s">
        <v>36</v>
      </c>
      <c r="K47" s="24">
        <v>1</v>
      </c>
      <c r="L47" s="25">
        <v>17.6</v>
      </c>
      <c r="M47" s="25">
        <v>35.2</v>
      </c>
      <c r="N47" s="25">
        <v>105.6</v>
      </c>
    </row>
    <row r="48" spans="4:14">
      <c r="D48" s="64"/>
      <c r="E48" s="32"/>
      <c r="F48" s="32"/>
      <c r="G48" s="32"/>
      <c r="H48" s="32"/>
      <c r="I48" s="32"/>
      <c r="J48" s="30" t="s">
        <v>36</v>
      </c>
      <c r="K48" s="24">
        <v>1</v>
      </c>
      <c r="L48" s="25">
        <v>17.6</v>
      </c>
      <c r="M48" s="25"/>
      <c r="N48" s="25"/>
    </row>
    <row r="49" spans="4:14">
      <c r="D49" s="64">
        <v>46063</v>
      </c>
      <c r="E49" s="32">
        <v>1577561</v>
      </c>
      <c r="F49" s="32" t="s">
        <v>20</v>
      </c>
      <c r="G49" s="32">
        <v>20324583</v>
      </c>
      <c r="H49" s="32" t="s">
        <v>180</v>
      </c>
      <c r="I49" s="32">
        <v>1</v>
      </c>
      <c r="J49" s="34" t="s">
        <v>181</v>
      </c>
      <c r="K49" s="24">
        <v>1</v>
      </c>
      <c r="L49" s="25">
        <v>28</v>
      </c>
      <c r="M49" s="25">
        <v>28</v>
      </c>
      <c r="N49" s="25">
        <v>28</v>
      </c>
    </row>
    <row r="50" spans="4:14">
      <c r="D50" s="64">
        <v>46063</v>
      </c>
      <c r="E50" s="32">
        <v>1577852</v>
      </c>
      <c r="F50" s="32" t="s">
        <v>20</v>
      </c>
      <c r="G50" s="32">
        <v>20324427</v>
      </c>
      <c r="H50" s="32" t="s">
        <v>142</v>
      </c>
      <c r="I50" s="32">
        <v>1</v>
      </c>
      <c r="J50" s="32" t="s">
        <v>64</v>
      </c>
      <c r="K50" s="24">
        <v>1</v>
      </c>
      <c r="L50" s="25">
        <v>8.8</v>
      </c>
      <c r="M50" s="25">
        <v>8.8</v>
      </c>
      <c r="N50" s="25">
        <v>8.8</v>
      </c>
    </row>
    <row r="51" spans="4:14">
      <c r="D51" s="64">
        <v>46063</v>
      </c>
      <c r="E51" s="32">
        <v>1577852</v>
      </c>
      <c r="F51" s="32" t="s">
        <v>16</v>
      </c>
      <c r="G51" s="32">
        <v>20324632</v>
      </c>
      <c r="H51" s="32" t="s">
        <v>178</v>
      </c>
      <c r="I51" s="32">
        <v>4</v>
      </c>
      <c r="J51" s="30" t="s">
        <v>18</v>
      </c>
      <c r="K51" s="24">
        <f>M51/L51</f>
        <v>20</v>
      </c>
      <c r="L51" s="25">
        <v>4.4</v>
      </c>
      <c r="M51" s="25">
        <v>88</v>
      </c>
      <c r="N51" s="25">
        <v>352</v>
      </c>
    </row>
    <row r="52" spans="4:14">
      <c r="D52" s="64">
        <v>46064</v>
      </c>
      <c r="E52" s="32">
        <v>1577903</v>
      </c>
      <c r="F52" s="32" t="s">
        <v>20</v>
      </c>
      <c r="G52" s="32">
        <v>20324617</v>
      </c>
      <c r="H52" s="32" t="s">
        <v>179</v>
      </c>
      <c r="I52" s="32">
        <v>4</v>
      </c>
      <c r="J52" s="30" t="s">
        <v>36</v>
      </c>
      <c r="K52" s="24">
        <v>1</v>
      </c>
      <c r="L52" s="25">
        <v>17.6</v>
      </c>
      <c r="M52" s="25">
        <v>35.2</v>
      </c>
      <c r="N52" s="25">
        <v>140.8</v>
      </c>
    </row>
    <row r="53" spans="4:14">
      <c r="D53" s="64"/>
      <c r="E53" s="32"/>
      <c r="F53" s="32"/>
      <c r="G53" s="32"/>
      <c r="H53" s="32"/>
      <c r="I53" s="32"/>
      <c r="J53" s="30" t="s">
        <v>36</v>
      </c>
      <c r="K53" s="24">
        <v>1</v>
      </c>
      <c r="L53" s="25">
        <v>17.6</v>
      </c>
      <c r="M53" s="25"/>
      <c r="N53" s="25"/>
    </row>
    <row r="54" spans="4:14">
      <c r="D54" s="64">
        <v>46064</v>
      </c>
      <c r="E54" s="32">
        <v>1577903</v>
      </c>
      <c r="F54" s="32" t="s">
        <v>20</v>
      </c>
      <c r="G54" s="32">
        <v>20324583</v>
      </c>
      <c r="H54" s="32" t="s">
        <v>180</v>
      </c>
      <c r="I54" s="32">
        <v>1</v>
      </c>
      <c r="J54" s="34" t="s">
        <v>181</v>
      </c>
      <c r="K54" s="24">
        <v>1</v>
      </c>
      <c r="L54" s="25">
        <v>28</v>
      </c>
      <c r="M54" s="25">
        <v>28</v>
      </c>
      <c r="N54" s="25">
        <v>28</v>
      </c>
    </row>
    <row r="55" spans="4:14">
      <c r="D55" s="64">
        <v>46064</v>
      </c>
      <c r="E55" s="32">
        <v>1578100</v>
      </c>
      <c r="F55" s="32" t="s">
        <v>16</v>
      </c>
      <c r="G55" s="32">
        <v>20324632</v>
      </c>
      <c r="H55" s="32" t="s">
        <v>178</v>
      </c>
      <c r="I55" s="32">
        <v>2</v>
      </c>
      <c r="J55" s="30" t="s">
        <v>18</v>
      </c>
      <c r="K55" s="24">
        <f>M55/L55</f>
        <v>20</v>
      </c>
      <c r="L55" s="25">
        <v>4.4</v>
      </c>
      <c r="M55" s="25">
        <v>88</v>
      </c>
      <c r="N55" s="25">
        <v>176</v>
      </c>
    </row>
    <row r="56" spans="4:14">
      <c r="D56" s="64">
        <v>46064</v>
      </c>
      <c r="E56" s="32">
        <v>1578199</v>
      </c>
      <c r="F56" s="32" t="s">
        <v>20</v>
      </c>
      <c r="G56" s="32">
        <v>20324617</v>
      </c>
      <c r="H56" s="32" t="s">
        <v>179</v>
      </c>
      <c r="I56" s="32">
        <v>2</v>
      </c>
      <c r="J56" s="30" t="s">
        <v>36</v>
      </c>
      <c r="K56" s="24">
        <v>1</v>
      </c>
      <c r="L56" s="25">
        <v>17.6</v>
      </c>
      <c r="M56" s="25">
        <v>35.2</v>
      </c>
      <c r="N56" s="25">
        <v>70.4</v>
      </c>
    </row>
    <row r="57" spans="4:14">
      <c r="D57" s="64"/>
      <c r="E57" s="32"/>
      <c r="F57" s="32"/>
      <c r="G57" s="32"/>
      <c r="H57" s="32"/>
      <c r="I57" s="32"/>
      <c r="J57" s="30" t="s">
        <v>36</v>
      </c>
      <c r="K57" s="24">
        <v>1</v>
      </c>
      <c r="L57" s="25">
        <v>17.6</v>
      </c>
      <c r="M57" s="25"/>
      <c r="N57" s="25"/>
    </row>
    <row r="58" spans="4:14">
      <c r="D58" s="64">
        <v>46064</v>
      </c>
      <c r="E58" s="32">
        <v>1578199</v>
      </c>
      <c r="F58" s="32" t="s">
        <v>20</v>
      </c>
      <c r="G58" s="32">
        <v>20324583</v>
      </c>
      <c r="H58" s="32" t="s">
        <v>180</v>
      </c>
      <c r="I58" s="32">
        <v>1</v>
      </c>
      <c r="J58" s="34" t="s">
        <v>181</v>
      </c>
      <c r="K58" s="24">
        <v>1</v>
      </c>
      <c r="L58" s="25">
        <v>28</v>
      </c>
      <c r="M58" s="25">
        <v>28</v>
      </c>
      <c r="N58" s="25">
        <v>28</v>
      </c>
    </row>
    <row r="59" spans="4:14">
      <c r="D59" s="64">
        <v>46065</v>
      </c>
      <c r="E59" s="32">
        <v>1578456</v>
      </c>
      <c r="F59" s="32" t="s">
        <v>16</v>
      </c>
      <c r="G59" s="32">
        <v>20324632</v>
      </c>
      <c r="H59" s="32" t="s">
        <v>178</v>
      </c>
      <c r="I59" s="32">
        <v>1</v>
      </c>
      <c r="J59" s="30" t="s">
        <v>18</v>
      </c>
      <c r="K59" s="24">
        <f>M59/L59</f>
        <v>20</v>
      </c>
      <c r="L59" s="25">
        <v>4.4</v>
      </c>
      <c r="M59" s="25">
        <v>88</v>
      </c>
      <c r="N59" s="25">
        <v>88</v>
      </c>
    </row>
    <row r="60" spans="4:14">
      <c r="D60" s="64">
        <v>46065</v>
      </c>
      <c r="E60" s="32">
        <v>1578506</v>
      </c>
      <c r="F60" s="32" t="s">
        <v>20</v>
      </c>
      <c r="G60" s="32">
        <v>20324617</v>
      </c>
      <c r="H60" s="32" t="s">
        <v>179</v>
      </c>
      <c r="I60" s="32">
        <v>1</v>
      </c>
      <c r="J60" s="30" t="s">
        <v>36</v>
      </c>
      <c r="K60" s="24">
        <v>1</v>
      </c>
      <c r="L60" s="25">
        <v>17.6</v>
      </c>
      <c r="M60" s="25">
        <v>35.2</v>
      </c>
      <c r="N60" s="25">
        <v>35.2</v>
      </c>
    </row>
    <row r="61" spans="4:14">
      <c r="D61" s="64"/>
      <c r="E61" s="32"/>
      <c r="F61" s="32"/>
      <c r="G61" s="32"/>
      <c r="H61" s="32"/>
      <c r="I61" s="32"/>
      <c r="J61" s="30" t="s">
        <v>36</v>
      </c>
      <c r="K61" s="24">
        <v>1</v>
      </c>
      <c r="L61" s="25">
        <v>17.6</v>
      </c>
      <c r="M61" s="25"/>
      <c r="N61" s="25"/>
    </row>
    <row r="62" spans="4:14">
      <c r="D62" s="64">
        <v>46065</v>
      </c>
      <c r="E62" s="32">
        <v>1578506</v>
      </c>
      <c r="F62" s="32" t="s">
        <v>20</v>
      </c>
      <c r="G62" s="32">
        <v>20324583</v>
      </c>
      <c r="H62" s="32" t="s">
        <v>180</v>
      </c>
      <c r="I62" s="32">
        <v>1</v>
      </c>
      <c r="J62" s="34" t="s">
        <v>181</v>
      </c>
      <c r="K62" s="24">
        <v>1</v>
      </c>
      <c r="L62" s="25">
        <v>28</v>
      </c>
      <c r="M62" s="25">
        <v>28</v>
      </c>
      <c r="N62" s="25">
        <v>28</v>
      </c>
    </row>
    <row r="63" spans="4:14">
      <c r="D63" s="64">
        <v>46077</v>
      </c>
      <c r="E63" s="32">
        <v>1579811</v>
      </c>
      <c r="F63" s="32" t="s">
        <v>16</v>
      </c>
      <c r="G63" s="32">
        <v>20324632</v>
      </c>
      <c r="H63" s="32" t="s">
        <v>178</v>
      </c>
      <c r="I63" s="32">
        <v>4</v>
      </c>
      <c r="J63" s="30" t="s">
        <v>18</v>
      </c>
      <c r="K63" s="24">
        <f>M63/L63</f>
        <v>20</v>
      </c>
      <c r="L63" s="25">
        <v>4.4</v>
      </c>
      <c r="M63" s="25">
        <v>88</v>
      </c>
      <c r="N63" s="25">
        <v>352</v>
      </c>
    </row>
    <row r="64" spans="4:14">
      <c r="D64" s="64">
        <v>46078</v>
      </c>
      <c r="E64" s="32">
        <v>1579878</v>
      </c>
      <c r="F64" s="32" t="s">
        <v>20</v>
      </c>
      <c r="G64" s="32">
        <v>20324617</v>
      </c>
      <c r="H64" s="32" t="s">
        <v>179</v>
      </c>
      <c r="I64" s="32">
        <v>3</v>
      </c>
      <c r="J64" s="30" t="s">
        <v>36</v>
      </c>
      <c r="K64" s="24">
        <v>1</v>
      </c>
      <c r="L64" s="25">
        <v>17.6</v>
      </c>
      <c r="M64" s="25">
        <v>35.2</v>
      </c>
      <c r="N64" s="25">
        <v>105.6</v>
      </c>
    </row>
    <row r="65" spans="4:14">
      <c r="D65" s="64"/>
      <c r="E65" s="32"/>
      <c r="F65" s="32"/>
      <c r="G65" s="32"/>
      <c r="H65" s="32"/>
      <c r="I65" s="32"/>
      <c r="J65" s="30" t="s">
        <v>36</v>
      </c>
      <c r="K65" s="24">
        <v>1</v>
      </c>
      <c r="L65" s="25">
        <v>17.6</v>
      </c>
      <c r="M65" s="25"/>
      <c r="N65" s="25"/>
    </row>
    <row r="66" spans="4:14">
      <c r="D66" s="64">
        <v>46078</v>
      </c>
      <c r="E66" s="32">
        <v>1579878</v>
      </c>
      <c r="F66" s="32" t="s">
        <v>20</v>
      </c>
      <c r="G66" s="32">
        <v>20324583</v>
      </c>
      <c r="H66" s="32" t="s">
        <v>180</v>
      </c>
      <c r="I66" s="32">
        <v>1</v>
      </c>
      <c r="J66" s="34" t="s">
        <v>181</v>
      </c>
      <c r="K66" s="24">
        <v>1</v>
      </c>
      <c r="L66" s="25">
        <v>28</v>
      </c>
      <c r="M66" s="25">
        <v>28</v>
      </c>
      <c r="N66" s="25">
        <v>28</v>
      </c>
    </row>
    <row r="67" spans="4:14">
      <c r="D67" s="64">
        <v>46079</v>
      </c>
      <c r="E67" s="32">
        <v>1580510</v>
      </c>
      <c r="F67" s="32" t="s">
        <v>16</v>
      </c>
      <c r="G67" s="32">
        <v>20324632</v>
      </c>
      <c r="H67" s="32" t="s">
        <v>178</v>
      </c>
      <c r="I67" s="32">
        <v>5</v>
      </c>
      <c r="J67" s="30" t="s">
        <v>18</v>
      </c>
      <c r="K67" s="24">
        <f>M67/L67</f>
        <v>20</v>
      </c>
      <c r="L67" s="25">
        <v>4.4</v>
      </c>
      <c r="M67" s="25">
        <v>88</v>
      </c>
      <c r="N67" s="25">
        <v>440</v>
      </c>
    </row>
    <row r="68" spans="4:14">
      <c r="D68" s="64">
        <v>46080</v>
      </c>
      <c r="E68" s="32">
        <v>1580580</v>
      </c>
      <c r="F68" s="32" t="s">
        <v>20</v>
      </c>
      <c r="G68" s="32">
        <v>20324617</v>
      </c>
      <c r="H68" s="32" t="s">
        <v>179</v>
      </c>
      <c r="I68" s="32">
        <v>5</v>
      </c>
      <c r="J68" s="30" t="s">
        <v>36</v>
      </c>
      <c r="K68" s="24">
        <v>1</v>
      </c>
      <c r="L68" s="25">
        <v>17.6</v>
      </c>
      <c r="M68" s="25">
        <v>35.2</v>
      </c>
      <c r="N68" s="25">
        <v>176</v>
      </c>
    </row>
    <row r="69" spans="4:14">
      <c r="D69" s="64"/>
      <c r="E69" s="32"/>
      <c r="F69" s="32"/>
      <c r="G69" s="32"/>
      <c r="H69" s="32"/>
      <c r="I69" s="32"/>
      <c r="J69" s="30" t="s">
        <v>36</v>
      </c>
      <c r="K69" s="24">
        <v>1</v>
      </c>
      <c r="L69" s="25">
        <v>17.6</v>
      </c>
      <c r="M69" s="25"/>
      <c r="N69" s="25"/>
    </row>
    <row r="70" spans="4:14">
      <c r="D70" s="64">
        <v>46080</v>
      </c>
      <c r="E70" s="32">
        <v>1580580</v>
      </c>
      <c r="F70" s="32" t="s">
        <v>20</v>
      </c>
      <c r="G70" s="32">
        <v>20324583</v>
      </c>
      <c r="H70" s="32" t="s">
        <v>180</v>
      </c>
      <c r="I70" s="32">
        <v>2</v>
      </c>
      <c r="J70" s="34" t="s">
        <v>181</v>
      </c>
      <c r="K70" s="24">
        <v>1</v>
      </c>
      <c r="L70" s="25">
        <v>28</v>
      </c>
      <c r="M70" s="25">
        <v>28</v>
      </c>
      <c r="N70" s="25">
        <v>56</v>
      </c>
    </row>
    <row r="71" spans="4:14">
      <c r="D71" s="64">
        <v>46080</v>
      </c>
      <c r="E71" s="32">
        <v>1580861</v>
      </c>
      <c r="F71" s="32" t="s">
        <v>16</v>
      </c>
      <c r="G71" s="32">
        <v>20324632</v>
      </c>
      <c r="H71" s="32" t="s">
        <v>178</v>
      </c>
      <c r="I71" s="32">
        <v>6</v>
      </c>
      <c r="J71" s="30" t="s">
        <v>18</v>
      </c>
      <c r="K71" s="24">
        <f>M71/L71</f>
        <v>20</v>
      </c>
      <c r="L71" s="25">
        <v>4.4</v>
      </c>
      <c r="M71" s="25">
        <v>88</v>
      </c>
      <c r="N71" s="25">
        <v>528</v>
      </c>
    </row>
    <row r="72" spans="4:14">
      <c r="D72" s="64">
        <v>46081</v>
      </c>
      <c r="E72" s="32">
        <v>1580929</v>
      </c>
      <c r="F72" s="32" t="s">
        <v>20</v>
      </c>
      <c r="G72" s="32">
        <v>20324617</v>
      </c>
      <c r="H72" s="32" t="s">
        <v>179</v>
      </c>
      <c r="I72" s="32">
        <v>5</v>
      </c>
      <c r="J72" s="30" t="s">
        <v>36</v>
      </c>
      <c r="K72" s="24">
        <v>1</v>
      </c>
      <c r="L72" s="25">
        <v>17.6</v>
      </c>
      <c r="M72" s="25">
        <v>35.2</v>
      </c>
      <c r="N72" s="25">
        <v>176</v>
      </c>
    </row>
    <row r="73" spans="4:14">
      <c r="D73" s="64"/>
      <c r="E73" s="32"/>
      <c r="F73" s="32"/>
      <c r="G73" s="32"/>
      <c r="H73" s="32"/>
      <c r="I73" s="32"/>
      <c r="J73" s="30" t="s">
        <v>36</v>
      </c>
      <c r="K73" s="24">
        <v>1</v>
      </c>
      <c r="L73" s="25">
        <v>17.6</v>
      </c>
      <c r="M73" s="25"/>
      <c r="N73" s="25"/>
    </row>
    <row r="74" spans="4:14">
      <c r="D74" s="64">
        <v>46081</v>
      </c>
      <c r="E74" s="32">
        <v>1580929</v>
      </c>
      <c r="F74" s="32" t="s">
        <v>20</v>
      </c>
      <c r="G74" s="32">
        <v>20324583</v>
      </c>
      <c r="H74" s="32" t="s">
        <v>180</v>
      </c>
      <c r="I74" s="32">
        <v>1</v>
      </c>
      <c r="J74" s="34" t="s">
        <v>181</v>
      </c>
      <c r="K74" s="24">
        <v>1</v>
      </c>
      <c r="L74" s="25">
        <v>28</v>
      </c>
      <c r="M74" s="25">
        <v>28</v>
      </c>
      <c r="N74" s="25">
        <v>28</v>
      </c>
    </row>
    <row r="75" spans="4:14">
      <c r="D75" s="64">
        <v>46081</v>
      </c>
      <c r="E75" s="32">
        <v>1580929</v>
      </c>
      <c r="F75" s="32" t="s">
        <v>26</v>
      </c>
      <c r="G75" s="32">
        <v>20325607</v>
      </c>
      <c r="H75" s="32" t="s">
        <v>183</v>
      </c>
      <c r="I75" s="32">
        <v>1</v>
      </c>
      <c r="J75" s="30" t="s">
        <v>36</v>
      </c>
      <c r="K75" s="24">
        <v>1</v>
      </c>
      <c r="L75" s="25">
        <v>17.6</v>
      </c>
      <c r="M75" s="25">
        <v>52.8</v>
      </c>
      <c r="N75" s="25">
        <v>52.8</v>
      </c>
    </row>
    <row r="76" spans="4:14">
      <c r="D76" s="64"/>
      <c r="E76" s="32"/>
      <c r="F76" s="32"/>
      <c r="G76" s="32"/>
      <c r="H76" s="32"/>
      <c r="I76" s="32"/>
      <c r="J76" s="30" t="s">
        <v>36</v>
      </c>
      <c r="K76" s="24">
        <v>1</v>
      </c>
      <c r="L76" s="25">
        <v>17.6</v>
      </c>
      <c r="M76" s="25"/>
      <c r="N76" s="25"/>
    </row>
    <row r="77" spans="4:14">
      <c r="D77" s="64"/>
      <c r="E77" s="32"/>
      <c r="F77" s="32"/>
      <c r="G77" s="32"/>
      <c r="H77" s="32"/>
      <c r="I77" s="32"/>
      <c r="J77" s="30" t="s">
        <v>36</v>
      </c>
      <c r="K77" s="24">
        <v>1</v>
      </c>
      <c r="L77" s="25">
        <v>17.6</v>
      </c>
      <c r="M77" s="25"/>
      <c r="N77" s="25"/>
    </row>
    <row r="78" spans="4:14">
      <c r="D78" s="64">
        <v>46081</v>
      </c>
      <c r="E78" s="32">
        <v>1581180</v>
      </c>
      <c r="F78" s="32" t="s">
        <v>16</v>
      </c>
      <c r="G78" s="32">
        <v>20324632</v>
      </c>
      <c r="H78" s="32" t="s">
        <v>178</v>
      </c>
      <c r="I78" s="32">
        <v>3</v>
      </c>
      <c r="J78" s="30" t="s">
        <v>18</v>
      </c>
      <c r="K78" s="24">
        <f>M78/L78</f>
        <v>20</v>
      </c>
      <c r="L78" s="25">
        <v>4.4</v>
      </c>
      <c r="M78" s="25">
        <v>88</v>
      </c>
      <c r="N78" s="25">
        <v>264</v>
      </c>
    </row>
    <row r="84" spans="4:12">
      <c r="D84" s="1" t="s">
        <v>185</v>
      </c>
    </row>
    <row r="87" spans="4:12">
      <c r="D87" s="2" t="s">
        <v>186</v>
      </c>
    </row>
    <row r="90" spans="4:12">
      <c r="D90" s="4" t="s">
        <v>187</v>
      </c>
      <c r="E90" s="4" t="s">
        <v>188</v>
      </c>
      <c r="G90" s="4" t="s">
        <v>189</v>
      </c>
      <c r="H90" s="4" t="s">
        <v>190</v>
      </c>
      <c r="I90" s="4" t="s">
        <v>7</v>
      </c>
      <c r="J90" s="4" t="s">
        <v>191</v>
      </c>
      <c r="L90" s="4" t="s">
        <v>192</v>
      </c>
    </row>
    <row r="91" ht="15.75" spans="4:12">
      <c r="D91" s="35" t="s">
        <v>3</v>
      </c>
      <c r="E91" s="36" t="s">
        <v>2</v>
      </c>
      <c r="F91" s="36" t="s">
        <v>2</v>
      </c>
      <c r="G91" s="36" t="s">
        <v>2</v>
      </c>
      <c r="H91" s="36" t="s">
        <v>2</v>
      </c>
      <c r="I91" s="36" t="s">
        <v>2</v>
      </c>
      <c r="J91" s="37" t="s">
        <v>2</v>
      </c>
      <c r="K91" s="36" t="s">
        <v>2</v>
      </c>
      <c r="L91" s="38"/>
    </row>
    <row r="92" ht="14.25" spans="4:12">
      <c r="D92" s="39" t="s">
        <v>177</v>
      </c>
      <c r="E92" s="36" t="s">
        <v>2</v>
      </c>
      <c r="F92" s="36" t="s">
        <v>2</v>
      </c>
      <c r="G92" s="36" t="s">
        <v>2</v>
      </c>
      <c r="H92" s="36" t="s">
        <v>2</v>
      </c>
      <c r="I92" s="36" t="s">
        <v>2</v>
      </c>
      <c r="J92" s="40" t="s">
        <v>2</v>
      </c>
      <c r="K92" s="36" t="s">
        <v>2</v>
      </c>
      <c r="L92" s="41">
        <v>-52.8</v>
      </c>
    </row>
    <row r="93" spans="4:12">
      <c r="D93" s="42" t="s">
        <v>26</v>
      </c>
      <c r="E93" s="36" t="s">
        <v>2</v>
      </c>
      <c r="F93" s="36" t="s">
        <v>2</v>
      </c>
      <c r="G93" s="36" t="s">
        <v>2</v>
      </c>
      <c r="H93" s="36" t="s">
        <v>2</v>
      </c>
      <c r="I93" s="36" t="s">
        <v>2</v>
      </c>
      <c r="J93" s="43" t="s">
        <v>2</v>
      </c>
      <c r="K93" s="36" t="s">
        <v>2</v>
      </c>
      <c r="L93" s="44">
        <v>-52.8</v>
      </c>
    </row>
    <row r="94" spans="4:12">
      <c r="D94" s="45">
        <v>3005912093</v>
      </c>
      <c r="E94" s="46">
        <v>46083.5379401968</v>
      </c>
      <c r="F94" s="47" t="s">
        <v>2</v>
      </c>
      <c r="G94" s="48" t="s">
        <v>193</v>
      </c>
      <c r="H94" s="49">
        <v>46057.1182051736</v>
      </c>
      <c r="I94" s="50">
        <v>20325607</v>
      </c>
      <c r="J94" s="50" t="s">
        <v>183</v>
      </c>
      <c r="K94" s="47" t="s">
        <v>2</v>
      </c>
      <c r="L94" s="51">
        <v>-52.8</v>
      </c>
    </row>
  </sheetData>
  <autoFilter xmlns:etc="http://www.wps.cn/officeDocument/2017/etCustomData" ref="A7:N78" etc:filterBottomFollowUsedRange="0">
    <extLst/>
  </autoFilter>
  <mergeCells count="153">
    <mergeCell ref="D8:H8"/>
    <mergeCell ref="E90:F90"/>
    <mergeCell ref="J90:K90"/>
    <mergeCell ref="D91:I91"/>
    <mergeCell ref="J91:K91"/>
    <mergeCell ref="D92:I92"/>
    <mergeCell ref="J92:K92"/>
    <mergeCell ref="D93:I93"/>
    <mergeCell ref="J93:K93"/>
    <mergeCell ref="E94:F94"/>
    <mergeCell ref="J94:K94"/>
    <mergeCell ref="C7:C78"/>
    <mergeCell ref="D10:D11"/>
    <mergeCell ref="D15:D16"/>
    <mergeCell ref="D18:D20"/>
    <mergeCell ref="D22:D23"/>
    <mergeCell ref="D25:D27"/>
    <mergeCell ref="D29:D30"/>
    <mergeCell ref="D32:D34"/>
    <mergeCell ref="D39:D40"/>
    <mergeCell ref="D42:D44"/>
    <mergeCell ref="D47:D48"/>
    <mergeCell ref="D52:D53"/>
    <mergeCell ref="D56:D57"/>
    <mergeCell ref="D60:D61"/>
    <mergeCell ref="D64:D65"/>
    <mergeCell ref="D68:D69"/>
    <mergeCell ref="D72:D73"/>
    <mergeCell ref="D75:D77"/>
    <mergeCell ref="E10:E11"/>
    <mergeCell ref="E15:E16"/>
    <mergeCell ref="E18:E20"/>
    <mergeCell ref="E22:E23"/>
    <mergeCell ref="E25:E27"/>
    <mergeCell ref="E29:E30"/>
    <mergeCell ref="E32:E34"/>
    <mergeCell ref="E39:E40"/>
    <mergeCell ref="E42:E44"/>
    <mergeCell ref="E47:E48"/>
    <mergeCell ref="E52:E53"/>
    <mergeCell ref="E56:E57"/>
    <mergeCell ref="E60:E61"/>
    <mergeCell ref="E64:E65"/>
    <mergeCell ref="E68:E69"/>
    <mergeCell ref="E72:E73"/>
    <mergeCell ref="E75:E77"/>
    <mergeCell ref="F10:F11"/>
    <mergeCell ref="F15:F16"/>
    <mergeCell ref="F18:F20"/>
    <mergeCell ref="F22:F23"/>
    <mergeCell ref="F25:F27"/>
    <mergeCell ref="F29:F30"/>
    <mergeCell ref="F32:F34"/>
    <mergeCell ref="F39:F40"/>
    <mergeCell ref="F42:F44"/>
    <mergeCell ref="F47:F48"/>
    <mergeCell ref="F52:F53"/>
    <mergeCell ref="F56:F57"/>
    <mergeCell ref="F60:F61"/>
    <mergeCell ref="F64:F65"/>
    <mergeCell ref="F68:F69"/>
    <mergeCell ref="F72:F73"/>
    <mergeCell ref="F75:F77"/>
    <mergeCell ref="G10:G11"/>
    <mergeCell ref="G15:G16"/>
    <mergeCell ref="G18:G20"/>
    <mergeCell ref="G22:G23"/>
    <mergeCell ref="G25:G27"/>
    <mergeCell ref="G29:G30"/>
    <mergeCell ref="G32:G34"/>
    <mergeCell ref="G39:G40"/>
    <mergeCell ref="G42:G44"/>
    <mergeCell ref="G47:G48"/>
    <mergeCell ref="G52:G53"/>
    <mergeCell ref="G56:G57"/>
    <mergeCell ref="G60:G61"/>
    <mergeCell ref="G64:G65"/>
    <mergeCell ref="G68:G69"/>
    <mergeCell ref="G72:G73"/>
    <mergeCell ref="G75:G77"/>
    <mergeCell ref="H10:H11"/>
    <mergeCell ref="H15:H16"/>
    <mergeCell ref="H18:H20"/>
    <mergeCell ref="H22:H23"/>
    <mergeCell ref="H25:H27"/>
    <mergeCell ref="H29:H30"/>
    <mergeCell ref="H32:H34"/>
    <mergeCell ref="H39:H40"/>
    <mergeCell ref="H42:H44"/>
    <mergeCell ref="H47:H48"/>
    <mergeCell ref="H52:H53"/>
    <mergeCell ref="H56:H57"/>
    <mergeCell ref="H60:H61"/>
    <mergeCell ref="H64:H65"/>
    <mergeCell ref="H68:H69"/>
    <mergeCell ref="H72:H73"/>
    <mergeCell ref="H75:H77"/>
    <mergeCell ref="I10:I11"/>
    <mergeCell ref="I15:I16"/>
    <mergeCell ref="I18:I20"/>
    <mergeCell ref="I22:I23"/>
    <mergeCell ref="I25:I27"/>
    <mergeCell ref="I29:I30"/>
    <mergeCell ref="I32:I34"/>
    <mergeCell ref="I39:I40"/>
    <mergeCell ref="I42:I44"/>
    <mergeCell ref="I47:I48"/>
    <mergeCell ref="I52:I53"/>
    <mergeCell ref="I56:I57"/>
    <mergeCell ref="I60:I61"/>
    <mergeCell ref="I64:I65"/>
    <mergeCell ref="I68:I69"/>
    <mergeCell ref="I72:I73"/>
    <mergeCell ref="I75:I77"/>
    <mergeCell ref="M10:M11"/>
    <mergeCell ref="M15:M16"/>
    <mergeCell ref="M18:M20"/>
    <mergeCell ref="M22:M23"/>
    <mergeCell ref="M25:M27"/>
    <mergeCell ref="M29:M30"/>
    <mergeCell ref="M32:M34"/>
    <mergeCell ref="M39:M40"/>
    <mergeCell ref="M42:M44"/>
    <mergeCell ref="M47:M48"/>
    <mergeCell ref="M52:M53"/>
    <mergeCell ref="M56:M57"/>
    <mergeCell ref="M60:M61"/>
    <mergeCell ref="M64:M65"/>
    <mergeCell ref="M68:M69"/>
    <mergeCell ref="M72:M73"/>
    <mergeCell ref="M75:M77"/>
    <mergeCell ref="N10:N11"/>
    <mergeCell ref="N15:N16"/>
    <mergeCell ref="N18:N20"/>
    <mergeCell ref="N22:N23"/>
    <mergeCell ref="N25:N27"/>
    <mergeCell ref="N29:N30"/>
    <mergeCell ref="N32:N34"/>
    <mergeCell ref="N39:N40"/>
    <mergeCell ref="N42:N44"/>
    <mergeCell ref="N47:N48"/>
    <mergeCell ref="N52:N53"/>
    <mergeCell ref="N56:N57"/>
    <mergeCell ref="N60:N61"/>
    <mergeCell ref="N64:N65"/>
    <mergeCell ref="N68:N69"/>
    <mergeCell ref="N72:N73"/>
    <mergeCell ref="N75:N77"/>
    <mergeCell ref="B4:H5"/>
    <mergeCell ref="C1:H2"/>
    <mergeCell ref="A7:B78"/>
    <mergeCell ref="D84:M85"/>
    <mergeCell ref="D87:H8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2" width="13.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194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14</v>
      </c>
      <c r="J8" s="67"/>
      <c r="K8" s="33"/>
      <c r="L8" s="33"/>
      <c r="M8" s="33"/>
      <c r="N8" s="33">
        <v>123.2</v>
      </c>
    </row>
    <row r="9" spans="1:14">
      <c r="D9" s="68">
        <v>46057</v>
      </c>
      <c r="E9" s="69">
        <v>1576312</v>
      </c>
      <c r="F9" s="69" t="s">
        <v>20</v>
      </c>
      <c r="G9" s="69">
        <v>20411816</v>
      </c>
      <c r="H9" s="69" t="s">
        <v>195</v>
      </c>
      <c r="I9" s="69">
        <v>2</v>
      </c>
      <c r="J9" s="29" t="s">
        <v>29</v>
      </c>
      <c r="K9" s="18">
        <v>1</v>
      </c>
      <c r="L9" s="19">
        <v>6.4</v>
      </c>
      <c r="M9" s="19">
        <v>6.4</v>
      </c>
      <c r="N9" s="19">
        <v>12.8</v>
      </c>
    </row>
    <row r="10" spans="1:14">
      <c r="D10" s="64">
        <v>46057</v>
      </c>
      <c r="E10" s="32">
        <v>1576312</v>
      </c>
      <c r="F10" s="32" t="s">
        <v>20</v>
      </c>
      <c r="G10" s="32">
        <v>20325003</v>
      </c>
      <c r="H10" s="32" t="s">
        <v>196</v>
      </c>
      <c r="I10" s="32">
        <v>2</v>
      </c>
      <c r="J10" s="32" t="s">
        <v>29</v>
      </c>
      <c r="K10" s="24">
        <v>1</v>
      </c>
      <c r="L10" s="25">
        <v>6.4</v>
      </c>
      <c r="M10" s="25">
        <v>10.8</v>
      </c>
      <c r="N10" s="25">
        <v>21.6</v>
      </c>
    </row>
    <row r="11" spans="1:14">
      <c r="D11" s="64"/>
      <c r="E11" s="32"/>
      <c r="F11" s="32"/>
      <c r="G11" s="32"/>
      <c r="H11" s="32"/>
      <c r="I11" s="32"/>
      <c r="J11" s="32" t="s">
        <v>116</v>
      </c>
      <c r="K11" s="24">
        <v>1</v>
      </c>
      <c r="L11" s="25">
        <v>4.4</v>
      </c>
      <c r="M11" s="25"/>
      <c r="N11" s="25"/>
    </row>
    <row r="12" spans="1:14">
      <c r="D12" s="64">
        <v>46057</v>
      </c>
      <c r="E12" s="32">
        <v>1576312</v>
      </c>
      <c r="F12" s="31" t="s">
        <v>20</v>
      </c>
      <c r="G12" s="32">
        <v>20325004</v>
      </c>
      <c r="H12" s="32" t="s">
        <v>197</v>
      </c>
      <c r="I12" s="32">
        <v>1</v>
      </c>
      <c r="J12" s="30" t="s">
        <v>18</v>
      </c>
      <c r="K12" s="24">
        <f>M12/L12</f>
        <v>3</v>
      </c>
      <c r="L12" s="25">
        <v>4.4</v>
      </c>
      <c r="M12" s="25">
        <v>13.2</v>
      </c>
      <c r="N12" s="25">
        <v>13.2</v>
      </c>
    </row>
    <row r="13" spans="1:14">
      <c r="D13" s="64">
        <v>46062</v>
      </c>
      <c r="E13" s="32">
        <v>1577497</v>
      </c>
      <c r="F13" s="32" t="s">
        <v>20</v>
      </c>
      <c r="G13" s="32">
        <v>20325003</v>
      </c>
      <c r="H13" s="32" t="s">
        <v>196</v>
      </c>
      <c r="I13" s="32">
        <v>1</v>
      </c>
      <c r="J13" s="32" t="s">
        <v>29</v>
      </c>
      <c r="K13" s="24">
        <v>1</v>
      </c>
      <c r="L13" s="25">
        <v>6.4</v>
      </c>
      <c r="M13" s="25">
        <v>10.8</v>
      </c>
      <c r="N13" s="25">
        <v>10.8</v>
      </c>
    </row>
    <row r="14" spans="1:14">
      <c r="D14" s="64"/>
      <c r="E14" s="32"/>
      <c r="F14" s="32"/>
      <c r="G14" s="32"/>
      <c r="H14" s="32"/>
      <c r="I14" s="32"/>
      <c r="J14" s="32" t="s">
        <v>116</v>
      </c>
      <c r="K14" s="24">
        <v>1</v>
      </c>
      <c r="L14" s="25">
        <v>4.4</v>
      </c>
      <c r="M14" s="25"/>
      <c r="N14" s="25"/>
    </row>
    <row r="15" spans="1:14">
      <c r="D15" s="64">
        <v>46062</v>
      </c>
      <c r="E15" s="32">
        <v>1577497</v>
      </c>
      <c r="F15" s="31" t="s">
        <v>20</v>
      </c>
      <c r="G15" s="32">
        <v>20325004</v>
      </c>
      <c r="H15" s="32" t="s">
        <v>197</v>
      </c>
      <c r="I15" s="32">
        <v>1</v>
      </c>
      <c r="J15" s="30" t="s">
        <v>18</v>
      </c>
      <c r="K15" s="24">
        <f>M15/L15</f>
        <v>3</v>
      </c>
      <c r="L15" s="25">
        <v>4.4</v>
      </c>
      <c r="M15" s="25">
        <v>13.2</v>
      </c>
      <c r="N15" s="25">
        <v>13.2</v>
      </c>
    </row>
    <row r="16" spans="1:14">
      <c r="D16" s="64">
        <v>46063</v>
      </c>
      <c r="E16" s="32">
        <v>1577853</v>
      </c>
      <c r="F16" s="32" t="s">
        <v>20</v>
      </c>
      <c r="G16" s="32">
        <v>20324413</v>
      </c>
      <c r="H16" s="32" t="s">
        <v>160</v>
      </c>
      <c r="I16" s="32">
        <v>1</v>
      </c>
      <c r="J16" s="31" t="s">
        <v>29</v>
      </c>
      <c r="K16" s="24">
        <v>1</v>
      </c>
      <c r="L16" s="25">
        <v>6.4</v>
      </c>
      <c r="M16" s="25">
        <v>6.4</v>
      </c>
      <c r="N16" s="25">
        <v>6.4</v>
      </c>
    </row>
    <row r="17" spans="4:14">
      <c r="D17" s="64">
        <v>46063</v>
      </c>
      <c r="E17" s="32">
        <v>1577853</v>
      </c>
      <c r="F17" s="32" t="s">
        <v>20</v>
      </c>
      <c r="G17" s="32">
        <v>20382734</v>
      </c>
      <c r="H17" s="32" t="s">
        <v>198</v>
      </c>
      <c r="I17" s="32">
        <v>1</v>
      </c>
      <c r="J17" s="31" t="s">
        <v>29</v>
      </c>
      <c r="K17" s="24">
        <v>1</v>
      </c>
      <c r="L17" s="25">
        <v>6.4</v>
      </c>
      <c r="M17" s="25">
        <v>6.4</v>
      </c>
      <c r="N17" s="25">
        <v>6.4</v>
      </c>
    </row>
    <row r="18" spans="4:14">
      <c r="D18" s="64">
        <v>46063</v>
      </c>
      <c r="E18" s="32">
        <v>1577853</v>
      </c>
      <c r="F18" s="32" t="s">
        <v>20</v>
      </c>
      <c r="G18" s="32">
        <v>20324364</v>
      </c>
      <c r="H18" s="32" t="s">
        <v>99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46063</v>
      </c>
      <c r="E19" s="32">
        <v>1577853</v>
      </c>
      <c r="F19" s="32" t="s">
        <v>20</v>
      </c>
      <c r="G19" s="32">
        <v>20324363</v>
      </c>
      <c r="H19" s="32" t="s">
        <v>30</v>
      </c>
      <c r="I19" s="32">
        <v>3</v>
      </c>
      <c r="J19" s="31" t="s">
        <v>29</v>
      </c>
      <c r="K19" s="24">
        <v>1</v>
      </c>
      <c r="L19" s="25">
        <v>6.4</v>
      </c>
      <c r="M19" s="25">
        <v>6.4</v>
      </c>
      <c r="N19" s="25">
        <v>19.2</v>
      </c>
    </row>
    <row r="20" spans="4:14">
      <c r="D20" s="64">
        <v>46063</v>
      </c>
      <c r="E20" s="32">
        <v>1577853</v>
      </c>
      <c r="F20" s="31" t="s">
        <v>20</v>
      </c>
      <c r="G20" s="32">
        <v>20325004</v>
      </c>
      <c r="H20" s="32" t="s">
        <v>197</v>
      </c>
      <c r="I20" s="32">
        <v>1</v>
      </c>
      <c r="J20" s="30" t="s">
        <v>18</v>
      </c>
      <c r="K20" s="24">
        <f>M20/L20</f>
        <v>3</v>
      </c>
      <c r="L20" s="25">
        <v>4.4</v>
      </c>
      <c r="M20" s="25">
        <v>13.2</v>
      </c>
      <c r="N20" s="25">
        <v>13.2</v>
      </c>
    </row>
    <row r="21" ht="0.05" customHeight="1"/>
  </sheetData>
  <autoFilter xmlns:etc="http://www.wps.cn/officeDocument/2017/etCustomData" ref="A7:N20" etc:filterBottomFollowUsedRange="0">
    <extLst/>
  </autoFilter>
  <mergeCells count="21">
    <mergeCell ref="D8:H8"/>
    <mergeCell ref="C7:C20"/>
    <mergeCell ref="D10:D11"/>
    <mergeCell ref="D13:D14"/>
    <mergeCell ref="E10:E11"/>
    <mergeCell ref="E13:E14"/>
    <mergeCell ref="F10:F11"/>
    <mergeCell ref="F13:F14"/>
    <mergeCell ref="G10:G11"/>
    <mergeCell ref="G13:G14"/>
    <mergeCell ref="H10:H11"/>
    <mergeCell ref="H13:H14"/>
    <mergeCell ref="I10:I11"/>
    <mergeCell ref="I13:I14"/>
    <mergeCell ref="M10:M11"/>
    <mergeCell ref="M13:M14"/>
    <mergeCell ref="N10:N11"/>
    <mergeCell ref="N13:N14"/>
    <mergeCell ref="B4:H5"/>
    <mergeCell ref="C1:H2"/>
    <mergeCell ref="A7:B20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3" width="14.875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199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18</v>
      </c>
      <c r="J8" s="67"/>
      <c r="K8" s="33"/>
      <c r="L8" s="33"/>
      <c r="M8" s="33"/>
      <c r="N8" s="33">
        <v>422.4</v>
      </c>
    </row>
    <row r="9" spans="1:14">
      <c r="D9" s="68">
        <v>46066</v>
      </c>
      <c r="E9" s="69">
        <v>1578712</v>
      </c>
      <c r="F9" s="69" t="s">
        <v>16</v>
      </c>
      <c r="G9" s="69">
        <v>20324057</v>
      </c>
      <c r="H9" s="69" t="s">
        <v>145</v>
      </c>
      <c r="I9" s="69">
        <v>1</v>
      </c>
      <c r="J9" s="70" t="s">
        <v>18</v>
      </c>
      <c r="K9" s="18">
        <f>M9/L9</f>
        <v>14</v>
      </c>
      <c r="L9" s="19">
        <v>4.4</v>
      </c>
      <c r="M9" s="19">
        <v>61.6</v>
      </c>
      <c r="N9" s="19">
        <v>61.6</v>
      </c>
    </row>
    <row r="10" spans="1:14">
      <c r="D10" s="64">
        <v>46066</v>
      </c>
      <c r="E10" s="32">
        <v>1578712</v>
      </c>
      <c r="F10" s="32" t="s">
        <v>20</v>
      </c>
      <c r="G10" s="32">
        <v>20328686</v>
      </c>
      <c r="H10" s="32" t="s">
        <v>200</v>
      </c>
      <c r="I10" s="32">
        <v>3</v>
      </c>
      <c r="J10" s="32" t="s">
        <v>29</v>
      </c>
      <c r="K10" s="24">
        <v>1</v>
      </c>
      <c r="L10" s="25">
        <v>6.4</v>
      </c>
      <c r="M10" s="25">
        <v>10.8</v>
      </c>
      <c r="N10" s="25">
        <v>32.4</v>
      </c>
    </row>
    <row r="11" spans="1:14">
      <c r="D11" s="64"/>
      <c r="E11" s="32"/>
      <c r="F11" s="32"/>
      <c r="G11" s="32"/>
      <c r="H11" s="32"/>
      <c r="I11" s="32"/>
      <c r="J11" s="32" t="s">
        <v>116</v>
      </c>
      <c r="K11" s="24">
        <v>1</v>
      </c>
      <c r="L11" s="25">
        <v>4.4</v>
      </c>
      <c r="M11" s="25"/>
      <c r="N11" s="25"/>
    </row>
    <row r="12" spans="1:14">
      <c r="D12" s="64">
        <v>46066</v>
      </c>
      <c r="E12" s="32">
        <v>1578712</v>
      </c>
      <c r="F12" s="32" t="s">
        <v>20</v>
      </c>
      <c r="G12" s="32">
        <v>20324419</v>
      </c>
      <c r="H12" s="32" t="s">
        <v>144</v>
      </c>
      <c r="I12" s="3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64">
        <v>46066</v>
      </c>
      <c r="E13" s="32">
        <v>1578712</v>
      </c>
      <c r="F13" s="32" t="s">
        <v>20</v>
      </c>
      <c r="G13" s="32">
        <v>20324559</v>
      </c>
      <c r="H13" s="32" t="s">
        <v>112</v>
      </c>
      <c r="I13" s="32">
        <v>1</v>
      </c>
      <c r="J13" s="32" t="s">
        <v>64</v>
      </c>
      <c r="K13" s="24">
        <v>1</v>
      </c>
      <c r="L13" s="25">
        <v>8.8</v>
      </c>
      <c r="M13" s="25">
        <v>8.8</v>
      </c>
      <c r="N13" s="25">
        <v>8.8</v>
      </c>
    </row>
    <row r="14" spans="1:14">
      <c r="D14" s="64">
        <v>46077</v>
      </c>
      <c r="E14" s="32">
        <v>1579776</v>
      </c>
      <c r="F14" s="32" t="s">
        <v>16</v>
      </c>
      <c r="G14" s="32">
        <v>20324058</v>
      </c>
      <c r="H14" s="32" t="s">
        <v>201</v>
      </c>
      <c r="I14" s="32">
        <v>2</v>
      </c>
      <c r="J14" s="30" t="s">
        <v>18</v>
      </c>
      <c r="K14" s="24">
        <f t="shared" ref="K14:K18" si="0">M14/L14</f>
        <v>7</v>
      </c>
      <c r="L14" s="25">
        <v>4.4</v>
      </c>
      <c r="M14" s="25">
        <v>30.8</v>
      </c>
      <c r="N14" s="25">
        <v>61.6</v>
      </c>
    </row>
    <row r="15" spans="1:14">
      <c r="D15" s="64">
        <v>46077</v>
      </c>
      <c r="E15" s="32">
        <v>1579776</v>
      </c>
      <c r="F15" s="32" t="s">
        <v>16</v>
      </c>
      <c r="G15" s="32">
        <v>20324057</v>
      </c>
      <c r="H15" s="32" t="s">
        <v>145</v>
      </c>
      <c r="I15" s="32">
        <v>1</v>
      </c>
      <c r="J15" s="30" t="s">
        <v>18</v>
      </c>
      <c r="K15" s="24">
        <f t="shared" si="0"/>
        <v>14</v>
      </c>
      <c r="L15" s="25">
        <v>4.4</v>
      </c>
      <c r="M15" s="25">
        <v>61.6</v>
      </c>
      <c r="N15" s="25">
        <v>61.6</v>
      </c>
    </row>
    <row r="16" spans="1:14">
      <c r="D16" s="64">
        <v>46077</v>
      </c>
      <c r="E16" s="32">
        <v>1579776</v>
      </c>
      <c r="F16" s="32" t="s">
        <v>20</v>
      </c>
      <c r="G16" s="32">
        <v>20328686</v>
      </c>
      <c r="H16" s="32" t="s">
        <v>200</v>
      </c>
      <c r="I16" s="32">
        <v>5</v>
      </c>
      <c r="J16" s="32" t="s">
        <v>29</v>
      </c>
      <c r="K16" s="24">
        <v>1</v>
      </c>
      <c r="L16" s="25">
        <v>6.4</v>
      </c>
      <c r="M16" s="25">
        <v>10.8</v>
      </c>
      <c r="N16" s="25">
        <v>54</v>
      </c>
    </row>
    <row r="17" spans="4:14">
      <c r="D17" s="64"/>
      <c r="E17" s="32"/>
      <c r="F17" s="32"/>
      <c r="G17" s="32"/>
      <c r="H17" s="32"/>
      <c r="I17" s="32"/>
      <c r="J17" s="32" t="s">
        <v>116</v>
      </c>
      <c r="K17" s="24">
        <v>1</v>
      </c>
      <c r="L17" s="25">
        <v>4.4</v>
      </c>
      <c r="M17" s="25"/>
      <c r="N17" s="25"/>
    </row>
    <row r="18" spans="4:14">
      <c r="D18" s="64">
        <v>46081</v>
      </c>
      <c r="E18" s="32">
        <v>1581181</v>
      </c>
      <c r="F18" s="32" t="s">
        <v>16</v>
      </c>
      <c r="G18" s="32">
        <v>20324057</v>
      </c>
      <c r="H18" s="32" t="s">
        <v>145</v>
      </c>
      <c r="I18" s="32">
        <v>2</v>
      </c>
      <c r="J18" s="30" t="s">
        <v>18</v>
      </c>
      <c r="K18" s="24">
        <f t="shared" si="0"/>
        <v>14</v>
      </c>
      <c r="L18" s="25">
        <v>4.4</v>
      </c>
      <c r="M18" s="25">
        <v>61.6</v>
      </c>
      <c r="N18" s="25">
        <v>123.2</v>
      </c>
    </row>
    <row r="19" spans="4:14">
      <c r="D19" s="64">
        <v>46081</v>
      </c>
      <c r="E19" s="32">
        <v>1581181</v>
      </c>
      <c r="F19" s="32" t="s">
        <v>20</v>
      </c>
      <c r="G19" s="32">
        <v>20324533</v>
      </c>
      <c r="H19" s="32" t="s">
        <v>124</v>
      </c>
      <c r="I19" s="32">
        <v>1</v>
      </c>
      <c r="J19" s="31" t="s">
        <v>29</v>
      </c>
      <c r="K19" s="24">
        <v>1</v>
      </c>
      <c r="L19" s="25">
        <v>6.4</v>
      </c>
      <c r="M19" s="25">
        <v>6.4</v>
      </c>
      <c r="N19" s="25">
        <v>6.4</v>
      </c>
    </row>
    <row r="20" spans="4:14">
      <c r="D20" s="64">
        <v>46081</v>
      </c>
      <c r="E20" s="32">
        <v>1581181</v>
      </c>
      <c r="F20" s="32" t="s">
        <v>20</v>
      </c>
      <c r="G20" s="32">
        <v>20324963</v>
      </c>
      <c r="H20" s="32" t="s">
        <v>143</v>
      </c>
      <c r="I20" s="32">
        <v>1</v>
      </c>
      <c r="J20" s="31" t="s">
        <v>29</v>
      </c>
      <c r="K20" s="24">
        <v>1</v>
      </c>
      <c r="L20" s="25">
        <v>6.4</v>
      </c>
      <c r="M20" s="25">
        <v>6.4</v>
      </c>
      <c r="N20" s="25">
        <v>6.4</v>
      </c>
    </row>
    <row r="21" ht="0.05" customHeight="1"/>
  </sheetData>
  <autoFilter xmlns:etc="http://www.wps.cn/officeDocument/2017/etCustomData" ref="A7:N20" etc:filterBottomFollowUsedRange="0">
    <extLst/>
  </autoFilter>
  <mergeCells count="21">
    <mergeCell ref="D8:H8"/>
    <mergeCell ref="C7:C20"/>
    <mergeCell ref="D10:D11"/>
    <mergeCell ref="D16:D17"/>
    <mergeCell ref="E10:E11"/>
    <mergeCell ref="E16:E17"/>
    <mergeCell ref="F10:F11"/>
    <mergeCell ref="F16:F17"/>
    <mergeCell ref="G10:G11"/>
    <mergeCell ref="G16:G17"/>
    <mergeCell ref="H10:H11"/>
    <mergeCell ref="H16:H17"/>
    <mergeCell ref="I10:I11"/>
    <mergeCell ref="I16:I17"/>
    <mergeCell ref="M10:M11"/>
    <mergeCell ref="M16:M17"/>
    <mergeCell ref="N10:N11"/>
    <mergeCell ref="N16:N17"/>
    <mergeCell ref="B4:H5"/>
    <mergeCell ref="C1:H2"/>
    <mergeCell ref="A7:B20"/>
  </mergeCells>
  <pageMargins left="0.25" right="0.25" top="0.75" bottom="0.75" header="0.298611111111111" footer="0.298611111111111"/>
  <pageSetup paperSize="9" scale="92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25" customWidth="1"/>
    <col min="11" max="11" width="19.125" customWidth="1"/>
    <col min="12" max="12" width="13.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202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75</v>
      </c>
      <c r="J8" s="67"/>
      <c r="K8" s="33"/>
      <c r="L8" s="33"/>
      <c r="M8" s="33"/>
      <c r="N8" s="33">
        <v>1164</v>
      </c>
    </row>
    <row r="9" spans="1:14">
      <c r="D9" s="68">
        <v>46055</v>
      </c>
      <c r="E9" s="69">
        <v>1575633</v>
      </c>
      <c r="F9" s="69" t="s">
        <v>16</v>
      </c>
      <c r="G9" s="69">
        <v>20324400</v>
      </c>
      <c r="H9" s="69" t="s">
        <v>118</v>
      </c>
      <c r="I9" s="69">
        <v>13</v>
      </c>
      <c r="J9" s="70" t="s">
        <v>18</v>
      </c>
      <c r="K9" s="18">
        <f t="shared" ref="K9:K12" si="0">M9/L9</f>
        <v>4</v>
      </c>
      <c r="L9" s="19">
        <v>4.4</v>
      </c>
      <c r="M9" s="19">
        <v>17.6</v>
      </c>
      <c r="N9" s="19">
        <v>228.8</v>
      </c>
    </row>
    <row r="10" spans="1:14">
      <c r="D10" s="64">
        <v>46058</v>
      </c>
      <c r="E10" s="32">
        <v>1576660</v>
      </c>
      <c r="F10" s="32" t="s">
        <v>16</v>
      </c>
      <c r="G10" s="32">
        <v>20324400</v>
      </c>
      <c r="H10" s="32" t="s">
        <v>118</v>
      </c>
      <c r="I10" s="32">
        <v>5</v>
      </c>
      <c r="J10" s="30" t="s">
        <v>18</v>
      </c>
      <c r="K10" s="24">
        <f t="shared" si="0"/>
        <v>4</v>
      </c>
      <c r="L10" s="25">
        <v>4.4</v>
      </c>
      <c r="M10" s="25">
        <v>17.6</v>
      </c>
      <c r="N10" s="25">
        <v>88</v>
      </c>
    </row>
    <row r="11" spans="1:14">
      <c r="D11" s="64">
        <v>46058</v>
      </c>
      <c r="E11" s="32">
        <v>1576660</v>
      </c>
      <c r="F11" s="32" t="s">
        <v>16</v>
      </c>
      <c r="G11" s="32">
        <v>20324399</v>
      </c>
      <c r="H11" s="32" t="s">
        <v>119</v>
      </c>
      <c r="I11" s="32">
        <v>3</v>
      </c>
      <c r="J11" s="30" t="s">
        <v>18</v>
      </c>
      <c r="K11" s="24">
        <f t="shared" si="0"/>
        <v>12</v>
      </c>
      <c r="L11" s="25">
        <v>4.4</v>
      </c>
      <c r="M11" s="25">
        <v>52.8</v>
      </c>
      <c r="N11" s="25">
        <v>158.4</v>
      </c>
    </row>
    <row r="12" spans="1:14">
      <c r="D12" s="64">
        <v>46058</v>
      </c>
      <c r="E12" s="32">
        <v>1576660</v>
      </c>
      <c r="F12" s="31" t="s">
        <v>20</v>
      </c>
      <c r="G12" s="32">
        <v>20324369</v>
      </c>
      <c r="H12" s="32" t="s">
        <v>140</v>
      </c>
      <c r="I12" s="32">
        <v>1</v>
      </c>
      <c r="J12" s="30" t="s">
        <v>18</v>
      </c>
      <c r="K12" s="24">
        <f t="shared" si="0"/>
        <v>3</v>
      </c>
      <c r="L12" s="25">
        <v>4.4</v>
      </c>
      <c r="M12" s="25">
        <v>13.2</v>
      </c>
      <c r="N12" s="25">
        <v>13.2</v>
      </c>
    </row>
    <row r="13" spans="1:14">
      <c r="D13" s="64">
        <v>46063</v>
      </c>
      <c r="E13" s="32">
        <v>1577854</v>
      </c>
      <c r="F13" s="32" t="s">
        <v>20</v>
      </c>
      <c r="G13" s="32">
        <v>20324901</v>
      </c>
      <c r="H13" s="32" t="s">
        <v>203</v>
      </c>
      <c r="I13" s="32">
        <v>1</v>
      </c>
      <c r="J13" s="31" t="s">
        <v>29</v>
      </c>
      <c r="K13" s="24">
        <v>1</v>
      </c>
      <c r="L13" s="25">
        <v>6.4</v>
      </c>
      <c r="M13" s="25">
        <v>6.4</v>
      </c>
      <c r="N13" s="25">
        <v>6.4</v>
      </c>
    </row>
    <row r="14" spans="1:14">
      <c r="D14" s="64">
        <v>46063</v>
      </c>
      <c r="E14" s="32">
        <v>1577854</v>
      </c>
      <c r="F14" s="32" t="s">
        <v>20</v>
      </c>
      <c r="G14" s="32">
        <v>20324957</v>
      </c>
      <c r="H14" s="32" t="s">
        <v>204</v>
      </c>
      <c r="I14" s="32">
        <v>1</v>
      </c>
      <c r="J14" s="31" t="s">
        <v>29</v>
      </c>
      <c r="K14" s="24">
        <v>1</v>
      </c>
      <c r="L14" s="25">
        <v>6.4</v>
      </c>
      <c r="M14" s="25">
        <v>6.4</v>
      </c>
      <c r="N14" s="25">
        <v>6.4</v>
      </c>
    </row>
    <row r="15" spans="1:14">
      <c r="D15" s="64">
        <v>46063</v>
      </c>
      <c r="E15" s="32">
        <v>1577854</v>
      </c>
      <c r="F15" s="32" t="s">
        <v>20</v>
      </c>
      <c r="G15" s="32">
        <v>20350980</v>
      </c>
      <c r="H15" s="32" t="s">
        <v>205</v>
      </c>
      <c r="I15" s="32">
        <v>1</v>
      </c>
      <c r="J15" s="31" t="s">
        <v>29</v>
      </c>
      <c r="K15" s="24">
        <v>1</v>
      </c>
      <c r="L15" s="25">
        <v>6.4</v>
      </c>
      <c r="M15" s="25">
        <v>6.4</v>
      </c>
      <c r="N15" s="25">
        <v>6.4</v>
      </c>
    </row>
    <row r="16" spans="1:14">
      <c r="D16" s="64">
        <v>46063</v>
      </c>
      <c r="E16" s="32">
        <v>1577854</v>
      </c>
      <c r="F16" s="32" t="s">
        <v>20</v>
      </c>
      <c r="G16" s="32">
        <v>20324902</v>
      </c>
      <c r="H16" s="32" t="s">
        <v>206</v>
      </c>
      <c r="I16" s="32">
        <v>1</v>
      </c>
      <c r="J16" s="31" t="s">
        <v>29</v>
      </c>
      <c r="K16" s="24">
        <v>1</v>
      </c>
      <c r="L16" s="25">
        <v>6.4</v>
      </c>
      <c r="M16" s="25">
        <v>6.4</v>
      </c>
      <c r="N16" s="25">
        <v>6.4</v>
      </c>
    </row>
    <row r="17" spans="4:14">
      <c r="D17" s="64">
        <v>46063</v>
      </c>
      <c r="E17" s="32">
        <v>1577854</v>
      </c>
      <c r="F17" s="32" t="s">
        <v>20</v>
      </c>
      <c r="G17" s="32">
        <v>20330459</v>
      </c>
      <c r="H17" s="32" t="s">
        <v>122</v>
      </c>
      <c r="I17" s="32">
        <v>2</v>
      </c>
      <c r="J17" s="31" t="s">
        <v>29</v>
      </c>
      <c r="K17" s="24">
        <v>1</v>
      </c>
      <c r="L17" s="25">
        <v>6.4</v>
      </c>
      <c r="M17" s="25">
        <v>6.4</v>
      </c>
      <c r="N17" s="25">
        <v>12.8</v>
      </c>
    </row>
    <row r="18" spans="4:14">
      <c r="D18" s="64">
        <v>46063</v>
      </c>
      <c r="E18" s="32">
        <v>1577854</v>
      </c>
      <c r="F18" s="32" t="s">
        <v>20</v>
      </c>
      <c r="G18" s="32">
        <v>20324364</v>
      </c>
      <c r="H18" s="32" t="s">
        <v>99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46063</v>
      </c>
      <c r="E19" s="32">
        <v>1577854</v>
      </c>
      <c r="F19" s="32" t="s">
        <v>20</v>
      </c>
      <c r="G19" s="32">
        <v>20324691</v>
      </c>
      <c r="H19" s="32" t="s">
        <v>123</v>
      </c>
      <c r="I19" s="32">
        <v>1</v>
      </c>
      <c r="J19" s="32" t="s">
        <v>64</v>
      </c>
      <c r="K19" s="24">
        <v>1</v>
      </c>
      <c r="L19" s="25">
        <v>8.8</v>
      </c>
      <c r="M19" s="25">
        <v>8.8</v>
      </c>
      <c r="N19" s="25">
        <v>8.8</v>
      </c>
    </row>
    <row r="20" spans="4:14">
      <c r="D20" s="64">
        <v>46063</v>
      </c>
      <c r="E20" s="32">
        <v>1577854</v>
      </c>
      <c r="F20" s="32" t="s">
        <v>20</v>
      </c>
      <c r="G20" s="32">
        <v>20324403</v>
      </c>
      <c r="H20" s="32" t="s">
        <v>114</v>
      </c>
      <c r="I20" s="32">
        <v>10</v>
      </c>
      <c r="J20" s="31" t="s">
        <v>29</v>
      </c>
      <c r="K20" s="24">
        <v>1</v>
      </c>
      <c r="L20" s="25">
        <v>6.4</v>
      </c>
      <c r="M20" s="25">
        <v>6.4</v>
      </c>
      <c r="N20" s="25">
        <v>64</v>
      </c>
    </row>
    <row r="21" spans="4:14">
      <c r="D21" s="64">
        <v>46063</v>
      </c>
      <c r="E21" s="32">
        <v>1577854</v>
      </c>
      <c r="F21" s="32" t="s">
        <v>20</v>
      </c>
      <c r="G21" s="32">
        <v>20324405</v>
      </c>
      <c r="H21" s="32" t="s">
        <v>184</v>
      </c>
      <c r="I21" s="32">
        <v>1</v>
      </c>
      <c r="J21" s="32" t="s">
        <v>64</v>
      </c>
      <c r="K21" s="24">
        <v>1</v>
      </c>
      <c r="L21" s="25">
        <v>8.8</v>
      </c>
      <c r="M21" s="25">
        <v>8.8</v>
      </c>
      <c r="N21" s="25">
        <v>8.8</v>
      </c>
    </row>
    <row r="22" spans="4:14">
      <c r="D22" s="64">
        <v>46063</v>
      </c>
      <c r="E22" s="32">
        <v>1577854</v>
      </c>
      <c r="F22" s="32" t="s">
        <v>20</v>
      </c>
      <c r="G22" s="32">
        <v>20324367</v>
      </c>
      <c r="H22" s="32" t="s">
        <v>158</v>
      </c>
      <c r="I22" s="32">
        <v>1</v>
      </c>
      <c r="J22" s="31" t="s">
        <v>29</v>
      </c>
      <c r="K22" s="24">
        <v>1</v>
      </c>
      <c r="L22" s="25">
        <v>6.4</v>
      </c>
      <c r="M22" s="25">
        <v>6.4</v>
      </c>
      <c r="N22" s="25">
        <v>6.4</v>
      </c>
    </row>
    <row r="23" spans="4:14">
      <c r="D23" s="64">
        <v>46063</v>
      </c>
      <c r="E23" s="32">
        <v>1577854</v>
      </c>
      <c r="F23" s="32" t="s">
        <v>20</v>
      </c>
      <c r="G23" s="32">
        <v>20324363</v>
      </c>
      <c r="H23" s="32" t="s">
        <v>30</v>
      </c>
      <c r="I23" s="32">
        <v>1</v>
      </c>
      <c r="J23" s="31" t="s">
        <v>29</v>
      </c>
      <c r="K23" s="24">
        <v>1</v>
      </c>
      <c r="L23" s="25">
        <v>6.4</v>
      </c>
      <c r="M23" s="25">
        <v>6.4</v>
      </c>
      <c r="N23" s="25">
        <v>6.4</v>
      </c>
    </row>
    <row r="24" spans="4:14">
      <c r="D24" s="64">
        <v>46063</v>
      </c>
      <c r="E24" s="32">
        <v>1577854</v>
      </c>
      <c r="F24" s="32" t="s">
        <v>16</v>
      </c>
      <c r="G24" s="32">
        <v>20324400</v>
      </c>
      <c r="H24" s="32" t="s">
        <v>118</v>
      </c>
      <c r="I24" s="32">
        <v>1</v>
      </c>
      <c r="J24" s="30" t="s">
        <v>18</v>
      </c>
      <c r="K24" s="24">
        <f t="shared" ref="K24:K30" si="1">M24/L24</f>
        <v>4</v>
      </c>
      <c r="L24" s="25">
        <v>4.4</v>
      </c>
      <c r="M24" s="25">
        <v>17.6</v>
      </c>
      <c r="N24" s="25">
        <v>17.6</v>
      </c>
    </row>
    <row r="25" spans="4:14">
      <c r="D25" s="64">
        <v>46063</v>
      </c>
      <c r="E25" s="32">
        <v>1577854</v>
      </c>
      <c r="F25" s="32" t="s">
        <v>16</v>
      </c>
      <c r="G25" s="32">
        <v>20324399</v>
      </c>
      <c r="H25" s="32" t="s">
        <v>119</v>
      </c>
      <c r="I25" s="32">
        <v>3</v>
      </c>
      <c r="J25" s="30" t="s">
        <v>18</v>
      </c>
      <c r="K25" s="24">
        <f t="shared" si="1"/>
        <v>12</v>
      </c>
      <c r="L25" s="25">
        <v>4.4</v>
      </c>
      <c r="M25" s="25">
        <v>52.8</v>
      </c>
      <c r="N25" s="25">
        <v>158.4</v>
      </c>
    </row>
    <row r="26" spans="4:14">
      <c r="D26" s="64">
        <v>46063</v>
      </c>
      <c r="E26" s="32">
        <v>1577854</v>
      </c>
      <c r="F26" s="31" t="s">
        <v>20</v>
      </c>
      <c r="G26" s="32">
        <v>20324369</v>
      </c>
      <c r="H26" s="32" t="s">
        <v>140</v>
      </c>
      <c r="I26" s="32">
        <v>1</v>
      </c>
      <c r="J26" s="30" t="s">
        <v>18</v>
      </c>
      <c r="K26" s="24">
        <f t="shared" si="1"/>
        <v>3</v>
      </c>
      <c r="L26" s="25">
        <v>4.4</v>
      </c>
      <c r="M26" s="25">
        <v>13.2</v>
      </c>
      <c r="N26" s="25">
        <v>13.2</v>
      </c>
    </row>
    <row r="27" spans="4:14">
      <c r="D27" s="64">
        <v>46063</v>
      </c>
      <c r="E27" s="32">
        <v>1577854</v>
      </c>
      <c r="F27" s="32" t="s">
        <v>41</v>
      </c>
      <c r="G27" s="32">
        <v>20412364</v>
      </c>
      <c r="H27" s="32" t="s">
        <v>207</v>
      </c>
      <c r="I27" s="32">
        <v>11</v>
      </c>
      <c r="J27" s="30" t="s">
        <v>43</v>
      </c>
      <c r="K27" s="24">
        <v>1</v>
      </c>
      <c r="L27" s="25">
        <v>2</v>
      </c>
      <c r="M27" s="25">
        <v>2</v>
      </c>
      <c r="N27" s="25">
        <v>22</v>
      </c>
    </row>
    <row r="28" spans="4:14">
      <c r="D28" s="64">
        <v>46067</v>
      </c>
      <c r="E28" s="32">
        <v>1578878</v>
      </c>
      <c r="F28" s="32" t="s">
        <v>20</v>
      </c>
      <c r="G28" s="32">
        <v>20324363</v>
      </c>
      <c r="H28" s="32" t="s">
        <v>30</v>
      </c>
      <c r="I28" s="32">
        <v>1</v>
      </c>
      <c r="J28" s="31" t="s">
        <v>29</v>
      </c>
      <c r="K28" s="24">
        <v>1</v>
      </c>
      <c r="L28" s="25">
        <v>6.4</v>
      </c>
      <c r="M28" s="25">
        <v>6.4</v>
      </c>
      <c r="N28" s="25">
        <v>6.4</v>
      </c>
    </row>
    <row r="29" spans="4:14">
      <c r="D29" s="64">
        <v>46067</v>
      </c>
      <c r="E29" s="32">
        <v>1578878</v>
      </c>
      <c r="F29" s="32" t="s">
        <v>16</v>
      </c>
      <c r="G29" s="32">
        <v>20324400</v>
      </c>
      <c r="H29" s="32" t="s">
        <v>118</v>
      </c>
      <c r="I29" s="32">
        <v>4</v>
      </c>
      <c r="J29" s="30" t="s">
        <v>18</v>
      </c>
      <c r="K29" s="24">
        <f t="shared" si="1"/>
        <v>4</v>
      </c>
      <c r="L29" s="25">
        <v>4.4</v>
      </c>
      <c r="M29" s="25">
        <v>17.6</v>
      </c>
      <c r="N29" s="25">
        <v>70.4</v>
      </c>
    </row>
    <row r="30" spans="4:14">
      <c r="D30" s="64">
        <v>46067</v>
      </c>
      <c r="E30" s="32">
        <v>1578878</v>
      </c>
      <c r="F30" s="32" t="s">
        <v>16</v>
      </c>
      <c r="G30" s="32">
        <v>20324399</v>
      </c>
      <c r="H30" s="32" t="s">
        <v>119</v>
      </c>
      <c r="I30" s="32">
        <v>1</v>
      </c>
      <c r="J30" s="30" t="s">
        <v>18</v>
      </c>
      <c r="K30" s="24">
        <f t="shared" si="1"/>
        <v>12</v>
      </c>
      <c r="L30" s="25">
        <v>4.4</v>
      </c>
      <c r="M30" s="25">
        <v>52.8</v>
      </c>
      <c r="N30" s="25">
        <v>52.8</v>
      </c>
    </row>
    <row r="31" spans="4:14">
      <c r="D31" s="64">
        <v>46067</v>
      </c>
      <c r="E31" s="32">
        <v>1578878</v>
      </c>
      <c r="F31" s="31" t="s">
        <v>20</v>
      </c>
      <c r="G31" s="32">
        <v>20324369</v>
      </c>
      <c r="H31" s="32" t="s">
        <v>140</v>
      </c>
      <c r="I31" s="32">
        <v>1</v>
      </c>
      <c r="J31" s="30" t="s">
        <v>18</v>
      </c>
      <c r="K31" s="24">
        <f t="shared" ref="K31:K34" si="2">M31/L31</f>
        <v>3</v>
      </c>
      <c r="L31" s="25">
        <v>4.4</v>
      </c>
      <c r="M31" s="25">
        <v>13.2</v>
      </c>
      <c r="N31" s="25">
        <v>13.2</v>
      </c>
    </row>
    <row r="32" spans="4:14">
      <c r="D32" s="64">
        <v>46081</v>
      </c>
      <c r="E32" s="32">
        <v>1581182</v>
      </c>
      <c r="F32" s="32" t="s">
        <v>20</v>
      </c>
      <c r="G32" s="32">
        <v>20324364</v>
      </c>
      <c r="H32" s="32" t="s">
        <v>99</v>
      </c>
      <c r="I32" s="32">
        <v>1</v>
      </c>
      <c r="J32" s="31" t="s">
        <v>29</v>
      </c>
      <c r="K32" s="24">
        <v>1</v>
      </c>
      <c r="L32" s="25">
        <v>6.4</v>
      </c>
      <c r="M32" s="25">
        <v>6.4</v>
      </c>
      <c r="N32" s="25">
        <v>6.4</v>
      </c>
    </row>
    <row r="33" spans="4:14">
      <c r="D33" s="64">
        <v>46081</v>
      </c>
      <c r="E33" s="32">
        <v>1581182</v>
      </c>
      <c r="F33" s="32" t="s">
        <v>16</v>
      </c>
      <c r="G33" s="32">
        <v>20324400</v>
      </c>
      <c r="H33" s="32" t="s">
        <v>118</v>
      </c>
      <c r="I33" s="32">
        <v>7</v>
      </c>
      <c r="J33" s="30" t="s">
        <v>18</v>
      </c>
      <c r="K33" s="24">
        <f t="shared" si="2"/>
        <v>4</v>
      </c>
      <c r="L33" s="25">
        <v>4.4</v>
      </c>
      <c r="M33" s="25">
        <v>17.6</v>
      </c>
      <c r="N33" s="25">
        <v>123.2</v>
      </c>
    </row>
    <row r="34" spans="4:14">
      <c r="D34" s="64">
        <v>46081</v>
      </c>
      <c r="E34" s="32">
        <v>1581182</v>
      </c>
      <c r="F34" s="32" t="s">
        <v>16</v>
      </c>
      <c r="G34" s="32">
        <v>20324399</v>
      </c>
      <c r="H34" s="32" t="s">
        <v>119</v>
      </c>
      <c r="I34" s="32">
        <v>1</v>
      </c>
      <c r="J34" s="30" t="s">
        <v>18</v>
      </c>
      <c r="K34" s="24">
        <f t="shared" si="2"/>
        <v>12</v>
      </c>
      <c r="L34" s="25">
        <v>4.4</v>
      </c>
      <c r="M34" s="25">
        <v>52.8</v>
      </c>
      <c r="N34" s="25">
        <v>52.8</v>
      </c>
    </row>
  </sheetData>
  <autoFilter xmlns:etc="http://www.wps.cn/officeDocument/2017/etCustomData" ref="A7:N34" etc:filterBottomFollowUsedRange="0">
    <extLst/>
  </autoFilter>
  <mergeCells count="5">
    <mergeCell ref="D8:H8"/>
    <mergeCell ref="C7:C34"/>
    <mergeCell ref="B4:H5"/>
    <mergeCell ref="A7:B34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2" width="13.12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1" t="s">
        <v>208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32</v>
      </c>
      <c r="J8" s="13"/>
      <c r="K8" s="33"/>
      <c r="L8" s="33"/>
      <c r="M8" s="33"/>
      <c r="N8" s="33">
        <v>211.6</v>
      </c>
    </row>
    <row r="9" spans="1:14">
      <c r="D9" s="15">
        <v>46058</v>
      </c>
      <c r="E9" s="16">
        <v>1576661</v>
      </c>
      <c r="F9" s="16" t="s">
        <v>20</v>
      </c>
      <c r="G9" s="16">
        <v>20324364</v>
      </c>
      <c r="H9" s="16" t="s">
        <v>99</v>
      </c>
      <c r="I9" s="16">
        <v>9</v>
      </c>
      <c r="J9" s="29" t="s">
        <v>29</v>
      </c>
      <c r="K9" s="18">
        <v>1</v>
      </c>
      <c r="L9" s="19">
        <v>6.4</v>
      </c>
      <c r="M9" s="19">
        <v>6.4</v>
      </c>
      <c r="N9" s="19">
        <v>57.6</v>
      </c>
    </row>
    <row r="10" spans="1:14">
      <c r="D10" s="21">
        <v>46062</v>
      </c>
      <c r="E10" s="22">
        <v>1577498</v>
      </c>
      <c r="F10" s="22" t="s">
        <v>20</v>
      </c>
      <c r="G10" s="22">
        <v>20324364</v>
      </c>
      <c r="H10" s="22" t="s">
        <v>99</v>
      </c>
      <c r="I10" s="22">
        <v>2</v>
      </c>
      <c r="J10" s="31" t="s">
        <v>29</v>
      </c>
      <c r="K10" s="24">
        <v>1</v>
      </c>
      <c r="L10" s="25">
        <v>6.4</v>
      </c>
      <c r="M10" s="25">
        <v>6.4</v>
      </c>
      <c r="N10" s="25">
        <v>12.8</v>
      </c>
    </row>
    <row r="11" spans="1:14">
      <c r="D11" s="21">
        <v>46062</v>
      </c>
      <c r="E11" s="22">
        <v>1577498</v>
      </c>
      <c r="F11" s="22" t="s">
        <v>20</v>
      </c>
      <c r="G11" s="22">
        <v>20324557</v>
      </c>
      <c r="H11" s="22" t="s">
        <v>111</v>
      </c>
      <c r="I11" s="22">
        <v>2</v>
      </c>
      <c r="J11" s="31" t="s">
        <v>29</v>
      </c>
      <c r="K11" s="24">
        <v>1</v>
      </c>
      <c r="L11" s="25">
        <v>6.4</v>
      </c>
      <c r="M11" s="25">
        <v>6.4</v>
      </c>
      <c r="N11" s="25">
        <v>12.8</v>
      </c>
    </row>
    <row r="12" spans="1:14">
      <c r="D12" s="21">
        <v>46062</v>
      </c>
      <c r="E12" s="22">
        <v>1577498</v>
      </c>
      <c r="F12" s="22" t="s">
        <v>20</v>
      </c>
      <c r="G12" s="22">
        <v>20324533</v>
      </c>
      <c r="H12" s="22" t="s">
        <v>124</v>
      </c>
      <c r="I12" s="2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21">
        <v>46062</v>
      </c>
      <c r="E13" s="22">
        <v>1577498</v>
      </c>
      <c r="F13" s="22" t="s">
        <v>20</v>
      </c>
      <c r="G13" s="22">
        <v>20324363</v>
      </c>
      <c r="H13" s="22" t="s">
        <v>30</v>
      </c>
      <c r="I13" s="22">
        <v>5</v>
      </c>
      <c r="J13" s="31" t="s">
        <v>29</v>
      </c>
      <c r="K13" s="24">
        <v>1</v>
      </c>
      <c r="L13" s="25">
        <v>6.4</v>
      </c>
      <c r="M13" s="25">
        <v>6.4</v>
      </c>
      <c r="N13" s="25">
        <v>32</v>
      </c>
    </row>
    <row r="14" spans="1:14">
      <c r="D14" s="21">
        <v>46062</v>
      </c>
      <c r="E14" s="22">
        <v>1577498</v>
      </c>
      <c r="F14" s="23" t="s">
        <v>20</v>
      </c>
      <c r="G14" s="22">
        <v>20324717</v>
      </c>
      <c r="H14" s="22" t="s">
        <v>120</v>
      </c>
      <c r="I14" s="22">
        <v>1</v>
      </c>
      <c r="J14" s="30" t="s">
        <v>18</v>
      </c>
      <c r="K14" s="24">
        <f>M14/L14</f>
        <v>3</v>
      </c>
      <c r="L14" s="25">
        <v>4.4</v>
      </c>
      <c r="M14" s="25">
        <v>13.2</v>
      </c>
      <c r="N14" s="25">
        <v>13.2</v>
      </c>
    </row>
    <row r="15" spans="1:14">
      <c r="D15" s="21">
        <v>46079</v>
      </c>
      <c r="E15" s="22">
        <v>1580511</v>
      </c>
      <c r="F15" s="22" t="s">
        <v>20</v>
      </c>
      <c r="G15" s="22">
        <v>20324364</v>
      </c>
      <c r="H15" s="22" t="s">
        <v>99</v>
      </c>
      <c r="I15" s="22">
        <v>9</v>
      </c>
      <c r="J15" s="31" t="s">
        <v>29</v>
      </c>
      <c r="K15" s="24">
        <v>1</v>
      </c>
      <c r="L15" s="25">
        <v>6.4</v>
      </c>
      <c r="M15" s="25">
        <v>6.4</v>
      </c>
      <c r="N15" s="25">
        <v>57.6</v>
      </c>
    </row>
    <row r="16" spans="1:14">
      <c r="D16" s="21">
        <v>46079</v>
      </c>
      <c r="E16" s="22">
        <v>1580511</v>
      </c>
      <c r="F16" s="22" t="s">
        <v>20</v>
      </c>
      <c r="G16" s="22">
        <v>20324363</v>
      </c>
      <c r="H16" s="22" t="s">
        <v>30</v>
      </c>
      <c r="I16" s="22">
        <v>3</v>
      </c>
      <c r="J16" s="31" t="s">
        <v>29</v>
      </c>
      <c r="K16" s="24">
        <v>1</v>
      </c>
      <c r="L16" s="25">
        <v>6.4</v>
      </c>
      <c r="M16" s="25">
        <v>6.4</v>
      </c>
      <c r="N16" s="25">
        <v>19.2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2" width="12.2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209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25</v>
      </c>
      <c r="J8" s="67"/>
      <c r="K8" s="33"/>
      <c r="L8" s="33"/>
      <c r="M8" s="33"/>
      <c r="N8" s="33">
        <v>80</v>
      </c>
    </row>
    <row r="9" spans="1:14">
      <c r="D9" s="68">
        <v>46058</v>
      </c>
      <c r="E9" s="69">
        <v>1576662</v>
      </c>
      <c r="F9" s="69" t="s">
        <v>41</v>
      </c>
      <c r="G9" s="69">
        <v>20354932</v>
      </c>
      <c r="H9" s="69" t="s">
        <v>210</v>
      </c>
      <c r="I9" s="69">
        <v>11</v>
      </c>
      <c r="J9" s="104" t="s">
        <v>97</v>
      </c>
      <c r="K9" s="18">
        <v>1</v>
      </c>
      <c r="L9" s="19">
        <v>3.2</v>
      </c>
      <c r="M9" s="19">
        <v>3.2</v>
      </c>
      <c r="N9" s="19">
        <v>35.2</v>
      </c>
    </row>
    <row r="10" spans="1:14">
      <c r="D10" s="64">
        <v>46065</v>
      </c>
      <c r="E10" s="32">
        <v>1578457</v>
      </c>
      <c r="F10" s="32" t="s">
        <v>41</v>
      </c>
      <c r="G10" s="32">
        <v>20354932</v>
      </c>
      <c r="H10" s="32" t="s">
        <v>210</v>
      </c>
      <c r="I10" s="32">
        <v>8</v>
      </c>
      <c r="J10" s="34" t="s">
        <v>97</v>
      </c>
      <c r="K10" s="24">
        <v>1</v>
      </c>
      <c r="L10" s="25">
        <v>3.2</v>
      </c>
      <c r="M10" s="25">
        <v>3.2</v>
      </c>
      <c r="N10" s="25">
        <v>25.6</v>
      </c>
    </row>
    <row r="11" spans="1:14">
      <c r="D11" s="64">
        <v>46074</v>
      </c>
      <c r="E11" s="32">
        <v>1579339</v>
      </c>
      <c r="F11" s="32" t="s">
        <v>41</v>
      </c>
      <c r="G11" s="32">
        <v>20354932</v>
      </c>
      <c r="H11" s="32" t="s">
        <v>210</v>
      </c>
      <c r="I11" s="32">
        <v>4</v>
      </c>
      <c r="J11" s="34" t="s">
        <v>97</v>
      </c>
      <c r="K11" s="24">
        <v>1</v>
      </c>
      <c r="L11" s="25">
        <v>3.2</v>
      </c>
      <c r="M11" s="25">
        <v>3.2</v>
      </c>
      <c r="N11" s="25">
        <v>12.8</v>
      </c>
    </row>
    <row r="12" spans="1:14">
      <c r="D12" s="64">
        <v>46079</v>
      </c>
      <c r="E12" s="32">
        <v>1580449</v>
      </c>
      <c r="F12" s="32" t="s">
        <v>41</v>
      </c>
      <c r="G12" s="32">
        <v>20354932</v>
      </c>
      <c r="H12" s="32" t="s">
        <v>210</v>
      </c>
      <c r="I12" s="32">
        <v>2</v>
      </c>
      <c r="J12" s="34" t="s">
        <v>97</v>
      </c>
      <c r="K12" s="24">
        <v>1</v>
      </c>
      <c r="L12" s="25">
        <v>3.2</v>
      </c>
      <c r="M12" s="25">
        <v>3.2</v>
      </c>
      <c r="N12" s="25">
        <v>6.4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4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3.375" customWidth="1"/>
    <col min="11" max="11" width="19.125" customWidth="1"/>
    <col min="12" max="12" width="13.3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211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392</v>
      </c>
      <c r="J8" s="67"/>
      <c r="K8" s="33"/>
      <c r="L8" s="33"/>
      <c r="M8" s="33"/>
      <c r="N8" s="33">
        <v>1629.2</v>
      </c>
    </row>
    <row r="9" spans="1:14">
      <c r="D9" s="68">
        <v>46055</v>
      </c>
      <c r="E9" s="69">
        <v>1575634</v>
      </c>
      <c r="F9" s="69" t="s">
        <v>20</v>
      </c>
      <c r="G9" s="69">
        <v>20324535</v>
      </c>
      <c r="H9" s="69" t="s">
        <v>212</v>
      </c>
      <c r="I9" s="69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64">
        <v>46055</v>
      </c>
      <c r="E10" s="32">
        <v>1575634</v>
      </c>
      <c r="F10" s="32" t="s">
        <v>20</v>
      </c>
      <c r="G10" s="32">
        <v>20324803</v>
      </c>
      <c r="H10" s="32" t="s">
        <v>213</v>
      </c>
      <c r="I10" s="32">
        <v>1</v>
      </c>
      <c r="J10" s="32" t="s">
        <v>64</v>
      </c>
      <c r="K10" s="24">
        <v>1</v>
      </c>
      <c r="L10" s="25">
        <v>8.8</v>
      </c>
      <c r="M10" s="25">
        <v>8.8</v>
      </c>
      <c r="N10" s="25">
        <v>8.8</v>
      </c>
    </row>
    <row r="11" spans="1:14">
      <c r="D11" s="64">
        <v>46055</v>
      </c>
      <c r="E11" s="32">
        <v>1575634</v>
      </c>
      <c r="F11" s="32" t="s">
        <v>20</v>
      </c>
      <c r="G11" s="32">
        <v>20324538</v>
      </c>
      <c r="H11" s="32" t="s">
        <v>214</v>
      </c>
      <c r="I11" s="32">
        <v>1</v>
      </c>
      <c r="J11" s="31" t="s">
        <v>29</v>
      </c>
      <c r="K11" s="24">
        <v>1</v>
      </c>
      <c r="L11" s="25">
        <v>6.4</v>
      </c>
      <c r="M11" s="25">
        <v>6.4</v>
      </c>
      <c r="N11" s="25">
        <v>6.4</v>
      </c>
    </row>
    <row r="12" spans="1:14">
      <c r="D12" s="64">
        <v>46055</v>
      </c>
      <c r="E12" s="32">
        <v>1575634</v>
      </c>
      <c r="F12" s="32" t="s">
        <v>20</v>
      </c>
      <c r="G12" s="32">
        <v>20324534</v>
      </c>
      <c r="H12" s="32" t="s">
        <v>215</v>
      </c>
      <c r="I12" s="32">
        <v>13</v>
      </c>
      <c r="J12" s="31" t="s">
        <v>29</v>
      </c>
      <c r="K12" s="24">
        <v>1</v>
      </c>
      <c r="L12" s="25">
        <v>6.4</v>
      </c>
      <c r="M12" s="25">
        <v>6.4</v>
      </c>
      <c r="N12" s="25">
        <v>83.2</v>
      </c>
    </row>
    <row r="13" spans="1:14">
      <c r="D13" s="64">
        <v>46055</v>
      </c>
      <c r="E13" s="32">
        <v>1575634</v>
      </c>
      <c r="F13" s="32" t="s">
        <v>20</v>
      </c>
      <c r="G13" s="32">
        <v>20324545</v>
      </c>
      <c r="H13" s="32" t="s">
        <v>216</v>
      </c>
      <c r="I13" s="32">
        <v>1</v>
      </c>
      <c r="J13" s="31" t="s">
        <v>29</v>
      </c>
      <c r="K13" s="24">
        <v>1</v>
      </c>
      <c r="L13" s="25">
        <v>6.4</v>
      </c>
      <c r="M13" s="25">
        <v>6.4</v>
      </c>
      <c r="N13" s="25">
        <v>6.4</v>
      </c>
    </row>
    <row r="14" spans="1:14">
      <c r="D14" s="64">
        <v>46055</v>
      </c>
      <c r="E14" s="32">
        <v>1575634</v>
      </c>
      <c r="F14" s="32" t="s">
        <v>20</v>
      </c>
      <c r="G14" s="32">
        <v>20330331</v>
      </c>
      <c r="H14" s="32" t="s">
        <v>217</v>
      </c>
      <c r="I14" s="32">
        <v>1</v>
      </c>
      <c r="J14" s="32" t="s">
        <v>218</v>
      </c>
      <c r="K14" s="24">
        <v>1</v>
      </c>
      <c r="L14" s="58">
        <v>10.4</v>
      </c>
      <c r="M14" s="25">
        <v>10.4</v>
      </c>
      <c r="N14" s="25">
        <v>10.4</v>
      </c>
    </row>
    <row r="15" spans="1:14">
      <c r="D15" s="64">
        <v>46056</v>
      </c>
      <c r="E15" s="32">
        <v>1575989</v>
      </c>
      <c r="F15" s="32" t="s">
        <v>20</v>
      </c>
      <c r="G15" s="32">
        <v>20324516</v>
      </c>
      <c r="H15" s="32" t="s">
        <v>219</v>
      </c>
      <c r="I15" s="32">
        <v>1</v>
      </c>
      <c r="J15" s="31" t="s">
        <v>29</v>
      </c>
      <c r="K15" s="24">
        <v>1</v>
      </c>
      <c r="L15" s="25">
        <v>6.4</v>
      </c>
      <c r="M15" s="25">
        <v>6.4</v>
      </c>
      <c r="N15" s="25">
        <v>6.4</v>
      </c>
    </row>
    <row r="16" spans="1:14">
      <c r="D16" s="64">
        <v>46056</v>
      </c>
      <c r="E16" s="32">
        <v>1575989</v>
      </c>
      <c r="F16" s="32" t="s">
        <v>20</v>
      </c>
      <c r="G16" s="32">
        <v>20324514</v>
      </c>
      <c r="H16" s="32" t="s">
        <v>220</v>
      </c>
      <c r="I16" s="32">
        <v>2</v>
      </c>
      <c r="J16" s="31" t="s">
        <v>29</v>
      </c>
      <c r="K16" s="24">
        <v>1</v>
      </c>
      <c r="L16" s="25">
        <v>6.4</v>
      </c>
      <c r="M16" s="25">
        <v>6.4</v>
      </c>
      <c r="N16" s="25">
        <v>12.8</v>
      </c>
    </row>
    <row r="17" spans="4:14">
      <c r="D17" s="64">
        <v>46056</v>
      </c>
      <c r="E17" s="32">
        <v>1575989</v>
      </c>
      <c r="F17" s="32" t="s">
        <v>20</v>
      </c>
      <c r="G17" s="32">
        <v>20324535</v>
      </c>
      <c r="H17" s="32" t="s">
        <v>212</v>
      </c>
      <c r="I17" s="32">
        <v>2</v>
      </c>
      <c r="J17" s="31" t="s">
        <v>29</v>
      </c>
      <c r="K17" s="24">
        <v>1</v>
      </c>
      <c r="L17" s="25">
        <v>6.4</v>
      </c>
      <c r="M17" s="25">
        <v>6.4</v>
      </c>
      <c r="N17" s="25">
        <v>12.8</v>
      </c>
    </row>
    <row r="18" spans="4:14">
      <c r="D18" s="64">
        <v>46056</v>
      </c>
      <c r="E18" s="32">
        <v>1575989</v>
      </c>
      <c r="F18" s="32" t="s">
        <v>20</v>
      </c>
      <c r="G18" s="32">
        <v>20324803</v>
      </c>
      <c r="H18" s="32" t="s">
        <v>213</v>
      </c>
      <c r="I18" s="32">
        <v>2</v>
      </c>
      <c r="J18" s="32" t="s">
        <v>64</v>
      </c>
      <c r="K18" s="24">
        <v>1</v>
      </c>
      <c r="L18" s="25">
        <v>8.8</v>
      </c>
      <c r="M18" s="25">
        <v>8.8</v>
      </c>
      <c r="N18" s="25">
        <v>17.6</v>
      </c>
    </row>
    <row r="19" spans="4:14">
      <c r="D19" s="64">
        <v>46056</v>
      </c>
      <c r="E19" s="32">
        <v>1575989</v>
      </c>
      <c r="F19" s="32" t="s">
        <v>20</v>
      </c>
      <c r="G19" s="32">
        <v>20324801</v>
      </c>
      <c r="H19" s="32" t="s">
        <v>221</v>
      </c>
      <c r="I19" s="32">
        <v>1</v>
      </c>
      <c r="J19" s="31" t="s">
        <v>29</v>
      </c>
      <c r="K19" s="24">
        <v>1</v>
      </c>
      <c r="L19" s="25">
        <v>6.4</v>
      </c>
      <c r="M19" s="25">
        <v>6.4</v>
      </c>
      <c r="N19" s="25">
        <v>6.4</v>
      </c>
    </row>
    <row r="20" spans="4:14">
      <c r="D20" s="64">
        <v>46056</v>
      </c>
      <c r="E20" s="32">
        <v>1575989</v>
      </c>
      <c r="F20" s="32" t="s">
        <v>20</v>
      </c>
      <c r="G20" s="32">
        <v>20324999</v>
      </c>
      <c r="H20" s="32" t="s">
        <v>222</v>
      </c>
      <c r="I20" s="32">
        <v>1</v>
      </c>
      <c r="J20" s="31" t="s">
        <v>29</v>
      </c>
      <c r="K20" s="24">
        <v>1</v>
      </c>
      <c r="L20" s="25">
        <v>6.4</v>
      </c>
      <c r="M20" s="25">
        <v>6.4</v>
      </c>
      <c r="N20" s="25">
        <v>6.4</v>
      </c>
    </row>
    <row r="21" spans="4:14">
      <c r="D21" s="64">
        <v>46056</v>
      </c>
      <c r="E21" s="32">
        <v>1575989</v>
      </c>
      <c r="F21" s="32" t="s">
        <v>20</v>
      </c>
      <c r="G21" s="32">
        <v>20324534</v>
      </c>
      <c r="H21" s="32" t="s">
        <v>215</v>
      </c>
      <c r="I21" s="32">
        <v>5</v>
      </c>
      <c r="J21" s="31" t="s">
        <v>29</v>
      </c>
      <c r="K21" s="24">
        <v>1</v>
      </c>
      <c r="L21" s="25">
        <v>6.4</v>
      </c>
      <c r="M21" s="25">
        <v>6.4</v>
      </c>
      <c r="N21" s="25">
        <v>32</v>
      </c>
    </row>
    <row r="22" spans="4:14">
      <c r="D22" s="64">
        <v>46056</v>
      </c>
      <c r="E22" s="32">
        <v>1575989</v>
      </c>
      <c r="F22" s="32" t="s">
        <v>20</v>
      </c>
      <c r="G22" s="32">
        <v>20324545</v>
      </c>
      <c r="H22" s="32" t="s">
        <v>216</v>
      </c>
      <c r="I22" s="32">
        <v>1</v>
      </c>
      <c r="J22" s="31" t="s">
        <v>29</v>
      </c>
      <c r="K22" s="24">
        <v>1</v>
      </c>
      <c r="L22" s="25">
        <v>6.4</v>
      </c>
      <c r="M22" s="25">
        <v>6.4</v>
      </c>
      <c r="N22" s="25">
        <v>6.4</v>
      </c>
    </row>
    <row r="23" spans="4:14">
      <c r="D23" s="64">
        <v>46058</v>
      </c>
      <c r="E23" s="32">
        <v>1576674</v>
      </c>
      <c r="F23" s="32" t="s">
        <v>20</v>
      </c>
      <c r="G23" s="32">
        <v>20324514</v>
      </c>
      <c r="H23" s="32" t="s">
        <v>220</v>
      </c>
      <c r="I23" s="32">
        <v>2</v>
      </c>
      <c r="J23" s="31" t="s">
        <v>29</v>
      </c>
      <c r="K23" s="24">
        <v>1</v>
      </c>
      <c r="L23" s="25">
        <v>6.4</v>
      </c>
      <c r="M23" s="25">
        <v>6.4</v>
      </c>
      <c r="N23" s="25">
        <v>12.8</v>
      </c>
    </row>
    <row r="24" spans="4:14">
      <c r="D24" s="64">
        <v>46058</v>
      </c>
      <c r="E24" s="32">
        <v>1576674</v>
      </c>
      <c r="F24" s="32" t="s">
        <v>20</v>
      </c>
      <c r="G24" s="32">
        <v>20324803</v>
      </c>
      <c r="H24" s="32" t="s">
        <v>213</v>
      </c>
      <c r="I24" s="32">
        <v>1</v>
      </c>
      <c r="J24" s="32" t="s">
        <v>64</v>
      </c>
      <c r="K24" s="24">
        <v>1</v>
      </c>
      <c r="L24" s="25">
        <v>8.8</v>
      </c>
      <c r="M24" s="25">
        <v>8.8</v>
      </c>
      <c r="N24" s="25">
        <v>8.8</v>
      </c>
    </row>
    <row r="25" spans="4:14">
      <c r="D25" s="64">
        <v>46058</v>
      </c>
      <c r="E25" s="32">
        <v>1576674</v>
      </c>
      <c r="F25" s="32" t="s">
        <v>20</v>
      </c>
      <c r="G25" s="32">
        <v>20324538</v>
      </c>
      <c r="H25" s="32" t="s">
        <v>214</v>
      </c>
      <c r="I25" s="32">
        <v>2</v>
      </c>
      <c r="J25" s="31" t="s">
        <v>29</v>
      </c>
      <c r="K25" s="24">
        <v>1</v>
      </c>
      <c r="L25" s="25">
        <v>6.4</v>
      </c>
      <c r="M25" s="25">
        <v>6.4</v>
      </c>
      <c r="N25" s="25">
        <v>12.8</v>
      </c>
    </row>
    <row r="26" spans="4:14">
      <c r="D26" s="64">
        <v>46058</v>
      </c>
      <c r="E26" s="32">
        <v>1576674</v>
      </c>
      <c r="F26" s="32" t="s">
        <v>20</v>
      </c>
      <c r="G26" s="32">
        <v>20324534</v>
      </c>
      <c r="H26" s="32" t="s">
        <v>215</v>
      </c>
      <c r="I26" s="32">
        <v>5</v>
      </c>
      <c r="J26" s="31" t="s">
        <v>29</v>
      </c>
      <c r="K26" s="24">
        <v>1</v>
      </c>
      <c r="L26" s="25">
        <v>6.4</v>
      </c>
      <c r="M26" s="25">
        <v>6.4</v>
      </c>
      <c r="N26" s="25">
        <v>32</v>
      </c>
    </row>
    <row r="27" spans="4:14">
      <c r="D27" s="64">
        <v>46058</v>
      </c>
      <c r="E27" s="32">
        <v>1576674</v>
      </c>
      <c r="F27" s="32" t="s">
        <v>20</v>
      </c>
      <c r="G27" s="32">
        <v>20324545</v>
      </c>
      <c r="H27" s="32" t="s">
        <v>216</v>
      </c>
      <c r="I27" s="32">
        <v>2</v>
      </c>
      <c r="J27" s="31" t="s">
        <v>29</v>
      </c>
      <c r="K27" s="24">
        <v>1</v>
      </c>
      <c r="L27" s="25">
        <v>6.4</v>
      </c>
      <c r="M27" s="25">
        <v>6.4</v>
      </c>
      <c r="N27" s="25">
        <v>12.8</v>
      </c>
    </row>
    <row r="28" spans="4:14">
      <c r="D28" s="64">
        <v>46058</v>
      </c>
      <c r="E28" s="32">
        <v>1576674</v>
      </c>
      <c r="F28" s="32" t="s">
        <v>20</v>
      </c>
      <c r="G28" s="32">
        <v>20330331</v>
      </c>
      <c r="H28" s="32" t="s">
        <v>217</v>
      </c>
      <c r="I28" s="32">
        <v>1</v>
      </c>
      <c r="J28" s="32" t="s">
        <v>218</v>
      </c>
      <c r="K28" s="24">
        <v>1</v>
      </c>
      <c r="L28" s="58">
        <v>10.4</v>
      </c>
      <c r="M28" s="25">
        <v>10.4</v>
      </c>
      <c r="N28" s="25">
        <v>10.4</v>
      </c>
    </row>
    <row r="29" spans="4:14">
      <c r="D29" s="64">
        <v>46058</v>
      </c>
      <c r="E29" s="32">
        <v>1576674</v>
      </c>
      <c r="F29" s="32" t="s">
        <v>20</v>
      </c>
      <c r="G29" s="32">
        <v>20385215</v>
      </c>
      <c r="H29" s="32" t="s">
        <v>223</v>
      </c>
      <c r="I29" s="32">
        <v>1</v>
      </c>
      <c r="J29" s="31" t="s">
        <v>29</v>
      </c>
      <c r="K29" s="24">
        <v>1</v>
      </c>
      <c r="L29" s="25">
        <v>6.4</v>
      </c>
      <c r="M29" s="25">
        <v>6.4</v>
      </c>
      <c r="N29" s="25">
        <v>6.4</v>
      </c>
    </row>
    <row r="30" spans="4:14">
      <c r="D30" s="64">
        <v>46060</v>
      </c>
      <c r="E30" s="32">
        <v>1577035</v>
      </c>
      <c r="F30" s="32" t="s">
        <v>20</v>
      </c>
      <c r="G30" s="32">
        <v>20324514</v>
      </c>
      <c r="H30" s="32" t="s">
        <v>220</v>
      </c>
      <c r="I30" s="32">
        <v>1</v>
      </c>
      <c r="J30" s="31" t="s">
        <v>29</v>
      </c>
      <c r="K30" s="24">
        <v>1</v>
      </c>
      <c r="L30" s="25">
        <v>6.4</v>
      </c>
      <c r="M30" s="25">
        <v>6.4</v>
      </c>
      <c r="N30" s="25">
        <v>6.4</v>
      </c>
    </row>
    <row r="31" spans="4:14">
      <c r="D31" s="64">
        <v>46060</v>
      </c>
      <c r="E31" s="32">
        <v>1577035</v>
      </c>
      <c r="F31" s="32" t="s">
        <v>20</v>
      </c>
      <c r="G31" s="32">
        <v>20324803</v>
      </c>
      <c r="H31" s="32" t="s">
        <v>213</v>
      </c>
      <c r="I31" s="32">
        <v>1</v>
      </c>
      <c r="J31" s="32" t="s">
        <v>64</v>
      </c>
      <c r="K31" s="24">
        <v>1</v>
      </c>
      <c r="L31" s="25">
        <v>8.8</v>
      </c>
      <c r="M31" s="25">
        <v>8.8</v>
      </c>
      <c r="N31" s="25">
        <v>8.8</v>
      </c>
    </row>
    <row r="32" spans="4:14">
      <c r="D32" s="64">
        <v>46060</v>
      </c>
      <c r="E32" s="32">
        <v>1577035</v>
      </c>
      <c r="F32" s="32" t="s">
        <v>20</v>
      </c>
      <c r="G32" s="32">
        <v>20324364</v>
      </c>
      <c r="H32" s="32" t="s">
        <v>99</v>
      </c>
      <c r="I32" s="32">
        <v>1</v>
      </c>
      <c r="J32" s="31" t="s">
        <v>29</v>
      </c>
      <c r="K32" s="24">
        <v>1</v>
      </c>
      <c r="L32" s="25">
        <v>6.4</v>
      </c>
      <c r="M32" s="25">
        <v>6.4</v>
      </c>
      <c r="N32" s="25">
        <v>6.4</v>
      </c>
    </row>
    <row r="33" spans="4:14">
      <c r="D33" s="64">
        <v>46060</v>
      </c>
      <c r="E33" s="32">
        <v>1577035</v>
      </c>
      <c r="F33" s="32" t="s">
        <v>20</v>
      </c>
      <c r="G33" s="32">
        <v>20324534</v>
      </c>
      <c r="H33" s="32" t="s">
        <v>215</v>
      </c>
      <c r="I33" s="32">
        <v>5</v>
      </c>
      <c r="J33" s="31" t="s">
        <v>29</v>
      </c>
      <c r="K33" s="24">
        <v>1</v>
      </c>
      <c r="L33" s="25">
        <v>6.4</v>
      </c>
      <c r="M33" s="25">
        <v>6.4</v>
      </c>
      <c r="N33" s="25">
        <v>32</v>
      </c>
    </row>
    <row r="34" spans="4:14">
      <c r="D34" s="64">
        <v>46062</v>
      </c>
      <c r="E34" s="32">
        <v>1577499</v>
      </c>
      <c r="F34" s="32" t="s">
        <v>20</v>
      </c>
      <c r="G34" s="32">
        <v>20324516</v>
      </c>
      <c r="H34" s="32" t="s">
        <v>219</v>
      </c>
      <c r="I34" s="32">
        <v>2</v>
      </c>
      <c r="J34" s="31" t="s">
        <v>29</v>
      </c>
      <c r="K34" s="24">
        <v>1</v>
      </c>
      <c r="L34" s="25">
        <v>6.4</v>
      </c>
      <c r="M34" s="25">
        <v>6.4</v>
      </c>
      <c r="N34" s="25">
        <v>12.8</v>
      </c>
    </row>
    <row r="35" spans="4:14">
      <c r="D35" s="64">
        <v>46062</v>
      </c>
      <c r="E35" s="32">
        <v>1577499</v>
      </c>
      <c r="F35" s="32" t="s">
        <v>20</v>
      </c>
      <c r="G35" s="32">
        <v>20324534</v>
      </c>
      <c r="H35" s="32" t="s">
        <v>215</v>
      </c>
      <c r="I35" s="32">
        <v>7</v>
      </c>
      <c r="J35" s="31" t="s">
        <v>29</v>
      </c>
      <c r="K35" s="24">
        <v>1</v>
      </c>
      <c r="L35" s="25">
        <v>6.4</v>
      </c>
      <c r="M35" s="25">
        <v>6.4</v>
      </c>
      <c r="N35" s="25">
        <v>44.8</v>
      </c>
    </row>
    <row r="36" spans="4:14">
      <c r="D36" s="64">
        <v>46062</v>
      </c>
      <c r="E36" s="32">
        <v>1577499</v>
      </c>
      <c r="F36" s="32" t="s">
        <v>20</v>
      </c>
      <c r="G36" s="32">
        <v>20324625</v>
      </c>
      <c r="H36" s="32" t="s">
        <v>224</v>
      </c>
      <c r="I36" s="32">
        <v>1</v>
      </c>
      <c r="J36" s="31" t="s">
        <v>29</v>
      </c>
      <c r="K36" s="24">
        <v>1</v>
      </c>
      <c r="L36" s="25">
        <v>6.4</v>
      </c>
      <c r="M36" s="25">
        <v>6.4</v>
      </c>
      <c r="N36" s="25">
        <v>6.4</v>
      </c>
    </row>
    <row r="37" spans="4:14">
      <c r="D37" s="64">
        <v>46063</v>
      </c>
      <c r="E37" s="32">
        <v>1577855</v>
      </c>
      <c r="F37" s="32" t="s">
        <v>20</v>
      </c>
      <c r="G37" s="32">
        <v>20324534</v>
      </c>
      <c r="H37" s="32" t="s">
        <v>215</v>
      </c>
      <c r="I37" s="32">
        <v>6</v>
      </c>
      <c r="J37" s="31" t="s">
        <v>29</v>
      </c>
      <c r="K37" s="24">
        <v>1</v>
      </c>
      <c r="L37" s="25">
        <v>6.4</v>
      </c>
      <c r="M37" s="25">
        <v>6.4</v>
      </c>
      <c r="N37" s="25">
        <v>38.4</v>
      </c>
    </row>
    <row r="38" spans="4:14">
      <c r="D38" s="64">
        <v>46063</v>
      </c>
      <c r="E38" s="32">
        <v>1577855</v>
      </c>
      <c r="F38" s="32" t="s">
        <v>20</v>
      </c>
      <c r="G38" s="32">
        <v>20340326</v>
      </c>
      <c r="H38" s="32" t="s">
        <v>225</v>
      </c>
      <c r="I38" s="32">
        <v>1</v>
      </c>
      <c r="J38" s="30" t="s">
        <v>18</v>
      </c>
      <c r="K38" s="24">
        <f>M38/L38</f>
        <v>6</v>
      </c>
      <c r="L38" s="25">
        <v>4.4</v>
      </c>
      <c r="M38" s="25">
        <v>26.4</v>
      </c>
      <c r="N38" s="25">
        <v>26.4</v>
      </c>
    </row>
    <row r="39" spans="4:14">
      <c r="D39" s="64">
        <v>46063</v>
      </c>
      <c r="E39" s="32">
        <v>1577855</v>
      </c>
      <c r="F39" s="32" t="s">
        <v>20</v>
      </c>
      <c r="G39" s="32">
        <v>20330249</v>
      </c>
      <c r="H39" s="32" t="s">
        <v>226</v>
      </c>
      <c r="I39" s="32">
        <v>1</v>
      </c>
      <c r="J39" s="30" t="s">
        <v>18</v>
      </c>
      <c r="K39" s="24">
        <f>M39/L39</f>
        <v>7</v>
      </c>
      <c r="L39" s="25">
        <v>4.4</v>
      </c>
      <c r="M39" s="25">
        <v>30.8</v>
      </c>
      <c r="N39" s="25">
        <v>30.8</v>
      </c>
    </row>
    <row r="40" spans="4:14">
      <c r="D40" s="64">
        <v>46063</v>
      </c>
      <c r="E40" s="32">
        <v>1577855</v>
      </c>
      <c r="F40" s="32" t="s">
        <v>41</v>
      </c>
      <c r="G40" s="32">
        <v>20324519</v>
      </c>
      <c r="H40" s="32" t="s">
        <v>227</v>
      </c>
      <c r="I40" s="32">
        <v>220</v>
      </c>
      <c r="J40" s="30" t="s">
        <v>43</v>
      </c>
      <c r="K40" s="24">
        <v>1</v>
      </c>
      <c r="L40" s="25">
        <v>2</v>
      </c>
      <c r="M40" s="25">
        <v>2</v>
      </c>
      <c r="N40" s="25">
        <v>440</v>
      </c>
    </row>
    <row r="41" spans="4:14">
      <c r="D41" s="64">
        <v>46064</v>
      </c>
      <c r="E41" s="32">
        <v>1578101</v>
      </c>
      <c r="F41" s="32" t="s">
        <v>20</v>
      </c>
      <c r="G41" s="32">
        <v>20324803</v>
      </c>
      <c r="H41" s="32" t="s">
        <v>213</v>
      </c>
      <c r="I41" s="32">
        <v>1</v>
      </c>
      <c r="J41" s="32" t="s">
        <v>64</v>
      </c>
      <c r="K41" s="24">
        <v>1</v>
      </c>
      <c r="L41" s="25">
        <v>8.8</v>
      </c>
      <c r="M41" s="25">
        <v>8.8</v>
      </c>
      <c r="N41" s="25">
        <v>8.8</v>
      </c>
    </row>
    <row r="42" spans="4:14">
      <c r="D42" s="64">
        <v>46064</v>
      </c>
      <c r="E42" s="32">
        <v>1578101</v>
      </c>
      <c r="F42" s="32" t="s">
        <v>20</v>
      </c>
      <c r="G42" s="32">
        <v>20324534</v>
      </c>
      <c r="H42" s="32" t="s">
        <v>215</v>
      </c>
      <c r="I42" s="32">
        <v>6</v>
      </c>
      <c r="J42" s="31" t="s">
        <v>29</v>
      </c>
      <c r="K42" s="24">
        <v>1</v>
      </c>
      <c r="L42" s="25">
        <v>6.4</v>
      </c>
      <c r="M42" s="25">
        <v>6.4</v>
      </c>
      <c r="N42" s="25">
        <v>38.4</v>
      </c>
    </row>
    <row r="43" spans="4:14">
      <c r="D43" s="64">
        <v>46065</v>
      </c>
      <c r="E43" s="32">
        <v>1578458</v>
      </c>
      <c r="F43" s="32" t="s">
        <v>20</v>
      </c>
      <c r="G43" s="32">
        <v>20324538</v>
      </c>
      <c r="H43" s="32" t="s">
        <v>214</v>
      </c>
      <c r="I43" s="32">
        <v>1</v>
      </c>
      <c r="J43" s="31" t="s">
        <v>29</v>
      </c>
      <c r="K43" s="24">
        <v>1</v>
      </c>
      <c r="L43" s="25">
        <v>6.4</v>
      </c>
      <c r="M43" s="25">
        <v>6.4</v>
      </c>
      <c r="N43" s="25">
        <v>6.4</v>
      </c>
    </row>
    <row r="44" spans="4:14">
      <c r="D44" s="64">
        <v>46065</v>
      </c>
      <c r="E44" s="32">
        <v>1578458</v>
      </c>
      <c r="F44" s="32" t="s">
        <v>20</v>
      </c>
      <c r="G44" s="32">
        <v>20324534</v>
      </c>
      <c r="H44" s="32" t="s">
        <v>215</v>
      </c>
      <c r="I44" s="32">
        <v>5</v>
      </c>
      <c r="J44" s="31" t="s">
        <v>29</v>
      </c>
      <c r="K44" s="24">
        <v>1</v>
      </c>
      <c r="L44" s="25">
        <v>6.4</v>
      </c>
      <c r="M44" s="25">
        <v>6.4</v>
      </c>
      <c r="N44" s="25">
        <v>32</v>
      </c>
    </row>
    <row r="45" spans="4:14">
      <c r="D45" s="64">
        <v>46066</v>
      </c>
      <c r="E45" s="32">
        <v>1578757</v>
      </c>
      <c r="F45" s="32" t="s">
        <v>20</v>
      </c>
      <c r="G45" s="32">
        <v>20324535</v>
      </c>
      <c r="H45" s="32" t="s">
        <v>212</v>
      </c>
      <c r="I45" s="32">
        <v>1</v>
      </c>
      <c r="J45" s="31" t="s">
        <v>29</v>
      </c>
      <c r="K45" s="24">
        <v>1</v>
      </c>
      <c r="L45" s="25">
        <v>6.4</v>
      </c>
      <c r="M45" s="25">
        <v>6.4</v>
      </c>
      <c r="N45" s="25">
        <v>6.4</v>
      </c>
    </row>
    <row r="46" spans="4:14">
      <c r="D46" s="64">
        <v>46066</v>
      </c>
      <c r="E46" s="32">
        <v>1578757</v>
      </c>
      <c r="F46" s="32" t="s">
        <v>20</v>
      </c>
      <c r="G46" s="32">
        <v>20324803</v>
      </c>
      <c r="H46" s="32" t="s">
        <v>213</v>
      </c>
      <c r="I46" s="32">
        <v>1</v>
      </c>
      <c r="J46" s="32" t="s">
        <v>64</v>
      </c>
      <c r="K46" s="24">
        <v>1</v>
      </c>
      <c r="L46" s="25">
        <v>8.8</v>
      </c>
      <c r="M46" s="25">
        <v>8.8</v>
      </c>
      <c r="N46" s="25">
        <v>8.8</v>
      </c>
    </row>
    <row r="47" spans="4:14">
      <c r="D47" s="64">
        <v>46066</v>
      </c>
      <c r="E47" s="32">
        <v>1578757</v>
      </c>
      <c r="F47" s="32" t="s">
        <v>20</v>
      </c>
      <c r="G47" s="32">
        <v>20324534</v>
      </c>
      <c r="H47" s="32" t="s">
        <v>215</v>
      </c>
      <c r="I47" s="32">
        <v>5</v>
      </c>
      <c r="J47" s="31" t="s">
        <v>29</v>
      </c>
      <c r="K47" s="24">
        <v>1</v>
      </c>
      <c r="L47" s="25">
        <v>6.4</v>
      </c>
      <c r="M47" s="25">
        <v>6.4</v>
      </c>
      <c r="N47" s="25">
        <v>32</v>
      </c>
    </row>
    <row r="48" spans="4:14">
      <c r="D48" s="64">
        <v>46074</v>
      </c>
      <c r="E48" s="32">
        <v>1579340</v>
      </c>
      <c r="F48" s="32" t="s">
        <v>20</v>
      </c>
      <c r="G48" s="32">
        <v>20324803</v>
      </c>
      <c r="H48" s="32" t="s">
        <v>213</v>
      </c>
      <c r="I48" s="32">
        <v>1</v>
      </c>
      <c r="J48" s="32" t="s">
        <v>64</v>
      </c>
      <c r="K48" s="24">
        <v>1</v>
      </c>
      <c r="L48" s="25">
        <v>8.8</v>
      </c>
      <c r="M48" s="25">
        <v>8.8</v>
      </c>
      <c r="N48" s="25">
        <v>8.8</v>
      </c>
    </row>
    <row r="49" spans="4:14">
      <c r="D49" s="64">
        <v>46074</v>
      </c>
      <c r="E49" s="32">
        <v>1579340</v>
      </c>
      <c r="F49" s="32" t="s">
        <v>20</v>
      </c>
      <c r="G49" s="32">
        <v>20324899</v>
      </c>
      <c r="H49" s="32" t="s">
        <v>228</v>
      </c>
      <c r="I49" s="32">
        <v>1</v>
      </c>
      <c r="J49" s="31" t="s">
        <v>29</v>
      </c>
      <c r="K49" s="24">
        <v>1</v>
      </c>
      <c r="L49" s="25">
        <v>6.4</v>
      </c>
      <c r="M49" s="25">
        <v>6.4</v>
      </c>
      <c r="N49" s="25">
        <v>6.4</v>
      </c>
    </row>
    <row r="50" spans="4:14">
      <c r="D50" s="64">
        <v>46074</v>
      </c>
      <c r="E50" s="32">
        <v>1579340</v>
      </c>
      <c r="F50" s="32" t="s">
        <v>20</v>
      </c>
      <c r="G50" s="32">
        <v>20324364</v>
      </c>
      <c r="H50" s="32" t="s">
        <v>99</v>
      </c>
      <c r="I50" s="32">
        <v>2</v>
      </c>
      <c r="J50" s="31" t="s">
        <v>29</v>
      </c>
      <c r="K50" s="24">
        <v>1</v>
      </c>
      <c r="L50" s="25">
        <v>6.4</v>
      </c>
      <c r="M50" s="25">
        <v>6.4</v>
      </c>
      <c r="N50" s="25">
        <v>12.8</v>
      </c>
    </row>
    <row r="51" spans="4:14">
      <c r="D51" s="64">
        <v>46074</v>
      </c>
      <c r="E51" s="32">
        <v>1579340</v>
      </c>
      <c r="F51" s="32" t="s">
        <v>20</v>
      </c>
      <c r="G51" s="32">
        <v>20324534</v>
      </c>
      <c r="H51" s="32" t="s">
        <v>215</v>
      </c>
      <c r="I51" s="32">
        <v>9</v>
      </c>
      <c r="J51" s="31" t="s">
        <v>29</v>
      </c>
      <c r="K51" s="24">
        <v>1</v>
      </c>
      <c r="L51" s="25">
        <v>6.4</v>
      </c>
      <c r="M51" s="25">
        <v>6.4</v>
      </c>
      <c r="N51" s="25">
        <v>57.6</v>
      </c>
    </row>
    <row r="52" spans="4:14">
      <c r="D52" s="64">
        <v>46077</v>
      </c>
      <c r="E52" s="32">
        <v>1579611</v>
      </c>
      <c r="F52" s="32" t="s">
        <v>20</v>
      </c>
      <c r="G52" s="32">
        <v>20324803</v>
      </c>
      <c r="H52" s="32" t="s">
        <v>213</v>
      </c>
      <c r="I52" s="32">
        <v>2</v>
      </c>
      <c r="J52" s="32" t="s">
        <v>64</v>
      </c>
      <c r="K52" s="24">
        <v>1</v>
      </c>
      <c r="L52" s="25">
        <v>8.8</v>
      </c>
      <c r="M52" s="25">
        <v>8.8</v>
      </c>
      <c r="N52" s="25">
        <v>17.6</v>
      </c>
    </row>
    <row r="53" spans="4:14">
      <c r="D53" s="64">
        <v>46077</v>
      </c>
      <c r="E53" s="32">
        <v>1579611</v>
      </c>
      <c r="F53" s="32" t="s">
        <v>20</v>
      </c>
      <c r="G53" s="32">
        <v>20324801</v>
      </c>
      <c r="H53" s="32" t="s">
        <v>221</v>
      </c>
      <c r="I53" s="32">
        <v>3</v>
      </c>
      <c r="J53" s="31" t="s">
        <v>29</v>
      </c>
      <c r="K53" s="24">
        <v>1</v>
      </c>
      <c r="L53" s="25">
        <v>6.4</v>
      </c>
      <c r="M53" s="25">
        <v>6.4</v>
      </c>
      <c r="N53" s="25">
        <v>19.2</v>
      </c>
    </row>
    <row r="54" spans="4:14">
      <c r="D54" s="64">
        <v>46077</v>
      </c>
      <c r="E54" s="32">
        <v>1579611</v>
      </c>
      <c r="F54" s="32" t="s">
        <v>20</v>
      </c>
      <c r="G54" s="32">
        <v>20324364</v>
      </c>
      <c r="H54" s="32" t="s">
        <v>99</v>
      </c>
      <c r="I54" s="32">
        <v>1</v>
      </c>
      <c r="J54" s="31" t="s">
        <v>29</v>
      </c>
      <c r="K54" s="24">
        <v>1</v>
      </c>
      <c r="L54" s="25">
        <v>6.4</v>
      </c>
      <c r="M54" s="25">
        <v>6.4</v>
      </c>
      <c r="N54" s="25">
        <v>6.4</v>
      </c>
    </row>
    <row r="55" spans="4:14">
      <c r="D55" s="64">
        <v>46077</v>
      </c>
      <c r="E55" s="32">
        <v>1579611</v>
      </c>
      <c r="F55" s="32" t="s">
        <v>20</v>
      </c>
      <c r="G55" s="32">
        <v>20324538</v>
      </c>
      <c r="H55" s="32" t="s">
        <v>214</v>
      </c>
      <c r="I55" s="32">
        <v>1</v>
      </c>
      <c r="J55" s="31" t="s">
        <v>29</v>
      </c>
      <c r="K55" s="24">
        <v>1</v>
      </c>
      <c r="L55" s="25">
        <v>6.4</v>
      </c>
      <c r="M55" s="25">
        <v>6.4</v>
      </c>
      <c r="N55" s="25">
        <v>6.4</v>
      </c>
    </row>
    <row r="56" spans="4:14">
      <c r="D56" s="64">
        <v>46077</v>
      </c>
      <c r="E56" s="32">
        <v>1579611</v>
      </c>
      <c r="F56" s="32" t="s">
        <v>20</v>
      </c>
      <c r="G56" s="32">
        <v>20324534</v>
      </c>
      <c r="H56" s="32" t="s">
        <v>215</v>
      </c>
      <c r="I56" s="32">
        <v>13</v>
      </c>
      <c r="J56" s="31" t="s">
        <v>29</v>
      </c>
      <c r="K56" s="24">
        <v>1</v>
      </c>
      <c r="L56" s="25">
        <v>6.4</v>
      </c>
      <c r="M56" s="25">
        <v>6.4</v>
      </c>
      <c r="N56" s="25">
        <v>83.2</v>
      </c>
    </row>
    <row r="57" spans="4:14">
      <c r="D57" s="64">
        <v>46078</v>
      </c>
      <c r="E57" s="32">
        <v>1580109</v>
      </c>
      <c r="F57" s="32" t="s">
        <v>20</v>
      </c>
      <c r="G57" s="32">
        <v>20324803</v>
      </c>
      <c r="H57" s="32" t="s">
        <v>213</v>
      </c>
      <c r="I57" s="32">
        <v>1</v>
      </c>
      <c r="J57" s="32" t="s">
        <v>64</v>
      </c>
      <c r="K57" s="24">
        <v>1</v>
      </c>
      <c r="L57" s="25">
        <v>8.8</v>
      </c>
      <c r="M57" s="25">
        <v>8.8</v>
      </c>
      <c r="N57" s="25">
        <v>8.8</v>
      </c>
    </row>
    <row r="58" spans="4:14">
      <c r="D58" s="64">
        <v>46078</v>
      </c>
      <c r="E58" s="32">
        <v>1580109</v>
      </c>
      <c r="F58" s="32" t="s">
        <v>20</v>
      </c>
      <c r="G58" s="32">
        <v>20324899</v>
      </c>
      <c r="H58" s="32" t="s">
        <v>228</v>
      </c>
      <c r="I58" s="32">
        <v>2</v>
      </c>
      <c r="J58" s="31" t="s">
        <v>29</v>
      </c>
      <c r="K58" s="24">
        <v>1</v>
      </c>
      <c r="L58" s="25">
        <v>6.4</v>
      </c>
      <c r="M58" s="25">
        <v>6.4</v>
      </c>
      <c r="N58" s="25">
        <v>12.8</v>
      </c>
    </row>
    <row r="59" spans="4:14">
      <c r="D59" s="64">
        <v>46078</v>
      </c>
      <c r="E59" s="32">
        <v>1580109</v>
      </c>
      <c r="F59" s="32" t="s">
        <v>20</v>
      </c>
      <c r="G59" s="32">
        <v>20324801</v>
      </c>
      <c r="H59" s="32" t="s">
        <v>221</v>
      </c>
      <c r="I59" s="32">
        <v>2</v>
      </c>
      <c r="J59" s="31" t="s">
        <v>29</v>
      </c>
      <c r="K59" s="24">
        <v>1</v>
      </c>
      <c r="L59" s="25">
        <v>6.4</v>
      </c>
      <c r="M59" s="25">
        <v>6.4</v>
      </c>
      <c r="N59" s="25">
        <v>12.8</v>
      </c>
    </row>
    <row r="60" spans="4:14">
      <c r="D60" s="64">
        <v>46078</v>
      </c>
      <c r="E60" s="32">
        <v>1580109</v>
      </c>
      <c r="F60" s="32" t="s">
        <v>20</v>
      </c>
      <c r="G60" s="32">
        <v>20324538</v>
      </c>
      <c r="H60" s="32" t="s">
        <v>214</v>
      </c>
      <c r="I60" s="32">
        <v>1</v>
      </c>
      <c r="J60" s="31" t="s">
        <v>29</v>
      </c>
      <c r="K60" s="24">
        <v>1</v>
      </c>
      <c r="L60" s="25">
        <v>6.4</v>
      </c>
      <c r="M60" s="25">
        <v>6.4</v>
      </c>
      <c r="N60" s="25">
        <v>6.4</v>
      </c>
    </row>
    <row r="61" spans="4:14">
      <c r="D61" s="64">
        <v>46078</v>
      </c>
      <c r="E61" s="32">
        <v>1580109</v>
      </c>
      <c r="F61" s="32" t="s">
        <v>20</v>
      </c>
      <c r="G61" s="32">
        <v>20324537</v>
      </c>
      <c r="H61" s="32" t="s">
        <v>229</v>
      </c>
      <c r="I61" s="32">
        <v>1</v>
      </c>
      <c r="J61" s="31" t="s">
        <v>29</v>
      </c>
      <c r="K61" s="24">
        <v>1</v>
      </c>
      <c r="L61" s="25">
        <v>6.4</v>
      </c>
      <c r="M61" s="25">
        <v>6.4</v>
      </c>
      <c r="N61" s="25">
        <v>6.4</v>
      </c>
    </row>
    <row r="62" spans="4:14">
      <c r="D62" s="64">
        <v>46078</v>
      </c>
      <c r="E62" s="32">
        <v>1580109</v>
      </c>
      <c r="F62" s="32" t="s">
        <v>20</v>
      </c>
      <c r="G62" s="32">
        <v>20324534</v>
      </c>
      <c r="H62" s="32" t="s">
        <v>215</v>
      </c>
      <c r="I62" s="32">
        <v>8</v>
      </c>
      <c r="J62" s="31" t="s">
        <v>29</v>
      </c>
      <c r="K62" s="24">
        <v>1</v>
      </c>
      <c r="L62" s="25">
        <v>6.4</v>
      </c>
      <c r="M62" s="25">
        <v>6.4</v>
      </c>
      <c r="N62" s="25">
        <v>51.2</v>
      </c>
    </row>
    <row r="63" spans="4:14">
      <c r="D63" s="64">
        <v>46078</v>
      </c>
      <c r="E63" s="32">
        <v>1580109</v>
      </c>
      <c r="F63" s="32" t="s">
        <v>20</v>
      </c>
      <c r="G63" s="32">
        <v>20324545</v>
      </c>
      <c r="H63" s="32" t="s">
        <v>216</v>
      </c>
      <c r="I63" s="32">
        <v>1</v>
      </c>
      <c r="J63" s="31" t="s">
        <v>29</v>
      </c>
      <c r="K63" s="24">
        <v>1</v>
      </c>
      <c r="L63" s="25">
        <v>6.4</v>
      </c>
      <c r="M63" s="25">
        <v>6.4</v>
      </c>
      <c r="N63" s="25">
        <v>6.4</v>
      </c>
    </row>
    <row r="64" spans="4:14">
      <c r="D64" s="64">
        <v>46079</v>
      </c>
      <c r="E64" s="32">
        <v>1580512</v>
      </c>
      <c r="F64" s="32" t="s">
        <v>20</v>
      </c>
      <c r="G64" s="32">
        <v>20324803</v>
      </c>
      <c r="H64" s="32" t="s">
        <v>213</v>
      </c>
      <c r="I64" s="32">
        <v>2</v>
      </c>
      <c r="J64" s="32" t="s">
        <v>64</v>
      </c>
      <c r="K64" s="24">
        <v>1</v>
      </c>
      <c r="L64" s="25">
        <v>8.8</v>
      </c>
      <c r="M64" s="25">
        <v>8.8</v>
      </c>
      <c r="N64" s="25">
        <v>17.6</v>
      </c>
    </row>
    <row r="65" spans="4:14">
      <c r="D65" s="64">
        <v>46079</v>
      </c>
      <c r="E65" s="32">
        <v>1580512</v>
      </c>
      <c r="F65" s="32" t="s">
        <v>20</v>
      </c>
      <c r="G65" s="32">
        <v>20324801</v>
      </c>
      <c r="H65" s="32" t="s">
        <v>221</v>
      </c>
      <c r="I65" s="32">
        <v>2</v>
      </c>
      <c r="J65" s="31" t="s">
        <v>29</v>
      </c>
      <c r="K65" s="24">
        <v>1</v>
      </c>
      <c r="L65" s="25">
        <v>6.4</v>
      </c>
      <c r="M65" s="25">
        <v>6.4</v>
      </c>
      <c r="N65" s="25">
        <v>12.8</v>
      </c>
    </row>
    <row r="66" spans="4:14">
      <c r="D66" s="64">
        <v>46079</v>
      </c>
      <c r="E66" s="32">
        <v>1580512</v>
      </c>
      <c r="F66" s="32" t="s">
        <v>20</v>
      </c>
      <c r="G66" s="32">
        <v>20324370</v>
      </c>
      <c r="H66" s="32" t="s">
        <v>102</v>
      </c>
      <c r="I66" s="32">
        <v>1</v>
      </c>
      <c r="J66" s="31" t="s">
        <v>29</v>
      </c>
      <c r="K66" s="24">
        <v>1</v>
      </c>
      <c r="L66" s="25">
        <v>6.4</v>
      </c>
      <c r="M66" s="25">
        <v>6.4</v>
      </c>
      <c r="N66" s="25">
        <v>6.4</v>
      </c>
    </row>
    <row r="67" spans="4:14">
      <c r="D67" s="64">
        <v>46079</v>
      </c>
      <c r="E67" s="32">
        <v>1580512</v>
      </c>
      <c r="F67" s="32" t="s">
        <v>20</v>
      </c>
      <c r="G67" s="32">
        <v>20324534</v>
      </c>
      <c r="H67" s="32" t="s">
        <v>215</v>
      </c>
      <c r="I67" s="32">
        <v>7</v>
      </c>
      <c r="J67" s="31" t="s">
        <v>29</v>
      </c>
      <c r="K67" s="24">
        <v>1</v>
      </c>
      <c r="L67" s="25">
        <v>6.4</v>
      </c>
      <c r="M67" s="25">
        <v>6.4</v>
      </c>
      <c r="N67" s="25">
        <v>44.8</v>
      </c>
    </row>
    <row r="68" spans="4:14">
      <c r="D68" s="64">
        <v>46079</v>
      </c>
      <c r="E68" s="32">
        <v>1580512</v>
      </c>
      <c r="F68" s="32" t="s">
        <v>20</v>
      </c>
      <c r="G68" s="32">
        <v>20324625</v>
      </c>
      <c r="H68" s="32" t="s">
        <v>224</v>
      </c>
      <c r="I68" s="32">
        <v>1</v>
      </c>
      <c r="J68" s="31" t="s">
        <v>29</v>
      </c>
      <c r="K68" s="24">
        <v>1</v>
      </c>
      <c r="L68" s="25">
        <v>6.4</v>
      </c>
      <c r="M68" s="25">
        <v>6.4</v>
      </c>
      <c r="N68" s="25">
        <v>6.4</v>
      </c>
    </row>
    <row r="69" spans="4:14">
      <c r="D69" s="64">
        <v>46080</v>
      </c>
      <c r="E69" s="32">
        <v>1580862</v>
      </c>
      <c r="F69" s="32" t="s">
        <v>20</v>
      </c>
      <c r="G69" s="32">
        <v>20324803</v>
      </c>
      <c r="H69" s="32" t="s">
        <v>213</v>
      </c>
      <c r="I69" s="32">
        <v>2</v>
      </c>
      <c r="J69" s="32" t="s">
        <v>64</v>
      </c>
      <c r="K69" s="24">
        <v>1</v>
      </c>
      <c r="L69" s="25">
        <v>8.8</v>
      </c>
      <c r="M69" s="25">
        <v>8.8</v>
      </c>
      <c r="N69" s="25">
        <v>17.6</v>
      </c>
    </row>
    <row r="70" spans="4:14">
      <c r="D70" s="64">
        <v>46080</v>
      </c>
      <c r="E70" s="32">
        <v>1580862</v>
      </c>
      <c r="F70" s="32" t="s">
        <v>20</v>
      </c>
      <c r="G70" s="32">
        <v>20324364</v>
      </c>
      <c r="H70" s="32" t="s">
        <v>99</v>
      </c>
      <c r="I70" s="32">
        <v>1</v>
      </c>
      <c r="J70" s="31" t="s">
        <v>29</v>
      </c>
      <c r="K70" s="24">
        <v>1</v>
      </c>
      <c r="L70" s="25">
        <v>6.4</v>
      </c>
      <c r="M70" s="25">
        <v>6.4</v>
      </c>
      <c r="N70" s="25">
        <v>6.4</v>
      </c>
    </row>
    <row r="71" spans="4:14">
      <c r="D71" s="64">
        <v>46080</v>
      </c>
      <c r="E71" s="32">
        <v>1580862</v>
      </c>
      <c r="F71" s="32" t="s">
        <v>20</v>
      </c>
      <c r="G71" s="32">
        <v>20324538</v>
      </c>
      <c r="H71" s="32" t="s">
        <v>214</v>
      </c>
      <c r="I71" s="32">
        <v>1</v>
      </c>
      <c r="J71" s="31" t="s">
        <v>29</v>
      </c>
      <c r="K71" s="24">
        <v>1</v>
      </c>
      <c r="L71" s="25">
        <v>6.4</v>
      </c>
      <c r="M71" s="25">
        <v>6.4</v>
      </c>
      <c r="N71" s="25">
        <v>6.4</v>
      </c>
    </row>
    <row r="72" spans="4:14">
      <c r="D72" s="64">
        <v>46080</v>
      </c>
      <c r="E72" s="32">
        <v>1580862</v>
      </c>
      <c r="F72" s="32" t="s">
        <v>20</v>
      </c>
      <c r="G72" s="32">
        <v>20324534</v>
      </c>
      <c r="H72" s="32" t="s">
        <v>215</v>
      </c>
      <c r="I72" s="32">
        <v>10</v>
      </c>
      <c r="J72" s="31" t="s">
        <v>29</v>
      </c>
      <c r="K72" s="24">
        <v>1</v>
      </c>
      <c r="L72" s="25">
        <v>6.4</v>
      </c>
      <c r="M72" s="25">
        <v>6.4</v>
      </c>
      <c r="N72" s="25">
        <v>64</v>
      </c>
    </row>
    <row r="73" spans="4:14">
      <c r="D73" s="64">
        <v>46080</v>
      </c>
      <c r="E73" s="32">
        <v>1580862</v>
      </c>
      <c r="F73" s="32" t="s">
        <v>20</v>
      </c>
      <c r="G73" s="32">
        <v>20324545</v>
      </c>
      <c r="H73" s="32" t="s">
        <v>216</v>
      </c>
      <c r="I73" s="32">
        <v>2</v>
      </c>
      <c r="J73" s="31" t="s">
        <v>29</v>
      </c>
      <c r="K73" s="24">
        <v>1</v>
      </c>
      <c r="L73" s="25">
        <v>6.4</v>
      </c>
      <c r="M73" s="25">
        <v>6.4</v>
      </c>
      <c r="N73" s="25">
        <v>12.8</v>
      </c>
    </row>
    <row r="74" spans="4:14">
      <c r="D74" s="64">
        <v>46080</v>
      </c>
      <c r="E74" s="32">
        <v>1580862</v>
      </c>
      <c r="F74" s="32" t="s">
        <v>20</v>
      </c>
      <c r="G74" s="32">
        <v>20385215</v>
      </c>
      <c r="H74" s="32" t="s">
        <v>223</v>
      </c>
      <c r="I74" s="32">
        <v>1</v>
      </c>
      <c r="J74" s="31" t="s">
        <v>29</v>
      </c>
      <c r="K74" s="24">
        <v>1</v>
      </c>
      <c r="L74" s="25">
        <v>6.4</v>
      </c>
      <c r="M74" s="25">
        <v>6.4</v>
      </c>
      <c r="N74" s="25">
        <v>6.4</v>
      </c>
    </row>
  </sheetData>
  <autoFilter xmlns:etc="http://www.wps.cn/officeDocument/2017/etCustomData" ref="A7:N74" etc:filterBottomFollowUsedRange="0">
    <extLst/>
  </autoFilter>
  <mergeCells count="5">
    <mergeCell ref="D8:H8"/>
    <mergeCell ref="C7:C74"/>
    <mergeCell ref="B4:H5"/>
    <mergeCell ref="A7:B74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2" width="13.2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05" t="s">
        <v>230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2</v>
      </c>
      <c r="J8" s="67"/>
      <c r="K8" s="33"/>
      <c r="L8" s="33"/>
      <c r="M8" s="33"/>
      <c r="N8" s="33">
        <v>15.2</v>
      </c>
    </row>
    <row r="9" spans="1:14">
      <c r="D9" s="68">
        <v>46055</v>
      </c>
      <c r="E9" s="69">
        <v>1575635</v>
      </c>
      <c r="F9" s="69" t="s">
        <v>20</v>
      </c>
      <c r="G9" s="69">
        <v>20324557</v>
      </c>
      <c r="H9" s="69" t="s">
        <v>111</v>
      </c>
      <c r="I9" s="69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64">
        <v>46055</v>
      </c>
      <c r="E10" s="32">
        <v>1575635</v>
      </c>
      <c r="F10" s="32" t="s">
        <v>20</v>
      </c>
      <c r="G10" s="32">
        <v>20324559</v>
      </c>
      <c r="H10" s="32" t="s">
        <v>112</v>
      </c>
      <c r="I10" s="32">
        <v>1</v>
      </c>
      <c r="J10" s="32" t="s">
        <v>64</v>
      </c>
      <c r="K10" s="24">
        <v>1</v>
      </c>
      <c r="L10" s="25">
        <v>8.8</v>
      </c>
      <c r="M10" s="25">
        <v>8.8</v>
      </c>
      <c r="N10" s="25">
        <v>8.8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875" customWidth="1"/>
    <col min="11" max="11" width="19.125" customWidth="1"/>
    <col min="12" max="12" width="12.8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231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53</v>
      </c>
      <c r="J8" s="67"/>
      <c r="K8" s="33"/>
      <c r="L8" s="33"/>
      <c r="M8" s="33"/>
      <c r="N8" s="33">
        <v>1074.8</v>
      </c>
    </row>
    <row r="9" spans="1:14">
      <c r="D9" s="68">
        <v>46055</v>
      </c>
      <c r="E9" s="69">
        <v>1575636</v>
      </c>
      <c r="F9" s="69" t="s">
        <v>16</v>
      </c>
      <c r="G9" s="69">
        <v>20324490</v>
      </c>
      <c r="H9" s="69" t="s">
        <v>232</v>
      </c>
      <c r="I9" s="69">
        <v>1</v>
      </c>
      <c r="J9" s="70" t="s">
        <v>18</v>
      </c>
      <c r="K9" s="18">
        <f t="shared" ref="K9:K12" si="0">M9/L9</f>
        <v>15</v>
      </c>
      <c r="L9" s="19">
        <v>4.4</v>
      </c>
      <c r="M9" s="19">
        <v>66</v>
      </c>
      <c r="N9" s="19">
        <v>66</v>
      </c>
    </row>
    <row r="10" spans="1:14">
      <c r="D10" s="64">
        <v>46056</v>
      </c>
      <c r="E10" s="32">
        <v>1575990</v>
      </c>
      <c r="F10" s="32" t="s">
        <v>20</v>
      </c>
      <c r="G10" s="32">
        <v>20324417</v>
      </c>
      <c r="H10" s="32" t="s">
        <v>233</v>
      </c>
      <c r="I10" s="32">
        <v>1</v>
      </c>
      <c r="J10" s="31" t="s">
        <v>29</v>
      </c>
      <c r="K10" s="24">
        <v>1</v>
      </c>
      <c r="L10" s="25">
        <v>6.4</v>
      </c>
      <c r="M10" s="25">
        <v>6.4</v>
      </c>
      <c r="N10" s="25">
        <v>6.4</v>
      </c>
    </row>
    <row r="11" spans="1:14">
      <c r="D11" s="64">
        <v>46056</v>
      </c>
      <c r="E11" s="32">
        <v>1575990</v>
      </c>
      <c r="F11" s="32" t="s">
        <v>16</v>
      </c>
      <c r="G11" s="32">
        <v>20324490</v>
      </c>
      <c r="H11" s="32" t="s">
        <v>232</v>
      </c>
      <c r="I11" s="32">
        <v>3</v>
      </c>
      <c r="J11" s="30" t="s">
        <v>18</v>
      </c>
      <c r="K11" s="24">
        <f t="shared" si="0"/>
        <v>15</v>
      </c>
      <c r="L11" s="25">
        <v>4.4</v>
      </c>
      <c r="M11" s="25">
        <v>66</v>
      </c>
      <c r="N11" s="25">
        <v>198</v>
      </c>
    </row>
    <row r="12" spans="1:14">
      <c r="D12" s="64">
        <v>46062</v>
      </c>
      <c r="E12" s="32">
        <v>1577500</v>
      </c>
      <c r="F12" s="32" t="s">
        <v>16</v>
      </c>
      <c r="G12" s="32">
        <v>20324490</v>
      </c>
      <c r="H12" s="32" t="s">
        <v>232</v>
      </c>
      <c r="I12" s="32">
        <v>3</v>
      </c>
      <c r="J12" s="30" t="s">
        <v>18</v>
      </c>
      <c r="K12" s="24">
        <f t="shared" si="0"/>
        <v>15</v>
      </c>
      <c r="L12" s="25">
        <v>4.4</v>
      </c>
      <c r="M12" s="25">
        <v>66</v>
      </c>
      <c r="N12" s="25">
        <v>198</v>
      </c>
    </row>
    <row r="13" spans="1:14">
      <c r="D13" s="64">
        <v>46062</v>
      </c>
      <c r="E13" s="32">
        <v>1577500</v>
      </c>
      <c r="F13" s="32" t="s">
        <v>41</v>
      </c>
      <c r="G13" s="32">
        <v>20367827</v>
      </c>
      <c r="H13" s="32" t="s">
        <v>234</v>
      </c>
      <c r="I13" s="32">
        <v>36</v>
      </c>
      <c r="J13" s="30" t="s">
        <v>43</v>
      </c>
      <c r="K13" s="24">
        <v>1</v>
      </c>
      <c r="L13" s="25">
        <v>2</v>
      </c>
      <c r="M13" s="25">
        <v>2</v>
      </c>
      <c r="N13" s="25">
        <v>72</v>
      </c>
    </row>
    <row r="14" spans="1:14">
      <c r="D14" s="64">
        <v>46064</v>
      </c>
      <c r="E14" s="32">
        <v>1578102</v>
      </c>
      <c r="F14" s="32" t="s">
        <v>16</v>
      </c>
      <c r="G14" s="32">
        <v>20324490</v>
      </c>
      <c r="H14" s="32" t="s">
        <v>232</v>
      </c>
      <c r="I14" s="32">
        <v>2</v>
      </c>
      <c r="J14" s="30" t="s">
        <v>18</v>
      </c>
      <c r="K14" s="24">
        <f t="shared" ref="K14:K18" si="1">M14/L14</f>
        <v>15</v>
      </c>
      <c r="L14" s="25">
        <v>4.4</v>
      </c>
      <c r="M14" s="25">
        <v>66</v>
      </c>
      <c r="N14" s="25">
        <v>132</v>
      </c>
    </row>
    <row r="15" spans="1:14">
      <c r="D15" s="64">
        <v>46066</v>
      </c>
      <c r="E15" s="32">
        <v>1578713</v>
      </c>
      <c r="F15" s="32" t="s">
        <v>20</v>
      </c>
      <c r="G15" s="32">
        <v>20324417</v>
      </c>
      <c r="H15" s="32" t="s">
        <v>233</v>
      </c>
      <c r="I15" s="32">
        <v>1</v>
      </c>
      <c r="J15" s="31" t="s">
        <v>29</v>
      </c>
      <c r="K15" s="24">
        <v>1</v>
      </c>
      <c r="L15" s="25">
        <v>6.4</v>
      </c>
      <c r="M15" s="25">
        <v>6.4</v>
      </c>
      <c r="N15" s="25">
        <v>6.4</v>
      </c>
    </row>
    <row r="16" spans="1:14">
      <c r="D16" s="64">
        <v>46066</v>
      </c>
      <c r="E16" s="32">
        <v>1578713</v>
      </c>
      <c r="F16" s="32" t="s">
        <v>16</v>
      </c>
      <c r="G16" s="32">
        <v>20324490</v>
      </c>
      <c r="H16" s="32" t="s">
        <v>232</v>
      </c>
      <c r="I16" s="32">
        <v>3</v>
      </c>
      <c r="J16" s="30" t="s">
        <v>18</v>
      </c>
      <c r="K16" s="24">
        <f t="shared" si="1"/>
        <v>15</v>
      </c>
      <c r="L16" s="25">
        <v>4.4</v>
      </c>
      <c r="M16" s="25">
        <v>66</v>
      </c>
      <c r="N16" s="25">
        <v>198</v>
      </c>
    </row>
    <row r="17" spans="4:14">
      <c r="D17" s="64">
        <v>46078</v>
      </c>
      <c r="E17" s="32">
        <v>1580110</v>
      </c>
      <c r="F17" s="32" t="s">
        <v>16</v>
      </c>
      <c r="G17" s="32">
        <v>20324490</v>
      </c>
      <c r="H17" s="32" t="s">
        <v>232</v>
      </c>
      <c r="I17" s="32">
        <v>2</v>
      </c>
      <c r="J17" s="30" t="s">
        <v>18</v>
      </c>
      <c r="K17" s="24">
        <f t="shared" si="1"/>
        <v>15</v>
      </c>
      <c r="L17" s="25">
        <v>4.4</v>
      </c>
      <c r="M17" s="25">
        <v>66</v>
      </c>
      <c r="N17" s="25">
        <v>132</v>
      </c>
    </row>
    <row r="18" spans="4:14">
      <c r="D18" s="64">
        <v>46080</v>
      </c>
      <c r="E18" s="32">
        <v>1580863</v>
      </c>
      <c r="F18" s="32" t="s">
        <v>16</v>
      </c>
      <c r="G18" s="32">
        <v>20324490</v>
      </c>
      <c r="H18" s="32" t="s">
        <v>232</v>
      </c>
      <c r="I18" s="32">
        <v>1</v>
      </c>
      <c r="J18" s="30" t="s">
        <v>18</v>
      </c>
      <c r="K18" s="24">
        <f t="shared" si="1"/>
        <v>15</v>
      </c>
      <c r="L18" s="25">
        <v>4.4</v>
      </c>
      <c r="M18" s="25">
        <v>66</v>
      </c>
      <c r="N18" s="25">
        <v>66</v>
      </c>
    </row>
    <row r="19" ht="0.05" customHeight="1"/>
  </sheetData>
  <autoFilter xmlns:etc="http://www.wps.cn/officeDocument/2017/etCustomData" ref="A7:N18" etc:filterBottomFollowUsedRange="0">
    <extLst/>
  </autoFilter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4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19.125" customWidth="1"/>
    <col min="12" max="12" width="12.8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</v>
      </c>
      <c r="J8" s="13"/>
      <c r="K8" s="14"/>
      <c r="L8" s="14"/>
      <c r="M8" s="14"/>
      <c r="N8" s="14">
        <v>9.6</v>
      </c>
    </row>
    <row r="9" spans="1:14">
      <c r="D9" s="15">
        <v>46057</v>
      </c>
      <c r="E9" s="16">
        <v>1576313</v>
      </c>
      <c r="F9" s="16" t="s">
        <v>41</v>
      </c>
      <c r="G9" s="16">
        <v>20324518</v>
      </c>
      <c r="H9" s="16" t="s">
        <v>236</v>
      </c>
      <c r="I9" s="16">
        <v>1</v>
      </c>
      <c r="J9" s="104" t="s">
        <v>97</v>
      </c>
      <c r="K9" s="18">
        <v>1</v>
      </c>
      <c r="L9" s="19">
        <v>3.2</v>
      </c>
      <c r="M9" s="20">
        <v>3.2</v>
      </c>
      <c r="N9" s="20">
        <v>3.2</v>
      </c>
    </row>
    <row r="10" spans="1:14">
      <c r="D10" s="21">
        <v>46063</v>
      </c>
      <c r="E10" s="22">
        <v>1577856</v>
      </c>
      <c r="F10" s="22" t="s">
        <v>41</v>
      </c>
      <c r="G10" s="22">
        <v>20324518</v>
      </c>
      <c r="H10" s="22" t="s">
        <v>236</v>
      </c>
      <c r="I10" s="22">
        <v>1</v>
      </c>
      <c r="J10" s="34" t="s">
        <v>97</v>
      </c>
      <c r="K10" s="24">
        <v>1</v>
      </c>
      <c r="L10" s="25">
        <v>3.2</v>
      </c>
      <c r="M10" s="26">
        <v>3.2</v>
      </c>
      <c r="N10" s="26">
        <v>3.2</v>
      </c>
    </row>
    <row r="11" spans="1:14">
      <c r="D11" s="21">
        <v>46079</v>
      </c>
      <c r="E11" s="22">
        <v>1580450</v>
      </c>
      <c r="F11" s="22" t="s">
        <v>41</v>
      </c>
      <c r="G11" s="22">
        <v>20324518</v>
      </c>
      <c r="H11" s="22" t="s">
        <v>236</v>
      </c>
      <c r="I11" s="22">
        <v>1</v>
      </c>
      <c r="J11" s="34" t="s">
        <v>97</v>
      </c>
      <c r="K11" s="24">
        <v>1</v>
      </c>
      <c r="L11" s="25">
        <v>3.2</v>
      </c>
      <c r="M11" s="26">
        <v>3.2</v>
      </c>
      <c r="N11" s="26">
        <v>3.2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96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5.375" customWidth="1"/>
    <col min="11" max="11" width="19.125" customWidth="1"/>
    <col min="12" max="12" width="12.375" customWidth="1"/>
    <col min="13" max="13" width="12.2083333333333" customWidth="1"/>
    <col min="14" max="14" width="12.62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237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53</v>
      </c>
      <c r="J8" s="13"/>
      <c r="K8" s="14"/>
      <c r="L8" s="14"/>
      <c r="M8" s="14"/>
      <c r="N8" s="14">
        <v>1484</v>
      </c>
    </row>
    <row r="9" spans="1:14">
      <c r="D9" s="15">
        <v>46055</v>
      </c>
      <c r="E9" s="16">
        <v>1575591</v>
      </c>
      <c r="F9" s="16" t="s">
        <v>41</v>
      </c>
      <c r="G9" s="16">
        <v>20374363</v>
      </c>
      <c r="H9" s="16" t="s">
        <v>238</v>
      </c>
      <c r="I9" s="16">
        <v>6</v>
      </c>
      <c r="J9" s="70" t="s">
        <v>239</v>
      </c>
      <c r="K9" s="18">
        <v>1</v>
      </c>
      <c r="L9" s="19">
        <v>28</v>
      </c>
      <c r="M9" s="20">
        <v>28</v>
      </c>
      <c r="N9" s="20">
        <v>168</v>
      </c>
    </row>
    <row r="10" spans="1:14">
      <c r="D10" s="21">
        <v>46055</v>
      </c>
      <c r="E10" s="22">
        <v>1575591</v>
      </c>
      <c r="F10" s="22" t="s">
        <v>41</v>
      </c>
      <c r="G10" s="22">
        <v>20374365</v>
      </c>
      <c r="H10" s="22" t="s">
        <v>240</v>
      </c>
      <c r="I10" s="22">
        <v>4</v>
      </c>
      <c r="J10" s="30" t="s">
        <v>239</v>
      </c>
      <c r="K10" s="24">
        <v>1</v>
      </c>
      <c r="L10" s="25">
        <v>28</v>
      </c>
      <c r="M10" s="26">
        <v>28</v>
      </c>
      <c r="N10" s="26">
        <v>112</v>
      </c>
    </row>
    <row r="11" spans="1:14">
      <c r="D11" s="21">
        <v>46055</v>
      </c>
      <c r="E11" s="22">
        <v>1575591</v>
      </c>
      <c r="F11" s="22" t="s">
        <v>41</v>
      </c>
      <c r="G11" s="22">
        <v>20374367</v>
      </c>
      <c r="H11" s="22" t="s">
        <v>241</v>
      </c>
      <c r="I11" s="22">
        <v>4</v>
      </c>
      <c r="J11" s="30" t="s">
        <v>239</v>
      </c>
      <c r="K11" s="24">
        <v>1</v>
      </c>
      <c r="L11" s="25">
        <v>28</v>
      </c>
      <c r="M11" s="26">
        <v>28</v>
      </c>
      <c r="N11" s="26">
        <v>112</v>
      </c>
    </row>
    <row r="12" spans="1:14">
      <c r="D12" s="21">
        <v>46057</v>
      </c>
      <c r="E12" s="22">
        <v>1576284</v>
      </c>
      <c r="F12" s="22" t="s">
        <v>41</v>
      </c>
      <c r="G12" s="22">
        <v>20374363</v>
      </c>
      <c r="H12" s="22" t="s">
        <v>238</v>
      </c>
      <c r="I12" s="22">
        <v>3</v>
      </c>
      <c r="J12" s="30" t="s">
        <v>239</v>
      </c>
      <c r="K12" s="24">
        <v>1</v>
      </c>
      <c r="L12" s="25">
        <v>28</v>
      </c>
      <c r="M12" s="26">
        <v>28</v>
      </c>
      <c r="N12" s="26">
        <v>84</v>
      </c>
    </row>
    <row r="13" spans="1:14">
      <c r="D13" s="21">
        <v>46057</v>
      </c>
      <c r="E13" s="22">
        <v>1576284</v>
      </c>
      <c r="F13" s="22" t="s">
        <v>41</v>
      </c>
      <c r="G13" s="22">
        <v>20374365</v>
      </c>
      <c r="H13" s="22" t="s">
        <v>240</v>
      </c>
      <c r="I13" s="22">
        <v>3</v>
      </c>
      <c r="J13" s="30" t="s">
        <v>239</v>
      </c>
      <c r="K13" s="24">
        <v>1</v>
      </c>
      <c r="L13" s="25">
        <v>28</v>
      </c>
      <c r="M13" s="26">
        <v>28</v>
      </c>
      <c r="N13" s="26">
        <v>84</v>
      </c>
    </row>
    <row r="14" spans="1:14">
      <c r="D14" s="21">
        <v>46057</v>
      </c>
      <c r="E14" s="22">
        <v>1576284</v>
      </c>
      <c r="F14" s="22" t="s">
        <v>41</v>
      </c>
      <c r="G14" s="22">
        <v>20374367</v>
      </c>
      <c r="H14" s="22" t="s">
        <v>241</v>
      </c>
      <c r="I14" s="22">
        <v>2</v>
      </c>
      <c r="J14" s="30" t="s">
        <v>239</v>
      </c>
      <c r="K14" s="24">
        <v>1</v>
      </c>
      <c r="L14" s="25">
        <v>28</v>
      </c>
      <c r="M14" s="26">
        <v>28</v>
      </c>
      <c r="N14" s="26">
        <v>56</v>
      </c>
    </row>
    <row r="15" spans="1:14">
      <c r="D15" s="21">
        <v>46062</v>
      </c>
      <c r="E15" s="22">
        <v>1577431</v>
      </c>
      <c r="F15" s="22" t="s">
        <v>41</v>
      </c>
      <c r="G15" s="22">
        <v>20374363</v>
      </c>
      <c r="H15" s="22" t="s">
        <v>238</v>
      </c>
      <c r="I15" s="22">
        <v>2</v>
      </c>
      <c r="J15" s="30" t="s">
        <v>239</v>
      </c>
      <c r="K15" s="24">
        <v>1</v>
      </c>
      <c r="L15" s="25">
        <v>28</v>
      </c>
      <c r="M15" s="26">
        <v>28</v>
      </c>
      <c r="N15" s="26">
        <v>56</v>
      </c>
    </row>
    <row r="16" spans="1:14">
      <c r="D16" s="21">
        <v>46062</v>
      </c>
      <c r="E16" s="22">
        <v>1577431</v>
      </c>
      <c r="F16" s="22" t="s">
        <v>41</v>
      </c>
      <c r="G16" s="22">
        <v>20374365</v>
      </c>
      <c r="H16" s="22" t="s">
        <v>240</v>
      </c>
      <c r="I16" s="22">
        <v>2</v>
      </c>
      <c r="J16" s="30" t="s">
        <v>239</v>
      </c>
      <c r="K16" s="24">
        <v>1</v>
      </c>
      <c r="L16" s="25">
        <v>28</v>
      </c>
      <c r="M16" s="26">
        <v>28</v>
      </c>
      <c r="N16" s="26">
        <v>56</v>
      </c>
    </row>
    <row r="17" spans="4:14">
      <c r="D17" s="21">
        <v>46062</v>
      </c>
      <c r="E17" s="22">
        <v>1577431</v>
      </c>
      <c r="F17" s="22" t="s">
        <v>41</v>
      </c>
      <c r="G17" s="22">
        <v>20374366</v>
      </c>
      <c r="H17" s="22" t="s">
        <v>242</v>
      </c>
      <c r="I17" s="22">
        <v>1</v>
      </c>
      <c r="J17" s="30" t="s">
        <v>239</v>
      </c>
      <c r="K17" s="24">
        <v>1</v>
      </c>
      <c r="L17" s="25">
        <v>28</v>
      </c>
      <c r="M17" s="26">
        <v>28</v>
      </c>
      <c r="N17" s="26">
        <v>28</v>
      </c>
    </row>
    <row r="18" spans="4:14">
      <c r="D18" s="21">
        <v>46062</v>
      </c>
      <c r="E18" s="22">
        <v>1577431</v>
      </c>
      <c r="F18" s="22" t="s">
        <v>41</v>
      </c>
      <c r="G18" s="22">
        <v>20374367</v>
      </c>
      <c r="H18" s="22" t="s">
        <v>241</v>
      </c>
      <c r="I18" s="22">
        <v>2</v>
      </c>
      <c r="J18" s="30" t="s">
        <v>239</v>
      </c>
      <c r="K18" s="24">
        <v>1</v>
      </c>
      <c r="L18" s="25">
        <v>28</v>
      </c>
      <c r="M18" s="26">
        <v>28</v>
      </c>
      <c r="N18" s="26">
        <v>56</v>
      </c>
    </row>
    <row r="19" spans="4:14">
      <c r="D19" s="21">
        <v>46065</v>
      </c>
      <c r="E19" s="22">
        <v>1578459</v>
      </c>
      <c r="F19" s="22" t="s">
        <v>41</v>
      </c>
      <c r="G19" s="22">
        <v>20374363</v>
      </c>
      <c r="H19" s="22" t="s">
        <v>238</v>
      </c>
      <c r="I19" s="22">
        <v>2</v>
      </c>
      <c r="J19" s="30" t="s">
        <v>239</v>
      </c>
      <c r="K19" s="24">
        <v>1</v>
      </c>
      <c r="L19" s="25">
        <v>28</v>
      </c>
      <c r="M19" s="26">
        <v>28</v>
      </c>
      <c r="N19" s="26">
        <v>56</v>
      </c>
    </row>
    <row r="20" spans="4:14">
      <c r="D20" s="21">
        <v>46065</v>
      </c>
      <c r="E20" s="22">
        <v>1578459</v>
      </c>
      <c r="F20" s="22" t="s">
        <v>41</v>
      </c>
      <c r="G20" s="22">
        <v>20374364</v>
      </c>
      <c r="H20" s="22" t="s">
        <v>243</v>
      </c>
      <c r="I20" s="22">
        <v>1</v>
      </c>
      <c r="J20" s="30" t="s">
        <v>239</v>
      </c>
      <c r="K20" s="24">
        <v>1</v>
      </c>
      <c r="L20" s="25">
        <v>28</v>
      </c>
      <c r="M20" s="26">
        <v>28</v>
      </c>
      <c r="N20" s="26">
        <v>28</v>
      </c>
    </row>
    <row r="21" spans="4:14">
      <c r="D21" s="21">
        <v>46065</v>
      </c>
      <c r="E21" s="22">
        <v>1578459</v>
      </c>
      <c r="F21" s="22" t="s">
        <v>41</v>
      </c>
      <c r="G21" s="22">
        <v>20374365</v>
      </c>
      <c r="H21" s="22" t="s">
        <v>240</v>
      </c>
      <c r="I21" s="22">
        <v>4</v>
      </c>
      <c r="J21" s="30" t="s">
        <v>239</v>
      </c>
      <c r="K21" s="24">
        <v>1</v>
      </c>
      <c r="L21" s="25">
        <v>28</v>
      </c>
      <c r="M21" s="26">
        <v>28</v>
      </c>
      <c r="N21" s="26">
        <v>112</v>
      </c>
    </row>
    <row r="22" spans="4:14">
      <c r="D22" s="21">
        <v>46065</v>
      </c>
      <c r="E22" s="22">
        <v>1578459</v>
      </c>
      <c r="F22" s="22" t="s">
        <v>41</v>
      </c>
      <c r="G22" s="22">
        <v>20374367</v>
      </c>
      <c r="H22" s="22" t="s">
        <v>241</v>
      </c>
      <c r="I22" s="22">
        <v>3</v>
      </c>
      <c r="J22" s="30" t="s">
        <v>239</v>
      </c>
      <c r="K22" s="24">
        <v>1</v>
      </c>
      <c r="L22" s="25">
        <v>28</v>
      </c>
      <c r="M22" s="26">
        <v>28</v>
      </c>
      <c r="N22" s="26">
        <v>84</v>
      </c>
    </row>
    <row r="23" spans="4:14">
      <c r="D23" s="21">
        <v>46077</v>
      </c>
      <c r="E23" s="22">
        <v>1579761</v>
      </c>
      <c r="F23" s="22" t="s">
        <v>41</v>
      </c>
      <c r="G23" s="22">
        <v>20374363</v>
      </c>
      <c r="H23" s="22" t="s">
        <v>238</v>
      </c>
      <c r="I23" s="22">
        <v>2</v>
      </c>
      <c r="J23" s="30" t="s">
        <v>239</v>
      </c>
      <c r="K23" s="24">
        <v>1</v>
      </c>
      <c r="L23" s="25">
        <v>28</v>
      </c>
      <c r="M23" s="26">
        <v>28</v>
      </c>
      <c r="N23" s="26">
        <v>56</v>
      </c>
    </row>
    <row r="24" spans="4:14">
      <c r="D24" s="21">
        <v>46077</v>
      </c>
      <c r="E24" s="22">
        <v>1579761</v>
      </c>
      <c r="F24" s="22" t="s">
        <v>41</v>
      </c>
      <c r="G24" s="22">
        <v>20374364</v>
      </c>
      <c r="H24" s="22" t="s">
        <v>243</v>
      </c>
      <c r="I24" s="22">
        <v>1</v>
      </c>
      <c r="J24" s="30" t="s">
        <v>239</v>
      </c>
      <c r="K24" s="24">
        <v>1</v>
      </c>
      <c r="L24" s="25">
        <v>28</v>
      </c>
      <c r="M24" s="26">
        <v>28</v>
      </c>
      <c r="N24" s="26">
        <v>28</v>
      </c>
    </row>
    <row r="25" spans="4:14">
      <c r="D25" s="21">
        <v>46077</v>
      </c>
      <c r="E25" s="22">
        <v>1579761</v>
      </c>
      <c r="F25" s="22" t="s">
        <v>41</v>
      </c>
      <c r="G25" s="22">
        <v>20374365</v>
      </c>
      <c r="H25" s="22" t="s">
        <v>240</v>
      </c>
      <c r="I25" s="22">
        <v>4</v>
      </c>
      <c r="J25" s="30" t="s">
        <v>239</v>
      </c>
      <c r="K25" s="24">
        <v>1</v>
      </c>
      <c r="L25" s="25">
        <v>28</v>
      </c>
      <c r="M25" s="26">
        <v>28</v>
      </c>
      <c r="N25" s="26">
        <v>112</v>
      </c>
    </row>
    <row r="26" spans="4:14">
      <c r="D26" s="21">
        <v>46077</v>
      </c>
      <c r="E26" s="22">
        <v>1579761</v>
      </c>
      <c r="F26" s="22" t="s">
        <v>41</v>
      </c>
      <c r="G26" s="22">
        <v>20374366</v>
      </c>
      <c r="H26" s="22" t="s">
        <v>242</v>
      </c>
      <c r="I26" s="22">
        <v>2</v>
      </c>
      <c r="J26" s="30" t="s">
        <v>239</v>
      </c>
      <c r="K26" s="24">
        <v>1</v>
      </c>
      <c r="L26" s="25">
        <v>28</v>
      </c>
      <c r="M26" s="26">
        <v>28</v>
      </c>
      <c r="N26" s="26">
        <v>56</v>
      </c>
    </row>
    <row r="27" spans="4:14">
      <c r="D27" s="21">
        <v>46077</v>
      </c>
      <c r="E27" s="22">
        <v>1579761</v>
      </c>
      <c r="F27" s="22" t="s">
        <v>41</v>
      </c>
      <c r="G27" s="22">
        <v>20374367</v>
      </c>
      <c r="H27" s="22" t="s">
        <v>241</v>
      </c>
      <c r="I27" s="22">
        <v>5</v>
      </c>
      <c r="J27" s="30" t="s">
        <v>239</v>
      </c>
      <c r="K27" s="24">
        <v>1</v>
      </c>
      <c r="L27" s="25">
        <v>28</v>
      </c>
      <c r="M27" s="26">
        <v>28</v>
      </c>
      <c r="N27" s="26">
        <v>140</v>
      </c>
    </row>
  </sheetData>
  <autoFilter xmlns:etc="http://www.wps.cn/officeDocument/2017/etCustomData" ref="A7:N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scale="93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21.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244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7</v>
      </c>
      <c r="J8" s="67"/>
      <c r="K8" s="33"/>
      <c r="L8" s="33"/>
      <c r="M8" s="33"/>
      <c r="N8" s="33">
        <v>276.8</v>
      </c>
    </row>
    <row r="9" spans="1:14">
      <c r="D9" s="68">
        <v>46056</v>
      </c>
      <c r="E9" s="69">
        <v>1575991</v>
      </c>
      <c r="F9" s="69" t="s">
        <v>16</v>
      </c>
      <c r="G9" s="69">
        <v>20365170</v>
      </c>
      <c r="H9" s="69" t="s">
        <v>145</v>
      </c>
      <c r="I9" s="69">
        <v>2</v>
      </c>
      <c r="J9" s="70" t="s">
        <v>18</v>
      </c>
      <c r="K9" s="18">
        <f t="shared" ref="K9:K15" si="0">M9/L9</f>
        <v>9</v>
      </c>
      <c r="L9" s="19">
        <v>4.4</v>
      </c>
      <c r="M9" s="19">
        <v>39.6</v>
      </c>
      <c r="N9" s="19">
        <v>79.2</v>
      </c>
    </row>
    <row r="10" spans="1:14">
      <c r="D10" s="64">
        <v>46058</v>
      </c>
      <c r="E10" s="32">
        <v>1576663</v>
      </c>
      <c r="F10" s="32" t="s">
        <v>20</v>
      </c>
      <c r="G10" s="32">
        <v>20324716</v>
      </c>
      <c r="H10" s="32" t="s">
        <v>245</v>
      </c>
      <c r="I10" s="32">
        <v>1</v>
      </c>
      <c r="J10" s="32" t="s">
        <v>29</v>
      </c>
      <c r="K10" s="24">
        <v>1</v>
      </c>
      <c r="L10" s="25">
        <v>6.4</v>
      </c>
      <c r="M10" s="25">
        <v>10.8</v>
      </c>
      <c r="N10" s="25">
        <v>10.8</v>
      </c>
    </row>
    <row r="11" spans="1:14">
      <c r="D11" s="64"/>
      <c r="E11" s="32"/>
      <c r="F11" s="32"/>
      <c r="G11" s="32"/>
      <c r="H11" s="32"/>
      <c r="I11" s="32"/>
      <c r="J11" s="32" t="s">
        <v>116</v>
      </c>
      <c r="K11" s="24">
        <v>1</v>
      </c>
      <c r="L11" s="25">
        <v>4.4</v>
      </c>
      <c r="M11" s="25"/>
      <c r="N11" s="25"/>
    </row>
    <row r="12" spans="1:14">
      <c r="D12" s="64">
        <v>46058</v>
      </c>
      <c r="E12" s="32">
        <v>1576663</v>
      </c>
      <c r="F12" s="32" t="s">
        <v>16</v>
      </c>
      <c r="G12" s="32">
        <v>20373761</v>
      </c>
      <c r="H12" s="32" t="s">
        <v>246</v>
      </c>
      <c r="I12" s="32">
        <v>1</v>
      </c>
      <c r="J12" s="30" t="s">
        <v>18</v>
      </c>
      <c r="K12" s="24">
        <f t="shared" si="0"/>
        <v>24</v>
      </c>
      <c r="L12" s="25">
        <v>4.4</v>
      </c>
      <c r="M12" s="25">
        <v>105.6</v>
      </c>
      <c r="N12" s="25">
        <v>105.6</v>
      </c>
    </row>
    <row r="13" spans="1:14">
      <c r="D13" s="64">
        <v>46058</v>
      </c>
      <c r="E13" s="32">
        <v>1576663</v>
      </c>
      <c r="F13" s="32" t="s">
        <v>41</v>
      </c>
      <c r="G13" s="32">
        <v>20403990</v>
      </c>
      <c r="H13" s="32" t="s">
        <v>247</v>
      </c>
      <c r="I13" s="32">
        <v>1</v>
      </c>
      <c r="J13" s="30" t="s">
        <v>43</v>
      </c>
      <c r="K13" s="24">
        <v>1</v>
      </c>
      <c r="L13" s="25">
        <v>2</v>
      </c>
      <c r="M13" s="25">
        <v>2</v>
      </c>
      <c r="N13" s="25">
        <v>2</v>
      </c>
    </row>
    <row r="14" spans="1:14">
      <c r="D14" s="64">
        <v>46078</v>
      </c>
      <c r="E14" s="32">
        <v>1580111</v>
      </c>
      <c r="F14" s="32" t="s">
        <v>16</v>
      </c>
      <c r="G14" s="32">
        <v>20365170</v>
      </c>
      <c r="H14" s="32" t="s">
        <v>145</v>
      </c>
      <c r="I14" s="32">
        <v>1</v>
      </c>
      <c r="J14" s="30" t="s">
        <v>18</v>
      </c>
      <c r="K14" s="24">
        <f t="shared" si="0"/>
        <v>9</v>
      </c>
      <c r="L14" s="25">
        <v>4.4</v>
      </c>
      <c r="M14" s="25">
        <v>39.6</v>
      </c>
      <c r="N14" s="25">
        <v>39.6</v>
      </c>
    </row>
    <row r="15" spans="1:14">
      <c r="D15" s="64">
        <v>46080</v>
      </c>
      <c r="E15" s="32">
        <v>1580864</v>
      </c>
      <c r="F15" s="32" t="s">
        <v>16</v>
      </c>
      <c r="G15" s="32">
        <v>20365170</v>
      </c>
      <c r="H15" s="32" t="s">
        <v>145</v>
      </c>
      <c r="I15" s="32">
        <v>1</v>
      </c>
      <c r="J15" s="30" t="s">
        <v>18</v>
      </c>
      <c r="K15" s="24">
        <f t="shared" si="0"/>
        <v>9</v>
      </c>
      <c r="L15" s="25">
        <v>4.4</v>
      </c>
      <c r="M15" s="25">
        <v>39.6</v>
      </c>
      <c r="N15" s="25">
        <v>39.6</v>
      </c>
    </row>
    <row r="16" ht="0.05" customHeight="1"/>
  </sheetData>
  <mergeCells count="13">
    <mergeCell ref="D8:H8"/>
    <mergeCell ref="C7:C15"/>
    <mergeCell ref="D10:D11"/>
    <mergeCell ref="E10:E11"/>
    <mergeCell ref="F10:F11"/>
    <mergeCell ref="G10:G11"/>
    <mergeCell ref="H10:H11"/>
    <mergeCell ref="I10:I11"/>
    <mergeCell ref="M10:M11"/>
    <mergeCell ref="N10:N11"/>
    <mergeCell ref="B4:H5"/>
    <mergeCell ref="C1:H2"/>
    <mergeCell ref="A7:B15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5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11.125" customWidth="1"/>
    <col min="5" max="5" width="9.75" customWidth="1"/>
    <col min="6" max="6" width="14.95" customWidth="1"/>
    <col min="7" max="7" width="9.36666666666667" customWidth="1"/>
    <col min="8" max="8" width="24.8166666666667" customWidth="1"/>
    <col min="9" max="9" width="9.75" customWidth="1"/>
    <col min="10" max="10" width="26.5" customWidth="1"/>
    <col min="11" max="11" width="18.625" customWidth="1"/>
    <col min="12" max="12" width="11" customWidth="1"/>
    <col min="13" max="13" width="10.25" customWidth="1"/>
    <col min="14" max="14" width="12.375" customWidth="1"/>
  </cols>
  <sheetData>
    <row r="1" spans="1:14">
      <c r="C1" s="1" t="s">
        <v>0</v>
      </c>
    </row>
    <row r="4" spans="1:14">
      <c r="B4" s="2" t="s">
        <v>1</v>
      </c>
    </row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248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f>86-1</f>
        <v>85</v>
      </c>
      <c r="J8" s="67"/>
      <c r="K8" s="33"/>
      <c r="L8" s="33"/>
      <c r="M8" s="33"/>
      <c r="N8" s="33">
        <f>2387.2-22.4</f>
        <v>2364.8</v>
      </c>
    </row>
    <row r="9" spans="1:14">
      <c r="D9" s="68">
        <v>46054</v>
      </c>
      <c r="E9" s="69">
        <v>1575291</v>
      </c>
      <c r="F9" s="69" t="s">
        <v>16</v>
      </c>
      <c r="G9" s="69">
        <v>20324463</v>
      </c>
      <c r="H9" s="69" t="s">
        <v>249</v>
      </c>
      <c r="I9" s="69">
        <v>1</v>
      </c>
      <c r="J9" s="70" t="s">
        <v>18</v>
      </c>
      <c r="K9" s="18">
        <f>M9/L9</f>
        <v>35</v>
      </c>
      <c r="L9" s="19">
        <v>4.4</v>
      </c>
      <c r="M9" s="19">
        <v>154</v>
      </c>
      <c r="N9" s="19">
        <v>154</v>
      </c>
    </row>
    <row r="10" spans="1:14">
      <c r="D10" s="64">
        <v>46054</v>
      </c>
      <c r="E10" s="32">
        <v>1575291</v>
      </c>
      <c r="F10" s="32" t="s">
        <v>20</v>
      </c>
      <c r="G10" s="32">
        <v>20324826</v>
      </c>
      <c r="H10" s="32" t="s">
        <v>250</v>
      </c>
      <c r="I10" s="32">
        <v>1</v>
      </c>
      <c r="J10" s="32" t="s">
        <v>218</v>
      </c>
      <c r="K10" s="24">
        <v>1</v>
      </c>
      <c r="L10" s="58">
        <v>10.4</v>
      </c>
      <c r="M10" s="25">
        <v>10.4</v>
      </c>
      <c r="N10" s="25">
        <v>10.4</v>
      </c>
    </row>
    <row r="11" spans="1:14">
      <c r="D11" s="64">
        <v>46054</v>
      </c>
      <c r="E11" s="32">
        <v>1575291</v>
      </c>
      <c r="F11" s="32" t="s">
        <v>20</v>
      </c>
      <c r="G11" s="32">
        <v>20324823</v>
      </c>
      <c r="H11" s="32" t="s">
        <v>251</v>
      </c>
      <c r="I11" s="32">
        <v>1</v>
      </c>
      <c r="J11" s="31" t="s">
        <v>29</v>
      </c>
      <c r="K11" s="24">
        <v>1</v>
      </c>
      <c r="L11" s="25">
        <v>6.4</v>
      </c>
      <c r="M11" s="25">
        <v>6.4</v>
      </c>
      <c r="N11" s="25">
        <v>6.4</v>
      </c>
    </row>
    <row r="12" spans="1:14">
      <c r="D12" s="64">
        <v>46054</v>
      </c>
      <c r="E12" s="32">
        <v>1575291</v>
      </c>
      <c r="F12" s="32" t="s">
        <v>20</v>
      </c>
      <c r="G12" s="32">
        <v>20324699</v>
      </c>
      <c r="H12" s="32" t="s">
        <v>252</v>
      </c>
      <c r="I12" s="32">
        <v>1</v>
      </c>
      <c r="J12" s="30" t="s">
        <v>18</v>
      </c>
      <c r="K12" s="24">
        <f>M12/L12</f>
        <v>5</v>
      </c>
      <c r="L12" s="25">
        <v>4.4</v>
      </c>
      <c r="M12" s="25">
        <v>22</v>
      </c>
      <c r="N12" s="25">
        <v>22</v>
      </c>
    </row>
    <row r="13" spans="1:14">
      <c r="D13" s="85">
        <v>46054</v>
      </c>
      <c r="E13" s="86">
        <v>1575293</v>
      </c>
      <c r="F13" s="86" t="s">
        <v>20</v>
      </c>
      <c r="G13" s="86">
        <v>20337790</v>
      </c>
      <c r="H13" s="86" t="s">
        <v>253</v>
      </c>
      <c r="I13" s="86">
        <v>1</v>
      </c>
      <c r="J13" s="34" t="s">
        <v>254</v>
      </c>
      <c r="K13" s="24" t="s">
        <v>255</v>
      </c>
      <c r="L13" s="25">
        <v>22.4</v>
      </c>
      <c r="M13" s="25">
        <f>L13+L14</f>
        <v>30.4</v>
      </c>
      <c r="N13" s="102">
        <v>30.4</v>
      </c>
    </row>
    <row r="14" spans="1:14">
      <c r="D14" s="87"/>
      <c r="E14" s="88"/>
      <c r="F14" s="88"/>
      <c r="G14" s="88"/>
      <c r="H14" s="88"/>
      <c r="I14" s="88"/>
      <c r="J14" s="32" t="s">
        <v>256</v>
      </c>
      <c r="K14" s="24" t="s">
        <v>255</v>
      </c>
      <c r="L14" s="25">
        <v>8</v>
      </c>
      <c r="M14" s="25"/>
      <c r="N14" s="103"/>
    </row>
    <row r="15" spans="1:14">
      <c r="D15" s="64">
        <v>46054</v>
      </c>
      <c r="E15" s="32">
        <v>1575293</v>
      </c>
      <c r="F15" s="32" t="s">
        <v>20</v>
      </c>
      <c r="G15" s="32">
        <v>20330344</v>
      </c>
      <c r="H15" s="32" t="s">
        <v>257</v>
      </c>
      <c r="I15" s="32">
        <v>1</v>
      </c>
      <c r="J15" s="34" t="s">
        <v>181</v>
      </c>
      <c r="K15" s="24">
        <v>1</v>
      </c>
      <c r="L15" s="25">
        <v>28</v>
      </c>
      <c r="M15" s="25">
        <v>28</v>
      </c>
      <c r="N15" s="25">
        <v>28</v>
      </c>
    </row>
    <row r="16" spans="1:14">
      <c r="D16" s="64">
        <v>46054</v>
      </c>
      <c r="E16" s="32">
        <v>1575293</v>
      </c>
      <c r="F16" s="32" t="s">
        <v>20</v>
      </c>
      <c r="G16" s="32">
        <v>20353190</v>
      </c>
      <c r="H16" s="32" t="s">
        <v>258</v>
      </c>
      <c r="I16" s="32">
        <v>1</v>
      </c>
      <c r="J16" s="30" t="s">
        <v>259</v>
      </c>
      <c r="K16" s="24">
        <v>1</v>
      </c>
      <c r="L16" s="25">
        <v>20</v>
      </c>
      <c r="M16" s="25">
        <v>20</v>
      </c>
      <c r="N16" s="25">
        <v>20</v>
      </c>
    </row>
    <row r="17" spans="4:14">
      <c r="D17" s="64">
        <v>46054</v>
      </c>
      <c r="E17" s="32">
        <v>1575293</v>
      </c>
      <c r="F17" s="32" t="s">
        <v>20</v>
      </c>
      <c r="G17" s="32">
        <v>20343369</v>
      </c>
      <c r="H17" s="32" t="s">
        <v>260</v>
      </c>
      <c r="I17" s="32">
        <v>1</v>
      </c>
      <c r="J17" s="30" t="s">
        <v>36</v>
      </c>
      <c r="K17" s="24">
        <v>1</v>
      </c>
      <c r="L17" s="25">
        <v>17.6</v>
      </c>
      <c r="M17" s="25">
        <v>17.6</v>
      </c>
      <c r="N17" s="25">
        <v>17.6</v>
      </c>
    </row>
    <row r="18" spans="4:14">
      <c r="D18" s="64">
        <v>46054</v>
      </c>
      <c r="E18" s="32">
        <v>1575293</v>
      </c>
      <c r="F18" s="32" t="s">
        <v>20</v>
      </c>
      <c r="G18" s="32">
        <v>20343370</v>
      </c>
      <c r="H18" s="32" t="s">
        <v>261</v>
      </c>
      <c r="I18" s="32">
        <v>1</v>
      </c>
      <c r="J18" s="34" t="s">
        <v>181</v>
      </c>
      <c r="K18" s="24">
        <v>1</v>
      </c>
      <c r="L18" s="25">
        <v>28</v>
      </c>
      <c r="M18" s="25">
        <v>28</v>
      </c>
      <c r="N18" s="25">
        <v>28</v>
      </c>
    </row>
    <row r="19" spans="4:14">
      <c r="D19" s="64">
        <v>46054</v>
      </c>
      <c r="E19" s="32">
        <v>1575293</v>
      </c>
      <c r="F19" s="32" t="s">
        <v>20</v>
      </c>
      <c r="G19" s="32">
        <v>20358973</v>
      </c>
      <c r="H19" s="32" t="s">
        <v>262</v>
      </c>
      <c r="I19" s="32">
        <v>1</v>
      </c>
      <c r="J19" s="34" t="s">
        <v>128</v>
      </c>
      <c r="K19" s="24">
        <v>1</v>
      </c>
      <c r="L19" s="25">
        <v>22.4</v>
      </c>
      <c r="M19" s="25">
        <v>22.4</v>
      </c>
      <c r="N19" s="25">
        <v>22.4</v>
      </c>
    </row>
    <row r="20" spans="4:14">
      <c r="D20" s="64">
        <v>46054</v>
      </c>
      <c r="E20" s="32">
        <v>1575293</v>
      </c>
      <c r="F20" s="32" t="s">
        <v>20</v>
      </c>
      <c r="G20" s="32">
        <v>20338704</v>
      </c>
      <c r="H20" s="32" t="s">
        <v>263</v>
      </c>
      <c r="I20" s="32">
        <v>1</v>
      </c>
      <c r="J20" s="34" t="s">
        <v>128</v>
      </c>
      <c r="K20" s="24">
        <v>1</v>
      </c>
      <c r="L20" s="25">
        <v>22.4</v>
      </c>
      <c r="M20" s="25">
        <v>22.4</v>
      </c>
      <c r="N20" s="25">
        <v>22.4</v>
      </c>
    </row>
    <row r="21" spans="4:14">
      <c r="D21" s="64">
        <v>46054</v>
      </c>
      <c r="E21" s="32">
        <v>1575293</v>
      </c>
      <c r="F21" s="32" t="s">
        <v>20</v>
      </c>
      <c r="G21" s="32">
        <v>20330343</v>
      </c>
      <c r="H21" s="32" t="s">
        <v>264</v>
      </c>
      <c r="I21" s="32">
        <v>1</v>
      </c>
      <c r="J21" s="34" t="s">
        <v>128</v>
      </c>
      <c r="K21" s="24">
        <v>1</v>
      </c>
      <c r="L21" s="25">
        <v>22.4</v>
      </c>
      <c r="M21" s="25">
        <v>22.4</v>
      </c>
      <c r="N21" s="25">
        <v>22.4</v>
      </c>
    </row>
    <row r="22" spans="4:14">
      <c r="D22" s="64">
        <v>46055</v>
      </c>
      <c r="E22" s="32">
        <v>1575595</v>
      </c>
      <c r="F22" s="31" t="s">
        <v>41</v>
      </c>
      <c r="G22" s="32">
        <v>20365637</v>
      </c>
      <c r="H22" s="32" t="s">
        <v>265</v>
      </c>
      <c r="I22" s="32">
        <v>2</v>
      </c>
      <c r="J22" s="30" t="s">
        <v>239</v>
      </c>
      <c r="K22" s="24">
        <v>1</v>
      </c>
      <c r="L22" s="25">
        <v>28</v>
      </c>
      <c r="M22" s="25">
        <v>28</v>
      </c>
      <c r="N22" s="25">
        <v>56</v>
      </c>
    </row>
    <row r="23" spans="4:14">
      <c r="D23" s="64">
        <v>46055</v>
      </c>
      <c r="E23" s="32">
        <v>1575595</v>
      </c>
      <c r="F23" s="32" t="s">
        <v>41</v>
      </c>
      <c r="G23" s="32">
        <v>20325312</v>
      </c>
      <c r="H23" s="32" t="s">
        <v>266</v>
      </c>
      <c r="I23" s="32">
        <v>5</v>
      </c>
      <c r="J23" s="30" t="s">
        <v>43</v>
      </c>
      <c r="K23" s="24">
        <v>1</v>
      </c>
      <c r="L23" s="25">
        <v>2</v>
      </c>
      <c r="M23" s="25">
        <v>2</v>
      </c>
      <c r="N23" s="25">
        <v>10</v>
      </c>
    </row>
    <row r="24" spans="4:14">
      <c r="D24" s="64">
        <v>46055</v>
      </c>
      <c r="E24" s="32">
        <v>1575595</v>
      </c>
      <c r="F24" s="32" t="s">
        <v>41</v>
      </c>
      <c r="G24" s="32">
        <v>20324843</v>
      </c>
      <c r="H24" s="32" t="s">
        <v>267</v>
      </c>
      <c r="I24" s="32">
        <v>11</v>
      </c>
      <c r="J24" s="34" t="s">
        <v>97</v>
      </c>
      <c r="K24" s="24">
        <v>1</v>
      </c>
      <c r="L24" s="25">
        <v>3.2</v>
      </c>
      <c r="M24" s="25">
        <v>3.2</v>
      </c>
      <c r="N24" s="25">
        <v>35.2</v>
      </c>
    </row>
    <row r="25" spans="4:14">
      <c r="D25" s="64">
        <v>46055</v>
      </c>
      <c r="E25" s="32">
        <v>1575637</v>
      </c>
      <c r="F25" s="32" t="s">
        <v>20</v>
      </c>
      <c r="G25" s="32">
        <v>20324425</v>
      </c>
      <c r="H25" s="32" t="s">
        <v>146</v>
      </c>
      <c r="I25" s="32">
        <v>1</v>
      </c>
      <c r="J25" s="32" t="s">
        <v>64</v>
      </c>
      <c r="K25" s="24">
        <v>1</v>
      </c>
      <c r="L25" s="25">
        <v>8.8</v>
      </c>
      <c r="M25" s="25">
        <v>8.8</v>
      </c>
      <c r="N25" s="25">
        <v>8.8</v>
      </c>
    </row>
    <row r="26" spans="4:14">
      <c r="D26" s="64">
        <v>46055</v>
      </c>
      <c r="E26" s="32">
        <v>1575637</v>
      </c>
      <c r="F26" s="32" t="s">
        <v>16</v>
      </c>
      <c r="G26" s="32">
        <v>20324578</v>
      </c>
      <c r="H26" s="32" t="s">
        <v>119</v>
      </c>
      <c r="I26" s="32">
        <v>1</v>
      </c>
      <c r="J26" s="30" t="s">
        <v>18</v>
      </c>
      <c r="K26" s="24">
        <f>M26/L26</f>
        <v>25</v>
      </c>
      <c r="L26" s="25">
        <v>4.4</v>
      </c>
      <c r="M26" s="25">
        <v>110</v>
      </c>
      <c r="N26" s="25">
        <v>110</v>
      </c>
    </row>
    <row r="27" spans="4:14">
      <c r="D27" s="64">
        <v>46056</v>
      </c>
      <c r="E27" s="32">
        <v>1575744</v>
      </c>
      <c r="F27" s="32" t="s">
        <v>20</v>
      </c>
      <c r="G27" s="32">
        <v>20324722</v>
      </c>
      <c r="H27" s="32" t="s">
        <v>268</v>
      </c>
      <c r="I27" s="32">
        <v>1</v>
      </c>
      <c r="J27" s="34" t="s">
        <v>181</v>
      </c>
      <c r="K27" s="24">
        <v>1</v>
      </c>
      <c r="L27" s="25">
        <v>28</v>
      </c>
      <c r="M27" s="25">
        <v>28</v>
      </c>
      <c r="N27" s="25">
        <v>28</v>
      </c>
    </row>
    <row r="28" spans="4:14">
      <c r="D28" s="64">
        <v>46056</v>
      </c>
      <c r="E28" s="32">
        <v>1575744</v>
      </c>
      <c r="F28" s="32" t="s">
        <v>26</v>
      </c>
      <c r="G28" s="32">
        <v>20325010</v>
      </c>
      <c r="H28" s="32" t="s">
        <v>269</v>
      </c>
      <c r="I28" s="32">
        <v>1</v>
      </c>
      <c r="J28" s="34" t="s">
        <v>61</v>
      </c>
      <c r="K28" s="24" t="s">
        <v>62</v>
      </c>
      <c r="L28" s="25">
        <v>70.4</v>
      </c>
      <c r="M28" s="25">
        <v>70.4</v>
      </c>
      <c r="N28" s="25">
        <v>70.4</v>
      </c>
    </row>
    <row r="29" spans="4:14">
      <c r="D29" s="64">
        <v>46058</v>
      </c>
      <c r="E29" s="32">
        <v>1576664</v>
      </c>
      <c r="F29" s="32" t="s">
        <v>20</v>
      </c>
      <c r="G29" s="32">
        <v>20388138</v>
      </c>
      <c r="H29" s="32" t="s">
        <v>270</v>
      </c>
      <c r="I29" s="32">
        <v>1</v>
      </c>
      <c r="J29" s="31" t="s">
        <v>29</v>
      </c>
      <c r="K29" s="24">
        <v>1</v>
      </c>
      <c r="L29" s="25">
        <v>6.4</v>
      </c>
      <c r="M29" s="25">
        <v>6.4</v>
      </c>
      <c r="N29" s="25">
        <v>6.4</v>
      </c>
    </row>
    <row r="30" spans="4:14">
      <c r="D30" s="64">
        <v>46058</v>
      </c>
      <c r="E30" s="32">
        <v>1576664</v>
      </c>
      <c r="F30" s="32" t="s">
        <v>20</v>
      </c>
      <c r="G30" s="32">
        <v>20324533</v>
      </c>
      <c r="H30" s="32" t="s">
        <v>124</v>
      </c>
      <c r="I30" s="32">
        <v>1</v>
      </c>
      <c r="J30" s="31" t="s">
        <v>29</v>
      </c>
      <c r="K30" s="24">
        <v>1</v>
      </c>
      <c r="L30" s="25">
        <v>6.4</v>
      </c>
      <c r="M30" s="25">
        <v>6.4</v>
      </c>
      <c r="N30" s="25">
        <v>6.4</v>
      </c>
    </row>
    <row r="31" spans="4:14">
      <c r="D31" s="64">
        <v>46058</v>
      </c>
      <c r="E31" s="32">
        <v>1576664</v>
      </c>
      <c r="F31" s="31" t="s">
        <v>41</v>
      </c>
      <c r="G31" s="32">
        <v>20365637</v>
      </c>
      <c r="H31" s="32" t="s">
        <v>265</v>
      </c>
      <c r="I31" s="32">
        <v>3</v>
      </c>
      <c r="J31" s="30" t="s">
        <v>239</v>
      </c>
      <c r="K31" s="24">
        <v>1</v>
      </c>
      <c r="L31" s="25">
        <v>28</v>
      </c>
      <c r="M31" s="25">
        <v>28</v>
      </c>
      <c r="N31" s="25">
        <v>84</v>
      </c>
    </row>
    <row r="32" spans="4:14">
      <c r="D32" s="64">
        <v>46058</v>
      </c>
      <c r="E32" s="32">
        <v>1576664</v>
      </c>
      <c r="F32" s="32" t="s">
        <v>16</v>
      </c>
      <c r="G32" s="32">
        <v>20324578</v>
      </c>
      <c r="H32" s="32" t="s">
        <v>119</v>
      </c>
      <c r="I32" s="32">
        <v>1</v>
      </c>
      <c r="J32" s="30" t="s">
        <v>18</v>
      </c>
      <c r="K32" s="24">
        <f t="shared" ref="K32:K34" si="0">M32/L32</f>
        <v>25</v>
      </c>
      <c r="L32" s="25">
        <v>4.4</v>
      </c>
      <c r="M32" s="25">
        <v>110</v>
      </c>
      <c r="N32" s="25">
        <v>110</v>
      </c>
    </row>
    <row r="33" spans="4:14">
      <c r="D33" s="64">
        <v>46058</v>
      </c>
      <c r="E33" s="32">
        <v>1576664</v>
      </c>
      <c r="F33" s="32" t="s">
        <v>20</v>
      </c>
      <c r="G33" s="32">
        <v>20324836</v>
      </c>
      <c r="H33" s="32" t="s">
        <v>271</v>
      </c>
      <c r="I33" s="32">
        <v>1</v>
      </c>
      <c r="J33" s="32" t="s">
        <v>116</v>
      </c>
      <c r="K33" s="24">
        <f t="shared" si="0"/>
        <v>3</v>
      </c>
      <c r="L33" s="25">
        <v>4.4</v>
      </c>
      <c r="M33" s="25">
        <v>13.2</v>
      </c>
      <c r="N33" s="25">
        <v>13.2</v>
      </c>
    </row>
    <row r="34" spans="4:14">
      <c r="D34" s="64">
        <v>46058</v>
      </c>
      <c r="E34" s="32">
        <v>1576664</v>
      </c>
      <c r="F34" s="32" t="s">
        <v>20</v>
      </c>
      <c r="G34" s="32">
        <v>20324729</v>
      </c>
      <c r="H34" s="32" t="s">
        <v>272</v>
      </c>
      <c r="I34" s="32">
        <v>1</v>
      </c>
      <c r="J34" s="30" t="s">
        <v>18</v>
      </c>
      <c r="K34" s="24">
        <f t="shared" si="0"/>
        <v>6</v>
      </c>
      <c r="L34" s="25">
        <v>4.4</v>
      </c>
      <c r="M34" s="25">
        <v>26.4</v>
      </c>
      <c r="N34" s="25">
        <v>26.4</v>
      </c>
    </row>
    <row r="35" spans="4:14">
      <c r="D35" s="64">
        <v>46058</v>
      </c>
      <c r="E35" s="32">
        <v>1576664</v>
      </c>
      <c r="F35" s="32" t="s">
        <v>41</v>
      </c>
      <c r="G35" s="32">
        <v>20324955</v>
      </c>
      <c r="H35" s="32" t="s">
        <v>42</v>
      </c>
      <c r="I35" s="32">
        <v>10</v>
      </c>
      <c r="J35" s="30" t="s">
        <v>43</v>
      </c>
      <c r="K35" s="24">
        <v>1</v>
      </c>
      <c r="L35" s="25">
        <v>2</v>
      </c>
      <c r="M35" s="25">
        <v>2</v>
      </c>
      <c r="N35" s="25">
        <v>20</v>
      </c>
    </row>
    <row r="36" spans="4:14">
      <c r="D36" s="64">
        <v>46059</v>
      </c>
      <c r="E36" s="32">
        <v>1576758</v>
      </c>
      <c r="F36" s="32" t="s">
        <v>20</v>
      </c>
      <c r="G36" s="32">
        <v>20325235</v>
      </c>
      <c r="H36" s="32" t="s">
        <v>273</v>
      </c>
      <c r="I36" s="32">
        <v>1</v>
      </c>
      <c r="J36" s="30" t="s">
        <v>36</v>
      </c>
      <c r="K36" s="24">
        <v>1</v>
      </c>
      <c r="L36" s="25">
        <v>17.6</v>
      </c>
      <c r="M36" s="25">
        <v>17.6</v>
      </c>
      <c r="N36" s="25">
        <v>17.6</v>
      </c>
    </row>
    <row r="37" spans="4:14">
      <c r="D37" s="64">
        <v>46059</v>
      </c>
      <c r="E37" s="32">
        <v>1576758</v>
      </c>
      <c r="F37" s="32" t="s">
        <v>20</v>
      </c>
      <c r="G37" s="32">
        <v>20332476</v>
      </c>
      <c r="H37" s="32" t="s">
        <v>274</v>
      </c>
      <c r="I37" s="32">
        <v>1</v>
      </c>
      <c r="J37" s="34" t="s">
        <v>128</v>
      </c>
      <c r="K37" s="24">
        <v>1</v>
      </c>
      <c r="L37" s="25">
        <v>22.4</v>
      </c>
      <c r="M37" s="25">
        <v>22.4</v>
      </c>
      <c r="N37" s="25">
        <v>22.4</v>
      </c>
    </row>
    <row r="38" spans="4:14">
      <c r="D38" s="64">
        <v>46059</v>
      </c>
      <c r="E38" s="32">
        <v>1576758</v>
      </c>
      <c r="F38" s="32" t="s">
        <v>20</v>
      </c>
      <c r="G38" s="32">
        <v>20337203</v>
      </c>
      <c r="H38" s="32" t="s">
        <v>275</v>
      </c>
      <c r="I38" s="32">
        <v>1</v>
      </c>
      <c r="J38" s="34" t="s">
        <v>128</v>
      </c>
      <c r="K38" s="24">
        <v>1</v>
      </c>
      <c r="L38" s="25">
        <v>22.4</v>
      </c>
      <c r="M38" s="25">
        <v>22.4</v>
      </c>
      <c r="N38" s="25">
        <v>22.4</v>
      </c>
    </row>
    <row r="39" spans="4:14">
      <c r="D39" s="64">
        <v>46059</v>
      </c>
      <c r="E39" s="32">
        <v>1576758</v>
      </c>
      <c r="F39" s="32" t="s">
        <v>20</v>
      </c>
      <c r="G39" s="32">
        <v>20373643</v>
      </c>
      <c r="H39" s="32" t="s">
        <v>276</v>
      </c>
      <c r="I39" s="32">
        <v>1</v>
      </c>
      <c r="J39" s="34" t="s">
        <v>34</v>
      </c>
      <c r="K39" s="24" t="s">
        <v>35</v>
      </c>
      <c r="L39" s="25">
        <v>240</v>
      </c>
      <c r="M39" s="25">
        <v>240</v>
      </c>
      <c r="N39" s="25">
        <v>240</v>
      </c>
    </row>
    <row r="40" spans="4:14">
      <c r="D40" s="64">
        <v>46059</v>
      </c>
      <c r="E40" s="32">
        <v>1576758</v>
      </c>
      <c r="F40" s="32" t="s">
        <v>20</v>
      </c>
      <c r="G40" s="32">
        <v>20356846</v>
      </c>
      <c r="H40" s="32" t="s">
        <v>277</v>
      </c>
      <c r="I40" s="32">
        <v>1</v>
      </c>
      <c r="J40" s="34" t="s">
        <v>181</v>
      </c>
      <c r="K40" s="24">
        <v>1</v>
      </c>
      <c r="L40" s="25">
        <v>28</v>
      </c>
      <c r="M40" s="25">
        <v>28</v>
      </c>
      <c r="N40" s="25">
        <v>28</v>
      </c>
    </row>
    <row r="41" spans="4:14">
      <c r="D41" s="64">
        <v>46059</v>
      </c>
      <c r="E41" s="32">
        <v>1576758</v>
      </c>
      <c r="F41" s="32" t="s">
        <v>20</v>
      </c>
      <c r="G41" s="32">
        <v>20325012</v>
      </c>
      <c r="H41" s="32" t="s">
        <v>278</v>
      </c>
      <c r="I41" s="32">
        <v>1</v>
      </c>
      <c r="J41" s="30" t="s">
        <v>36</v>
      </c>
      <c r="K41" s="24">
        <v>1</v>
      </c>
      <c r="L41" s="25">
        <v>17.6</v>
      </c>
      <c r="M41" s="25">
        <v>35.2</v>
      </c>
      <c r="N41" s="25">
        <v>35.2</v>
      </c>
    </row>
    <row r="42" spans="4:14">
      <c r="D42" s="64"/>
      <c r="E42" s="32"/>
      <c r="F42" s="32"/>
      <c r="G42" s="32"/>
      <c r="H42" s="32"/>
      <c r="I42" s="32"/>
      <c r="J42" s="30" t="s">
        <v>36</v>
      </c>
      <c r="K42" s="24">
        <v>1</v>
      </c>
      <c r="L42" s="25">
        <v>17.6</v>
      </c>
      <c r="M42" s="25"/>
      <c r="N42" s="25"/>
    </row>
    <row r="43" spans="4:14">
      <c r="D43" s="64">
        <v>46059</v>
      </c>
      <c r="E43" s="32">
        <v>1576758</v>
      </c>
      <c r="F43" s="32" t="s">
        <v>26</v>
      </c>
      <c r="G43" s="32">
        <v>20324849</v>
      </c>
      <c r="H43" s="32" t="s">
        <v>279</v>
      </c>
      <c r="I43" s="32">
        <v>1</v>
      </c>
      <c r="J43" s="34" t="s">
        <v>128</v>
      </c>
      <c r="K43" s="24">
        <v>1</v>
      </c>
      <c r="L43" s="25">
        <v>22.4</v>
      </c>
      <c r="M43" s="25">
        <v>22.4</v>
      </c>
      <c r="N43" s="25">
        <v>22.4</v>
      </c>
    </row>
    <row r="44" spans="4:14">
      <c r="D44" s="64">
        <v>46059</v>
      </c>
      <c r="E44" s="32">
        <v>1576758</v>
      </c>
      <c r="F44" s="32" t="s">
        <v>26</v>
      </c>
      <c r="G44" s="32">
        <v>20325010</v>
      </c>
      <c r="H44" s="32" t="s">
        <v>269</v>
      </c>
      <c r="I44" s="32">
        <v>1</v>
      </c>
      <c r="J44" s="34" t="s">
        <v>61</v>
      </c>
      <c r="K44" s="24" t="s">
        <v>62</v>
      </c>
      <c r="L44" s="25">
        <v>70.4</v>
      </c>
      <c r="M44" s="25">
        <v>70.4</v>
      </c>
      <c r="N44" s="25">
        <v>70.4</v>
      </c>
    </row>
    <row r="45" spans="4:14">
      <c r="D45" s="64">
        <v>46060</v>
      </c>
      <c r="E45" s="32">
        <v>1577036</v>
      </c>
      <c r="F45" s="32" t="s">
        <v>16</v>
      </c>
      <c r="G45" s="32">
        <v>20324463</v>
      </c>
      <c r="H45" s="32" t="s">
        <v>249</v>
      </c>
      <c r="I45" s="32">
        <v>1</v>
      </c>
      <c r="J45" s="30" t="s">
        <v>18</v>
      </c>
      <c r="K45" s="24">
        <f>M45/L45</f>
        <v>35</v>
      </c>
      <c r="L45" s="25">
        <v>4.4</v>
      </c>
      <c r="M45" s="25">
        <v>154</v>
      </c>
      <c r="N45" s="25">
        <v>154</v>
      </c>
    </row>
    <row r="46" spans="4:14">
      <c r="D46" s="64">
        <v>46060</v>
      </c>
      <c r="E46" s="32">
        <v>1577036</v>
      </c>
      <c r="F46" s="32" t="s">
        <v>20</v>
      </c>
      <c r="G46" s="32">
        <v>20324826</v>
      </c>
      <c r="H46" s="32" t="s">
        <v>250</v>
      </c>
      <c r="I46" s="32">
        <v>1</v>
      </c>
      <c r="J46" s="32" t="s">
        <v>218</v>
      </c>
      <c r="K46" s="24">
        <v>1</v>
      </c>
      <c r="L46" s="58">
        <v>10.4</v>
      </c>
      <c r="M46" s="25">
        <v>10.4</v>
      </c>
      <c r="N46" s="25">
        <v>10.4</v>
      </c>
    </row>
    <row r="47" spans="4:14">
      <c r="D47" s="64">
        <v>46060</v>
      </c>
      <c r="E47" s="32">
        <v>1577036</v>
      </c>
      <c r="F47" s="32" t="s">
        <v>20</v>
      </c>
      <c r="G47" s="32">
        <v>20324823</v>
      </c>
      <c r="H47" s="32" t="s">
        <v>251</v>
      </c>
      <c r="I47" s="32">
        <v>1</v>
      </c>
      <c r="J47" s="31" t="s">
        <v>29</v>
      </c>
      <c r="K47" s="24">
        <v>1</v>
      </c>
      <c r="L47" s="25">
        <v>6.4</v>
      </c>
      <c r="M47" s="25">
        <v>6.4</v>
      </c>
      <c r="N47" s="25">
        <v>6.4</v>
      </c>
    </row>
    <row r="48" spans="4:14">
      <c r="D48" s="64">
        <v>46060</v>
      </c>
      <c r="E48" s="32">
        <v>1577036</v>
      </c>
      <c r="F48" s="32" t="s">
        <v>16</v>
      </c>
      <c r="G48" s="32">
        <v>20324578</v>
      </c>
      <c r="H48" s="32" t="s">
        <v>119</v>
      </c>
      <c r="I48" s="32">
        <v>1</v>
      </c>
      <c r="J48" s="30" t="s">
        <v>18</v>
      </c>
      <c r="K48" s="24">
        <f>M48/L48</f>
        <v>25</v>
      </c>
      <c r="L48" s="25">
        <v>4.4</v>
      </c>
      <c r="M48" s="25">
        <v>110</v>
      </c>
      <c r="N48" s="25">
        <v>110</v>
      </c>
    </row>
    <row r="49" spans="4:14">
      <c r="D49" s="64">
        <v>46060</v>
      </c>
      <c r="E49" s="32">
        <v>1577036</v>
      </c>
      <c r="F49" s="32" t="s">
        <v>20</v>
      </c>
      <c r="G49" s="32">
        <v>20324699</v>
      </c>
      <c r="H49" s="32" t="s">
        <v>252</v>
      </c>
      <c r="I49" s="32">
        <v>1</v>
      </c>
      <c r="J49" s="30" t="s">
        <v>18</v>
      </c>
      <c r="K49" s="24">
        <f>M49/L49</f>
        <v>5</v>
      </c>
      <c r="L49" s="25">
        <v>4.4</v>
      </c>
      <c r="M49" s="25">
        <v>22</v>
      </c>
      <c r="N49" s="25">
        <v>22</v>
      </c>
    </row>
    <row r="50" spans="4:14">
      <c r="D50" s="64">
        <v>46060</v>
      </c>
      <c r="E50" s="32">
        <v>1577065</v>
      </c>
      <c r="F50" s="32" t="s">
        <v>20</v>
      </c>
      <c r="G50" s="32">
        <v>20324637</v>
      </c>
      <c r="H50" s="32" t="s">
        <v>280</v>
      </c>
      <c r="I50" s="32">
        <v>1</v>
      </c>
      <c r="J50" s="34" t="s">
        <v>181</v>
      </c>
      <c r="K50" s="24">
        <v>1</v>
      </c>
      <c r="L50" s="25">
        <v>28</v>
      </c>
      <c r="M50" s="25">
        <v>28</v>
      </c>
      <c r="N50" s="25">
        <v>28</v>
      </c>
    </row>
    <row r="51" spans="4:14">
      <c r="D51" s="64">
        <v>46060</v>
      </c>
      <c r="E51" s="32">
        <v>1577065</v>
      </c>
      <c r="F51" s="32" t="s">
        <v>20</v>
      </c>
      <c r="G51" s="32">
        <v>20330449</v>
      </c>
      <c r="H51" s="32" t="s">
        <v>281</v>
      </c>
      <c r="I51" s="32">
        <v>1</v>
      </c>
      <c r="J51" s="34" t="s">
        <v>128</v>
      </c>
      <c r="K51" s="24">
        <v>1</v>
      </c>
      <c r="L51" s="25">
        <v>22.4</v>
      </c>
      <c r="M51" s="25">
        <v>22.4</v>
      </c>
      <c r="N51" s="25">
        <v>22.4</v>
      </c>
    </row>
    <row r="52" spans="4:14">
      <c r="D52" s="64">
        <v>46060</v>
      </c>
      <c r="E52" s="32">
        <v>1577065</v>
      </c>
      <c r="F52" s="32" t="s">
        <v>20</v>
      </c>
      <c r="G52" s="32">
        <v>20328406</v>
      </c>
      <c r="H52" s="32" t="s">
        <v>282</v>
      </c>
      <c r="I52" s="32">
        <v>1</v>
      </c>
      <c r="J52" s="34" t="s">
        <v>128</v>
      </c>
      <c r="K52" s="24">
        <v>1</v>
      </c>
      <c r="L52" s="25">
        <v>22.4</v>
      </c>
      <c r="M52" s="25">
        <v>22.4</v>
      </c>
      <c r="N52" s="25">
        <v>22.4</v>
      </c>
    </row>
    <row r="53" spans="4:14">
      <c r="D53" s="64">
        <v>46060</v>
      </c>
      <c r="E53" s="32">
        <v>1577065</v>
      </c>
      <c r="F53" s="32" t="s">
        <v>20</v>
      </c>
      <c r="G53" s="32">
        <v>20324723</v>
      </c>
      <c r="H53" s="32" t="s">
        <v>283</v>
      </c>
      <c r="I53" s="32">
        <v>1</v>
      </c>
      <c r="J53" s="34" t="s">
        <v>128</v>
      </c>
      <c r="K53" s="24">
        <v>1</v>
      </c>
      <c r="L53" s="25">
        <v>22.4</v>
      </c>
      <c r="M53" s="25">
        <v>22.4</v>
      </c>
      <c r="N53" s="25">
        <v>22.4</v>
      </c>
    </row>
    <row r="54" spans="4:14">
      <c r="D54" s="64">
        <v>46060</v>
      </c>
      <c r="E54" s="32">
        <v>1577065</v>
      </c>
      <c r="F54" s="32" t="s">
        <v>20</v>
      </c>
      <c r="G54" s="32">
        <v>20324838</v>
      </c>
      <c r="H54" s="32" t="s">
        <v>284</v>
      </c>
      <c r="I54" s="32">
        <v>1</v>
      </c>
      <c r="J54" s="34" t="s">
        <v>128</v>
      </c>
      <c r="K54" s="24">
        <v>1</v>
      </c>
      <c r="L54" s="25">
        <v>22.4</v>
      </c>
      <c r="M54" s="25">
        <v>22.4</v>
      </c>
      <c r="N54" s="25">
        <v>22.4</v>
      </c>
    </row>
    <row r="55" spans="4:14">
      <c r="D55" s="64">
        <v>46060</v>
      </c>
      <c r="E55" s="32">
        <v>1577065</v>
      </c>
      <c r="F55" s="32" t="s">
        <v>20</v>
      </c>
      <c r="G55" s="32">
        <v>20324835</v>
      </c>
      <c r="H55" s="32" t="s">
        <v>285</v>
      </c>
      <c r="I55" s="32">
        <v>1</v>
      </c>
      <c r="J55" s="30" t="s">
        <v>259</v>
      </c>
      <c r="K55" s="24">
        <v>1</v>
      </c>
      <c r="L55" s="25">
        <v>20</v>
      </c>
      <c r="M55" s="25">
        <v>20</v>
      </c>
      <c r="N55" s="25">
        <v>20</v>
      </c>
    </row>
    <row r="56" spans="4:14">
      <c r="D56" s="64">
        <v>46060</v>
      </c>
      <c r="E56" s="32">
        <v>1577065</v>
      </c>
      <c r="F56" s="32" t="s">
        <v>20</v>
      </c>
      <c r="G56" s="32">
        <v>20356846</v>
      </c>
      <c r="H56" s="32" t="s">
        <v>277</v>
      </c>
      <c r="I56" s="32">
        <v>1</v>
      </c>
      <c r="J56" s="34" t="s">
        <v>181</v>
      </c>
      <c r="K56" s="24">
        <v>1</v>
      </c>
      <c r="L56" s="25">
        <v>28</v>
      </c>
      <c r="M56" s="25">
        <v>28</v>
      </c>
      <c r="N56" s="25">
        <v>28</v>
      </c>
    </row>
    <row r="57" spans="4:14">
      <c r="D57" s="64">
        <v>46060</v>
      </c>
      <c r="E57" s="32">
        <v>1577065</v>
      </c>
      <c r="F57" s="32" t="s">
        <v>20</v>
      </c>
      <c r="G57" s="32">
        <v>20341762</v>
      </c>
      <c r="H57" s="32" t="s">
        <v>286</v>
      </c>
      <c r="I57" s="32">
        <v>1</v>
      </c>
      <c r="J57" s="34" t="s">
        <v>181</v>
      </c>
      <c r="K57" s="24">
        <v>1</v>
      </c>
      <c r="L57" s="25">
        <v>28</v>
      </c>
      <c r="M57" s="25">
        <v>28</v>
      </c>
      <c r="N57" s="25">
        <v>28</v>
      </c>
    </row>
    <row r="58" spans="4:14">
      <c r="D58" s="64">
        <v>46060</v>
      </c>
      <c r="E58" s="32">
        <v>1577065</v>
      </c>
      <c r="F58" s="32" t="s">
        <v>20</v>
      </c>
      <c r="G58" s="32">
        <v>20325012</v>
      </c>
      <c r="H58" s="32" t="s">
        <v>278</v>
      </c>
      <c r="I58" s="32">
        <v>1</v>
      </c>
      <c r="J58" s="30" t="s">
        <v>36</v>
      </c>
      <c r="K58" s="24">
        <v>1</v>
      </c>
      <c r="L58" s="25">
        <v>17.6</v>
      </c>
      <c r="M58" s="25">
        <v>35.2</v>
      </c>
      <c r="N58" s="25">
        <v>35.2</v>
      </c>
    </row>
    <row r="59" spans="4:14">
      <c r="D59" s="64"/>
      <c r="E59" s="32"/>
      <c r="F59" s="32"/>
      <c r="G59" s="32"/>
      <c r="H59" s="32"/>
      <c r="I59" s="32"/>
      <c r="J59" s="30" t="s">
        <v>36</v>
      </c>
      <c r="K59" s="24">
        <v>1</v>
      </c>
      <c r="L59" s="25">
        <v>17.6</v>
      </c>
      <c r="M59" s="25"/>
      <c r="N59" s="25"/>
    </row>
    <row r="60" spans="4:14">
      <c r="D60" s="64">
        <v>46060</v>
      </c>
      <c r="E60" s="32">
        <v>1577065</v>
      </c>
      <c r="F60" s="32" t="s">
        <v>20</v>
      </c>
      <c r="G60" s="32">
        <v>20324813</v>
      </c>
      <c r="H60" s="32" t="s">
        <v>130</v>
      </c>
      <c r="I60" s="32">
        <v>1</v>
      </c>
      <c r="J60" s="34" t="s">
        <v>128</v>
      </c>
      <c r="K60" s="24">
        <v>1</v>
      </c>
      <c r="L60" s="25">
        <v>22.4</v>
      </c>
      <c r="M60" s="25">
        <v>22.4</v>
      </c>
      <c r="N60" s="25">
        <v>22.4</v>
      </c>
    </row>
    <row r="61" spans="4:14">
      <c r="D61" s="64">
        <v>46060</v>
      </c>
      <c r="E61" s="32">
        <v>1577065</v>
      </c>
      <c r="F61" s="32" t="s">
        <v>20</v>
      </c>
      <c r="G61" s="32">
        <v>20324815</v>
      </c>
      <c r="H61" s="32" t="s">
        <v>287</v>
      </c>
      <c r="I61" s="32">
        <v>1</v>
      </c>
      <c r="J61" s="34" t="s">
        <v>181</v>
      </c>
      <c r="K61" s="24">
        <v>1</v>
      </c>
      <c r="L61" s="25">
        <v>28</v>
      </c>
      <c r="M61" s="25">
        <v>28</v>
      </c>
      <c r="N61" s="25">
        <v>28</v>
      </c>
    </row>
    <row r="62" spans="4:14">
      <c r="D62" s="64">
        <v>46060</v>
      </c>
      <c r="E62" s="32">
        <v>1577065</v>
      </c>
      <c r="F62" s="32" t="s">
        <v>20</v>
      </c>
      <c r="G62" s="32">
        <v>20324644</v>
      </c>
      <c r="H62" s="32" t="s">
        <v>288</v>
      </c>
      <c r="I62" s="32">
        <v>1</v>
      </c>
      <c r="J62" s="34" t="s">
        <v>128</v>
      </c>
      <c r="K62" s="24">
        <v>1</v>
      </c>
      <c r="L62" s="25">
        <v>22.4</v>
      </c>
      <c r="M62" s="25">
        <v>22.4</v>
      </c>
      <c r="N62" s="25">
        <v>22.4</v>
      </c>
    </row>
    <row r="63" spans="4:14">
      <c r="D63" s="64">
        <v>46060</v>
      </c>
      <c r="E63" s="32">
        <v>1577065</v>
      </c>
      <c r="F63" s="32" t="s">
        <v>20</v>
      </c>
      <c r="G63" s="32">
        <v>20324814</v>
      </c>
      <c r="H63" s="32" t="s">
        <v>289</v>
      </c>
      <c r="I63" s="32">
        <v>1</v>
      </c>
      <c r="J63" s="34" t="s">
        <v>128</v>
      </c>
      <c r="K63" s="24">
        <v>1</v>
      </c>
      <c r="L63" s="25">
        <v>22.4</v>
      </c>
      <c r="M63" s="25">
        <v>22.4</v>
      </c>
      <c r="N63" s="25">
        <v>22.4</v>
      </c>
    </row>
    <row r="64" spans="4:14">
      <c r="D64" s="64">
        <v>46060</v>
      </c>
      <c r="E64" s="32">
        <v>1577065</v>
      </c>
      <c r="F64" s="32" t="s">
        <v>26</v>
      </c>
      <c r="G64" s="32">
        <v>20324849</v>
      </c>
      <c r="H64" s="32" t="s">
        <v>279</v>
      </c>
      <c r="I64" s="32">
        <v>1</v>
      </c>
      <c r="J64" s="34" t="s">
        <v>128</v>
      </c>
      <c r="K64" s="24">
        <v>1</v>
      </c>
      <c r="L64" s="25">
        <v>22.4</v>
      </c>
      <c r="M64" s="25">
        <v>22.4</v>
      </c>
      <c r="N64" s="25">
        <v>22.4</v>
      </c>
    </row>
    <row r="65" spans="4:14">
      <c r="D65" s="64">
        <v>46060</v>
      </c>
      <c r="E65" s="32">
        <v>1577119</v>
      </c>
      <c r="F65" s="32" t="s">
        <v>20</v>
      </c>
      <c r="G65" s="32">
        <v>20330343</v>
      </c>
      <c r="H65" s="32" t="s">
        <v>264</v>
      </c>
      <c r="I65" s="32">
        <v>1</v>
      </c>
      <c r="J65" s="34" t="s">
        <v>128</v>
      </c>
      <c r="K65" s="24">
        <v>1</v>
      </c>
      <c r="L65" s="25">
        <v>22.4</v>
      </c>
      <c r="M65" s="25">
        <v>22.4</v>
      </c>
      <c r="N65" s="25">
        <v>22.4</v>
      </c>
    </row>
    <row r="66" spans="4:14">
      <c r="D66" s="64">
        <v>46079</v>
      </c>
      <c r="E66" s="32">
        <v>1580448</v>
      </c>
      <c r="F66" s="31" t="s">
        <v>41</v>
      </c>
      <c r="G66" s="32">
        <v>20365637</v>
      </c>
      <c r="H66" s="32" t="s">
        <v>265</v>
      </c>
      <c r="I66" s="32">
        <v>3</v>
      </c>
      <c r="J66" s="30" t="s">
        <v>239</v>
      </c>
      <c r="K66" s="24">
        <v>1</v>
      </c>
      <c r="L66" s="25">
        <v>28</v>
      </c>
      <c r="M66" s="25">
        <v>28</v>
      </c>
      <c r="N66" s="25">
        <v>84</v>
      </c>
    </row>
    <row r="67" spans="4:14">
      <c r="D67" s="64">
        <v>46079</v>
      </c>
      <c r="E67" s="32">
        <v>1580513</v>
      </c>
      <c r="F67" s="32" t="s">
        <v>16</v>
      </c>
      <c r="G67" s="32">
        <v>20324789</v>
      </c>
      <c r="H67" s="32" t="s">
        <v>290</v>
      </c>
      <c r="I67" s="32">
        <v>1</v>
      </c>
      <c r="J67" s="30" t="s">
        <v>18</v>
      </c>
      <c r="K67" s="24">
        <f>M67/L67</f>
        <v>39</v>
      </c>
      <c r="L67" s="25">
        <v>4.4</v>
      </c>
      <c r="M67" s="25">
        <v>171.6</v>
      </c>
      <c r="N67" s="25">
        <v>171.6</v>
      </c>
    </row>
    <row r="68" spans="4:14">
      <c r="D68" s="64">
        <v>46079</v>
      </c>
      <c r="E68" s="32">
        <v>1580513</v>
      </c>
      <c r="F68" s="32" t="s">
        <v>20</v>
      </c>
      <c r="G68" s="32">
        <v>20324699</v>
      </c>
      <c r="H68" s="32" t="s">
        <v>252</v>
      </c>
      <c r="I68" s="32">
        <v>1</v>
      </c>
      <c r="J68" s="30" t="s">
        <v>18</v>
      </c>
      <c r="K68" s="24">
        <f>M68/L68</f>
        <v>5</v>
      </c>
      <c r="L68" s="25">
        <v>4.4</v>
      </c>
      <c r="M68" s="25">
        <v>22</v>
      </c>
      <c r="N68" s="25">
        <v>22</v>
      </c>
    </row>
    <row r="69" spans="4:14">
      <c r="D69" s="64">
        <v>46080</v>
      </c>
      <c r="E69" s="32">
        <v>1580525</v>
      </c>
      <c r="F69" s="32" t="s">
        <v>20</v>
      </c>
      <c r="G69" s="32">
        <v>20366903</v>
      </c>
      <c r="H69" s="32" t="s">
        <v>291</v>
      </c>
      <c r="I69" s="32">
        <v>1</v>
      </c>
      <c r="J69" s="32" t="s">
        <v>29</v>
      </c>
      <c r="K69" s="24">
        <v>1</v>
      </c>
      <c r="L69" s="25">
        <v>6.4</v>
      </c>
      <c r="M69" s="25">
        <v>10.8</v>
      </c>
      <c r="N69" s="25">
        <v>10.8</v>
      </c>
    </row>
    <row r="70" spans="4:14">
      <c r="D70" s="64"/>
      <c r="E70" s="32"/>
      <c r="F70" s="32"/>
      <c r="G70" s="32"/>
      <c r="H70" s="32"/>
      <c r="I70" s="32"/>
      <c r="J70" s="32" t="s">
        <v>116</v>
      </c>
      <c r="K70" s="24">
        <v>1</v>
      </c>
      <c r="L70" s="25">
        <v>4.4</v>
      </c>
      <c r="M70" s="25"/>
      <c r="N70" s="25"/>
    </row>
    <row r="76" spans="4:14">
      <c r="D76" s="1" t="s">
        <v>185</v>
      </c>
    </row>
    <row r="79" spans="4:14">
      <c r="D79" s="2" t="s">
        <v>186</v>
      </c>
    </row>
    <row r="81" spans="4:12">
      <c r="D81" s="4" t="s">
        <v>187</v>
      </c>
      <c r="E81" s="4" t="s">
        <v>188</v>
      </c>
      <c r="G81" s="4" t="s">
        <v>189</v>
      </c>
      <c r="H81" s="4" t="s">
        <v>190</v>
      </c>
      <c r="I81" s="4" t="s">
        <v>7</v>
      </c>
      <c r="J81" s="4" t="s">
        <v>191</v>
      </c>
      <c r="L81" s="4" t="s">
        <v>192</v>
      </c>
    </row>
    <row r="82" ht="15.75" spans="4:12">
      <c r="D82" s="35" t="s">
        <v>3</v>
      </c>
      <c r="E82" s="36" t="s">
        <v>2</v>
      </c>
      <c r="F82" s="36" t="s">
        <v>2</v>
      </c>
      <c r="G82" s="36" t="s">
        <v>2</v>
      </c>
      <c r="H82" s="36" t="s">
        <v>2</v>
      </c>
      <c r="I82" s="36" t="s">
        <v>2</v>
      </c>
      <c r="J82" s="37" t="s">
        <v>2</v>
      </c>
      <c r="K82" s="36" t="s">
        <v>2</v>
      </c>
      <c r="L82" s="38"/>
    </row>
    <row r="83" ht="14.25" spans="4:12">
      <c r="D83" s="39" t="s">
        <v>248</v>
      </c>
      <c r="E83" s="36" t="s">
        <v>2</v>
      </c>
      <c r="F83" s="36" t="s">
        <v>2</v>
      </c>
      <c r="G83" s="36" t="s">
        <v>2</v>
      </c>
      <c r="H83" s="36" t="s">
        <v>2</v>
      </c>
      <c r="I83" s="36" t="s">
        <v>2</v>
      </c>
      <c r="J83" s="40" t="s">
        <v>2</v>
      </c>
      <c r="K83" s="36" t="s">
        <v>2</v>
      </c>
      <c r="L83" s="41">
        <v>-22.4</v>
      </c>
    </row>
    <row r="84" spans="4:12">
      <c r="D84" s="42" t="s">
        <v>20</v>
      </c>
      <c r="E84" s="36" t="s">
        <v>2</v>
      </c>
      <c r="F84" s="36" t="s">
        <v>2</v>
      </c>
      <c r="G84" s="36" t="s">
        <v>2</v>
      </c>
      <c r="H84" s="36" t="s">
        <v>2</v>
      </c>
      <c r="I84" s="36" t="s">
        <v>2</v>
      </c>
      <c r="J84" s="43" t="s">
        <v>2</v>
      </c>
      <c r="K84" s="36" t="s">
        <v>2</v>
      </c>
      <c r="L84" s="44">
        <v>-22.4</v>
      </c>
    </row>
    <row r="85" spans="4:12">
      <c r="D85" s="45">
        <v>3005922646</v>
      </c>
      <c r="E85" s="46">
        <v>46083.5380678588</v>
      </c>
      <c r="F85" s="47" t="s">
        <v>2</v>
      </c>
      <c r="G85" s="48" t="s">
        <v>193</v>
      </c>
      <c r="H85" s="49">
        <v>46060.0866181366</v>
      </c>
      <c r="I85" s="50">
        <v>20324814</v>
      </c>
      <c r="J85" s="50" t="s">
        <v>289</v>
      </c>
      <c r="K85" s="47" t="s">
        <v>2</v>
      </c>
      <c r="L85" s="51">
        <v>-22.4</v>
      </c>
    </row>
  </sheetData>
  <autoFilter xmlns:etc="http://www.wps.cn/officeDocument/2017/etCustomData" ref="A7:N70" etc:filterBottomFollowUsedRange="0">
    <extLst/>
  </autoFilter>
  <mergeCells count="49">
    <mergeCell ref="D8:H8"/>
    <mergeCell ref="E81:F81"/>
    <mergeCell ref="J81:K81"/>
    <mergeCell ref="D82:I82"/>
    <mergeCell ref="J82:K82"/>
    <mergeCell ref="D83:I83"/>
    <mergeCell ref="J83:K83"/>
    <mergeCell ref="D84:I84"/>
    <mergeCell ref="J84:K84"/>
    <mergeCell ref="E85:F85"/>
    <mergeCell ref="J85:K85"/>
    <mergeCell ref="C7:C69"/>
    <mergeCell ref="D13:D14"/>
    <mergeCell ref="D41:D42"/>
    <mergeCell ref="D58:D59"/>
    <mergeCell ref="D69:D70"/>
    <mergeCell ref="E13:E14"/>
    <mergeCell ref="E41:E42"/>
    <mergeCell ref="E58:E59"/>
    <mergeCell ref="E69:E70"/>
    <mergeCell ref="F13:F14"/>
    <mergeCell ref="F41:F42"/>
    <mergeCell ref="F58:F59"/>
    <mergeCell ref="F69:F70"/>
    <mergeCell ref="G13:G14"/>
    <mergeCell ref="G41:G42"/>
    <mergeCell ref="G58:G59"/>
    <mergeCell ref="G69:G70"/>
    <mergeCell ref="H13:H14"/>
    <mergeCell ref="H41:H42"/>
    <mergeCell ref="H58:H59"/>
    <mergeCell ref="H69:H70"/>
    <mergeCell ref="I13:I14"/>
    <mergeCell ref="I41:I42"/>
    <mergeCell ref="I58:I59"/>
    <mergeCell ref="I69:I70"/>
    <mergeCell ref="M13:M14"/>
    <mergeCell ref="M41:M42"/>
    <mergeCell ref="M58:M59"/>
    <mergeCell ref="M69:M70"/>
    <mergeCell ref="N13:N14"/>
    <mergeCell ref="N41:N42"/>
    <mergeCell ref="N58:N59"/>
    <mergeCell ref="N69:N70"/>
    <mergeCell ref="B4:H5"/>
    <mergeCell ref="C1:H2"/>
    <mergeCell ref="A7:B69"/>
    <mergeCell ref="D76:M77"/>
    <mergeCell ref="D79:H80"/>
  </mergeCells>
  <pageMargins left="0.25" right="0.25" top="0.75" bottom="0.75" header="0.298611111111111" footer="0.298611111111111"/>
  <pageSetup paperSize="9" scale="8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4"/>
  <sheetViews>
    <sheetView showGridLines="0" topLeftCell="F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1" width="22.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32" t="s">
        <v>4</v>
      </c>
      <c r="E7" s="32" t="s">
        <v>5</v>
      </c>
      <c r="F7" s="32" t="s">
        <v>6</v>
      </c>
      <c r="G7" s="32" t="s">
        <v>7</v>
      </c>
      <c r="H7" s="32" t="s">
        <v>8</v>
      </c>
      <c r="I7" s="32" t="s">
        <v>9</v>
      </c>
      <c r="J7" s="32" t="s">
        <v>10</v>
      </c>
      <c r="K7" s="57" t="s">
        <v>11</v>
      </c>
      <c r="L7" s="58" t="s">
        <v>12</v>
      </c>
      <c r="M7" s="81" t="s">
        <v>13</v>
      </c>
      <c r="N7" s="81" t="s">
        <v>14</v>
      </c>
    </row>
    <row r="8" ht="14.25" spans="1:14">
      <c r="D8" s="82" t="s">
        <v>292</v>
      </c>
      <c r="E8" s="83" t="s">
        <v>2</v>
      </c>
      <c r="F8" s="83" t="s">
        <v>2</v>
      </c>
      <c r="G8" s="83" t="s">
        <v>2</v>
      </c>
      <c r="H8" s="83" t="s">
        <v>2</v>
      </c>
      <c r="I8" s="82">
        <v>541</v>
      </c>
      <c r="J8" s="84"/>
      <c r="K8" s="84"/>
      <c r="L8" s="84"/>
      <c r="M8" s="84"/>
      <c r="N8" s="84">
        <f>21577.6+647+2436.8</f>
        <v>24661.4</v>
      </c>
    </row>
    <row r="9" spans="1:14">
      <c r="D9" s="64">
        <v>46055</v>
      </c>
      <c r="E9" s="32">
        <v>1575638</v>
      </c>
      <c r="F9" s="32" t="s">
        <v>16</v>
      </c>
      <c r="G9" s="32">
        <v>20324463</v>
      </c>
      <c r="H9" s="32" t="s">
        <v>249</v>
      </c>
      <c r="I9" s="32">
        <v>1</v>
      </c>
      <c r="J9" s="30" t="s">
        <v>18</v>
      </c>
      <c r="K9" s="24">
        <f t="shared" ref="K9:K11" si="0">M9/L9</f>
        <v>35</v>
      </c>
      <c r="L9" s="25">
        <v>4.4</v>
      </c>
      <c r="M9" s="25">
        <v>154</v>
      </c>
      <c r="N9" s="25">
        <v>154</v>
      </c>
    </row>
    <row r="10" spans="1:14">
      <c r="D10" s="64">
        <v>46055</v>
      </c>
      <c r="E10" s="32">
        <v>1575638</v>
      </c>
      <c r="F10" s="32" t="s">
        <v>16</v>
      </c>
      <c r="G10" s="32">
        <v>20324039</v>
      </c>
      <c r="H10" s="32" t="s">
        <v>293</v>
      </c>
      <c r="I10" s="32">
        <v>2</v>
      </c>
      <c r="J10" s="30" t="s">
        <v>18</v>
      </c>
      <c r="K10" s="24">
        <f t="shared" si="0"/>
        <v>37</v>
      </c>
      <c r="L10" s="25">
        <v>4.4</v>
      </c>
      <c r="M10" s="25">
        <v>162.8</v>
      </c>
      <c r="N10" s="25">
        <v>325.6</v>
      </c>
    </row>
    <row r="11" spans="1:14">
      <c r="D11" s="64">
        <v>46055</v>
      </c>
      <c r="E11" s="32">
        <v>1575638</v>
      </c>
      <c r="F11" s="32" t="s">
        <v>16</v>
      </c>
      <c r="G11" s="32">
        <v>20324045</v>
      </c>
      <c r="H11" s="32" t="s">
        <v>294</v>
      </c>
      <c r="I11" s="32">
        <v>1</v>
      </c>
      <c r="J11" s="30" t="s">
        <v>18</v>
      </c>
      <c r="K11" s="24">
        <f t="shared" si="0"/>
        <v>19</v>
      </c>
      <c r="L11" s="25">
        <v>4.4</v>
      </c>
      <c r="M11" s="25">
        <v>83.6</v>
      </c>
      <c r="N11" s="25">
        <v>83.6</v>
      </c>
    </row>
    <row r="12" spans="1:14">
      <c r="D12" s="64">
        <v>46055</v>
      </c>
      <c r="E12" s="32">
        <v>1575638</v>
      </c>
      <c r="F12" s="32" t="s">
        <v>20</v>
      </c>
      <c r="G12" s="32">
        <v>20327777</v>
      </c>
      <c r="H12" s="32" t="s">
        <v>295</v>
      </c>
      <c r="I12" s="32">
        <v>1</v>
      </c>
      <c r="J12" s="32" t="s">
        <v>29</v>
      </c>
      <c r="K12" s="24">
        <v>1</v>
      </c>
      <c r="L12" s="25">
        <v>6.4</v>
      </c>
      <c r="M12" s="25">
        <v>10.8</v>
      </c>
      <c r="N12" s="25">
        <v>10.8</v>
      </c>
    </row>
    <row r="13" spans="1:14">
      <c r="D13" s="64"/>
      <c r="E13" s="32"/>
      <c r="F13" s="32"/>
      <c r="G13" s="32"/>
      <c r="H13" s="32"/>
      <c r="I13" s="32"/>
      <c r="J13" s="32" t="s">
        <v>116</v>
      </c>
      <c r="K13" s="24">
        <v>1</v>
      </c>
      <c r="L13" s="25">
        <v>4.4</v>
      </c>
      <c r="M13" s="25"/>
      <c r="N13" s="25"/>
    </row>
    <row r="14" spans="1:14">
      <c r="D14" s="64">
        <v>46055</v>
      </c>
      <c r="E14" s="32">
        <v>1575638</v>
      </c>
      <c r="F14" s="32" t="s">
        <v>20</v>
      </c>
      <c r="G14" s="32">
        <v>20324699</v>
      </c>
      <c r="H14" s="32" t="s">
        <v>252</v>
      </c>
      <c r="I14" s="32">
        <v>4</v>
      </c>
      <c r="J14" s="30" t="s">
        <v>18</v>
      </c>
      <c r="K14" s="24">
        <f t="shared" ref="K14:K17" si="1">M14/L14</f>
        <v>5</v>
      </c>
      <c r="L14" s="25">
        <v>4.4</v>
      </c>
      <c r="M14" s="25">
        <v>22</v>
      </c>
      <c r="N14" s="25">
        <v>88</v>
      </c>
    </row>
    <row r="15" spans="1:14">
      <c r="D15" s="64">
        <v>46056</v>
      </c>
      <c r="E15" s="32">
        <v>1575704</v>
      </c>
      <c r="F15" s="32" t="s">
        <v>16</v>
      </c>
      <c r="G15" s="32">
        <v>20324463</v>
      </c>
      <c r="H15" s="32" t="s">
        <v>249</v>
      </c>
      <c r="I15" s="32">
        <v>1</v>
      </c>
      <c r="J15" s="30" t="s">
        <v>18</v>
      </c>
      <c r="K15" s="24">
        <f t="shared" si="1"/>
        <v>35</v>
      </c>
      <c r="L15" s="25">
        <v>4.4</v>
      </c>
      <c r="M15" s="25">
        <v>154</v>
      </c>
      <c r="N15" s="25">
        <v>154</v>
      </c>
    </row>
    <row r="16" spans="1:14">
      <c r="D16" s="64">
        <v>46056</v>
      </c>
      <c r="E16" s="32">
        <v>1575704</v>
      </c>
      <c r="F16" s="32" t="s">
        <v>16</v>
      </c>
      <c r="G16" s="32">
        <v>20324045</v>
      </c>
      <c r="H16" s="32" t="s">
        <v>294</v>
      </c>
      <c r="I16" s="32">
        <v>1</v>
      </c>
      <c r="J16" s="30" t="s">
        <v>18</v>
      </c>
      <c r="K16" s="24">
        <f t="shared" si="1"/>
        <v>19</v>
      </c>
      <c r="L16" s="25">
        <v>4.4</v>
      </c>
      <c r="M16" s="25">
        <v>83.6</v>
      </c>
      <c r="N16" s="25">
        <v>83.6</v>
      </c>
    </row>
    <row r="17" spans="4:14">
      <c r="D17" s="64">
        <v>46056</v>
      </c>
      <c r="E17" s="32">
        <v>1575704</v>
      </c>
      <c r="F17" s="32" t="s">
        <v>20</v>
      </c>
      <c r="G17" s="32">
        <v>20324699</v>
      </c>
      <c r="H17" s="32" t="s">
        <v>252</v>
      </c>
      <c r="I17" s="32">
        <v>2</v>
      </c>
      <c r="J17" s="30" t="s">
        <v>18</v>
      </c>
      <c r="K17" s="24">
        <f t="shared" si="1"/>
        <v>5</v>
      </c>
      <c r="L17" s="25">
        <v>4.4</v>
      </c>
      <c r="M17" s="25">
        <v>22</v>
      </c>
      <c r="N17" s="25">
        <v>44</v>
      </c>
    </row>
    <row r="18" ht="25.5" spans="4:14">
      <c r="D18" s="64">
        <v>46056</v>
      </c>
      <c r="E18" s="32">
        <v>1575706</v>
      </c>
      <c r="F18" s="32" t="s">
        <v>20</v>
      </c>
      <c r="G18" s="32">
        <v>20361966</v>
      </c>
      <c r="H18" s="32" t="s">
        <v>296</v>
      </c>
      <c r="I18" s="32">
        <v>2</v>
      </c>
      <c r="J18" s="34" t="s">
        <v>128</v>
      </c>
      <c r="K18" s="24">
        <v>1</v>
      </c>
      <c r="L18" s="25">
        <v>22.4</v>
      </c>
      <c r="M18" s="25">
        <v>22.4</v>
      </c>
      <c r="N18" s="25">
        <v>44.8</v>
      </c>
    </row>
    <row r="19" spans="4:14">
      <c r="D19" s="64">
        <v>46056</v>
      </c>
      <c r="E19" s="32">
        <v>1575706</v>
      </c>
      <c r="F19" s="32" t="s">
        <v>20</v>
      </c>
      <c r="G19" s="32">
        <v>20325959</v>
      </c>
      <c r="H19" s="32" t="s">
        <v>297</v>
      </c>
      <c r="I19" s="32">
        <v>1</v>
      </c>
      <c r="J19" s="34" t="s">
        <v>61</v>
      </c>
      <c r="K19" s="24" t="s">
        <v>62</v>
      </c>
      <c r="L19" s="25">
        <v>70.4</v>
      </c>
      <c r="M19" s="25">
        <v>70.4</v>
      </c>
      <c r="N19" s="25">
        <v>70.4</v>
      </c>
    </row>
    <row r="20" spans="4:14">
      <c r="D20" s="64">
        <v>46056</v>
      </c>
      <c r="E20" s="32">
        <v>1575706</v>
      </c>
      <c r="F20" s="32" t="s">
        <v>20</v>
      </c>
      <c r="G20" s="32">
        <v>20328267</v>
      </c>
      <c r="H20" s="32" t="s">
        <v>298</v>
      </c>
      <c r="I20" s="32">
        <v>1</v>
      </c>
      <c r="J20" s="34" t="s">
        <v>128</v>
      </c>
      <c r="K20" s="24">
        <v>1</v>
      </c>
      <c r="L20" s="25">
        <v>22.4</v>
      </c>
      <c r="M20" s="25">
        <v>22.4</v>
      </c>
      <c r="N20" s="25">
        <v>22.4</v>
      </c>
    </row>
    <row r="21" spans="4:14">
      <c r="D21" s="64">
        <v>46056</v>
      </c>
      <c r="E21" s="32">
        <v>1575706</v>
      </c>
      <c r="F21" s="32" t="s">
        <v>20</v>
      </c>
      <c r="G21" s="32">
        <v>20357239</v>
      </c>
      <c r="H21" s="32" t="s">
        <v>257</v>
      </c>
      <c r="I21" s="32">
        <v>1</v>
      </c>
      <c r="J21" s="34" t="s">
        <v>181</v>
      </c>
      <c r="K21" s="24">
        <v>1</v>
      </c>
      <c r="L21" s="25">
        <v>28</v>
      </c>
      <c r="M21" s="25">
        <v>28</v>
      </c>
      <c r="N21" s="25">
        <v>28</v>
      </c>
    </row>
    <row r="22" spans="4:14">
      <c r="D22" s="64">
        <v>46056</v>
      </c>
      <c r="E22" s="32">
        <v>1575706</v>
      </c>
      <c r="F22" s="32" t="s">
        <v>20</v>
      </c>
      <c r="G22" s="32">
        <v>20337525</v>
      </c>
      <c r="H22" s="32" t="s">
        <v>299</v>
      </c>
      <c r="I22" s="32">
        <v>1</v>
      </c>
      <c r="J22" s="34" t="s">
        <v>128</v>
      </c>
      <c r="K22" s="24">
        <v>1</v>
      </c>
      <c r="L22" s="25">
        <v>22.4</v>
      </c>
      <c r="M22" s="25">
        <v>22.4</v>
      </c>
      <c r="N22" s="25">
        <v>22.4</v>
      </c>
    </row>
    <row r="23" spans="4:14">
      <c r="D23" s="64">
        <v>46056</v>
      </c>
      <c r="E23" s="32">
        <v>1575706</v>
      </c>
      <c r="F23" s="32" t="s">
        <v>20</v>
      </c>
      <c r="G23" s="32">
        <v>20387238</v>
      </c>
      <c r="H23" s="32" t="s">
        <v>300</v>
      </c>
      <c r="I23" s="32">
        <v>1</v>
      </c>
      <c r="J23" s="30" t="s">
        <v>301</v>
      </c>
      <c r="K23" s="24">
        <v>1</v>
      </c>
      <c r="L23" s="25">
        <f>30*0.8</f>
        <v>24</v>
      </c>
      <c r="M23" s="25">
        <v>24</v>
      </c>
      <c r="N23" s="25">
        <v>24</v>
      </c>
    </row>
    <row r="24" spans="4:14">
      <c r="D24" s="64">
        <v>46056</v>
      </c>
      <c r="E24" s="32">
        <v>1575706</v>
      </c>
      <c r="F24" s="32" t="s">
        <v>20</v>
      </c>
      <c r="G24" s="32">
        <v>20324891</v>
      </c>
      <c r="H24" s="32" t="s">
        <v>302</v>
      </c>
      <c r="I24" s="32">
        <v>1</v>
      </c>
      <c r="J24" s="34" t="s">
        <v>181</v>
      </c>
      <c r="K24" s="24">
        <v>1</v>
      </c>
      <c r="L24" s="25">
        <v>28</v>
      </c>
      <c r="M24" s="25">
        <v>28</v>
      </c>
      <c r="N24" s="25">
        <v>28</v>
      </c>
    </row>
    <row r="25" spans="4:14">
      <c r="D25" s="64">
        <v>46056</v>
      </c>
      <c r="E25" s="32">
        <v>1575706</v>
      </c>
      <c r="F25" s="32" t="s">
        <v>20</v>
      </c>
      <c r="G25" s="32">
        <v>20329579</v>
      </c>
      <c r="H25" s="32" t="s">
        <v>303</v>
      </c>
      <c r="I25" s="32">
        <v>1</v>
      </c>
      <c r="J25" s="34" t="s">
        <v>181</v>
      </c>
      <c r="K25" s="24">
        <v>1</v>
      </c>
      <c r="L25" s="25">
        <v>28</v>
      </c>
      <c r="M25" s="25">
        <v>28</v>
      </c>
      <c r="N25" s="25">
        <v>28</v>
      </c>
    </row>
    <row r="26" spans="4:14">
      <c r="D26" s="64">
        <v>46056</v>
      </c>
      <c r="E26" s="32">
        <v>1575706</v>
      </c>
      <c r="F26" s="32" t="s">
        <v>20</v>
      </c>
      <c r="G26" s="32">
        <v>20345154</v>
      </c>
      <c r="H26" s="32" t="s">
        <v>304</v>
      </c>
      <c r="I26" s="32">
        <v>1</v>
      </c>
      <c r="J26" s="34" t="s">
        <v>128</v>
      </c>
      <c r="K26" s="24">
        <v>1</v>
      </c>
      <c r="L26" s="25">
        <v>22.4</v>
      </c>
      <c r="M26" s="25">
        <v>22.4</v>
      </c>
      <c r="N26" s="25">
        <v>22.4</v>
      </c>
    </row>
    <row r="27" spans="4:14">
      <c r="D27" s="64">
        <v>46056</v>
      </c>
      <c r="E27" s="32">
        <v>1575706</v>
      </c>
      <c r="F27" s="32" t="s">
        <v>20</v>
      </c>
      <c r="G27" s="32">
        <v>20382055</v>
      </c>
      <c r="H27" s="32" t="s">
        <v>283</v>
      </c>
      <c r="I27" s="32">
        <v>1</v>
      </c>
      <c r="J27" s="30" t="s">
        <v>36</v>
      </c>
      <c r="K27" s="24">
        <v>1</v>
      </c>
      <c r="L27" s="25">
        <v>17.6</v>
      </c>
      <c r="M27" s="25">
        <v>17.6</v>
      </c>
      <c r="N27" s="25">
        <v>17.6</v>
      </c>
    </row>
    <row r="28" spans="4:14">
      <c r="D28" s="64">
        <v>46056</v>
      </c>
      <c r="E28" s="32">
        <v>1575706</v>
      </c>
      <c r="F28" s="32" t="s">
        <v>20</v>
      </c>
      <c r="G28" s="32">
        <v>20328266</v>
      </c>
      <c r="H28" s="32" t="s">
        <v>305</v>
      </c>
      <c r="I28" s="32">
        <v>1</v>
      </c>
      <c r="J28" s="34" t="s">
        <v>181</v>
      </c>
      <c r="K28" s="24">
        <v>1</v>
      </c>
      <c r="L28" s="25">
        <v>28</v>
      </c>
      <c r="M28" s="25">
        <v>28</v>
      </c>
      <c r="N28" s="25">
        <v>28</v>
      </c>
    </row>
    <row r="29" spans="4:14">
      <c r="D29" s="64">
        <v>46056</v>
      </c>
      <c r="E29" s="32">
        <v>1575706</v>
      </c>
      <c r="F29" s="32" t="s">
        <v>20</v>
      </c>
      <c r="G29" s="32">
        <v>20327630</v>
      </c>
      <c r="H29" s="32" t="s">
        <v>306</v>
      </c>
      <c r="I29" s="32">
        <v>1</v>
      </c>
      <c r="J29" s="34" t="s">
        <v>128</v>
      </c>
      <c r="K29" s="24">
        <v>1</v>
      </c>
      <c r="L29" s="25">
        <v>22.4</v>
      </c>
      <c r="M29" s="25">
        <v>22.4</v>
      </c>
      <c r="N29" s="25">
        <v>22.4</v>
      </c>
    </row>
    <row r="30" spans="4:14">
      <c r="D30" s="64">
        <v>46056</v>
      </c>
      <c r="E30" s="32">
        <v>1575706</v>
      </c>
      <c r="F30" s="32" t="s">
        <v>20</v>
      </c>
      <c r="G30" s="32">
        <v>20338703</v>
      </c>
      <c r="H30" s="32" t="s">
        <v>307</v>
      </c>
      <c r="I30" s="32">
        <v>1</v>
      </c>
      <c r="J30" s="34" t="s">
        <v>128</v>
      </c>
      <c r="K30" s="24">
        <v>1</v>
      </c>
      <c r="L30" s="25">
        <v>22.4</v>
      </c>
      <c r="M30" s="25">
        <v>22.4</v>
      </c>
      <c r="N30" s="25">
        <v>22.4</v>
      </c>
    </row>
    <row r="31" spans="4:14">
      <c r="D31" s="64">
        <v>46056</v>
      </c>
      <c r="E31" s="32">
        <v>1575706</v>
      </c>
      <c r="F31" s="32" t="s">
        <v>20</v>
      </c>
      <c r="G31" s="32">
        <v>20398299</v>
      </c>
      <c r="H31" s="32" t="s">
        <v>308</v>
      </c>
      <c r="I31" s="32">
        <v>1</v>
      </c>
      <c r="J31" s="34" t="s">
        <v>128</v>
      </c>
      <c r="K31" s="24">
        <v>1</v>
      </c>
      <c r="L31" s="25">
        <v>22.4</v>
      </c>
      <c r="M31" s="25">
        <v>22.4</v>
      </c>
      <c r="N31" s="25">
        <v>22.4</v>
      </c>
    </row>
    <row r="32" spans="4:14">
      <c r="D32" s="64">
        <v>46056</v>
      </c>
      <c r="E32" s="32">
        <v>1575745</v>
      </c>
      <c r="F32" s="32" t="s">
        <v>20</v>
      </c>
      <c r="G32" s="32">
        <v>20324643</v>
      </c>
      <c r="H32" s="32" t="s">
        <v>309</v>
      </c>
      <c r="I32" s="32">
        <v>1</v>
      </c>
      <c r="J32" s="34" t="s">
        <v>128</v>
      </c>
      <c r="K32" s="24">
        <v>1</v>
      </c>
      <c r="L32" s="25">
        <v>22.4</v>
      </c>
      <c r="M32" s="25">
        <v>22.4</v>
      </c>
      <c r="N32" s="25">
        <v>22.4</v>
      </c>
    </row>
    <row r="33" spans="4:14">
      <c r="D33" s="64">
        <v>46056</v>
      </c>
      <c r="E33" s="32">
        <v>1575745</v>
      </c>
      <c r="F33" s="32" t="s">
        <v>20</v>
      </c>
      <c r="G33" s="32">
        <v>20324637</v>
      </c>
      <c r="H33" s="32" t="s">
        <v>280</v>
      </c>
      <c r="I33" s="32">
        <v>2</v>
      </c>
      <c r="J33" s="34" t="s">
        <v>181</v>
      </c>
      <c r="K33" s="24">
        <v>1</v>
      </c>
      <c r="L33" s="25">
        <v>28</v>
      </c>
      <c r="M33" s="25">
        <v>28</v>
      </c>
      <c r="N33" s="25">
        <v>56</v>
      </c>
    </row>
    <row r="34" spans="4:14">
      <c r="D34" s="64">
        <v>46056</v>
      </c>
      <c r="E34" s="32">
        <v>1575745</v>
      </c>
      <c r="F34" s="32" t="s">
        <v>20</v>
      </c>
      <c r="G34" s="32">
        <v>20329253</v>
      </c>
      <c r="H34" s="32" t="s">
        <v>310</v>
      </c>
      <c r="I34" s="32">
        <v>1</v>
      </c>
      <c r="J34" s="30" t="s">
        <v>36</v>
      </c>
      <c r="K34" s="24">
        <v>1</v>
      </c>
      <c r="L34" s="25">
        <v>17.6</v>
      </c>
      <c r="M34" s="25">
        <v>17.6</v>
      </c>
      <c r="N34" s="25">
        <v>17.6</v>
      </c>
    </row>
    <row r="35" spans="4:14">
      <c r="D35" s="64">
        <v>46056</v>
      </c>
      <c r="E35" s="32">
        <v>1575745</v>
      </c>
      <c r="F35" s="32" t="s">
        <v>20</v>
      </c>
      <c r="G35" s="32">
        <v>20324822</v>
      </c>
      <c r="H35" s="32" t="s">
        <v>311</v>
      </c>
      <c r="I35" s="32">
        <v>1</v>
      </c>
      <c r="J35" s="34" t="s">
        <v>181</v>
      </c>
      <c r="K35" s="24">
        <v>1</v>
      </c>
      <c r="L35" s="25">
        <v>28</v>
      </c>
      <c r="M35" s="25">
        <v>28</v>
      </c>
      <c r="N35" s="25">
        <v>28</v>
      </c>
    </row>
    <row r="36" spans="4:14">
      <c r="D36" s="64">
        <v>46056</v>
      </c>
      <c r="E36" s="32">
        <v>1575745</v>
      </c>
      <c r="F36" s="32" t="s">
        <v>20</v>
      </c>
      <c r="G36" s="32">
        <v>20324645</v>
      </c>
      <c r="H36" s="32" t="s">
        <v>312</v>
      </c>
      <c r="I36" s="32">
        <v>1</v>
      </c>
      <c r="J36" s="34" t="s">
        <v>128</v>
      </c>
      <c r="K36" s="24">
        <v>1</v>
      </c>
      <c r="L36" s="25">
        <v>22.4</v>
      </c>
      <c r="M36" s="25">
        <v>22.4</v>
      </c>
      <c r="N36" s="25">
        <v>22.4</v>
      </c>
    </row>
    <row r="37" spans="4:14">
      <c r="D37" s="64">
        <v>46056</v>
      </c>
      <c r="E37" s="32">
        <v>1575745</v>
      </c>
      <c r="F37" s="32" t="s">
        <v>20</v>
      </c>
      <c r="G37" s="32">
        <v>20324636</v>
      </c>
      <c r="H37" s="32" t="s">
        <v>313</v>
      </c>
      <c r="I37" s="32">
        <v>1</v>
      </c>
      <c r="J37" s="34" t="s">
        <v>181</v>
      </c>
      <c r="K37" s="24">
        <v>1</v>
      </c>
      <c r="L37" s="25">
        <v>28</v>
      </c>
      <c r="M37" s="25">
        <v>28</v>
      </c>
      <c r="N37" s="25">
        <v>28</v>
      </c>
    </row>
    <row r="38" spans="4:14">
      <c r="D38" s="64">
        <v>46056</v>
      </c>
      <c r="E38" s="32">
        <v>1575745</v>
      </c>
      <c r="F38" s="32" t="s">
        <v>20</v>
      </c>
      <c r="G38" s="32">
        <v>20324732</v>
      </c>
      <c r="H38" s="32" t="s">
        <v>314</v>
      </c>
      <c r="I38" s="32">
        <v>1</v>
      </c>
      <c r="J38" s="34" t="s">
        <v>128</v>
      </c>
      <c r="K38" s="24">
        <v>1</v>
      </c>
      <c r="L38" s="25">
        <v>22.4</v>
      </c>
      <c r="M38" s="25">
        <v>22.4</v>
      </c>
      <c r="N38" s="25">
        <v>22.4</v>
      </c>
    </row>
    <row r="39" spans="4:14">
      <c r="D39" s="64">
        <v>46056</v>
      </c>
      <c r="E39" s="32">
        <v>1575745</v>
      </c>
      <c r="F39" s="32" t="s">
        <v>20</v>
      </c>
      <c r="G39" s="32">
        <v>20324644</v>
      </c>
      <c r="H39" s="32" t="s">
        <v>288</v>
      </c>
      <c r="I39" s="32">
        <v>1</v>
      </c>
      <c r="J39" s="34" t="s">
        <v>128</v>
      </c>
      <c r="K39" s="24">
        <v>1</v>
      </c>
      <c r="L39" s="25">
        <v>22.4</v>
      </c>
      <c r="M39" s="25">
        <v>22.4</v>
      </c>
      <c r="N39" s="25">
        <v>22.4</v>
      </c>
    </row>
    <row r="40" spans="4:14">
      <c r="D40" s="64">
        <v>46056</v>
      </c>
      <c r="E40" s="32">
        <v>1575745</v>
      </c>
      <c r="F40" s="32" t="s">
        <v>20</v>
      </c>
      <c r="G40" s="32">
        <v>20324814</v>
      </c>
      <c r="H40" s="32" t="s">
        <v>289</v>
      </c>
      <c r="I40" s="32">
        <v>1</v>
      </c>
      <c r="J40" s="34" t="s">
        <v>128</v>
      </c>
      <c r="K40" s="24">
        <v>1</v>
      </c>
      <c r="L40" s="25">
        <v>22.4</v>
      </c>
      <c r="M40" s="25">
        <v>22.4</v>
      </c>
      <c r="N40" s="25">
        <v>22.4</v>
      </c>
    </row>
    <row r="41" spans="4:14">
      <c r="D41" s="64">
        <v>46056</v>
      </c>
      <c r="E41" s="32">
        <v>1575745</v>
      </c>
      <c r="F41" s="32" t="s">
        <v>20</v>
      </c>
      <c r="G41" s="32">
        <v>20324646</v>
      </c>
      <c r="H41" s="32" t="s">
        <v>315</v>
      </c>
      <c r="I41" s="32">
        <v>1</v>
      </c>
      <c r="J41" s="30" t="s">
        <v>259</v>
      </c>
      <c r="K41" s="24">
        <v>1</v>
      </c>
      <c r="L41" s="25">
        <v>20</v>
      </c>
      <c r="M41" s="25">
        <v>20</v>
      </c>
      <c r="N41" s="25">
        <v>20</v>
      </c>
    </row>
    <row r="42" spans="4:14">
      <c r="D42" s="85">
        <v>46056</v>
      </c>
      <c r="E42" s="86">
        <v>1575745</v>
      </c>
      <c r="F42" s="86" t="s">
        <v>26</v>
      </c>
      <c r="G42" s="86">
        <v>20324638</v>
      </c>
      <c r="H42" s="86" t="s">
        <v>316</v>
      </c>
      <c r="I42" s="86">
        <v>1</v>
      </c>
      <c r="J42" s="34" t="s">
        <v>254</v>
      </c>
      <c r="K42" s="24" t="s">
        <v>255</v>
      </c>
      <c r="L42" s="25">
        <v>22.4</v>
      </c>
      <c r="M42" s="25">
        <f>L42+L43</f>
        <v>30.4</v>
      </c>
      <c r="N42" s="25">
        <f>M42+M43</f>
        <v>30.4</v>
      </c>
    </row>
    <row r="43" spans="4:14">
      <c r="D43" s="87"/>
      <c r="E43" s="88"/>
      <c r="F43" s="88"/>
      <c r="G43" s="88"/>
      <c r="H43" s="88"/>
      <c r="I43" s="88"/>
      <c r="J43" s="32" t="s">
        <v>256</v>
      </c>
      <c r="K43" s="24" t="s">
        <v>255</v>
      </c>
      <c r="L43" s="25">
        <v>8</v>
      </c>
      <c r="M43" s="25"/>
      <c r="N43" s="25"/>
    </row>
    <row r="44" spans="4:14">
      <c r="D44" s="64">
        <v>46056</v>
      </c>
      <c r="E44" s="32">
        <v>1575992</v>
      </c>
      <c r="F44" s="32" t="s">
        <v>16</v>
      </c>
      <c r="G44" s="32">
        <v>20324463</v>
      </c>
      <c r="H44" s="32" t="s">
        <v>249</v>
      </c>
      <c r="I44" s="32">
        <v>2</v>
      </c>
      <c r="J44" s="30" t="s">
        <v>18</v>
      </c>
      <c r="K44" s="24">
        <f t="shared" ref="K44:K49" si="2">M44/L44</f>
        <v>35</v>
      </c>
      <c r="L44" s="25">
        <v>4.4</v>
      </c>
      <c r="M44" s="25">
        <v>154</v>
      </c>
      <c r="N44" s="25">
        <v>308</v>
      </c>
    </row>
    <row r="45" spans="4:14">
      <c r="D45" s="64">
        <v>46056</v>
      </c>
      <c r="E45" s="32">
        <v>1575992</v>
      </c>
      <c r="F45" s="32" t="s">
        <v>16</v>
      </c>
      <c r="G45" s="32">
        <v>20324039</v>
      </c>
      <c r="H45" s="32" t="s">
        <v>293</v>
      </c>
      <c r="I45" s="32">
        <v>2</v>
      </c>
      <c r="J45" s="30" t="s">
        <v>18</v>
      </c>
      <c r="K45" s="24">
        <f t="shared" si="2"/>
        <v>37</v>
      </c>
      <c r="L45" s="25">
        <v>4.4</v>
      </c>
      <c r="M45" s="25">
        <v>162.8</v>
      </c>
      <c r="N45" s="25">
        <v>325.6</v>
      </c>
    </row>
    <row r="46" spans="4:14">
      <c r="D46" s="64">
        <v>46056</v>
      </c>
      <c r="E46" s="32">
        <v>1575992</v>
      </c>
      <c r="F46" s="32" t="s">
        <v>16</v>
      </c>
      <c r="G46" s="32">
        <v>20324028</v>
      </c>
      <c r="H46" s="32" t="s">
        <v>317</v>
      </c>
      <c r="I46" s="32">
        <v>1</v>
      </c>
      <c r="J46" s="30" t="s">
        <v>18</v>
      </c>
      <c r="K46" s="24">
        <f t="shared" si="2"/>
        <v>42</v>
      </c>
      <c r="L46" s="25">
        <v>4.4</v>
      </c>
      <c r="M46" s="25">
        <v>184.8</v>
      </c>
      <c r="N46" s="25">
        <v>184.8</v>
      </c>
    </row>
    <row r="47" spans="4:14">
      <c r="D47" s="64">
        <v>46056</v>
      </c>
      <c r="E47" s="32">
        <v>1575992</v>
      </c>
      <c r="F47" s="32" t="s">
        <v>16</v>
      </c>
      <c r="G47" s="32">
        <v>20324045</v>
      </c>
      <c r="H47" s="32" t="s">
        <v>294</v>
      </c>
      <c r="I47" s="32">
        <v>1</v>
      </c>
      <c r="J47" s="30" t="s">
        <v>18</v>
      </c>
      <c r="K47" s="24">
        <f t="shared" si="2"/>
        <v>19</v>
      </c>
      <c r="L47" s="25">
        <v>4.4</v>
      </c>
      <c r="M47" s="25">
        <v>83.6</v>
      </c>
      <c r="N47" s="25">
        <v>83.6</v>
      </c>
    </row>
    <row r="48" spans="4:14">
      <c r="D48" s="64">
        <v>46056</v>
      </c>
      <c r="E48" s="32">
        <v>1575992</v>
      </c>
      <c r="F48" s="32" t="s">
        <v>26</v>
      </c>
      <c r="G48" s="32">
        <v>20384646</v>
      </c>
      <c r="H48" s="32" t="s">
        <v>318</v>
      </c>
      <c r="I48" s="32">
        <v>1</v>
      </c>
      <c r="J48" s="30" t="s">
        <v>18</v>
      </c>
      <c r="K48" s="24">
        <f t="shared" si="2"/>
        <v>5</v>
      </c>
      <c r="L48" s="25">
        <v>4.4</v>
      </c>
      <c r="M48" s="25">
        <v>22</v>
      </c>
      <c r="N48" s="25">
        <v>22</v>
      </c>
    </row>
    <row r="49" spans="4:14">
      <c r="D49" s="64">
        <v>46056</v>
      </c>
      <c r="E49" s="32">
        <v>1575992</v>
      </c>
      <c r="F49" s="32" t="s">
        <v>20</v>
      </c>
      <c r="G49" s="32">
        <v>20324699</v>
      </c>
      <c r="H49" s="32" t="s">
        <v>252</v>
      </c>
      <c r="I49" s="32">
        <v>6</v>
      </c>
      <c r="J49" s="30" t="s">
        <v>18</v>
      </c>
      <c r="K49" s="24">
        <f t="shared" si="2"/>
        <v>5</v>
      </c>
      <c r="L49" s="25">
        <v>4.4</v>
      </c>
      <c r="M49" s="25">
        <v>22</v>
      </c>
      <c r="N49" s="25">
        <v>132</v>
      </c>
    </row>
    <row r="50" spans="4:14">
      <c r="D50" s="64">
        <v>46056</v>
      </c>
      <c r="E50" s="32">
        <v>1575992</v>
      </c>
      <c r="F50" s="32" t="s">
        <v>41</v>
      </c>
      <c r="G50" s="32">
        <v>20354932</v>
      </c>
      <c r="H50" s="32" t="s">
        <v>210</v>
      </c>
      <c r="I50" s="32">
        <v>13</v>
      </c>
      <c r="J50" s="34" t="s">
        <v>97</v>
      </c>
      <c r="K50" s="24">
        <v>1</v>
      </c>
      <c r="L50" s="25">
        <v>3.2</v>
      </c>
      <c r="M50" s="25">
        <v>3.2</v>
      </c>
      <c r="N50" s="25">
        <v>41.6</v>
      </c>
    </row>
    <row r="51" spans="4:14">
      <c r="D51" s="64">
        <v>46057</v>
      </c>
      <c r="E51" s="32">
        <v>1576078</v>
      </c>
      <c r="F51" s="32" t="s">
        <v>20</v>
      </c>
      <c r="G51" s="32">
        <v>20325234</v>
      </c>
      <c r="H51" s="32" t="s">
        <v>319</v>
      </c>
      <c r="I51" s="32">
        <v>1</v>
      </c>
      <c r="J51" s="30" t="s">
        <v>36</v>
      </c>
      <c r="K51" s="24">
        <v>1</v>
      </c>
      <c r="L51" s="25">
        <v>17.6</v>
      </c>
      <c r="M51" s="25">
        <v>35.2</v>
      </c>
      <c r="N51" s="25">
        <v>35.2</v>
      </c>
    </row>
    <row r="52" spans="4:14">
      <c r="D52" s="64"/>
      <c r="E52" s="32"/>
      <c r="F52" s="32"/>
      <c r="G52" s="32"/>
      <c r="H52" s="32"/>
      <c r="I52" s="32"/>
      <c r="J52" s="30" t="s">
        <v>36</v>
      </c>
      <c r="K52" s="24">
        <v>1</v>
      </c>
      <c r="L52" s="25">
        <v>17.6</v>
      </c>
      <c r="M52" s="25"/>
      <c r="N52" s="25"/>
    </row>
    <row r="53" spans="4:14">
      <c r="D53" s="64">
        <v>46057</v>
      </c>
      <c r="E53" s="32">
        <v>1576078</v>
      </c>
      <c r="F53" s="32" t="s">
        <v>20</v>
      </c>
      <c r="G53" s="32">
        <v>20324643</v>
      </c>
      <c r="H53" s="32" t="s">
        <v>309</v>
      </c>
      <c r="I53" s="32">
        <v>2</v>
      </c>
      <c r="J53" s="34" t="s">
        <v>128</v>
      </c>
      <c r="K53" s="24">
        <v>1</v>
      </c>
      <c r="L53" s="25">
        <v>22.4</v>
      </c>
      <c r="M53" s="25">
        <v>22.4</v>
      </c>
      <c r="N53" s="25">
        <v>44.8</v>
      </c>
    </row>
    <row r="54" spans="4:14">
      <c r="D54" s="64">
        <v>46057</v>
      </c>
      <c r="E54" s="32">
        <v>1576078</v>
      </c>
      <c r="F54" s="32" t="s">
        <v>20</v>
      </c>
      <c r="G54" s="32">
        <v>20324637</v>
      </c>
      <c r="H54" s="32" t="s">
        <v>280</v>
      </c>
      <c r="I54" s="32">
        <v>2</v>
      </c>
      <c r="J54" s="34" t="s">
        <v>181</v>
      </c>
      <c r="K54" s="24">
        <v>1</v>
      </c>
      <c r="L54" s="25">
        <v>28</v>
      </c>
      <c r="M54" s="25">
        <v>28</v>
      </c>
      <c r="N54" s="25">
        <v>56</v>
      </c>
    </row>
    <row r="55" spans="4:14">
      <c r="D55" s="64">
        <v>46057</v>
      </c>
      <c r="E55" s="32">
        <v>1576078</v>
      </c>
      <c r="F55" s="32" t="s">
        <v>20</v>
      </c>
      <c r="G55" s="32">
        <v>20330449</v>
      </c>
      <c r="H55" s="32" t="s">
        <v>281</v>
      </c>
      <c r="I55" s="32">
        <v>1</v>
      </c>
      <c r="J55" s="34" t="s">
        <v>128</v>
      </c>
      <c r="K55" s="24">
        <v>1</v>
      </c>
      <c r="L55" s="25">
        <v>22.4</v>
      </c>
      <c r="M55" s="25">
        <v>22.4</v>
      </c>
      <c r="N55" s="25">
        <v>22.4</v>
      </c>
    </row>
    <row r="56" spans="4:14">
      <c r="D56" s="64">
        <v>46057</v>
      </c>
      <c r="E56" s="32">
        <v>1576078</v>
      </c>
      <c r="F56" s="32" t="s">
        <v>20</v>
      </c>
      <c r="G56" s="32">
        <v>20329253</v>
      </c>
      <c r="H56" s="32" t="s">
        <v>310</v>
      </c>
      <c r="I56" s="32">
        <v>1</v>
      </c>
      <c r="J56" s="30" t="s">
        <v>36</v>
      </c>
      <c r="K56" s="24">
        <v>1</v>
      </c>
      <c r="L56" s="25">
        <v>17.6</v>
      </c>
      <c r="M56" s="25">
        <v>17.6</v>
      </c>
      <c r="N56" s="25">
        <v>17.6</v>
      </c>
    </row>
    <row r="57" spans="4:14">
      <c r="D57" s="64">
        <v>46057</v>
      </c>
      <c r="E57" s="32">
        <v>1576078</v>
      </c>
      <c r="F57" s="32" t="s">
        <v>20</v>
      </c>
      <c r="G57" s="32">
        <v>20324822</v>
      </c>
      <c r="H57" s="32" t="s">
        <v>311</v>
      </c>
      <c r="I57" s="32">
        <v>2</v>
      </c>
      <c r="J57" s="34" t="s">
        <v>181</v>
      </c>
      <c r="K57" s="24">
        <v>1</v>
      </c>
      <c r="L57" s="25">
        <v>28</v>
      </c>
      <c r="M57" s="25">
        <v>28</v>
      </c>
      <c r="N57" s="25">
        <v>56</v>
      </c>
    </row>
    <row r="58" spans="4:14">
      <c r="D58" s="64">
        <v>46057</v>
      </c>
      <c r="E58" s="32">
        <v>1576078</v>
      </c>
      <c r="F58" s="32" t="s">
        <v>20</v>
      </c>
      <c r="G58" s="32">
        <v>20324645</v>
      </c>
      <c r="H58" s="32" t="s">
        <v>312</v>
      </c>
      <c r="I58" s="32">
        <v>2</v>
      </c>
      <c r="J58" s="34" t="s">
        <v>128</v>
      </c>
      <c r="K58" s="24">
        <v>1</v>
      </c>
      <c r="L58" s="25">
        <v>22.4</v>
      </c>
      <c r="M58" s="25">
        <v>22.4</v>
      </c>
      <c r="N58" s="25">
        <v>44.8</v>
      </c>
    </row>
    <row r="59" spans="4:14">
      <c r="D59" s="64">
        <v>46057</v>
      </c>
      <c r="E59" s="32">
        <v>1576078</v>
      </c>
      <c r="F59" s="32" t="s">
        <v>20</v>
      </c>
      <c r="G59" s="32">
        <v>20380443</v>
      </c>
      <c r="H59" s="32" t="s">
        <v>320</v>
      </c>
      <c r="I59" s="32">
        <v>1</v>
      </c>
      <c r="J59" s="34" t="s">
        <v>128</v>
      </c>
      <c r="K59" s="24">
        <v>1</v>
      </c>
      <c r="L59" s="25">
        <v>22.4</v>
      </c>
      <c r="M59" s="25">
        <v>22.4</v>
      </c>
      <c r="N59" s="25">
        <v>22.4</v>
      </c>
    </row>
    <row r="60" spans="4:14">
      <c r="D60" s="64">
        <v>46057</v>
      </c>
      <c r="E60" s="32">
        <v>1576078</v>
      </c>
      <c r="F60" s="32" t="s">
        <v>20</v>
      </c>
      <c r="G60" s="32">
        <v>20324636</v>
      </c>
      <c r="H60" s="32" t="s">
        <v>313</v>
      </c>
      <c r="I60" s="32">
        <v>2</v>
      </c>
      <c r="J60" s="34" t="s">
        <v>181</v>
      </c>
      <c r="K60" s="24">
        <v>1</v>
      </c>
      <c r="L60" s="25">
        <v>28</v>
      </c>
      <c r="M60" s="25">
        <v>28</v>
      </c>
      <c r="N60" s="25">
        <v>56</v>
      </c>
    </row>
    <row r="61" spans="4:14">
      <c r="D61" s="64">
        <v>46057</v>
      </c>
      <c r="E61" s="32">
        <v>1576078</v>
      </c>
      <c r="F61" s="32" t="s">
        <v>20</v>
      </c>
      <c r="G61" s="32">
        <v>20324642</v>
      </c>
      <c r="H61" s="32" t="s">
        <v>321</v>
      </c>
      <c r="I61" s="32">
        <v>1</v>
      </c>
      <c r="J61" s="30" t="s">
        <v>36</v>
      </c>
      <c r="K61" s="24">
        <v>1</v>
      </c>
      <c r="L61" s="25">
        <v>17.6</v>
      </c>
      <c r="M61" s="25">
        <v>17.6</v>
      </c>
      <c r="N61" s="25">
        <v>17.6</v>
      </c>
    </row>
    <row r="62" spans="4:14">
      <c r="D62" s="64">
        <v>46057</v>
      </c>
      <c r="E62" s="32">
        <v>1576078</v>
      </c>
      <c r="F62" s="32" t="s">
        <v>20</v>
      </c>
      <c r="G62" s="32">
        <v>20324732</v>
      </c>
      <c r="H62" s="32" t="s">
        <v>314</v>
      </c>
      <c r="I62" s="32">
        <v>1</v>
      </c>
      <c r="J62" s="34" t="s">
        <v>128</v>
      </c>
      <c r="K62" s="24">
        <v>1</v>
      </c>
      <c r="L62" s="25">
        <v>22.4</v>
      </c>
      <c r="M62" s="25">
        <v>22.4</v>
      </c>
      <c r="N62" s="25">
        <v>22.4</v>
      </c>
    </row>
    <row r="63" spans="4:14">
      <c r="D63" s="64">
        <v>46057</v>
      </c>
      <c r="E63" s="32">
        <v>1576078</v>
      </c>
      <c r="F63" s="32" t="s">
        <v>20</v>
      </c>
      <c r="G63" s="32">
        <v>20324813</v>
      </c>
      <c r="H63" s="32" t="s">
        <v>130</v>
      </c>
      <c r="I63" s="32">
        <v>1</v>
      </c>
      <c r="J63" s="34" t="s">
        <v>128</v>
      </c>
      <c r="K63" s="24">
        <v>1</v>
      </c>
      <c r="L63" s="25">
        <v>22.4</v>
      </c>
      <c r="M63" s="25">
        <v>22.4</v>
      </c>
      <c r="N63" s="25">
        <v>22.4</v>
      </c>
    </row>
    <row r="64" spans="4:14">
      <c r="D64" s="64">
        <v>46057</v>
      </c>
      <c r="E64" s="32">
        <v>1576078</v>
      </c>
      <c r="F64" s="32" t="s">
        <v>20</v>
      </c>
      <c r="G64" s="32">
        <v>20324815</v>
      </c>
      <c r="H64" s="32" t="s">
        <v>287</v>
      </c>
      <c r="I64" s="32">
        <v>1</v>
      </c>
      <c r="J64" s="34" t="s">
        <v>181</v>
      </c>
      <c r="K64" s="24">
        <v>1</v>
      </c>
      <c r="L64" s="25">
        <v>28</v>
      </c>
      <c r="M64" s="25">
        <v>28</v>
      </c>
      <c r="N64" s="25">
        <v>28</v>
      </c>
    </row>
    <row r="65" spans="4:14">
      <c r="D65" s="64">
        <v>46057</v>
      </c>
      <c r="E65" s="32">
        <v>1576078</v>
      </c>
      <c r="F65" s="32" t="s">
        <v>20</v>
      </c>
      <c r="G65" s="32">
        <v>20324644</v>
      </c>
      <c r="H65" s="32" t="s">
        <v>288</v>
      </c>
      <c r="I65" s="32">
        <v>3</v>
      </c>
      <c r="J65" s="34" t="s">
        <v>128</v>
      </c>
      <c r="K65" s="24">
        <v>1</v>
      </c>
      <c r="L65" s="25">
        <v>22.4</v>
      </c>
      <c r="M65" s="25">
        <v>22.4</v>
      </c>
      <c r="N65" s="25">
        <v>67.2</v>
      </c>
    </row>
    <row r="66" spans="4:14">
      <c r="D66" s="64">
        <v>46057</v>
      </c>
      <c r="E66" s="32">
        <v>1576078</v>
      </c>
      <c r="F66" s="32" t="s">
        <v>20</v>
      </c>
      <c r="G66" s="32">
        <v>20324814</v>
      </c>
      <c r="H66" s="32" t="s">
        <v>289</v>
      </c>
      <c r="I66" s="32">
        <v>2</v>
      </c>
      <c r="J66" s="34" t="s">
        <v>128</v>
      </c>
      <c r="K66" s="24">
        <v>1</v>
      </c>
      <c r="L66" s="25">
        <v>22.4</v>
      </c>
      <c r="M66" s="25">
        <v>22.4</v>
      </c>
      <c r="N66" s="25">
        <v>44.8</v>
      </c>
    </row>
    <row r="67" spans="4:14">
      <c r="D67" s="64">
        <v>46057</v>
      </c>
      <c r="E67" s="32">
        <v>1576078</v>
      </c>
      <c r="F67" s="32" t="s">
        <v>20</v>
      </c>
      <c r="G67" s="32">
        <v>20324646</v>
      </c>
      <c r="H67" s="32" t="s">
        <v>315</v>
      </c>
      <c r="I67" s="32">
        <v>1</v>
      </c>
      <c r="J67" s="30" t="s">
        <v>259</v>
      </c>
      <c r="K67" s="24">
        <v>1</v>
      </c>
      <c r="L67" s="25">
        <v>20</v>
      </c>
      <c r="M67" s="25">
        <v>20</v>
      </c>
      <c r="N67" s="25">
        <v>20</v>
      </c>
    </row>
    <row r="68" spans="4:14">
      <c r="D68" s="85">
        <v>46057</v>
      </c>
      <c r="E68" s="86">
        <v>1576078</v>
      </c>
      <c r="F68" s="86" t="s">
        <v>26</v>
      </c>
      <c r="G68" s="86">
        <v>20324638</v>
      </c>
      <c r="H68" s="86" t="s">
        <v>316</v>
      </c>
      <c r="I68" s="86">
        <v>1</v>
      </c>
      <c r="J68" s="34" t="s">
        <v>254</v>
      </c>
      <c r="K68" s="24" t="s">
        <v>255</v>
      </c>
      <c r="L68" s="25">
        <v>22.4</v>
      </c>
      <c r="M68" s="25">
        <f>L68+L69</f>
        <v>30.4</v>
      </c>
      <c r="N68" s="25">
        <f>M68+M69</f>
        <v>30.4</v>
      </c>
    </row>
    <row r="69" spans="4:14">
      <c r="D69" s="87"/>
      <c r="E69" s="88"/>
      <c r="F69" s="88"/>
      <c r="G69" s="88"/>
      <c r="H69" s="88"/>
      <c r="I69" s="88"/>
      <c r="J69" s="32" t="s">
        <v>256</v>
      </c>
      <c r="K69" s="24" t="s">
        <v>255</v>
      </c>
      <c r="L69" s="25">
        <v>8</v>
      </c>
      <c r="M69" s="25"/>
      <c r="N69" s="25"/>
    </row>
    <row r="70" spans="4:14">
      <c r="D70" s="64">
        <v>46057</v>
      </c>
      <c r="E70" s="32">
        <v>1576083</v>
      </c>
      <c r="F70" s="32" t="s">
        <v>20</v>
      </c>
      <c r="G70" s="32">
        <v>20366789</v>
      </c>
      <c r="H70" s="32" t="s">
        <v>322</v>
      </c>
      <c r="I70" s="32">
        <v>1</v>
      </c>
      <c r="J70" s="34" t="s">
        <v>181</v>
      </c>
      <c r="K70" s="24">
        <v>1</v>
      </c>
      <c r="L70" s="25">
        <v>28</v>
      </c>
      <c r="M70" s="25">
        <v>28</v>
      </c>
      <c r="N70" s="25">
        <v>28</v>
      </c>
    </row>
    <row r="71" spans="4:14">
      <c r="D71" s="64">
        <v>46057</v>
      </c>
      <c r="E71" s="32">
        <v>1576083</v>
      </c>
      <c r="F71" s="32" t="s">
        <v>20</v>
      </c>
      <c r="G71" s="32">
        <v>20369119</v>
      </c>
      <c r="H71" s="32" t="s">
        <v>323</v>
      </c>
      <c r="I71" s="32">
        <v>1</v>
      </c>
      <c r="J71" s="30" t="s">
        <v>36</v>
      </c>
      <c r="K71" s="24">
        <v>1</v>
      </c>
      <c r="L71" s="25">
        <v>17.6</v>
      </c>
      <c r="M71" s="25">
        <v>52.8</v>
      </c>
      <c r="N71" s="25">
        <v>52.8</v>
      </c>
    </row>
    <row r="72" spans="4:14">
      <c r="D72" s="64"/>
      <c r="E72" s="32"/>
      <c r="F72" s="32"/>
      <c r="G72" s="32"/>
      <c r="H72" s="32"/>
      <c r="I72" s="32"/>
      <c r="J72" s="30" t="s">
        <v>36</v>
      </c>
      <c r="K72" s="24">
        <v>1</v>
      </c>
      <c r="L72" s="25">
        <v>17.6</v>
      </c>
      <c r="M72" s="25"/>
      <c r="N72" s="25"/>
    </row>
    <row r="73" spans="4:14">
      <c r="D73" s="64"/>
      <c r="E73" s="32"/>
      <c r="F73" s="32"/>
      <c r="G73" s="32"/>
      <c r="H73" s="32"/>
      <c r="I73" s="32"/>
      <c r="J73" s="30" t="s">
        <v>36</v>
      </c>
      <c r="K73" s="24">
        <v>1</v>
      </c>
      <c r="L73" s="25">
        <v>17.6</v>
      </c>
      <c r="M73" s="25"/>
      <c r="N73" s="25"/>
    </row>
    <row r="74" spans="4:14">
      <c r="D74" s="64">
        <v>46057</v>
      </c>
      <c r="E74" s="32">
        <v>1576084</v>
      </c>
      <c r="F74" s="32" t="s">
        <v>16</v>
      </c>
      <c r="G74" s="32">
        <v>20324028</v>
      </c>
      <c r="H74" s="32" t="s">
        <v>317</v>
      </c>
      <c r="I74" s="32">
        <v>1</v>
      </c>
      <c r="J74" s="30" t="s">
        <v>18</v>
      </c>
      <c r="K74" s="24">
        <f t="shared" ref="K74:K80" si="3">M74/L74</f>
        <v>42</v>
      </c>
      <c r="L74" s="25">
        <v>4.4</v>
      </c>
      <c r="M74" s="25">
        <v>184.8</v>
      </c>
      <c r="N74" s="25">
        <v>184.8</v>
      </c>
    </row>
    <row r="75" spans="4:14">
      <c r="D75" s="64">
        <v>46057</v>
      </c>
      <c r="E75" s="32">
        <v>1576084</v>
      </c>
      <c r="F75" s="32" t="s">
        <v>16</v>
      </c>
      <c r="G75" s="32">
        <v>20324036</v>
      </c>
      <c r="H75" s="32" t="s">
        <v>324</v>
      </c>
      <c r="I75" s="32">
        <v>1</v>
      </c>
      <c r="J75" s="30" t="s">
        <v>18</v>
      </c>
      <c r="K75" s="24">
        <f t="shared" si="3"/>
        <v>45</v>
      </c>
      <c r="L75" s="25">
        <v>4.4</v>
      </c>
      <c r="M75" s="25">
        <v>198</v>
      </c>
      <c r="N75" s="25">
        <v>198</v>
      </c>
    </row>
    <row r="76" spans="4:14">
      <c r="D76" s="64">
        <v>46057</v>
      </c>
      <c r="E76" s="32">
        <v>1576084</v>
      </c>
      <c r="F76" s="32" t="s">
        <v>16</v>
      </c>
      <c r="G76" s="32">
        <v>20405201</v>
      </c>
      <c r="H76" s="32" t="s">
        <v>325</v>
      </c>
      <c r="I76" s="32">
        <v>1</v>
      </c>
      <c r="J76" s="30" t="s">
        <v>18</v>
      </c>
      <c r="K76" s="24">
        <f t="shared" si="3"/>
        <v>18</v>
      </c>
      <c r="L76" s="25">
        <v>4.4</v>
      </c>
      <c r="M76" s="25">
        <v>79.2</v>
      </c>
      <c r="N76" s="25">
        <v>79.2</v>
      </c>
    </row>
    <row r="77" spans="4:14">
      <c r="D77" s="64">
        <v>46057</v>
      </c>
      <c r="E77" s="32">
        <v>1576084</v>
      </c>
      <c r="F77" s="32" t="s">
        <v>16</v>
      </c>
      <c r="G77" s="32">
        <v>20336544</v>
      </c>
      <c r="H77" s="32" t="s">
        <v>326</v>
      </c>
      <c r="I77" s="32">
        <v>1</v>
      </c>
      <c r="J77" s="30" t="s">
        <v>18</v>
      </c>
      <c r="K77" s="24">
        <f t="shared" si="3"/>
        <v>19</v>
      </c>
      <c r="L77" s="25">
        <v>4.4</v>
      </c>
      <c r="M77" s="25">
        <v>83.6</v>
      </c>
      <c r="N77" s="25">
        <v>83.6</v>
      </c>
    </row>
    <row r="78" spans="4:14">
      <c r="D78" s="64">
        <v>46057</v>
      </c>
      <c r="E78" s="32">
        <v>1576084</v>
      </c>
      <c r="F78" s="32" t="s">
        <v>16</v>
      </c>
      <c r="G78" s="32">
        <v>20324046</v>
      </c>
      <c r="H78" s="32" t="s">
        <v>232</v>
      </c>
      <c r="I78" s="32">
        <v>1</v>
      </c>
      <c r="J78" s="30" t="s">
        <v>18</v>
      </c>
      <c r="K78" s="24">
        <f t="shared" si="3"/>
        <v>49</v>
      </c>
      <c r="L78" s="25">
        <v>4.4</v>
      </c>
      <c r="M78" s="25">
        <v>215.6</v>
      </c>
      <c r="N78" s="25">
        <v>215.6</v>
      </c>
    </row>
    <row r="79" spans="4:14">
      <c r="D79" s="64">
        <v>46057</v>
      </c>
      <c r="E79" s="32">
        <v>1576084</v>
      </c>
      <c r="F79" s="32" t="s">
        <v>16</v>
      </c>
      <c r="G79" s="32">
        <v>20324045</v>
      </c>
      <c r="H79" s="32" t="s">
        <v>294</v>
      </c>
      <c r="I79" s="32">
        <v>1</v>
      </c>
      <c r="J79" s="30" t="s">
        <v>18</v>
      </c>
      <c r="K79" s="24">
        <f t="shared" si="3"/>
        <v>19</v>
      </c>
      <c r="L79" s="25">
        <v>4.4</v>
      </c>
      <c r="M79" s="25">
        <v>83.6</v>
      </c>
      <c r="N79" s="25">
        <v>83.6</v>
      </c>
    </row>
    <row r="80" spans="4:14">
      <c r="D80" s="64">
        <v>46057</v>
      </c>
      <c r="E80" s="32">
        <v>1576084</v>
      </c>
      <c r="F80" s="32" t="s">
        <v>26</v>
      </c>
      <c r="G80" s="32">
        <v>20324739</v>
      </c>
      <c r="H80" s="32" t="s">
        <v>318</v>
      </c>
      <c r="I80" s="32">
        <v>2</v>
      </c>
      <c r="J80" s="30" t="s">
        <v>18</v>
      </c>
      <c r="K80" s="24">
        <f t="shared" si="3"/>
        <v>5</v>
      </c>
      <c r="L80" s="25">
        <v>4.4</v>
      </c>
      <c r="M80" s="25">
        <v>22</v>
      </c>
      <c r="N80" s="25">
        <v>44</v>
      </c>
    </row>
    <row r="81" spans="4:14">
      <c r="D81" s="64">
        <v>46057</v>
      </c>
      <c r="E81" s="32">
        <v>1576084</v>
      </c>
      <c r="F81" s="32" t="s">
        <v>20</v>
      </c>
      <c r="G81" s="32">
        <v>20411715</v>
      </c>
      <c r="H81" s="32" t="s">
        <v>327</v>
      </c>
      <c r="I81" s="32">
        <v>1</v>
      </c>
      <c r="J81" s="31" t="s">
        <v>29</v>
      </c>
      <c r="K81" s="24">
        <v>1</v>
      </c>
      <c r="L81" s="25">
        <v>6.4</v>
      </c>
      <c r="M81" s="25">
        <v>6.4</v>
      </c>
      <c r="N81" s="25">
        <v>6.4</v>
      </c>
    </row>
    <row r="82" spans="4:14">
      <c r="D82" s="64">
        <v>46057</v>
      </c>
      <c r="E82" s="32">
        <v>1576084</v>
      </c>
      <c r="F82" s="32" t="s">
        <v>20</v>
      </c>
      <c r="G82" s="32">
        <v>20324699</v>
      </c>
      <c r="H82" s="32" t="s">
        <v>252</v>
      </c>
      <c r="I82" s="32">
        <v>3</v>
      </c>
      <c r="J82" s="30" t="s">
        <v>18</v>
      </c>
      <c r="K82" s="24">
        <f t="shared" ref="K82:K87" si="4">M82/L82</f>
        <v>5</v>
      </c>
      <c r="L82" s="25">
        <v>4.4</v>
      </c>
      <c r="M82" s="25">
        <v>22</v>
      </c>
      <c r="N82" s="25">
        <v>66</v>
      </c>
    </row>
    <row r="83" spans="4:14">
      <c r="D83" s="64">
        <v>46057</v>
      </c>
      <c r="E83" s="32">
        <v>1576314</v>
      </c>
      <c r="F83" s="32" t="s">
        <v>16</v>
      </c>
      <c r="G83" s="32">
        <v>20324039</v>
      </c>
      <c r="H83" s="32" t="s">
        <v>293</v>
      </c>
      <c r="I83" s="32">
        <v>2</v>
      </c>
      <c r="J83" s="30" t="s">
        <v>18</v>
      </c>
      <c r="K83" s="24">
        <f t="shared" si="4"/>
        <v>37</v>
      </c>
      <c r="L83" s="25">
        <v>4.4</v>
      </c>
      <c r="M83" s="25">
        <v>162.8</v>
      </c>
      <c r="N83" s="25">
        <v>325.6</v>
      </c>
    </row>
    <row r="84" spans="4:14">
      <c r="D84" s="64">
        <v>46057</v>
      </c>
      <c r="E84" s="32">
        <v>1576314</v>
      </c>
      <c r="F84" s="32" t="s">
        <v>16</v>
      </c>
      <c r="G84" s="32">
        <v>20336544</v>
      </c>
      <c r="H84" s="32" t="s">
        <v>326</v>
      </c>
      <c r="I84" s="32">
        <v>1</v>
      </c>
      <c r="J84" s="30" t="s">
        <v>18</v>
      </c>
      <c r="K84" s="24">
        <f t="shared" si="4"/>
        <v>19</v>
      </c>
      <c r="L84" s="25">
        <v>4.4</v>
      </c>
      <c r="M84" s="25">
        <v>83.6</v>
      </c>
      <c r="N84" s="25">
        <v>83.6</v>
      </c>
    </row>
    <row r="85" spans="4:14">
      <c r="D85" s="64">
        <v>46057</v>
      </c>
      <c r="E85" s="32">
        <v>1576314</v>
      </c>
      <c r="F85" s="32" t="s">
        <v>16</v>
      </c>
      <c r="G85" s="32">
        <v>20324046</v>
      </c>
      <c r="H85" s="32" t="s">
        <v>232</v>
      </c>
      <c r="I85" s="32">
        <v>1</v>
      </c>
      <c r="J85" s="30" t="s">
        <v>18</v>
      </c>
      <c r="K85" s="24">
        <f t="shared" si="4"/>
        <v>49</v>
      </c>
      <c r="L85" s="25">
        <v>4.4</v>
      </c>
      <c r="M85" s="25">
        <v>215.6</v>
      </c>
      <c r="N85" s="25">
        <v>215.6</v>
      </c>
    </row>
    <row r="86" spans="4:14">
      <c r="D86" s="64">
        <v>46057</v>
      </c>
      <c r="E86" s="32">
        <v>1576314</v>
      </c>
      <c r="F86" s="32" t="s">
        <v>16</v>
      </c>
      <c r="G86" s="32">
        <v>20324045</v>
      </c>
      <c r="H86" s="32" t="s">
        <v>294</v>
      </c>
      <c r="I86" s="32">
        <v>5</v>
      </c>
      <c r="J86" s="30" t="s">
        <v>18</v>
      </c>
      <c r="K86" s="24">
        <f t="shared" si="4"/>
        <v>19</v>
      </c>
      <c r="L86" s="25">
        <v>4.4</v>
      </c>
      <c r="M86" s="25">
        <v>83.6</v>
      </c>
      <c r="N86" s="25">
        <v>418</v>
      </c>
    </row>
    <row r="87" spans="4:14">
      <c r="D87" s="64">
        <v>46057</v>
      </c>
      <c r="E87" s="32">
        <v>1576314</v>
      </c>
      <c r="F87" s="32" t="s">
        <v>20</v>
      </c>
      <c r="G87" s="32">
        <v>20326197</v>
      </c>
      <c r="H87" s="32" t="s">
        <v>328</v>
      </c>
      <c r="I87" s="32">
        <v>2</v>
      </c>
      <c r="J87" s="32" t="s">
        <v>116</v>
      </c>
      <c r="K87" s="24">
        <f t="shared" si="4"/>
        <v>3</v>
      </c>
      <c r="L87" s="25">
        <v>4.4</v>
      </c>
      <c r="M87" s="25">
        <v>13.2</v>
      </c>
      <c r="N87" s="25">
        <v>26.4</v>
      </c>
    </row>
    <row r="88" spans="4:14">
      <c r="D88" s="64">
        <v>46057</v>
      </c>
      <c r="E88" s="32">
        <v>1576314</v>
      </c>
      <c r="F88" s="32" t="s">
        <v>20</v>
      </c>
      <c r="G88" s="32">
        <v>20358566</v>
      </c>
      <c r="H88" s="32" t="s">
        <v>329</v>
      </c>
      <c r="I88" s="32">
        <v>2</v>
      </c>
      <c r="J88" s="34"/>
      <c r="K88" s="25"/>
      <c r="L88" s="25"/>
      <c r="M88" s="25">
        <v>17.6</v>
      </c>
      <c r="N88" s="25">
        <v>35.2</v>
      </c>
    </row>
    <row r="89" spans="4:14">
      <c r="D89" s="64">
        <v>46057</v>
      </c>
      <c r="E89" s="32">
        <v>1576314</v>
      </c>
      <c r="F89" s="32" t="s">
        <v>20</v>
      </c>
      <c r="G89" s="32">
        <v>20325179</v>
      </c>
      <c r="H89" s="32" t="s">
        <v>330</v>
      </c>
      <c r="I89" s="32">
        <v>1</v>
      </c>
      <c r="J89" s="32" t="s">
        <v>64</v>
      </c>
      <c r="K89" s="24">
        <v>1</v>
      </c>
      <c r="L89" s="25">
        <v>8.8</v>
      </c>
      <c r="M89" s="25">
        <v>13.2</v>
      </c>
      <c r="N89" s="25">
        <v>13.2</v>
      </c>
    </row>
    <row r="90" spans="4:14">
      <c r="D90" s="64"/>
      <c r="E90" s="32"/>
      <c r="F90" s="32"/>
      <c r="G90" s="32"/>
      <c r="H90" s="32"/>
      <c r="I90" s="32"/>
      <c r="J90" s="32" t="s">
        <v>116</v>
      </c>
      <c r="K90" s="24">
        <v>1</v>
      </c>
      <c r="L90" s="25">
        <v>4.4</v>
      </c>
      <c r="M90" s="25"/>
      <c r="N90" s="25"/>
    </row>
    <row r="91" spans="4:14">
      <c r="D91" s="64">
        <v>46057</v>
      </c>
      <c r="E91" s="32">
        <v>1576314</v>
      </c>
      <c r="F91" s="32" t="s">
        <v>20</v>
      </c>
      <c r="G91" s="32">
        <v>20327777</v>
      </c>
      <c r="H91" s="32" t="s">
        <v>295</v>
      </c>
      <c r="I91" s="32">
        <v>1</v>
      </c>
      <c r="J91" s="32" t="s">
        <v>29</v>
      </c>
      <c r="K91" s="24">
        <v>1</v>
      </c>
      <c r="L91" s="25">
        <v>6.4</v>
      </c>
      <c r="M91" s="25">
        <v>10.8</v>
      </c>
      <c r="N91" s="25">
        <v>10.8</v>
      </c>
    </row>
    <row r="92" spans="4:14">
      <c r="D92" s="64"/>
      <c r="E92" s="32"/>
      <c r="F92" s="32"/>
      <c r="G92" s="32"/>
      <c r="H92" s="32"/>
      <c r="I92" s="32"/>
      <c r="J92" s="32" t="s">
        <v>116</v>
      </c>
      <c r="K92" s="24">
        <v>1</v>
      </c>
      <c r="L92" s="25">
        <v>4.4</v>
      </c>
      <c r="M92" s="25"/>
      <c r="N92" s="25"/>
    </row>
    <row r="93" spans="4:14">
      <c r="D93" s="64">
        <v>46057</v>
      </c>
      <c r="E93" s="32">
        <v>1576314</v>
      </c>
      <c r="F93" s="32" t="s">
        <v>20</v>
      </c>
      <c r="G93" s="32">
        <v>20324367</v>
      </c>
      <c r="H93" s="32" t="s">
        <v>158</v>
      </c>
      <c r="I93" s="32">
        <v>1</v>
      </c>
      <c r="J93" s="31" t="s">
        <v>29</v>
      </c>
      <c r="K93" s="24">
        <v>1</v>
      </c>
      <c r="L93" s="25">
        <v>6.4</v>
      </c>
      <c r="M93" s="25">
        <v>6.4</v>
      </c>
      <c r="N93" s="25">
        <v>6.4</v>
      </c>
    </row>
    <row r="94" spans="4:14">
      <c r="D94" s="64">
        <v>46057</v>
      </c>
      <c r="E94" s="32">
        <v>1576314</v>
      </c>
      <c r="F94" s="32" t="s">
        <v>20</v>
      </c>
      <c r="G94" s="32">
        <v>20358758</v>
      </c>
      <c r="H94" s="32" t="s">
        <v>331</v>
      </c>
      <c r="I94" s="32">
        <v>2</v>
      </c>
      <c r="J94" s="31" t="s">
        <v>29</v>
      </c>
      <c r="K94" s="24">
        <v>1</v>
      </c>
      <c r="L94" s="25">
        <v>6.4</v>
      </c>
      <c r="M94" s="25">
        <v>6.4</v>
      </c>
      <c r="N94" s="25">
        <v>12.8</v>
      </c>
    </row>
    <row r="95" spans="4:14">
      <c r="D95" s="64">
        <v>46057</v>
      </c>
      <c r="E95" s="32">
        <v>1576314</v>
      </c>
      <c r="F95" s="32" t="s">
        <v>16</v>
      </c>
      <c r="G95" s="32">
        <v>20325204</v>
      </c>
      <c r="H95" s="32" t="s">
        <v>332</v>
      </c>
      <c r="I95" s="32">
        <v>2</v>
      </c>
      <c r="J95" s="30" t="s">
        <v>18</v>
      </c>
      <c r="K95" s="24">
        <f t="shared" ref="K95:K99" si="5">M95/L95</f>
        <v>13</v>
      </c>
      <c r="L95" s="25">
        <v>4.4</v>
      </c>
      <c r="M95" s="25">
        <v>57.2</v>
      </c>
      <c r="N95" s="25">
        <v>114.4</v>
      </c>
    </row>
    <row r="96" spans="4:14">
      <c r="D96" s="64">
        <v>46057</v>
      </c>
      <c r="E96" s="32">
        <v>1576314</v>
      </c>
      <c r="F96" s="32" t="s">
        <v>20</v>
      </c>
      <c r="G96" s="32">
        <v>20325131</v>
      </c>
      <c r="H96" s="32" t="s">
        <v>333</v>
      </c>
      <c r="I96" s="32">
        <v>1</v>
      </c>
      <c r="J96" s="30" t="s">
        <v>18</v>
      </c>
      <c r="K96" s="24">
        <f t="shared" si="5"/>
        <v>8</v>
      </c>
      <c r="L96" s="25">
        <v>4.4</v>
      </c>
      <c r="M96" s="25">
        <v>35.2</v>
      </c>
      <c r="N96" s="25">
        <v>35.2</v>
      </c>
    </row>
    <row r="97" spans="4:14">
      <c r="D97" s="64">
        <v>46057</v>
      </c>
      <c r="E97" s="32">
        <v>1576314</v>
      </c>
      <c r="F97" s="32" t="s">
        <v>20</v>
      </c>
      <c r="G97" s="32">
        <v>20330458</v>
      </c>
      <c r="H97" s="32" t="s">
        <v>334</v>
      </c>
      <c r="I97" s="32">
        <v>2</v>
      </c>
      <c r="J97" s="30" t="s">
        <v>18</v>
      </c>
      <c r="K97" s="24">
        <f t="shared" si="5"/>
        <v>5</v>
      </c>
      <c r="L97" s="25">
        <v>4.4</v>
      </c>
      <c r="M97" s="25">
        <v>22</v>
      </c>
      <c r="N97" s="25">
        <v>44</v>
      </c>
    </row>
    <row r="98" spans="4:14">
      <c r="D98" s="64">
        <v>46057</v>
      </c>
      <c r="E98" s="32">
        <v>1576314</v>
      </c>
      <c r="F98" s="32" t="s">
        <v>20</v>
      </c>
      <c r="G98" s="32">
        <v>20324699</v>
      </c>
      <c r="H98" s="32" t="s">
        <v>252</v>
      </c>
      <c r="I98" s="32">
        <v>8</v>
      </c>
      <c r="J98" s="30" t="s">
        <v>18</v>
      </c>
      <c r="K98" s="24">
        <f t="shared" si="5"/>
        <v>5</v>
      </c>
      <c r="L98" s="25">
        <v>4.4</v>
      </c>
      <c r="M98" s="25">
        <v>22</v>
      </c>
      <c r="N98" s="25">
        <v>176</v>
      </c>
    </row>
    <row r="99" spans="4:14">
      <c r="D99" s="64">
        <v>46057</v>
      </c>
      <c r="E99" s="32">
        <v>1576314</v>
      </c>
      <c r="F99" s="32" t="s">
        <v>20</v>
      </c>
      <c r="G99" s="32">
        <v>20325180</v>
      </c>
      <c r="H99" s="32" t="s">
        <v>335</v>
      </c>
      <c r="I99" s="32">
        <v>1</v>
      </c>
      <c r="J99" s="30" t="s">
        <v>18</v>
      </c>
      <c r="K99" s="24">
        <f t="shared" si="5"/>
        <v>6</v>
      </c>
      <c r="L99" s="25">
        <v>4.4</v>
      </c>
      <c r="M99" s="25">
        <v>26.4</v>
      </c>
      <c r="N99" s="25">
        <v>26.4</v>
      </c>
    </row>
    <row r="100" spans="4:14">
      <c r="D100" s="64">
        <v>46058</v>
      </c>
      <c r="E100" s="32">
        <v>1576364</v>
      </c>
      <c r="F100" s="32" t="s">
        <v>20</v>
      </c>
      <c r="G100" s="32">
        <v>20325443</v>
      </c>
      <c r="H100" s="32" t="s">
        <v>322</v>
      </c>
      <c r="I100" s="32">
        <v>1</v>
      </c>
      <c r="J100" s="34" t="s">
        <v>181</v>
      </c>
      <c r="K100" s="24">
        <v>1</v>
      </c>
      <c r="L100" s="25">
        <v>28</v>
      </c>
      <c r="M100" s="25">
        <v>28</v>
      </c>
      <c r="N100" s="25">
        <v>28</v>
      </c>
    </row>
    <row r="101" spans="4:14">
      <c r="D101" s="64">
        <v>46058</v>
      </c>
      <c r="E101" s="32">
        <v>1576364</v>
      </c>
      <c r="F101" s="32" t="s">
        <v>26</v>
      </c>
      <c r="G101" s="32">
        <v>20337916</v>
      </c>
      <c r="H101" s="32" t="s">
        <v>336</v>
      </c>
      <c r="I101" s="32">
        <v>1</v>
      </c>
      <c r="J101" s="30" t="s">
        <v>36</v>
      </c>
      <c r="K101" s="24">
        <v>1</v>
      </c>
      <c r="L101" s="25">
        <v>17.6</v>
      </c>
      <c r="M101" s="25">
        <v>52.8</v>
      </c>
      <c r="N101" s="25">
        <v>52.8</v>
      </c>
    </row>
    <row r="102" spans="4:14">
      <c r="D102" s="64"/>
      <c r="E102" s="32"/>
      <c r="F102" s="32"/>
      <c r="G102" s="32"/>
      <c r="H102" s="32"/>
      <c r="I102" s="32"/>
      <c r="J102" s="30" t="s">
        <v>36</v>
      </c>
      <c r="K102" s="24">
        <v>1</v>
      </c>
      <c r="L102" s="25">
        <v>17.6</v>
      </c>
      <c r="M102" s="25"/>
      <c r="N102" s="25"/>
    </row>
    <row r="103" spans="4:14">
      <c r="D103" s="64"/>
      <c r="E103" s="32"/>
      <c r="F103" s="32"/>
      <c r="G103" s="32"/>
      <c r="H103" s="32"/>
      <c r="I103" s="32"/>
      <c r="J103" s="30" t="s">
        <v>36</v>
      </c>
      <c r="K103" s="24">
        <v>1</v>
      </c>
      <c r="L103" s="25">
        <v>17.6</v>
      </c>
      <c r="M103" s="25"/>
      <c r="N103" s="25"/>
    </row>
    <row r="104" spans="4:14">
      <c r="D104" s="64">
        <v>46058</v>
      </c>
      <c r="E104" s="32">
        <v>1576675</v>
      </c>
      <c r="F104" s="32" t="s">
        <v>16</v>
      </c>
      <c r="G104" s="32">
        <v>20324463</v>
      </c>
      <c r="H104" s="32" t="s">
        <v>249</v>
      </c>
      <c r="I104" s="32">
        <v>2</v>
      </c>
      <c r="J104" s="30" t="s">
        <v>18</v>
      </c>
      <c r="K104" s="24">
        <f>M104/L104</f>
        <v>35</v>
      </c>
      <c r="L104" s="25">
        <v>4.4</v>
      </c>
      <c r="M104" s="25">
        <v>154</v>
      </c>
      <c r="N104" s="25">
        <v>308</v>
      </c>
    </row>
    <row r="105" spans="4:14">
      <c r="D105" s="64">
        <v>46058</v>
      </c>
      <c r="E105" s="32">
        <v>1576675</v>
      </c>
      <c r="F105" s="32" t="s">
        <v>16</v>
      </c>
      <c r="G105" s="32">
        <v>20324045</v>
      </c>
      <c r="H105" s="32" t="s">
        <v>294</v>
      </c>
      <c r="I105" s="32">
        <v>3</v>
      </c>
      <c r="J105" s="30" t="s">
        <v>18</v>
      </c>
      <c r="K105" s="24">
        <f>M105/L105</f>
        <v>19</v>
      </c>
      <c r="L105" s="25">
        <v>4.4</v>
      </c>
      <c r="M105" s="25">
        <v>83.6</v>
      </c>
      <c r="N105" s="25">
        <v>250.8</v>
      </c>
    </row>
    <row r="106" spans="4:14">
      <c r="D106" s="64">
        <v>46058</v>
      </c>
      <c r="E106" s="32">
        <v>1576675</v>
      </c>
      <c r="F106" s="32" t="s">
        <v>20</v>
      </c>
      <c r="G106" s="32">
        <v>20326197</v>
      </c>
      <c r="H106" s="32" t="s">
        <v>328</v>
      </c>
      <c r="I106" s="32">
        <v>1</v>
      </c>
      <c r="J106" s="32" t="s">
        <v>116</v>
      </c>
      <c r="K106" s="24">
        <f>M106/L106</f>
        <v>3</v>
      </c>
      <c r="L106" s="25">
        <v>4.4</v>
      </c>
      <c r="M106" s="25">
        <v>13.2</v>
      </c>
      <c r="N106" s="25">
        <v>13.2</v>
      </c>
    </row>
    <row r="107" spans="4:14">
      <c r="D107" s="64">
        <v>46058</v>
      </c>
      <c r="E107" s="32">
        <v>1576675</v>
      </c>
      <c r="F107" s="32" t="s">
        <v>20</v>
      </c>
      <c r="G107" s="32">
        <v>20358566</v>
      </c>
      <c r="H107" s="32" t="s">
        <v>329</v>
      </c>
      <c r="I107" s="32">
        <v>1</v>
      </c>
      <c r="J107" s="34"/>
      <c r="K107" s="25"/>
      <c r="L107" s="25"/>
      <c r="M107" s="25">
        <v>17.6</v>
      </c>
      <c r="N107" s="25">
        <v>17.6</v>
      </c>
    </row>
    <row r="108" spans="4:14">
      <c r="D108" s="64">
        <v>46058</v>
      </c>
      <c r="E108" s="32">
        <v>1576675</v>
      </c>
      <c r="F108" s="32" t="s">
        <v>20</v>
      </c>
      <c r="G108" s="32">
        <v>20325179</v>
      </c>
      <c r="H108" s="32" t="s">
        <v>330</v>
      </c>
      <c r="I108" s="32">
        <v>1</v>
      </c>
      <c r="J108" s="32" t="s">
        <v>64</v>
      </c>
      <c r="K108" s="24">
        <v>1</v>
      </c>
      <c r="L108" s="25">
        <v>8.8</v>
      </c>
      <c r="M108" s="25">
        <v>13.2</v>
      </c>
      <c r="N108" s="25">
        <v>13.2</v>
      </c>
    </row>
    <row r="109" spans="4:14">
      <c r="D109" s="64"/>
      <c r="E109" s="32"/>
      <c r="F109" s="32"/>
      <c r="G109" s="32"/>
      <c r="H109" s="32"/>
      <c r="I109" s="32"/>
      <c r="J109" s="32" t="s">
        <v>116</v>
      </c>
      <c r="K109" s="24">
        <v>1</v>
      </c>
      <c r="L109" s="25">
        <v>4.4</v>
      </c>
      <c r="M109" s="25"/>
      <c r="N109" s="25"/>
    </row>
    <row r="110" spans="4:14">
      <c r="D110" s="64">
        <v>46058</v>
      </c>
      <c r="E110" s="32">
        <v>1576675</v>
      </c>
      <c r="F110" s="32" t="s">
        <v>20</v>
      </c>
      <c r="G110" s="32">
        <v>20358758</v>
      </c>
      <c r="H110" s="32" t="s">
        <v>331</v>
      </c>
      <c r="I110" s="32">
        <v>1</v>
      </c>
      <c r="J110" s="31" t="s">
        <v>29</v>
      </c>
      <c r="K110" s="24">
        <v>1</v>
      </c>
      <c r="L110" s="25">
        <v>6.4</v>
      </c>
      <c r="M110" s="25">
        <v>6.4</v>
      </c>
      <c r="N110" s="25">
        <v>6.4</v>
      </c>
    </row>
    <row r="111" spans="4:14">
      <c r="D111" s="64">
        <v>46058</v>
      </c>
      <c r="E111" s="32">
        <v>1576675</v>
      </c>
      <c r="F111" s="32" t="s">
        <v>16</v>
      </c>
      <c r="G111" s="32">
        <v>20325204</v>
      </c>
      <c r="H111" s="32" t="s">
        <v>332</v>
      </c>
      <c r="I111" s="32">
        <v>1</v>
      </c>
      <c r="J111" s="30" t="s">
        <v>18</v>
      </c>
      <c r="K111" s="24">
        <f t="shared" ref="K111:K115" si="6">M111/L111</f>
        <v>13</v>
      </c>
      <c r="L111" s="25">
        <v>4.4</v>
      </c>
      <c r="M111" s="25">
        <v>57.2</v>
      </c>
      <c r="N111" s="25">
        <v>57.2</v>
      </c>
    </row>
    <row r="112" spans="4:14">
      <c r="D112" s="64">
        <v>46058</v>
      </c>
      <c r="E112" s="32">
        <v>1576675</v>
      </c>
      <c r="F112" s="32" t="s">
        <v>20</v>
      </c>
      <c r="G112" s="32">
        <v>20325131</v>
      </c>
      <c r="H112" s="32" t="s">
        <v>333</v>
      </c>
      <c r="I112" s="32">
        <v>2</v>
      </c>
      <c r="J112" s="30" t="s">
        <v>18</v>
      </c>
      <c r="K112" s="24">
        <f t="shared" si="6"/>
        <v>8</v>
      </c>
      <c r="L112" s="25">
        <v>4.4</v>
      </c>
      <c r="M112" s="25">
        <v>35.2</v>
      </c>
      <c r="N112" s="25">
        <v>70.4</v>
      </c>
    </row>
    <row r="113" spans="4:14">
      <c r="D113" s="64">
        <v>46058</v>
      </c>
      <c r="E113" s="32">
        <v>1576675</v>
      </c>
      <c r="F113" s="32" t="s">
        <v>20</v>
      </c>
      <c r="G113" s="32">
        <v>20324711</v>
      </c>
      <c r="H113" s="32" t="s">
        <v>337</v>
      </c>
      <c r="I113" s="32">
        <v>1</v>
      </c>
      <c r="J113" s="30" t="s">
        <v>18</v>
      </c>
      <c r="K113" s="24">
        <f t="shared" si="6"/>
        <v>14</v>
      </c>
      <c r="L113" s="25">
        <v>4.4</v>
      </c>
      <c r="M113" s="25">
        <v>61.6</v>
      </c>
      <c r="N113" s="25">
        <v>61.6</v>
      </c>
    </row>
    <row r="114" spans="4:14">
      <c r="D114" s="64">
        <v>46058</v>
      </c>
      <c r="E114" s="32">
        <v>1576675</v>
      </c>
      <c r="F114" s="32" t="s">
        <v>20</v>
      </c>
      <c r="G114" s="32">
        <v>20325761</v>
      </c>
      <c r="H114" s="32" t="s">
        <v>338</v>
      </c>
      <c r="I114" s="32">
        <v>1</v>
      </c>
      <c r="J114" s="30" t="s">
        <v>18</v>
      </c>
      <c r="K114" s="24">
        <f t="shared" si="6"/>
        <v>5</v>
      </c>
      <c r="L114" s="25">
        <v>4.4</v>
      </c>
      <c r="M114" s="25">
        <v>22</v>
      </c>
      <c r="N114" s="25">
        <v>22</v>
      </c>
    </row>
    <row r="115" spans="4:14">
      <c r="D115" s="64">
        <v>46058</v>
      </c>
      <c r="E115" s="32">
        <v>1576675</v>
      </c>
      <c r="F115" s="32" t="s">
        <v>20</v>
      </c>
      <c r="G115" s="32">
        <v>20324699</v>
      </c>
      <c r="H115" s="32" t="s">
        <v>252</v>
      </c>
      <c r="I115" s="32">
        <v>5</v>
      </c>
      <c r="J115" s="30" t="s">
        <v>18</v>
      </c>
      <c r="K115" s="24">
        <f t="shared" si="6"/>
        <v>5</v>
      </c>
      <c r="L115" s="25">
        <v>4.4</v>
      </c>
      <c r="M115" s="25">
        <v>22</v>
      </c>
      <c r="N115" s="25">
        <v>110</v>
      </c>
    </row>
    <row r="116" spans="4:14">
      <c r="D116" s="64">
        <v>46058</v>
      </c>
      <c r="E116" s="32">
        <v>1576675</v>
      </c>
      <c r="F116" s="32" t="s">
        <v>41</v>
      </c>
      <c r="G116" s="32">
        <v>20354932</v>
      </c>
      <c r="H116" s="32" t="s">
        <v>210</v>
      </c>
      <c r="I116" s="32">
        <v>10</v>
      </c>
      <c r="J116" s="34" t="s">
        <v>97</v>
      </c>
      <c r="K116" s="24">
        <v>1</v>
      </c>
      <c r="L116" s="25">
        <v>3.2</v>
      </c>
      <c r="M116" s="25">
        <v>3.2</v>
      </c>
      <c r="N116" s="25">
        <v>32</v>
      </c>
    </row>
    <row r="117" spans="4:14">
      <c r="D117" s="64">
        <v>46059</v>
      </c>
      <c r="E117" s="32">
        <v>1576759</v>
      </c>
      <c r="F117" s="32" t="s">
        <v>20</v>
      </c>
      <c r="G117" s="32">
        <v>20324643</v>
      </c>
      <c r="H117" s="32" t="s">
        <v>309</v>
      </c>
      <c r="I117" s="32">
        <v>2</v>
      </c>
      <c r="J117" s="34" t="s">
        <v>128</v>
      </c>
      <c r="K117" s="24">
        <v>1</v>
      </c>
      <c r="L117" s="25">
        <v>22.4</v>
      </c>
      <c r="M117" s="25">
        <v>22.4</v>
      </c>
      <c r="N117" s="25">
        <v>44.8</v>
      </c>
    </row>
    <row r="118" spans="4:14">
      <c r="D118" s="64">
        <v>46059</v>
      </c>
      <c r="E118" s="32">
        <v>1576759</v>
      </c>
      <c r="F118" s="32" t="s">
        <v>20</v>
      </c>
      <c r="G118" s="32">
        <v>20324637</v>
      </c>
      <c r="H118" s="32" t="s">
        <v>280</v>
      </c>
      <c r="I118" s="32">
        <v>2</v>
      </c>
      <c r="J118" s="34" t="s">
        <v>181</v>
      </c>
      <c r="K118" s="24">
        <v>1</v>
      </c>
      <c r="L118" s="25">
        <v>28</v>
      </c>
      <c r="M118" s="25">
        <v>28</v>
      </c>
      <c r="N118" s="25">
        <v>56</v>
      </c>
    </row>
    <row r="119" spans="4:14">
      <c r="D119" s="64">
        <v>46059</v>
      </c>
      <c r="E119" s="32">
        <v>1576759</v>
      </c>
      <c r="F119" s="32" t="s">
        <v>20</v>
      </c>
      <c r="G119" s="32">
        <v>20382023</v>
      </c>
      <c r="H119" s="32" t="s">
        <v>339</v>
      </c>
      <c r="I119" s="32">
        <v>2</v>
      </c>
      <c r="J119" s="30" t="s">
        <v>36</v>
      </c>
      <c r="K119" s="24">
        <v>1</v>
      </c>
      <c r="L119" s="25">
        <v>17.6</v>
      </c>
      <c r="M119" s="25">
        <v>17.6</v>
      </c>
      <c r="N119" s="25">
        <v>35.2</v>
      </c>
    </row>
    <row r="120" spans="4:14">
      <c r="D120" s="64">
        <v>46059</v>
      </c>
      <c r="E120" s="32">
        <v>1576759</v>
      </c>
      <c r="F120" s="32" t="s">
        <v>20</v>
      </c>
      <c r="G120" s="32">
        <v>20324822</v>
      </c>
      <c r="H120" s="32" t="s">
        <v>311</v>
      </c>
      <c r="I120" s="32">
        <v>2</v>
      </c>
      <c r="J120" s="34" t="s">
        <v>181</v>
      </c>
      <c r="K120" s="24">
        <v>1</v>
      </c>
      <c r="L120" s="25">
        <v>28</v>
      </c>
      <c r="M120" s="25">
        <v>28</v>
      </c>
      <c r="N120" s="25">
        <v>56</v>
      </c>
    </row>
    <row r="121" spans="4:14">
      <c r="D121" s="64">
        <v>46059</v>
      </c>
      <c r="E121" s="32">
        <v>1576759</v>
      </c>
      <c r="F121" s="32" t="s">
        <v>20</v>
      </c>
      <c r="G121" s="32">
        <v>20324645</v>
      </c>
      <c r="H121" s="32" t="s">
        <v>312</v>
      </c>
      <c r="I121" s="32">
        <v>2</v>
      </c>
      <c r="J121" s="34" t="s">
        <v>128</v>
      </c>
      <c r="K121" s="24">
        <v>1</v>
      </c>
      <c r="L121" s="25">
        <v>22.4</v>
      </c>
      <c r="M121" s="25">
        <v>22.4</v>
      </c>
      <c r="N121" s="25">
        <v>44.8</v>
      </c>
    </row>
    <row r="122" spans="4:14">
      <c r="D122" s="64">
        <v>46059</v>
      </c>
      <c r="E122" s="32">
        <v>1576759</v>
      </c>
      <c r="F122" s="32" t="s">
        <v>20</v>
      </c>
      <c r="G122" s="32">
        <v>20324723</v>
      </c>
      <c r="H122" s="32" t="s">
        <v>283</v>
      </c>
      <c r="I122" s="32">
        <v>1</v>
      </c>
      <c r="J122" s="34" t="s">
        <v>128</v>
      </c>
      <c r="K122" s="24">
        <v>1</v>
      </c>
      <c r="L122" s="25">
        <v>22.4</v>
      </c>
      <c r="M122" s="25">
        <v>22.4</v>
      </c>
      <c r="N122" s="25">
        <v>22.4</v>
      </c>
    </row>
    <row r="123" spans="4:14">
      <c r="D123" s="64">
        <v>46059</v>
      </c>
      <c r="E123" s="32">
        <v>1576759</v>
      </c>
      <c r="F123" s="32" t="s">
        <v>20</v>
      </c>
      <c r="G123" s="32">
        <v>20324636</v>
      </c>
      <c r="H123" s="32" t="s">
        <v>313</v>
      </c>
      <c r="I123" s="32">
        <v>2</v>
      </c>
      <c r="J123" s="34" t="s">
        <v>181</v>
      </c>
      <c r="K123" s="24">
        <v>1</v>
      </c>
      <c r="L123" s="25">
        <v>28</v>
      </c>
      <c r="M123" s="25">
        <v>28</v>
      </c>
      <c r="N123" s="25">
        <v>56</v>
      </c>
    </row>
    <row r="124" spans="4:14">
      <c r="D124" s="64">
        <v>46059</v>
      </c>
      <c r="E124" s="32">
        <v>1576759</v>
      </c>
      <c r="F124" s="32" t="s">
        <v>20</v>
      </c>
      <c r="G124" s="32">
        <v>20324732</v>
      </c>
      <c r="H124" s="32" t="s">
        <v>314</v>
      </c>
      <c r="I124" s="32">
        <v>2</v>
      </c>
      <c r="J124" s="34" t="s">
        <v>128</v>
      </c>
      <c r="K124" s="24">
        <v>1</v>
      </c>
      <c r="L124" s="25">
        <v>22.4</v>
      </c>
      <c r="M124" s="25">
        <v>22.4</v>
      </c>
      <c r="N124" s="25">
        <v>44.8</v>
      </c>
    </row>
    <row r="125" spans="4:14">
      <c r="D125" s="64">
        <v>46059</v>
      </c>
      <c r="E125" s="32">
        <v>1576759</v>
      </c>
      <c r="F125" s="32" t="s">
        <v>20</v>
      </c>
      <c r="G125" s="32">
        <v>20357850</v>
      </c>
      <c r="H125" s="32" t="s">
        <v>340</v>
      </c>
      <c r="I125" s="32">
        <v>1</v>
      </c>
      <c r="J125" s="34" t="s">
        <v>34</v>
      </c>
      <c r="K125" s="24" t="s">
        <v>35</v>
      </c>
      <c r="L125" s="25">
        <v>240</v>
      </c>
      <c r="M125" s="25">
        <v>240</v>
      </c>
      <c r="N125" s="25">
        <v>240</v>
      </c>
    </row>
    <row r="126" spans="4:14">
      <c r="D126" s="64">
        <v>46059</v>
      </c>
      <c r="E126" s="32">
        <v>1576759</v>
      </c>
      <c r="F126" s="32" t="s">
        <v>20</v>
      </c>
      <c r="G126" s="32">
        <v>20324644</v>
      </c>
      <c r="H126" s="32" t="s">
        <v>288</v>
      </c>
      <c r="I126" s="32">
        <v>3</v>
      </c>
      <c r="J126" s="34" t="s">
        <v>128</v>
      </c>
      <c r="K126" s="24">
        <v>1</v>
      </c>
      <c r="L126" s="25">
        <v>22.4</v>
      </c>
      <c r="M126" s="25">
        <v>22.4</v>
      </c>
      <c r="N126" s="25">
        <v>67.2</v>
      </c>
    </row>
    <row r="127" spans="4:14">
      <c r="D127" s="64">
        <v>46059</v>
      </c>
      <c r="E127" s="32">
        <v>1576759</v>
      </c>
      <c r="F127" s="32" t="s">
        <v>20</v>
      </c>
      <c r="G127" s="32">
        <v>20324814</v>
      </c>
      <c r="H127" s="32" t="s">
        <v>289</v>
      </c>
      <c r="I127" s="32">
        <v>2</v>
      </c>
      <c r="J127" s="34" t="s">
        <v>128</v>
      </c>
      <c r="K127" s="24">
        <v>1</v>
      </c>
      <c r="L127" s="25">
        <v>22.4</v>
      </c>
      <c r="M127" s="25">
        <v>22.4</v>
      </c>
      <c r="N127" s="25">
        <v>44.8</v>
      </c>
    </row>
    <row r="128" spans="4:14">
      <c r="D128" s="85">
        <v>46059</v>
      </c>
      <c r="E128" s="86">
        <v>1576759</v>
      </c>
      <c r="F128" s="86" t="s">
        <v>26</v>
      </c>
      <c r="G128" s="86">
        <v>20324638</v>
      </c>
      <c r="H128" s="86" t="s">
        <v>316</v>
      </c>
      <c r="I128" s="86">
        <v>1</v>
      </c>
      <c r="J128" s="34" t="s">
        <v>254</v>
      </c>
      <c r="K128" s="24" t="s">
        <v>255</v>
      </c>
      <c r="L128" s="25">
        <v>22.4</v>
      </c>
      <c r="M128" s="25">
        <f>L128+L129</f>
        <v>30.4</v>
      </c>
      <c r="N128" s="25">
        <f>M128+M129</f>
        <v>30.4</v>
      </c>
    </row>
    <row r="129" spans="4:14">
      <c r="D129" s="87"/>
      <c r="E129" s="88"/>
      <c r="F129" s="88"/>
      <c r="G129" s="88"/>
      <c r="H129" s="88"/>
      <c r="I129" s="88"/>
      <c r="J129" s="32" t="s">
        <v>256</v>
      </c>
      <c r="K129" s="24" t="s">
        <v>255</v>
      </c>
      <c r="L129" s="25">
        <v>8</v>
      </c>
      <c r="M129" s="25"/>
      <c r="N129" s="25"/>
    </row>
    <row r="130" spans="4:14">
      <c r="D130" s="64">
        <v>46060</v>
      </c>
      <c r="E130" s="32">
        <v>1577037</v>
      </c>
      <c r="F130" s="32" t="s">
        <v>16</v>
      </c>
      <c r="G130" s="32">
        <v>20324463</v>
      </c>
      <c r="H130" s="32" t="s">
        <v>249</v>
      </c>
      <c r="I130" s="32">
        <v>1</v>
      </c>
      <c r="J130" s="30" t="s">
        <v>18</v>
      </c>
      <c r="K130" s="24">
        <f t="shared" ref="K130:K132" si="7">M130/L130</f>
        <v>35</v>
      </c>
      <c r="L130" s="25">
        <v>4.4</v>
      </c>
      <c r="M130" s="25">
        <v>154</v>
      </c>
      <c r="N130" s="25">
        <v>154</v>
      </c>
    </row>
    <row r="131" spans="4:14">
      <c r="D131" s="64">
        <v>46060</v>
      </c>
      <c r="E131" s="32">
        <v>1577037</v>
      </c>
      <c r="F131" s="32" t="s">
        <v>16</v>
      </c>
      <c r="G131" s="32">
        <v>20324045</v>
      </c>
      <c r="H131" s="32" t="s">
        <v>294</v>
      </c>
      <c r="I131" s="32">
        <v>1</v>
      </c>
      <c r="J131" s="30" t="s">
        <v>18</v>
      </c>
      <c r="K131" s="24">
        <f t="shared" si="7"/>
        <v>19</v>
      </c>
      <c r="L131" s="25">
        <v>4.4</v>
      </c>
      <c r="M131" s="25">
        <v>83.6</v>
      </c>
      <c r="N131" s="25">
        <v>83.6</v>
      </c>
    </row>
    <row r="132" spans="4:14">
      <c r="D132" s="64">
        <v>46060</v>
      </c>
      <c r="E132" s="32">
        <v>1577037</v>
      </c>
      <c r="F132" s="32" t="s">
        <v>20</v>
      </c>
      <c r="G132" s="32">
        <v>20324699</v>
      </c>
      <c r="H132" s="32" t="s">
        <v>252</v>
      </c>
      <c r="I132" s="32">
        <v>2</v>
      </c>
      <c r="J132" s="30" t="s">
        <v>18</v>
      </c>
      <c r="K132" s="24">
        <f t="shared" si="7"/>
        <v>5</v>
      </c>
      <c r="L132" s="25">
        <v>4.4</v>
      </c>
      <c r="M132" s="25">
        <v>22</v>
      </c>
      <c r="N132" s="25">
        <v>44</v>
      </c>
    </row>
    <row r="133" spans="4:14">
      <c r="D133" s="64">
        <v>46060</v>
      </c>
      <c r="E133" s="32">
        <v>1577066</v>
      </c>
      <c r="F133" s="32" t="s">
        <v>20</v>
      </c>
      <c r="G133" s="32">
        <v>20324643</v>
      </c>
      <c r="H133" s="32" t="s">
        <v>309</v>
      </c>
      <c r="I133" s="32">
        <v>1</v>
      </c>
      <c r="J133" s="34" t="s">
        <v>128</v>
      </c>
      <c r="K133" s="24">
        <v>1</v>
      </c>
      <c r="L133" s="25">
        <v>22.4</v>
      </c>
      <c r="M133" s="25">
        <v>22.4</v>
      </c>
      <c r="N133" s="25">
        <v>22.4</v>
      </c>
    </row>
    <row r="134" spans="4:14">
      <c r="D134" s="64">
        <v>46060</v>
      </c>
      <c r="E134" s="32">
        <v>1577066</v>
      </c>
      <c r="F134" s="32" t="s">
        <v>20</v>
      </c>
      <c r="G134" s="32">
        <v>20324637</v>
      </c>
      <c r="H134" s="32" t="s">
        <v>280</v>
      </c>
      <c r="I134" s="32">
        <v>1</v>
      </c>
      <c r="J134" s="34" t="s">
        <v>181</v>
      </c>
      <c r="K134" s="24">
        <v>1</v>
      </c>
      <c r="L134" s="25">
        <v>28</v>
      </c>
      <c r="M134" s="25">
        <v>28</v>
      </c>
      <c r="N134" s="25">
        <v>28</v>
      </c>
    </row>
    <row r="135" spans="4:14">
      <c r="D135" s="64">
        <v>46060</v>
      </c>
      <c r="E135" s="32">
        <v>1577066</v>
      </c>
      <c r="F135" s="32" t="s">
        <v>20</v>
      </c>
      <c r="G135" s="32">
        <v>20382023</v>
      </c>
      <c r="H135" s="32" t="s">
        <v>339</v>
      </c>
      <c r="I135" s="32">
        <v>1</v>
      </c>
      <c r="J135" s="30" t="s">
        <v>36</v>
      </c>
      <c r="K135" s="24">
        <v>1</v>
      </c>
      <c r="L135" s="25">
        <v>17.6</v>
      </c>
      <c r="M135" s="25">
        <v>17.6</v>
      </c>
      <c r="N135" s="25">
        <v>17.6</v>
      </c>
    </row>
    <row r="136" spans="4:14">
      <c r="D136" s="64">
        <v>46060</v>
      </c>
      <c r="E136" s="32">
        <v>1577066</v>
      </c>
      <c r="F136" s="32" t="s">
        <v>20</v>
      </c>
      <c r="G136" s="32">
        <v>20324822</v>
      </c>
      <c r="H136" s="32" t="s">
        <v>311</v>
      </c>
      <c r="I136" s="32">
        <v>1</v>
      </c>
      <c r="J136" s="34" t="s">
        <v>181</v>
      </c>
      <c r="K136" s="24">
        <v>1</v>
      </c>
      <c r="L136" s="25">
        <v>28</v>
      </c>
      <c r="M136" s="25">
        <v>28</v>
      </c>
      <c r="N136" s="25">
        <v>28</v>
      </c>
    </row>
    <row r="137" spans="4:14">
      <c r="D137" s="64">
        <v>46060</v>
      </c>
      <c r="E137" s="32">
        <v>1577066</v>
      </c>
      <c r="F137" s="32" t="s">
        <v>20</v>
      </c>
      <c r="G137" s="32">
        <v>20326634</v>
      </c>
      <c r="H137" s="32" t="s">
        <v>341</v>
      </c>
      <c r="I137" s="32">
        <v>1</v>
      </c>
      <c r="J137" s="34" t="s">
        <v>128</v>
      </c>
      <c r="K137" s="24">
        <v>1</v>
      </c>
      <c r="L137" s="25">
        <v>22.4</v>
      </c>
      <c r="M137" s="25">
        <v>22.4</v>
      </c>
      <c r="N137" s="25">
        <v>22.4</v>
      </c>
    </row>
    <row r="138" spans="4:14">
      <c r="D138" s="64">
        <v>46060</v>
      </c>
      <c r="E138" s="32">
        <v>1577066</v>
      </c>
      <c r="F138" s="32" t="s">
        <v>20</v>
      </c>
      <c r="G138" s="32">
        <v>20326996</v>
      </c>
      <c r="H138" s="32" t="s">
        <v>342</v>
      </c>
      <c r="I138" s="32">
        <v>1</v>
      </c>
      <c r="J138" s="34" t="s">
        <v>128</v>
      </c>
      <c r="K138" s="24">
        <v>1</v>
      </c>
      <c r="L138" s="25">
        <v>22.4</v>
      </c>
      <c r="M138" s="25">
        <v>22.4</v>
      </c>
      <c r="N138" s="25">
        <v>22.4</v>
      </c>
    </row>
    <row r="139" spans="4:14">
      <c r="D139" s="64">
        <v>46060</v>
      </c>
      <c r="E139" s="32">
        <v>1577066</v>
      </c>
      <c r="F139" s="32" t="s">
        <v>20</v>
      </c>
      <c r="G139" s="32">
        <v>20324645</v>
      </c>
      <c r="H139" s="32" t="s">
        <v>312</v>
      </c>
      <c r="I139" s="32">
        <v>1</v>
      </c>
      <c r="J139" s="34" t="s">
        <v>128</v>
      </c>
      <c r="K139" s="24">
        <v>1</v>
      </c>
      <c r="L139" s="25">
        <v>22.4</v>
      </c>
      <c r="M139" s="25">
        <v>22.4</v>
      </c>
      <c r="N139" s="25">
        <v>22.4</v>
      </c>
    </row>
    <row r="140" spans="4:14">
      <c r="D140" s="64">
        <v>46060</v>
      </c>
      <c r="E140" s="32">
        <v>1577066</v>
      </c>
      <c r="F140" s="32" t="s">
        <v>20</v>
      </c>
      <c r="G140" s="32">
        <v>20324723</v>
      </c>
      <c r="H140" s="32" t="s">
        <v>283</v>
      </c>
      <c r="I140" s="32">
        <v>1</v>
      </c>
      <c r="J140" s="34" t="s">
        <v>128</v>
      </c>
      <c r="K140" s="24">
        <v>1</v>
      </c>
      <c r="L140" s="25">
        <v>22.4</v>
      </c>
      <c r="M140" s="25">
        <v>22.4</v>
      </c>
      <c r="N140" s="25">
        <v>22.4</v>
      </c>
    </row>
    <row r="141" spans="4:14">
      <c r="D141" s="64">
        <v>46060</v>
      </c>
      <c r="E141" s="32">
        <v>1577066</v>
      </c>
      <c r="F141" s="32" t="s">
        <v>20</v>
      </c>
      <c r="G141" s="32">
        <v>20324636</v>
      </c>
      <c r="H141" s="32" t="s">
        <v>313</v>
      </c>
      <c r="I141" s="32">
        <v>1</v>
      </c>
      <c r="J141" s="34" t="s">
        <v>181</v>
      </c>
      <c r="K141" s="24">
        <v>1</v>
      </c>
      <c r="L141" s="25">
        <v>28</v>
      </c>
      <c r="M141" s="25">
        <v>28</v>
      </c>
      <c r="N141" s="25">
        <v>28</v>
      </c>
    </row>
    <row r="142" spans="4:14">
      <c r="D142" s="64">
        <v>46060</v>
      </c>
      <c r="E142" s="32">
        <v>1577066</v>
      </c>
      <c r="F142" s="32" t="s">
        <v>20</v>
      </c>
      <c r="G142" s="32">
        <v>20324642</v>
      </c>
      <c r="H142" s="32" t="s">
        <v>321</v>
      </c>
      <c r="I142" s="32">
        <v>1</v>
      </c>
      <c r="J142" s="30" t="s">
        <v>36</v>
      </c>
      <c r="K142" s="24">
        <v>1</v>
      </c>
      <c r="L142" s="25">
        <v>17.6</v>
      </c>
      <c r="M142" s="25">
        <v>17.6</v>
      </c>
      <c r="N142" s="25">
        <v>17.6</v>
      </c>
    </row>
    <row r="143" spans="4:14">
      <c r="D143" s="64">
        <v>46060</v>
      </c>
      <c r="E143" s="32">
        <v>1577066</v>
      </c>
      <c r="F143" s="32" t="s">
        <v>20</v>
      </c>
      <c r="G143" s="32">
        <v>20324732</v>
      </c>
      <c r="H143" s="32" t="s">
        <v>314</v>
      </c>
      <c r="I143" s="32">
        <v>2</v>
      </c>
      <c r="J143" s="34" t="s">
        <v>128</v>
      </c>
      <c r="K143" s="24">
        <v>1</v>
      </c>
      <c r="L143" s="25">
        <v>22.4</v>
      </c>
      <c r="M143" s="25">
        <v>22.4</v>
      </c>
      <c r="N143" s="25">
        <v>44.8</v>
      </c>
    </row>
    <row r="144" spans="4:14">
      <c r="D144" s="64">
        <v>46060</v>
      </c>
      <c r="E144" s="32">
        <v>1577066</v>
      </c>
      <c r="F144" s="32" t="s">
        <v>20</v>
      </c>
      <c r="G144" s="32">
        <v>20324813</v>
      </c>
      <c r="H144" s="32" t="s">
        <v>130</v>
      </c>
      <c r="I144" s="32">
        <v>2</v>
      </c>
      <c r="J144" s="34" t="s">
        <v>128</v>
      </c>
      <c r="K144" s="24">
        <v>1</v>
      </c>
      <c r="L144" s="25">
        <v>22.4</v>
      </c>
      <c r="M144" s="25">
        <v>22.4</v>
      </c>
      <c r="N144" s="25">
        <v>44.8</v>
      </c>
    </row>
    <row r="145" spans="4:14">
      <c r="D145" s="64">
        <v>46060</v>
      </c>
      <c r="E145" s="32">
        <v>1577066</v>
      </c>
      <c r="F145" s="32" t="s">
        <v>20</v>
      </c>
      <c r="G145" s="32">
        <v>20324815</v>
      </c>
      <c r="H145" s="32" t="s">
        <v>287</v>
      </c>
      <c r="I145" s="32">
        <v>2</v>
      </c>
      <c r="J145" s="34" t="s">
        <v>181</v>
      </c>
      <c r="K145" s="24">
        <v>1</v>
      </c>
      <c r="L145" s="25">
        <v>28</v>
      </c>
      <c r="M145" s="25">
        <v>28</v>
      </c>
      <c r="N145" s="25">
        <v>56</v>
      </c>
    </row>
    <row r="146" spans="4:14">
      <c r="D146" s="64">
        <v>46060</v>
      </c>
      <c r="E146" s="32">
        <v>1577066</v>
      </c>
      <c r="F146" s="32" t="s">
        <v>20</v>
      </c>
      <c r="G146" s="32">
        <v>20324644</v>
      </c>
      <c r="H146" s="32" t="s">
        <v>288</v>
      </c>
      <c r="I146" s="32">
        <v>1</v>
      </c>
      <c r="J146" s="34" t="s">
        <v>128</v>
      </c>
      <c r="K146" s="24">
        <v>1</v>
      </c>
      <c r="L146" s="25">
        <v>22.4</v>
      </c>
      <c r="M146" s="25">
        <v>22.4</v>
      </c>
      <c r="N146" s="25">
        <v>22.4</v>
      </c>
    </row>
    <row r="147" spans="4:14">
      <c r="D147" s="64">
        <v>46060</v>
      </c>
      <c r="E147" s="32">
        <v>1577066</v>
      </c>
      <c r="F147" s="32" t="s">
        <v>20</v>
      </c>
      <c r="G147" s="32">
        <v>20324814</v>
      </c>
      <c r="H147" s="32" t="s">
        <v>289</v>
      </c>
      <c r="I147" s="32">
        <v>1</v>
      </c>
      <c r="J147" s="34" t="s">
        <v>128</v>
      </c>
      <c r="K147" s="24">
        <v>1</v>
      </c>
      <c r="L147" s="25">
        <v>22.4</v>
      </c>
      <c r="M147" s="25">
        <v>22.4</v>
      </c>
      <c r="N147" s="25">
        <v>22.4</v>
      </c>
    </row>
    <row r="148" spans="4:14">
      <c r="D148" s="64">
        <v>46060</v>
      </c>
      <c r="E148" s="32">
        <v>1577066</v>
      </c>
      <c r="F148" s="32" t="s">
        <v>20</v>
      </c>
      <c r="G148" s="32">
        <v>20324646</v>
      </c>
      <c r="H148" s="32" t="s">
        <v>315</v>
      </c>
      <c r="I148" s="32">
        <v>1</v>
      </c>
      <c r="J148" s="30" t="s">
        <v>259</v>
      </c>
      <c r="K148" s="24">
        <v>1</v>
      </c>
      <c r="L148" s="25">
        <v>20</v>
      </c>
      <c r="M148" s="25">
        <v>20</v>
      </c>
      <c r="N148" s="25">
        <v>20</v>
      </c>
    </row>
    <row r="149" spans="4:14">
      <c r="D149" s="64">
        <v>46062</v>
      </c>
      <c r="E149" s="32">
        <v>1577501</v>
      </c>
      <c r="F149" s="32" t="s">
        <v>16</v>
      </c>
      <c r="G149" s="32">
        <v>20324049</v>
      </c>
      <c r="H149" s="32" t="s">
        <v>343</v>
      </c>
      <c r="I149" s="32">
        <v>1</v>
      </c>
      <c r="J149" s="30" t="s">
        <v>18</v>
      </c>
      <c r="K149" s="24">
        <f t="shared" ref="K149:K158" si="8">M149/L149</f>
        <v>25</v>
      </c>
      <c r="L149" s="25">
        <v>4.4</v>
      </c>
      <c r="M149" s="25">
        <v>110</v>
      </c>
      <c r="N149" s="25">
        <v>110</v>
      </c>
    </row>
    <row r="150" spans="4:14">
      <c r="D150" s="64">
        <v>46062</v>
      </c>
      <c r="E150" s="32">
        <v>1577501</v>
      </c>
      <c r="F150" s="32" t="s">
        <v>16</v>
      </c>
      <c r="G150" s="32">
        <v>20324045</v>
      </c>
      <c r="H150" s="32" t="s">
        <v>294</v>
      </c>
      <c r="I150" s="32">
        <v>2</v>
      </c>
      <c r="J150" s="30" t="s">
        <v>18</v>
      </c>
      <c r="K150" s="24">
        <f t="shared" si="8"/>
        <v>19</v>
      </c>
      <c r="L150" s="25">
        <v>4.4</v>
      </c>
      <c r="M150" s="25">
        <v>83.6</v>
      </c>
      <c r="N150" s="25">
        <v>167.2</v>
      </c>
    </row>
    <row r="151" spans="4:14">
      <c r="D151" s="64">
        <v>46062</v>
      </c>
      <c r="E151" s="32">
        <v>1577501</v>
      </c>
      <c r="F151" s="32" t="s">
        <v>20</v>
      </c>
      <c r="G151" s="32">
        <v>20324712</v>
      </c>
      <c r="H151" s="32" t="s">
        <v>344</v>
      </c>
      <c r="I151" s="32">
        <v>1</v>
      </c>
      <c r="J151" s="32" t="s">
        <v>64</v>
      </c>
      <c r="K151" s="24">
        <v>1</v>
      </c>
      <c r="L151" s="25">
        <v>8.8</v>
      </c>
      <c r="M151" s="25">
        <v>13.2</v>
      </c>
      <c r="N151" s="25">
        <v>13.2</v>
      </c>
    </row>
    <row r="152" spans="4:14">
      <c r="D152" s="64"/>
      <c r="E152" s="32"/>
      <c r="F152" s="32"/>
      <c r="G152" s="32"/>
      <c r="H152" s="32"/>
      <c r="I152" s="32"/>
      <c r="J152" s="32" t="s">
        <v>116</v>
      </c>
      <c r="K152" s="24">
        <v>1</v>
      </c>
      <c r="L152" s="25">
        <v>4.4</v>
      </c>
      <c r="M152" s="25"/>
      <c r="N152" s="25"/>
    </row>
    <row r="153" spans="4:14">
      <c r="D153" s="64">
        <v>46062</v>
      </c>
      <c r="E153" s="32">
        <v>1577501</v>
      </c>
      <c r="F153" s="32" t="s">
        <v>20</v>
      </c>
      <c r="G153" s="32">
        <v>20324367</v>
      </c>
      <c r="H153" s="32" t="s">
        <v>158</v>
      </c>
      <c r="I153" s="32">
        <v>1</v>
      </c>
      <c r="J153" s="31" t="s">
        <v>29</v>
      </c>
      <c r="K153" s="24">
        <v>1</v>
      </c>
      <c r="L153" s="25">
        <v>6.4</v>
      </c>
      <c r="M153" s="25">
        <v>6.4</v>
      </c>
      <c r="N153" s="25">
        <v>6.4</v>
      </c>
    </row>
    <row r="154" spans="4:14">
      <c r="D154" s="64">
        <v>46062</v>
      </c>
      <c r="E154" s="32">
        <v>1577501</v>
      </c>
      <c r="F154" s="32" t="s">
        <v>20</v>
      </c>
      <c r="G154" s="32">
        <v>20329152</v>
      </c>
      <c r="H154" s="32" t="s">
        <v>345</v>
      </c>
      <c r="I154" s="32">
        <v>1</v>
      </c>
      <c r="J154" s="30" t="s">
        <v>18</v>
      </c>
      <c r="K154" s="24">
        <f t="shared" si="8"/>
        <v>11</v>
      </c>
      <c r="L154" s="25">
        <v>4.4</v>
      </c>
      <c r="M154" s="25">
        <v>48.4</v>
      </c>
      <c r="N154" s="25">
        <v>48.4</v>
      </c>
    </row>
    <row r="155" spans="4:14">
      <c r="D155" s="64">
        <v>46062</v>
      </c>
      <c r="E155" s="32">
        <v>1577501</v>
      </c>
      <c r="F155" s="32" t="s">
        <v>20</v>
      </c>
      <c r="G155" s="32">
        <v>20324699</v>
      </c>
      <c r="H155" s="32" t="s">
        <v>252</v>
      </c>
      <c r="I155" s="32">
        <v>3</v>
      </c>
      <c r="J155" s="30" t="s">
        <v>18</v>
      </c>
      <c r="K155" s="24">
        <f t="shared" si="8"/>
        <v>5</v>
      </c>
      <c r="L155" s="25">
        <v>4.4</v>
      </c>
      <c r="M155" s="25">
        <v>22</v>
      </c>
      <c r="N155" s="25">
        <v>66</v>
      </c>
    </row>
    <row r="156" spans="4:14">
      <c r="D156" s="64">
        <v>46062</v>
      </c>
      <c r="E156" s="32">
        <v>1577522</v>
      </c>
      <c r="F156" s="32" t="s">
        <v>16</v>
      </c>
      <c r="G156" s="32">
        <v>20336544</v>
      </c>
      <c r="H156" s="32" t="s">
        <v>326</v>
      </c>
      <c r="I156" s="32">
        <v>1</v>
      </c>
      <c r="J156" s="30" t="s">
        <v>18</v>
      </c>
      <c r="K156" s="24">
        <f t="shared" si="8"/>
        <v>19</v>
      </c>
      <c r="L156" s="25">
        <v>4.4</v>
      </c>
      <c r="M156" s="25">
        <v>83.6</v>
      </c>
      <c r="N156" s="25">
        <v>83.6</v>
      </c>
    </row>
    <row r="157" spans="4:14">
      <c r="D157" s="64">
        <v>46062</v>
      </c>
      <c r="E157" s="32">
        <v>1577522</v>
      </c>
      <c r="F157" s="32" t="s">
        <v>16</v>
      </c>
      <c r="G157" s="32">
        <v>20324046</v>
      </c>
      <c r="H157" s="32" t="s">
        <v>232</v>
      </c>
      <c r="I157" s="32">
        <v>1</v>
      </c>
      <c r="J157" s="30" t="s">
        <v>18</v>
      </c>
      <c r="K157" s="24">
        <f t="shared" si="8"/>
        <v>49</v>
      </c>
      <c r="L157" s="25">
        <v>4.4</v>
      </c>
      <c r="M157" s="25">
        <v>215.6</v>
      </c>
      <c r="N157" s="25">
        <v>215.6</v>
      </c>
    </row>
    <row r="158" spans="4:14">
      <c r="D158" s="64">
        <v>46062</v>
      </c>
      <c r="E158" s="32">
        <v>1577522</v>
      </c>
      <c r="F158" s="32" t="s">
        <v>20</v>
      </c>
      <c r="G158" s="32">
        <v>20324699</v>
      </c>
      <c r="H158" s="32" t="s">
        <v>252</v>
      </c>
      <c r="I158" s="32">
        <v>1</v>
      </c>
      <c r="J158" s="30" t="s">
        <v>18</v>
      </c>
      <c r="K158" s="24">
        <f t="shared" si="8"/>
        <v>5</v>
      </c>
      <c r="L158" s="25">
        <v>4.4</v>
      </c>
      <c r="M158" s="25">
        <v>22</v>
      </c>
      <c r="N158" s="25">
        <v>22</v>
      </c>
    </row>
    <row r="159" spans="4:14">
      <c r="D159" s="64">
        <v>46062</v>
      </c>
      <c r="E159" s="32">
        <v>1577548</v>
      </c>
      <c r="F159" s="32" t="s">
        <v>20</v>
      </c>
      <c r="G159" s="32">
        <v>20366789</v>
      </c>
      <c r="H159" s="32" t="s">
        <v>322</v>
      </c>
      <c r="I159" s="32">
        <v>1</v>
      </c>
      <c r="J159" s="34" t="s">
        <v>181</v>
      </c>
      <c r="K159" s="24">
        <v>1</v>
      </c>
      <c r="L159" s="25">
        <v>28</v>
      </c>
      <c r="M159" s="25">
        <v>28</v>
      </c>
      <c r="N159" s="25">
        <v>28</v>
      </c>
    </row>
    <row r="160" spans="4:14">
      <c r="D160" s="64">
        <v>46063</v>
      </c>
      <c r="E160" s="32">
        <v>1577857</v>
      </c>
      <c r="F160" s="32" t="s">
        <v>16</v>
      </c>
      <c r="G160" s="32">
        <v>20324463</v>
      </c>
      <c r="H160" s="32" t="s">
        <v>249</v>
      </c>
      <c r="I160" s="32">
        <v>3</v>
      </c>
      <c r="J160" s="30" t="s">
        <v>18</v>
      </c>
      <c r="K160" s="24">
        <f t="shared" ref="K160:K164" si="9">M160/L160</f>
        <v>35</v>
      </c>
      <c r="L160" s="25">
        <v>4.4</v>
      </c>
      <c r="M160" s="25">
        <v>154</v>
      </c>
      <c r="N160" s="25">
        <v>462</v>
      </c>
    </row>
    <row r="161" spans="4:14">
      <c r="D161" s="64">
        <v>46063</v>
      </c>
      <c r="E161" s="32">
        <v>1577857</v>
      </c>
      <c r="F161" s="32" t="s">
        <v>16</v>
      </c>
      <c r="G161" s="32">
        <v>20324028</v>
      </c>
      <c r="H161" s="32" t="s">
        <v>317</v>
      </c>
      <c r="I161" s="32">
        <v>2</v>
      </c>
      <c r="J161" s="30" t="s">
        <v>18</v>
      </c>
      <c r="K161" s="24">
        <f t="shared" si="9"/>
        <v>42</v>
      </c>
      <c r="L161" s="25">
        <v>4.4</v>
      </c>
      <c r="M161" s="25">
        <v>184.8</v>
      </c>
      <c r="N161" s="25">
        <v>369.6</v>
      </c>
    </row>
    <row r="162" spans="4:14">
      <c r="D162" s="64">
        <v>46063</v>
      </c>
      <c r="E162" s="32">
        <v>1577857</v>
      </c>
      <c r="F162" s="32" t="s">
        <v>16</v>
      </c>
      <c r="G162" s="32">
        <v>20336544</v>
      </c>
      <c r="H162" s="32" t="s">
        <v>326</v>
      </c>
      <c r="I162" s="32">
        <v>1</v>
      </c>
      <c r="J162" s="30" t="s">
        <v>18</v>
      </c>
      <c r="K162" s="24">
        <f t="shared" si="9"/>
        <v>19</v>
      </c>
      <c r="L162" s="25">
        <v>4.4</v>
      </c>
      <c r="M162" s="25">
        <v>83.6</v>
      </c>
      <c r="N162" s="25">
        <v>83.6</v>
      </c>
    </row>
    <row r="163" spans="4:14">
      <c r="D163" s="64">
        <v>46063</v>
      </c>
      <c r="E163" s="32">
        <v>1577857</v>
      </c>
      <c r="F163" s="32" t="s">
        <v>16</v>
      </c>
      <c r="G163" s="32">
        <v>20324046</v>
      </c>
      <c r="H163" s="32" t="s">
        <v>232</v>
      </c>
      <c r="I163" s="32">
        <v>1</v>
      </c>
      <c r="J163" s="30" t="s">
        <v>18</v>
      </c>
      <c r="K163" s="24">
        <f t="shared" si="9"/>
        <v>49</v>
      </c>
      <c r="L163" s="25">
        <v>4.4</v>
      </c>
      <c r="M163" s="25">
        <v>215.6</v>
      </c>
      <c r="N163" s="25">
        <v>215.6</v>
      </c>
    </row>
    <row r="164" spans="4:14">
      <c r="D164" s="64">
        <v>46063</v>
      </c>
      <c r="E164" s="32">
        <v>1577857</v>
      </c>
      <c r="F164" s="32" t="s">
        <v>16</v>
      </c>
      <c r="G164" s="32">
        <v>20324045</v>
      </c>
      <c r="H164" s="32" t="s">
        <v>294</v>
      </c>
      <c r="I164" s="32">
        <v>2</v>
      </c>
      <c r="J164" s="30" t="s">
        <v>18</v>
      </c>
      <c r="K164" s="24">
        <f t="shared" si="9"/>
        <v>19</v>
      </c>
      <c r="L164" s="25">
        <v>4.4</v>
      </c>
      <c r="M164" s="25">
        <v>83.6</v>
      </c>
      <c r="N164" s="25">
        <v>167.2</v>
      </c>
    </row>
    <row r="165" spans="4:14">
      <c r="D165" s="64">
        <v>46063</v>
      </c>
      <c r="E165" s="32">
        <v>1577857</v>
      </c>
      <c r="F165" s="32" t="s">
        <v>20</v>
      </c>
      <c r="G165" s="32">
        <v>20324800</v>
      </c>
      <c r="H165" s="32" t="s">
        <v>346</v>
      </c>
      <c r="I165" s="32">
        <v>1</v>
      </c>
      <c r="J165" s="31" t="s">
        <v>29</v>
      </c>
      <c r="K165" s="24">
        <v>1</v>
      </c>
      <c r="L165" s="25">
        <v>6.4</v>
      </c>
      <c r="M165" s="25">
        <v>6.4</v>
      </c>
      <c r="N165" s="25">
        <v>6.4</v>
      </c>
    </row>
    <row r="166" spans="4:14">
      <c r="D166" s="64">
        <v>46063</v>
      </c>
      <c r="E166" s="32">
        <v>1577857</v>
      </c>
      <c r="F166" s="32" t="s">
        <v>20</v>
      </c>
      <c r="G166" s="32">
        <v>20324726</v>
      </c>
      <c r="H166" s="32" t="s">
        <v>347</v>
      </c>
      <c r="I166" s="32">
        <v>1</v>
      </c>
      <c r="J166" s="34"/>
      <c r="K166" s="25"/>
      <c r="L166" s="25"/>
      <c r="M166" s="25">
        <v>17.6</v>
      </c>
      <c r="N166" s="25">
        <v>17.6</v>
      </c>
    </row>
    <row r="167" spans="4:14">
      <c r="D167" s="64">
        <v>46063</v>
      </c>
      <c r="E167" s="32">
        <v>1577857</v>
      </c>
      <c r="F167" s="32" t="s">
        <v>20</v>
      </c>
      <c r="G167" s="32">
        <v>20330458</v>
      </c>
      <c r="H167" s="32" t="s">
        <v>334</v>
      </c>
      <c r="I167" s="32">
        <v>1</v>
      </c>
      <c r="J167" s="30" t="s">
        <v>18</v>
      </c>
      <c r="K167" s="24">
        <f t="shared" ref="K167:K170" si="10">M167/L167</f>
        <v>5</v>
      </c>
      <c r="L167" s="25">
        <v>4.4</v>
      </c>
      <c r="M167" s="25">
        <v>22</v>
      </c>
      <c r="N167" s="25">
        <v>22</v>
      </c>
    </row>
    <row r="168" spans="4:14">
      <c r="D168" s="64">
        <v>46063</v>
      </c>
      <c r="E168" s="32">
        <v>1577857</v>
      </c>
      <c r="F168" s="32" t="s">
        <v>20</v>
      </c>
      <c r="G168" s="32">
        <v>20324738</v>
      </c>
      <c r="H168" s="32" t="s">
        <v>348</v>
      </c>
      <c r="I168" s="32">
        <v>1</v>
      </c>
      <c r="J168" s="30" t="s">
        <v>18</v>
      </c>
      <c r="K168" s="24">
        <f t="shared" si="10"/>
        <v>8</v>
      </c>
      <c r="L168" s="25">
        <v>4.4</v>
      </c>
      <c r="M168" s="25">
        <v>35.2</v>
      </c>
      <c r="N168" s="25">
        <v>35.2</v>
      </c>
    </row>
    <row r="169" spans="4:14">
      <c r="D169" s="64">
        <v>46063</v>
      </c>
      <c r="E169" s="32">
        <v>1577857</v>
      </c>
      <c r="F169" s="32" t="s">
        <v>20</v>
      </c>
      <c r="G169" s="32">
        <v>20329152</v>
      </c>
      <c r="H169" s="32" t="s">
        <v>345</v>
      </c>
      <c r="I169" s="32">
        <v>1</v>
      </c>
      <c r="J169" s="30" t="s">
        <v>18</v>
      </c>
      <c r="K169" s="24">
        <f t="shared" si="10"/>
        <v>11</v>
      </c>
      <c r="L169" s="25">
        <v>4.4</v>
      </c>
      <c r="M169" s="25">
        <v>48.4</v>
      </c>
      <c r="N169" s="25">
        <v>48.4</v>
      </c>
    </row>
    <row r="170" spans="4:14">
      <c r="D170" s="64">
        <v>46063</v>
      </c>
      <c r="E170" s="32">
        <v>1577857</v>
      </c>
      <c r="F170" s="32" t="s">
        <v>20</v>
      </c>
      <c r="G170" s="32">
        <v>20324699</v>
      </c>
      <c r="H170" s="32" t="s">
        <v>252</v>
      </c>
      <c r="I170" s="32">
        <v>9</v>
      </c>
      <c r="J170" s="30" t="s">
        <v>18</v>
      </c>
      <c r="K170" s="24">
        <f t="shared" si="10"/>
        <v>5</v>
      </c>
      <c r="L170" s="25">
        <v>4.4</v>
      </c>
      <c r="M170" s="25">
        <v>22</v>
      </c>
      <c r="N170" s="25">
        <v>198</v>
      </c>
    </row>
    <row r="171" spans="4:14">
      <c r="D171" s="64">
        <v>46063</v>
      </c>
      <c r="E171" s="32">
        <v>1577857</v>
      </c>
      <c r="F171" s="32" t="s">
        <v>41</v>
      </c>
      <c r="G171" s="32">
        <v>20354932</v>
      </c>
      <c r="H171" s="32" t="s">
        <v>210</v>
      </c>
      <c r="I171" s="32">
        <v>10</v>
      </c>
      <c r="J171" s="34" t="s">
        <v>97</v>
      </c>
      <c r="K171" s="24">
        <v>1</v>
      </c>
      <c r="L171" s="25">
        <v>3.2</v>
      </c>
      <c r="M171" s="25">
        <v>3.2</v>
      </c>
      <c r="N171" s="25">
        <v>32</v>
      </c>
    </row>
    <row r="172" spans="4:14">
      <c r="D172" s="64">
        <v>46064</v>
      </c>
      <c r="E172" s="32">
        <v>1577875</v>
      </c>
      <c r="F172" s="32" t="s">
        <v>20</v>
      </c>
      <c r="G172" s="32">
        <v>20366789</v>
      </c>
      <c r="H172" s="32" t="s">
        <v>322</v>
      </c>
      <c r="I172" s="32">
        <v>1</v>
      </c>
      <c r="J172" s="34" t="s">
        <v>181</v>
      </c>
      <c r="K172" s="24">
        <v>1</v>
      </c>
      <c r="L172" s="25">
        <v>28</v>
      </c>
      <c r="M172" s="25">
        <v>28</v>
      </c>
      <c r="N172" s="25">
        <v>28</v>
      </c>
    </row>
    <row r="173" spans="4:14">
      <c r="D173" s="64">
        <v>46064</v>
      </c>
      <c r="E173" s="32">
        <v>1577904</v>
      </c>
      <c r="F173" s="32" t="s">
        <v>20</v>
      </c>
      <c r="G173" s="32">
        <v>20325234</v>
      </c>
      <c r="H173" s="32" t="s">
        <v>319</v>
      </c>
      <c r="I173" s="32">
        <v>1</v>
      </c>
      <c r="J173" s="30" t="s">
        <v>36</v>
      </c>
      <c r="K173" s="24">
        <v>1</v>
      </c>
      <c r="L173" s="25">
        <v>17.6</v>
      </c>
      <c r="M173" s="25">
        <v>35.2</v>
      </c>
      <c r="N173" s="25">
        <v>35.2</v>
      </c>
    </row>
    <row r="174" spans="4:14">
      <c r="D174" s="64"/>
      <c r="E174" s="32"/>
      <c r="F174" s="32"/>
      <c r="G174" s="32"/>
      <c r="H174" s="32"/>
      <c r="I174" s="32"/>
      <c r="J174" s="30" t="s">
        <v>36</v>
      </c>
      <c r="K174" s="24">
        <v>1</v>
      </c>
      <c r="L174" s="25">
        <v>17.6</v>
      </c>
      <c r="M174" s="25"/>
      <c r="N174" s="25"/>
    </row>
    <row r="175" spans="4:14">
      <c r="D175" s="64">
        <v>46064</v>
      </c>
      <c r="E175" s="32">
        <v>1577904</v>
      </c>
      <c r="F175" s="32" t="s">
        <v>20</v>
      </c>
      <c r="G175" s="32">
        <v>20324643</v>
      </c>
      <c r="H175" s="32" t="s">
        <v>309</v>
      </c>
      <c r="I175" s="32">
        <v>4</v>
      </c>
      <c r="J175" s="34" t="s">
        <v>128</v>
      </c>
      <c r="K175" s="24">
        <v>1</v>
      </c>
      <c r="L175" s="25">
        <v>22.4</v>
      </c>
      <c r="M175" s="25">
        <v>22.4</v>
      </c>
      <c r="N175" s="25">
        <v>89.6</v>
      </c>
    </row>
    <row r="176" spans="4:14">
      <c r="D176" s="64">
        <v>46064</v>
      </c>
      <c r="E176" s="32">
        <v>1577904</v>
      </c>
      <c r="F176" s="32" t="s">
        <v>20</v>
      </c>
      <c r="G176" s="32">
        <v>20324637</v>
      </c>
      <c r="H176" s="32" t="s">
        <v>280</v>
      </c>
      <c r="I176" s="32">
        <v>3</v>
      </c>
      <c r="J176" s="34" t="s">
        <v>181</v>
      </c>
      <c r="K176" s="24">
        <v>1</v>
      </c>
      <c r="L176" s="25">
        <v>28</v>
      </c>
      <c r="M176" s="25">
        <v>28</v>
      </c>
      <c r="N176" s="25">
        <v>84</v>
      </c>
    </row>
    <row r="177" spans="4:14">
      <c r="D177" s="64">
        <v>46064</v>
      </c>
      <c r="E177" s="32">
        <v>1577904</v>
      </c>
      <c r="F177" s="32" t="s">
        <v>20</v>
      </c>
      <c r="G177" s="32">
        <v>20330449</v>
      </c>
      <c r="H177" s="32" t="s">
        <v>281</v>
      </c>
      <c r="I177" s="32">
        <v>2</v>
      </c>
      <c r="J177" s="34" t="s">
        <v>128</v>
      </c>
      <c r="K177" s="24">
        <v>1</v>
      </c>
      <c r="L177" s="25">
        <v>22.4</v>
      </c>
      <c r="M177" s="25">
        <v>22.4</v>
      </c>
      <c r="N177" s="25">
        <v>44.8</v>
      </c>
    </row>
    <row r="178" spans="4:14">
      <c r="D178" s="64">
        <v>46064</v>
      </c>
      <c r="E178" s="32">
        <v>1577904</v>
      </c>
      <c r="F178" s="32" t="s">
        <v>20</v>
      </c>
      <c r="G178" s="32">
        <v>20329253</v>
      </c>
      <c r="H178" s="32" t="s">
        <v>310</v>
      </c>
      <c r="I178" s="32">
        <v>2</v>
      </c>
      <c r="J178" s="30" t="s">
        <v>36</v>
      </c>
      <c r="K178" s="24">
        <v>1</v>
      </c>
      <c r="L178" s="25">
        <v>17.6</v>
      </c>
      <c r="M178" s="25">
        <v>17.6</v>
      </c>
      <c r="N178" s="25">
        <v>35.2</v>
      </c>
    </row>
    <row r="179" spans="4:14">
      <c r="D179" s="64">
        <v>46064</v>
      </c>
      <c r="E179" s="32">
        <v>1577904</v>
      </c>
      <c r="F179" s="32" t="s">
        <v>20</v>
      </c>
      <c r="G179" s="32">
        <v>20324822</v>
      </c>
      <c r="H179" s="32" t="s">
        <v>311</v>
      </c>
      <c r="I179" s="32">
        <v>2</v>
      </c>
      <c r="J179" s="34" t="s">
        <v>181</v>
      </c>
      <c r="K179" s="24">
        <v>1</v>
      </c>
      <c r="L179" s="25">
        <v>28</v>
      </c>
      <c r="M179" s="25">
        <v>28</v>
      </c>
      <c r="N179" s="25">
        <v>56</v>
      </c>
    </row>
    <row r="180" spans="4:14">
      <c r="D180" s="64">
        <v>46064</v>
      </c>
      <c r="E180" s="32">
        <v>1577904</v>
      </c>
      <c r="F180" s="32" t="s">
        <v>20</v>
      </c>
      <c r="G180" s="32">
        <v>20324635</v>
      </c>
      <c r="H180" s="32" t="s">
        <v>349</v>
      </c>
      <c r="I180" s="32">
        <v>1</v>
      </c>
      <c r="J180" s="34" t="s">
        <v>181</v>
      </c>
      <c r="K180" s="24">
        <v>1</v>
      </c>
      <c r="L180" s="25">
        <v>28</v>
      </c>
      <c r="M180" s="25">
        <v>28</v>
      </c>
      <c r="N180" s="25">
        <v>28</v>
      </c>
    </row>
    <row r="181" spans="4:14">
      <c r="D181" s="64">
        <v>46064</v>
      </c>
      <c r="E181" s="32">
        <v>1577904</v>
      </c>
      <c r="F181" s="32" t="s">
        <v>20</v>
      </c>
      <c r="G181" s="32">
        <v>20324645</v>
      </c>
      <c r="H181" s="32" t="s">
        <v>312</v>
      </c>
      <c r="I181" s="32">
        <v>4</v>
      </c>
      <c r="J181" s="34" t="s">
        <v>128</v>
      </c>
      <c r="K181" s="24">
        <v>1</v>
      </c>
      <c r="L181" s="25">
        <v>22.4</v>
      </c>
      <c r="M181" s="25">
        <v>22.4</v>
      </c>
      <c r="N181" s="25">
        <v>89.6</v>
      </c>
    </row>
    <row r="182" spans="4:14">
      <c r="D182" s="64">
        <v>46064</v>
      </c>
      <c r="E182" s="32">
        <v>1577904</v>
      </c>
      <c r="F182" s="32" t="s">
        <v>20</v>
      </c>
      <c r="G182" s="32">
        <v>20329652</v>
      </c>
      <c r="H182" s="32" t="s">
        <v>350</v>
      </c>
      <c r="I182" s="32">
        <v>1</v>
      </c>
      <c r="J182" s="34" t="s">
        <v>128</v>
      </c>
      <c r="K182" s="24">
        <v>1</v>
      </c>
      <c r="L182" s="25">
        <v>22.4</v>
      </c>
      <c r="M182" s="25">
        <v>22.4</v>
      </c>
      <c r="N182" s="25">
        <v>22.4</v>
      </c>
    </row>
    <row r="183" spans="4:14">
      <c r="D183" s="64">
        <v>46064</v>
      </c>
      <c r="E183" s="32">
        <v>1577904</v>
      </c>
      <c r="F183" s="32" t="s">
        <v>20</v>
      </c>
      <c r="G183" s="32">
        <v>20324723</v>
      </c>
      <c r="H183" s="32" t="s">
        <v>283</v>
      </c>
      <c r="I183" s="32">
        <v>1</v>
      </c>
      <c r="J183" s="34" t="s">
        <v>128</v>
      </c>
      <c r="K183" s="24">
        <v>1</v>
      </c>
      <c r="L183" s="25">
        <v>22.4</v>
      </c>
      <c r="M183" s="25">
        <v>22.4</v>
      </c>
      <c r="N183" s="25">
        <v>22.4</v>
      </c>
    </row>
    <row r="184" spans="4:14">
      <c r="D184" s="64">
        <v>46064</v>
      </c>
      <c r="E184" s="32">
        <v>1577904</v>
      </c>
      <c r="F184" s="32" t="s">
        <v>20</v>
      </c>
      <c r="G184" s="32">
        <v>20324636</v>
      </c>
      <c r="H184" s="32" t="s">
        <v>313</v>
      </c>
      <c r="I184" s="32">
        <v>4</v>
      </c>
      <c r="J184" s="34" t="s">
        <v>181</v>
      </c>
      <c r="K184" s="24">
        <v>1</v>
      </c>
      <c r="L184" s="25">
        <v>28</v>
      </c>
      <c r="M184" s="25">
        <v>28</v>
      </c>
      <c r="N184" s="25">
        <v>112</v>
      </c>
    </row>
    <row r="185" spans="4:14">
      <c r="D185" s="64">
        <v>46064</v>
      </c>
      <c r="E185" s="32">
        <v>1577904</v>
      </c>
      <c r="F185" s="32" t="s">
        <v>20</v>
      </c>
      <c r="G185" s="32">
        <v>20324642</v>
      </c>
      <c r="H185" s="32" t="s">
        <v>321</v>
      </c>
      <c r="I185" s="32">
        <v>2</v>
      </c>
      <c r="J185" s="30" t="s">
        <v>36</v>
      </c>
      <c r="K185" s="24">
        <v>1</v>
      </c>
      <c r="L185" s="25">
        <v>17.6</v>
      </c>
      <c r="M185" s="25">
        <v>17.6</v>
      </c>
      <c r="N185" s="25">
        <v>35.2</v>
      </c>
    </row>
    <row r="186" spans="4:14">
      <c r="D186" s="64">
        <v>46064</v>
      </c>
      <c r="E186" s="32">
        <v>1577904</v>
      </c>
      <c r="F186" s="32" t="s">
        <v>20</v>
      </c>
      <c r="G186" s="32">
        <v>20324732</v>
      </c>
      <c r="H186" s="32" t="s">
        <v>314</v>
      </c>
      <c r="I186" s="32">
        <v>1</v>
      </c>
      <c r="J186" s="34" t="s">
        <v>128</v>
      </c>
      <c r="K186" s="24">
        <v>1</v>
      </c>
      <c r="L186" s="25">
        <v>22.4</v>
      </c>
      <c r="M186" s="25">
        <v>22.4</v>
      </c>
      <c r="N186" s="25">
        <v>22.4</v>
      </c>
    </row>
    <row r="187" spans="4:14">
      <c r="D187" s="64">
        <v>46064</v>
      </c>
      <c r="E187" s="32">
        <v>1577904</v>
      </c>
      <c r="F187" s="32" t="s">
        <v>20</v>
      </c>
      <c r="G187" s="32">
        <v>20324644</v>
      </c>
      <c r="H187" s="32" t="s">
        <v>288</v>
      </c>
      <c r="I187" s="32">
        <v>4</v>
      </c>
      <c r="J187" s="34" t="s">
        <v>128</v>
      </c>
      <c r="K187" s="24">
        <v>1</v>
      </c>
      <c r="L187" s="25">
        <v>22.4</v>
      </c>
      <c r="M187" s="25">
        <v>22.4</v>
      </c>
      <c r="N187" s="25">
        <v>89.6</v>
      </c>
    </row>
    <row r="188" spans="4:14">
      <c r="D188" s="64">
        <v>46064</v>
      </c>
      <c r="E188" s="32">
        <v>1577904</v>
      </c>
      <c r="F188" s="32" t="s">
        <v>20</v>
      </c>
      <c r="G188" s="32">
        <v>20324814</v>
      </c>
      <c r="H188" s="32" t="s">
        <v>289</v>
      </c>
      <c r="I188" s="32">
        <v>4</v>
      </c>
      <c r="J188" s="34" t="s">
        <v>128</v>
      </c>
      <c r="K188" s="24">
        <v>1</v>
      </c>
      <c r="L188" s="25">
        <v>22.4</v>
      </c>
      <c r="M188" s="25">
        <v>22.4</v>
      </c>
      <c r="N188" s="25">
        <v>89.6</v>
      </c>
    </row>
    <row r="189" spans="4:14">
      <c r="D189" s="64">
        <v>46064</v>
      </c>
      <c r="E189" s="32">
        <v>1577904</v>
      </c>
      <c r="F189" s="32" t="s">
        <v>20</v>
      </c>
      <c r="G189" s="32">
        <v>20324646</v>
      </c>
      <c r="H189" s="32" t="s">
        <v>315</v>
      </c>
      <c r="I189" s="32">
        <v>2</v>
      </c>
      <c r="J189" s="30" t="s">
        <v>259</v>
      </c>
      <c r="K189" s="24">
        <v>1</v>
      </c>
      <c r="L189" s="25">
        <v>20</v>
      </c>
      <c r="M189" s="25">
        <v>20</v>
      </c>
      <c r="N189" s="25">
        <v>40</v>
      </c>
    </row>
    <row r="190" spans="4:14">
      <c r="D190" s="64">
        <v>46064</v>
      </c>
      <c r="E190" s="32">
        <v>1577904</v>
      </c>
      <c r="F190" s="32" t="s">
        <v>20</v>
      </c>
      <c r="G190" s="32">
        <v>20342864</v>
      </c>
      <c r="H190" s="32" t="s">
        <v>351</v>
      </c>
      <c r="I190" s="32">
        <v>1</v>
      </c>
      <c r="J190" s="34" t="s">
        <v>128</v>
      </c>
      <c r="K190" s="24">
        <v>1</v>
      </c>
      <c r="L190" s="25">
        <v>22.4</v>
      </c>
      <c r="M190" s="25">
        <v>22.4</v>
      </c>
      <c r="N190" s="25">
        <v>22.4</v>
      </c>
    </row>
    <row r="191" spans="4:14">
      <c r="D191" s="64">
        <v>46064</v>
      </c>
      <c r="E191" s="32">
        <v>1577904</v>
      </c>
      <c r="F191" s="32" t="s">
        <v>20</v>
      </c>
      <c r="G191" s="32">
        <v>20332069</v>
      </c>
      <c r="H191" s="32" t="s">
        <v>352</v>
      </c>
      <c r="I191" s="32">
        <v>2</v>
      </c>
      <c r="J191" s="34" t="s">
        <v>128</v>
      </c>
      <c r="K191" s="24">
        <v>1</v>
      </c>
      <c r="L191" s="25">
        <v>22.4</v>
      </c>
      <c r="M191" s="25">
        <v>22.4</v>
      </c>
      <c r="N191" s="25">
        <v>44.8</v>
      </c>
    </row>
    <row r="192" spans="4:14">
      <c r="D192" s="85">
        <v>46064</v>
      </c>
      <c r="E192" s="86">
        <v>1577904</v>
      </c>
      <c r="F192" s="86" t="s">
        <v>26</v>
      </c>
      <c r="G192" s="86">
        <v>20324638</v>
      </c>
      <c r="H192" s="86" t="s">
        <v>316</v>
      </c>
      <c r="I192" s="86">
        <v>2</v>
      </c>
      <c r="J192" s="34" t="s">
        <v>254</v>
      </c>
      <c r="K192" s="24" t="s">
        <v>255</v>
      </c>
      <c r="L192" s="25">
        <v>22.4</v>
      </c>
      <c r="M192" s="25">
        <f>L192+L193</f>
        <v>30.4</v>
      </c>
      <c r="N192" s="25">
        <v>60.8</v>
      </c>
    </row>
    <row r="193" spans="4:14">
      <c r="D193" s="87"/>
      <c r="E193" s="88"/>
      <c r="F193" s="88"/>
      <c r="G193" s="88"/>
      <c r="H193" s="88"/>
      <c r="I193" s="88"/>
      <c r="J193" s="32" t="s">
        <v>256</v>
      </c>
      <c r="K193" s="24" t="s">
        <v>255</v>
      </c>
      <c r="L193" s="25">
        <v>8</v>
      </c>
      <c r="M193" s="25"/>
      <c r="N193" s="25"/>
    </row>
    <row r="194" spans="4:14">
      <c r="D194" s="64">
        <v>46064</v>
      </c>
      <c r="E194" s="32">
        <v>1577927</v>
      </c>
      <c r="F194" s="32" t="s">
        <v>20</v>
      </c>
      <c r="G194" s="32">
        <v>20324735</v>
      </c>
      <c r="H194" s="32" t="s">
        <v>353</v>
      </c>
      <c r="I194" s="32">
        <v>1</v>
      </c>
      <c r="J194" s="30" t="s">
        <v>36</v>
      </c>
      <c r="K194" s="24">
        <v>1</v>
      </c>
      <c r="L194" s="25">
        <v>17.6</v>
      </c>
      <c r="M194" s="25">
        <v>17.6</v>
      </c>
      <c r="N194" s="25">
        <v>17.6</v>
      </c>
    </row>
    <row r="195" spans="4:14">
      <c r="D195" s="64">
        <v>46064</v>
      </c>
      <c r="E195" s="32">
        <v>1577927</v>
      </c>
      <c r="F195" s="32" t="s">
        <v>20</v>
      </c>
      <c r="G195" s="32">
        <v>20324891</v>
      </c>
      <c r="H195" s="32" t="s">
        <v>302</v>
      </c>
      <c r="I195" s="32">
        <v>1</v>
      </c>
      <c r="J195" s="34" t="s">
        <v>181</v>
      </c>
      <c r="K195" s="24">
        <v>1</v>
      </c>
      <c r="L195" s="25">
        <v>28</v>
      </c>
      <c r="M195" s="25">
        <v>28</v>
      </c>
      <c r="N195" s="25">
        <v>28</v>
      </c>
    </row>
    <row r="196" spans="4:14">
      <c r="D196" s="64">
        <v>46064</v>
      </c>
      <c r="E196" s="32">
        <v>1577927</v>
      </c>
      <c r="F196" s="32" t="s">
        <v>20</v>
      </c>
      <c r="G196" s="32">
        <v>20345154</v>
      </c>
      <c r="H196" s="32" t="s">
        <v>304</v>
      </c>
      <c r="I196" s="32">
        <v>1</v>
      </c>
      <c r="J196" s="34" t="s">
        <v>128</v>
      </c>
      <c r="K196" s="24">
        <v>1</v>
      </c>
      <c r="L196" s="25">
        <v>22.4</v>
      </c>
      <c r="M196" s="25">
        <v>22.4</v>
      </c>
      <c r="N196" s="25">
        <v>22.4</v>
      </c>
    </row>
    <row r="197" spans="4:14">
      <c r="D197" s="64">
        <v>46064</v>
      </c>
      <c r="E197" s="32">
        <v>1577927</v>
      </c>
      <c r="F197" s="32" t="s">
        <v>20</v>
      </c>
      <c r="G197" s="32">
        <v>20382055</v>
      </c>
      <c r="H197" s="32" t="s">
        <v>283</v>
      </c>
      <c r="I197" s="32">
        <v>1</v>
      </c>
      <c r="J197" s="30" t="s">
        <v>36</v>
      </c>
      <c r="K197" s="24">
        <v>1</v>
      </c>
      <c r="L197" s="25">
        <v>17.6</v>
      </c>
      <c r="M197" s="25">
        <v>17.6</v>
      </c>
      <c r="N197" s="25">
        <v>17.6</v>
      </c>
    </row>
    <row r="198" spans="4:14">
      <c r="D198" s="64">
        <v>46064</v>
      </c>
      <c r="E198" s="32">
        <v>1577927</v>
      </c>
      <c r="F198" s="32" t="s">
        <v>20</v>
      </c>
      <c r="G198" s="32">
        <v>20328266</v>
      </c>
      <c r="H198" s="32" t="s">
        <v>305</v>
      </c>
      <c r="I198" s="32">
        <v>1</v>
      </c>
      <c r="J198" s="34" t="s">
        <v>181</v>
      </c>
      <c r="K198" s="24">
        <v>1</v>
      </c>
      <c r="L198" s="25">
        <v>28</v>
      </c>
      <c r="M198" s="25">
        <v>28</v>
      </c>
      <c r="N198" s="25">
        <v>28</v>
      </c>
    </row>
    <row r="199" spans="4:14">
      <c r="D199" s="64">
        <v>46064</v>
      </c>
      <c r="E199" s="32">
        <v>1577927</v>
      </c>
      <c r="F199" s="32" t="s">
        <v>20</v>
      </c>
      <c r="G199" s="32">
        <v>20341396</v>
      </c>
      <c r="H199" s="32" t="s">
        <v>354</v>
      </c>
      <c r="I199" s="32">
        <v>1</v>
      </c>
      <c r="J199" s="30" t="s">
        <v>36</v>
      </c>
      <c r="K199" s="24">
        <v>1</v>
      </c>
      <c r="L199" s="25">
        <v>17.6</v>
      </c>
      <c r="M199" s="25">
        <v>17.6</v>
      </c>
      <c r="N199" s="25">
        <v>17.6</v>
      </c>
    </row>
    <row r="200" spans="4:14">
      <c r="D200" s="64">
        <v>46064</v>
      </c>
      <c r="E200" s="32">
        <v>1577927</v>
      </c>
      <c r="F200" s="32" t="s">
        <v>20</v>
      </c>
      <c r="G200" s="32">
        <v>20327630</v>
      </c>
      <c r="H200" s="32" t="s">
        <v>306</v>
      </c>
      <c r="I200" s="32">
        <v>1</v>
      </c>
      <c r="J200" s="34" t="s">
        <v>128</v>
      </c>
      <c r="K200" s="24">
        <v>1</v>
      </c>
      <c r="L200" s="25">
        <v>22.4</v>
      </c>
      <c r="M200" s="25">
        <v>22.4</v>
      </c>
      <c r="N200" s="25">
        <v>22.4</v>
      </c>
    </row>
    <row r="201" spans="4:14">
      <c r="D201" s="64">
        <v>46064</v>
      </c>
      <c r="E201" s="32">
        <v>1577927</v>
      </c>
      <c r="F201" s="32" t="s">
        <v>20</v>
      </c>
      <c r="G201" s="32">
        <v>20338704</v>
      </c>
      <c r="H201" s="32" t="s">
        <v>263</v>
      </c>
      <c r="I201" s="32">
        <v>1</v>
      </c>
      <c r="J201" s="34" t="s">
        <v>128</v>
      </c>
      <c r="K201" s="24">
        <v>1</v>
      </c>
      <c r="L201" s="25">
        <v>22.4</v>
      </c>
      <c r="M201" s="25">
        <v>22.4</v>
      </c>
      <c r="N201" s="25">
        <v>22.4</v>
      </c>
    </row>
    <row r="202" spans="4:14">
      <c r="D202" s="64">
        <v>46064</v>
      </c>
      <c r="E202" s="32">
        <v>1577927</v>
      </c>
      <c r="F202" s="32" t="s">
        <v>20</v>
      </c>
      <c r="G202" s="32">
        <v>20338703</v>
      </c>
      <c r="H202" s="32" t="s">
        <v>307</v>
      </c>
      <c r="I202" s="32">
        <v>1</v>
      </c>
      <c r="J202" s="34" t="s">
        <v>128</v>
      </c>
      <c r="K202" s="24">
        <v>1</v>
      </c>
      <c r="L202" s="25">
        <v>22.4</v>
      </c>
      <c r="M202" s="25">
        <v>22.4</v>
      </c>
      <c r="N202" s="25">
        <v>22.4</v>
      </c>
    </row>
    <row r="203" spans="4:14">
      <c r="D203" s="64">
        <v>46064</v>
      </c>
      <c r="E203" s="32">
        <v>1577927</v>
      </c>
      <c r="F203" s="32" t="s">
        <v>20</v>
      </c>
      <c r="G203" s="32">
        <v>20350751</v>
      </c>
      <c r="H203" s="32" t="s">
        <v>355</v>
      </c>
      <c r="I203" s="32">
        <v>1</v>
      </c>
      <c r="J203" s="30" t="s">
        <v>259</v>
      </c>
      <c r="K203" s="24">
        <v>1</v>
      </c>
      <c r="L203" s="25">
        <v>20</v>
      </c>
      <c r="M203" s="25">
        <v>20</v>
      </c>
      <c r="N203" s="25">
        <v>20</v>
      </c>
    </row>
    <row r="204" spans="4:14">
      <c r="D204" s="64">
        <v>46064</v>
      </c>
      <c r="E204" s="32">
        <v>1577969</v>
      </c>
      <c r="F204" s="32" t="s">
        <v>16</v>
      </c>
      <c r="G204" s="32">
        <v>20324028</v>
      </c>
      <c r="H204" s="32" t="s">
        <v>317</v>
      </c>
      <c r="I204" s="32">
        <v>1</v>
      </c>
      <c r="J204" s="30" t="s">
        <v>18</v>
      </c>
      <c r="K204" s="24">
        <f t="shared" ref="K204:K211" si="11">M204/L204</f>
        <v>42</v>
      </c>
      <c r="L204" s="25">
        <v>4.4</v>
      </c>
      <c r="M204" s="25">
        <v>184.8</v>
      </c>
      <c r="N204" s="25">
        <v>184.8</v>
      </c>
    </row>
    <row r="205" spans="4:14">
      <c r="D205" s="64">
        <v>46064</v>
      </c>
      <c r="E205" s="32">
        <v>1577969</v>
      </c>
      <c r="F205" s="32" t="s">
        <v>16</v>
      </c>
      <c r="G205" s="32">
        <v>20324046</v>
      </c>
      <c r="H205" s="32" t="s">
        <v>232</v>
      </c>
      <c r="I205" s="32">
        <v>1</v>
      </c>
      <c r="J205" s="30" t="s">
        <v>18</v>
      </c>
      <c r="K205" s="24">
        <f t="shared" si="11"/>
        <v>49</v>
      </c>
      <c r="L205" s="25">
        <v>4.4</v>
      </c>
      <c r="M205" s="25">
        <v>215.6</v>
      </c>
      <c r="N205" s="25">
        <v>215.6</v>
      </c>
    </row>
    <row r="206" spans="4:14">
      <c r="D206" s="64">
        <v>46064</v>
      </c>
      <c r="E206" s="32">
        <v>1577969</v>
      </c>
      <c r="F206" s="32" t="s">
        <v>20</v>
      </c>
      <c r="G206" s="32">
        <v>20324800</v>
      </c>
      <c r="H206" s="32" t="s">
        <v>346</v>
      </c>
      <c r="I206" s="32">
        <v>1</v>
      </c>
      <c r="J206" s="31" t="s">
        <v>29</v>
      </c>
      <c r="K206" s="24">
        <v>1</v>
      </c>
      <c r="L206" s="25">
        <v>6.4</v>
      </c>
      <c r="M206" s="25">
        <v>6.4</v>
      </c>
      <c r="N206" s="25">
        <v>6.4</v>
      </c>
    </row>
    <row r="207" spans="4:14">
      <c r="D207" s="64">
        <v>46064</v>
      </c>
      <c r="E207" s="32">
        <v>1577969</v>
      </c>
      <c r="F207" s="32" t="s">
        <v>20</v>
      </c>
      <c r="G207" s="32">
        <v>20324726</v>
      </c>
      <c r="H207" s="32" t="s">
        <v>347</v>
      </c>
      <c r="I207" s="32">
        <v>1</v>
      </c>
      <c r="J207" s="34"/>
      <c r="K207" s="25"/>
      <c r="L207" s="25"/>
      <c r="M207" s="25">
        <v>17.6</v>
      </c>
      <c r="N207" s="25">
        <v>17.6</v>
      </c>
    </row>
    <row r="208" spans="4:14">
      <c r="D208" s="64">
        <v>46064</v>
      </c>
      <c r="E208" s="32">
        <v>1577969</v>
      </c>
      <c r="F208" s="32" t="s">
        <v>20</v>
      </c>
      <c r="G208" s="32">
        <v>20324699</v>
      </c>
      <c r="H208" s="32" t="s">
        <v>252</v>
      </c>
      <c r="I208" s="32">
        <v>2</v>
      </c>
      <c r="J208" s="30" t="s">
        <v>18</v>
      </c>
      <c r="K208" s="24">
        <f t="shared" si="11"/>
        <v>5</v>
      </c>
      <c r="L208" s="25">
        <v>4.4</v>
      </c>
      <c r="M208" s="25">
        <v>22</v>
      </c>
      <c r="N208" s="25">
        <v>44</v>
      </c>
    </row>
    <row r="209" spans="4:14">
      <c r="D209" s="64">
        <v>46064</v>
      </c>
      <c r="E209" s="32">
        <v>1578103</v>
      </c>
      <c r="F209" s="32" t="s">
        <v>16</v>
      </c>
      <c r="G209" s="32">
        <v>20324039</v>
      </c>
      <c r="H209" s="32" t="s">
        <v>293</v>
      </c>
      <c r="I209" s="32">
        <v>1</v>
      </c>
      <c r="J209" s="30" t="s">
        <v>18</v>
      </c>
      <c r="K209" s="24">
        <f t="shared" si="11"/>
        <v>37</v>
      </c>
      <c r="L209" s="25">
        <v>4.4</v>
      </c>
      <c r="M209" s="25">
        <v>162.8</v>
      </c>
      <c r="N209" s="25">
        <v>162.8</v>
      </c>
    </row>
    <row r="210" spans="4:14">
      <c r="D210" s="64">
        <v>46064</v>
      </c>
      <c r="E210" s="32">
        <v>1578103</v>
      </c>
      <c r="F210" s="32" t="s">
        <v>16</v>
      </c>
      <c r="G210" s="32">
        <v>20324474</v>
      </c>
      <c r="H210" s="32" t="s">
        <v>356</v>
      </c>
      <c r="I210" s="32">
        <v>1</v>
      </c>
      <c r="J210" s="30" t="s">
        <v>18</v>
      </c>
      <c r="K210" s="24">
        <f t="shared" si="11"/>
        <v>72</v>
      </c>
      <c r="L210" s="25">
        <v>4.4</v>
      </c>
      <c r="M210" s="25">
        <v>316.8</v>
      </c>
      <c r="N210" s="25">
        <v>316.8</v>
      </c>
    </row>
    <row r="211" spans="4:14">
      <c r="D211" s="64">
        <v>46064</v>
      </c>
      <c r="E211" s="32">
        <v>1578103</v>
      </c>
      <c r="F211" s="32" t="s">
        <v>16</v>
      </c>
      <c r="G211" s="32">
        <v>20324049</v>
      </c>
      <c r="H211" s="32" t="s">
        <v>343</v>
      </c>
      <c r="I211" s="32">
        <v>2</v>
      </c>
      <c r="J211" s="30" t="s">
        <v>18</v>
      </c>
      <c r="K211" s="24">
        <f t="shared" si="11"/>
        <v>25</v>
      </c>
      <c r="L211" s="25">
        <v>4.4</v>
      </c>
      <c r="M211" s="25">
        <v>110</v>
      </c>
      <c r="N211" s="25">
        <v>220</v>
      </c>
    </row>
    <row r="212" spans="4:14">
      <c r="D212" s="64">
        <v>46064</v>
      </c>
      <c r="E212" s="32">
        <v>1578103</v>
      </c>
      <c r="F212" s="32" t="s">
        <v>20</v>
      </c>
      <c r="G212" s="32">
        <v>20324402</v>
      </c>
      <c r="H212" s="32" t="s">
        <v>117</v>
      </c>
      <c r="I212" s="32">
        <v>1</v>
      </c>
      <c r="J212" s="32" t="s">
        <v>64</v>
      </c>
      <c r="K212" s="24">
        <v>1</v>
      </c>
      <c r="L212" s="25">
        <v>8.8</v>
      </c>
      <c r="M212" s="25">
        <v>8.8</v>
      </c>
      <c r="N212" s="25">
        <v>8.8</v>
      </c>
    </row>
    <row r="213" spans="4:14">
      <c r="D213" s="64">
        <v>46064</v>
      </c>
      <c r="E213" s="32">
        <v>1578103</v>
      </c>
      <c r="F213" s="32" t="s">
        <v>20</v>
      </c>
      <c r="G213" s="32">
        <v>20328020</v>
      </c>
      <c r="H213" s="32" t="s">
        <v>357</v>
      </c>
      <c r="I213" s="32">
        <v>1</v>
      </c>
      <c r="J213" s="30" t="s">
        <v>18</v>
      </c>
      <c r="K213" s="24">
        <f>M213/L213</f>
        <v>3</v>
      </c>
      <c r="L213" s="25">
        <v>4.4</v>
      </c>
      <c r="M213" s="25">
        <v>13.2</v>
      </c>
      <c r="N213" s="25">
        <v>13.2</v>
      </c>
    </row>
    <row r="214" spans="4:14">
      <c r="D214" s="64">
        <v>46064</v>
      </c>
      <c r="E214" s="32">
        <v>1578103</v>
      </c>
      <c r="F214" s="32" t="s">
        <v>20</v>
      </c>
      <c r="G214" s="32">
        <v>20324699</v>
      </c>
      <c r="H214" s="32" t="s">
        <v>252</v>
      </c>
      <c r="I214" s="32">
        <v>2</v>
      </c>
      <c r="J214" s="30" t="s">
        <v>18</v>
      </c>
      <c r="K214" s="24">
        <f>M214/L214</f>
        <v>5</v>
      </c>
      <c r="L214" s="25">
        <v>4.4</v>
      </c>
      <c r="M214" s="25">
        <v>22</v>
      </c>
      <c r="N214" s="25">
        <v>44</v>
      </c>
    </row>
    <row r="215" spans="4:14">
      <c r="D215" s="64">
        <v>46064</v>
      </c>
      <c r="E215" s="32">
        <v>1578103</v>
      </c>
      <c r="F215" s="32" t="s">
        <v>41</v>
      </c>
      <c r="G215" s="32">
        <v>20354932</v>
      </c>
      <c r="H215" s="32" t="s">
        <v>210</v>
      </c>
      <c r="I215" s="32">
        <v>11</v>
      </c>
      <c r="J215" s="34" t="s">
        <v>97</v>
      </c>
      <c r="K215" s="24">
        <v>1</v>
      </c>
      <c r="L215" s="25">
        <v>3.2</v>
      </c>
      <c r="M215" s="25">
        <v>3.2</v>
      </c>
      <c r="N215" s="25">
        <v>35.2</v>
      </c>
    </row>
    <row r="216" spans="4:14">
      <c r="D216" s="64">
        <v>46065</v>
      </c>
      <c r="E216" s="32">
        <v>1578460</v>
      </c>
      <c r="F216" s="32" t="s">
        <v>16</v>
      </c>
      <c r="G216" s="32">
        <v>20324049</v>
      </c>
      <c r="H216" s="32" t="s">
        <v>343</v>
      </c>
      <c r="I216" s="32">
        <v>1</v>
      </c>
      <c r="J216" s="30" t="s">
        <v>18</v>
      </c>
      <c r="K216" s="24">
        <f t="shared" ref="K216:K218" si="12">M216/L216</f>
        <v>25</v>
      </c>
      <c r="L216" s="25">
        <v>4.4</v>
      </c>
      <c r="M216" s="25">
        <v>110</v>
      </c>
      <c r="N216" s="25">
        <v>110</v>
      </c>
    </row>
    <row r="217" spans="4:14">
      <c r="D217" s="64">
        <v>46065</v>
      </c>
      <c r="E217" s="32">
        <v>1578460</v>
      </c>
      <c r="F217" s="32" t="s">
        <v>16</v>
      </c>
      <c r="G217" s="32">
        <v>20324045</v>
      </c>
      <c r="H217" s="32" t="s">
        <v>294</v>
      </c>
      <c r="I217" s="32">
        <v>1</v>
      </c>
      <c r="J217" s="30" t="s">
        <v>18</v>
      </c>
      <c r="K217" s="24">
        <f t="shared" si="12"/>
        <v>19</v>
      </c>
      <c r="L217" s="25">
        <v>4.4</v>
      </c>
      <c r="M217" s="25">
        <v>83.6</v>
      </c>
      <c r="N217" s="25">
        <v>83.6</v>
      </c>
    </row>
    <row r="218" spans="4:14">
      <c r="D218" s="89">
        <v>46065</v>
      </c>
      <c r="E218" s="90">
        <v>1578460</v>
      </c>
      <c r="F218" s="91" t="s">
        <v>20</v>
      </c>
      <c r="G218" s="90">
        <v>20324699</v>
      </c>
      <c r="H218" s="91" t="s">
        <v>358</v>
      </c>
      <c r="I218" s="90">
        <v>1</v>
      </c>
      <c r="J218" s="92" t="s">
        <v>18</v>
      </c>
      <c r="K218" s="93">
        <f t="shared" si="12"/>
        <v>5</v>
      </c>
      <c r="L218" s="94">
        <v>4.4</v>
      </c>
      <c r="M218" s="94">
        <v>22</v>
      </c>
      <c r="N218" s="94">
        <v>22</v>
      </c>
    </row>
    <row r="219" spans="4:14">
      <c r="D219" s="64">
        <v>46065</v>
      </c>
      <c r="E219" s="32">
        <v>1578507</v>
      </c>
      <c r="F219" s="32" t="s">
        <v>20</v>
      </c>
      <c r="G219" s="32">
        <v>20412590</v>
      </c>
      <c r="H219" s="32" t="s">
        <v>359</v>
      </c>
      <c r="I219" s="32">
        <v>1</v>
      </c>
      <c r="J219" s="34" t="s">
        <v>181</v>
      </c>
      <c r="K219" s="24">
        <v>1</v>
      </c>
      <c r="L219" s="25">
        <v>28</v>
      </c>
      <c r="M219" s="25">
        <v>28</v>
      </c>
      <c r="N219" s="25">
        <v>28</v>
      </c>
    </row>
    <row r="220" spans="4:14">
      <c r="D220" s="64">
        <v>46066</v>
      </c>
      <c r="E220" s="32">
        <v>1578758</v>
      </c>
      <c r="F220" s="32" t="s">
        <v>16</v>
      </c>
      <c r="G220" s="32">
        <v>20324463</v>
      </c>
      <c r="H220" s="32" t="s">
        <v>249</v>
      </c>
      <c r="I220" s="32">
        <v>2</v>
      </c>
      <c r="J220" s="30" t="s">
        <v>18</v>
      </c>
      <c r="K220" s="24">
        <f t="shared" ref="K220:K222" si="13">M220/L220</f>
        <v>35</v>
      </c>
      <c r="L220" s="25">
        <v>4.4</v>
      </c>
      <c r="M220" s="25">
        <v>154</v>
      </c>
      <c r="N220" s="25">
        <v>308</v>
      </c>
    </row>
    <row r="221" spans="4:14">
      <c r="D221" s="64">
        <v>46066</v>
      </c>
      <c r="E221" s="32">
        <v>1578758</v>
      </c>
      <c r="F221" s="32" t="s">
        <v>16</v>
      </c>
      <c r="G221" s="32">
        <v>20324049</v>
      </c>
      <c r="H221" s="32" t="s">
        <v>343</v>
      </c>
      <c r="I221" s="32">
        <v>2</v>
      </c>
      <c r="J221" s="30" t="s">
        <v>18</v>
      </c>
      <c r="K221" s="24">
        <f t="shared" si="13"/>
        <v>25</v>
      </c>
      <c r="L221" s="25">
        <v>4.4</v>
      </c>
      <c r="M221" s="25">
        <v>110</v>
      </c>
      <c r="N221" s="25">
        <v>220</v>
      </c>
    </row>
    <row r="222" spans="4:14">
      <c r="D222" s="64">
        <v>46066</v>
      </c>
      <c r="E222" s="32">
        <v>1578758</v>
      </c>
      <c r="F222" s="32" t="s">
        <v>16</v>
      </c>
      <c r="G222" s="32">
        <v>20324045</v>
      </c>
      <c r="H222" s="32" t="s">
        <v>294</v>
      </c>
      <c r="I222" s="32">
        <v>1</v>
      </c>
      <c r="J222" s="30" t="s">
        <v>18</v>
      </c>
      <c r="K222" s="24">
        <f t="shared" si="13"/>
        <v>19</v>
      </c>
      <c r="L222" s="25">
        <v>4.4</v>
      </c>
      <c r="M222" s="25">
        <v>83.6</v>
      </c>
      <c r="N222" s="25">
        <v>83.6</v>
      </c>
    </row>
    <row r="223" spans="4:14">
      <c r="D223" s="64">
        <v>46066</v>
      </c>
      <c r="E223" s="32">
        <v>1578758</v>
      </c>
      <c r="F223" s="32" t="s">
        <v>20</v>
      </c>
      <c r="G223" s="32">
        <v>20411715</v>
      </c>
      <c r="H223" s="32" t="s">
        <v>327</v>
      </c>
      <c r="I223" s="32">
        <v>1</v>
      </c>
      <c r="J223" s="31" t="s">
        <v>29</v>
      </c>
      <c r="K223" s="24">
        <v>1</v>
      </c>
      <c r="L223" s="25">
        <v>6.4</v>
      </c>
      <c r="M223" s="25">
        <v>6.4</v>
      </c>
      <c r="N223" s="25">
        <v>6.4</v>
      </c>
    </row>
    <row r="224" spans="4:14">
      <c r="D224" s="64">
        <v>46066</v>
      </c>
      <c r="E224" s="32">
        <v>1578758</v>
      </c>
      <c r="F224" s="32" t="s">
        <v>20</v>
      </c>
      <c r="G224" s="32">
        <v>20324942</v>
      </c>
      <c r="H224" s="32" t="s">
        <v>360</v>
      </c>
      <c r="I224" s="32">
        <v>1</v>
      </c>
      <c r="J224" s="34"/>
      <c r="K224" s="25"/>
      <c r="L224" s="25"/>
      <c r="M224" s="25">
        <v>17.6</v>
      </c>
      <c r="N224" s="25">
        <v>17.6</v>
      </c>
    </row>
    <row r="225" spans="4:14">
      <c r="D225" s="64">
        <v>46066</v>
      </c>
      <c r="E225" s="32">
        <v>1578758</v>
      </c>
      <c r="F225" s="32" t="s">
        <v>20</v>
      </c>
      <c r="G225" s="32">
        <v>20324699</v>
      </c>
      <c r="H225" s="32" t="s">
        <v>252</v>
      </c>
      <c r="I225" s="32">
        <v>3</v>
      </c>
      <c r="J225" s="30" t="s">
        <v>18</v>
      </c>
      <c r="K225" s="24">
        <f>M225/L225</f>
        <v>5</v>
      </c>
      <c r="L225" s="25">
        <v>4.4</v>
      </c>
      <c r="M225" s="25">
        <v>22</v>
      </c>
      <c r="N225" s="25">
        <v>66</v>
      </c>
    </row>
    <row r="226" spans="4:14">
      <c r="D226" s="64">
        <v>46067</v>
      </c>
      <c r="E226" s="32">
        <v>1578826</v>
      </c>
      <c r="F226" s="32" t="s">
        <v>20</v>
      </c>
      <c r="G226" s="32">
        <v>20325234</v>
      </c>
      <c r="H226" s="32" t="s">
        <v>319</v>
      </c>
      <c r="I226" s="32">
        <v>1</v>
      </c>
      <c r="J226" s="30" t="s">
        <v>36</v>
      </c>
      <c r="K226" s="24">
        <v>1</v>
      </c>
      <c r="L226" s="25">
        <v>17.6</v>
      </c>
      <c r="M226" s="25">
        <v>35.2</v>
      </c>
      <c r="N226" s="25">
        <v>35.2</v>
      </c>
    </row>
    <row r="227" spans="4:14">
      <c r="D227" s="64"/>
      <c r="E227" s="32"/>
      <c r="F227" s="32"/>
      <c r="G227" s="32"/>
      <c r="H227" s="32"/>
      <c r="I227" s="32"/>
      <c r="J227" s="30" t="s">
        <v>36</v>
      </c>
      <c r="K227" s="24">
        <v>1</v>
      </c>
      <c r="L227" s="25">
        <v>17.6</v>
      </c>
      <c r="M227" s="25"/>
      <c r="N227" s="25"/>
    </row>
    <row r="228" spans="4:14">
      <c r="D228" s="64">
        <v>46067</v>
      </c>
      <c r="E228" s="32">
        <v>1578826</v>
      </c>
      <c r="F228" s="32" t="s">
        <v>20</v>
      </c>
      <c r="G228" s="32">
        <v>20342188</v>
      </c>
      <c r="H228" s="32" t="s">
        <v>361</v>
      </c>
      <c r="I228" s="32">
        <v>1</v>
      </c>
      <c r="J228" s="34" t="s">
        <v>128</v>
      </c>
      <c r="K228" s="24">
        <v>1</v>
      </c>
      <c r="L228" s="25">
        <v>22.4</v>
      </c>
      <c r="M228" s="25">
        <v>22.4</v>
      </c>
      <c r="N228" s="25">
        <v>22.4</v>
      </c>
    </row>
    <row r="229" spans="4:14">
      <c r="D229" s="64">
        <v>46067</v>
      </c>
      <c r="E229" s="32">
        <v>1578826</v>
      </c>
      <c r="F229" s="32" t="s">
        <v>20</v>
      </c>
      <c r="G229" s="32">
        <v>20328011</v>
      </c>
      <c r="H229" s="32" t="s">
        <v>362</v>
      </c>
      <c r="I229" s="32">
        <v>1</v>
      </c>
      <c r="J229" s="30" t="s">
        <v>36</v>
      </c>
      <c r="K229" s="24">
        <v>1</v>
      </c>
      <c r="L229" s="25">
        <v>17.6</v>
      </c>
      <c r="M229" s="25">
        <v>52.8</v>
      </c>
      <c r="N229" s="25">
        <v>52.8</v>
      </c>
    </row>
    <row r="230" spans="4:14">
      <c r="D230" s="64"/>
      <c r="E230" s="32"/>
      <c r="F230" s="32"/>
      <c r="G230" s="32"/>
      <c r="H230" s="32"/>
      <c r="I230" s="32"/>
      <c r="J230" s="30" t="s">
        <v>36</v>
      </c>
      <c r="K230" s="24">
        <v>1</v>
      </c>
      <c r="L230" s="25">
        <v>17.6</v>
      </c>
      <c r="M230" s="25"/>
      <c r="N230" s="25"/>
    </row>
    <row r="231" spans="4:14">
      <c r="D231" s="64"/>
      <c r="E231" s="32"/>
      <c r="F231" s="32"/>
      <c r="G231" s="32"/>
      <c r="H231" s="32"/>
      <c r="I231" s="32"/>
      <c r="J231" s="30" t="s">
        <v>36</v>
      </c>
      <c r="K231" s="24">
        <v>1</v>
      </c>
      <c r="L231" s="25">
        <v>17.6</v>
      </c>
      <c r="M231" s="25"/>
      <c r="N231" s="25"/>
    </row>
    <row r="232" spans="4:14">
      <c r="D232" s="64">
        <v>46067</v>
      </c>
      <c r="E232" s="32">
        <v>1578826</v>
      </c>
      <c r="F232" s="32" t="s">
        <v>20</v>
      </c>
      <c r="G232" s="32">
        <v>20324643</v>
      </c>
      <c r="H232" s="32" t="s">
        <v>309</v>
      </c>
      <c r="I232" s="32">
        <v>2</v>
      </c>
      <c r="J232" s="34" t="s">
        <v>128</v>
      </c>
      <c r="K232" s="24">
        <v>1</v>
      </c>
      <c r="L232" s="25">
        <v>22.4</v>
      </c>
      <c r="M232" s="25">
        <v>22.4</v>
      </c>
      <c r="N232" s="25">
        <v>44.8</v>
      </c>
    </row>
    <row r="233" spans="4:14">
      <c r="D233" s="64">
        <v>46067</v>
      </c>
      <c r="E233" s="32">
        <v>1578826</v>
      </c>
      <c r="F233" s="32" t="s">
        <v>20</v>
      </c>
      <c r="G233" s="32">
        <v>20324637</v>
      </c>
      <c r="H233" s="32" t="s">
        <v>280</v>
      </c>
      <c r="I233" s="32">
        <v>3</v>
      </c>
      <c r="J233" s="34" t="s">
        <v>181</v>
      </c>
      <c r="K233" s="24">
        <v>1</v>
      </c>
      <c r="L233" s="25">
        <v>28</v>
      </c>
      <c r="M233" s="25">
        <v>28</v>
      </c>
      <c r="N233" s="25">
        <v>84</v>
      </c>
    </row>
    <row r="234" spans="4:14">
      <c r="D234" s="64">
        <v>46067</v>
      </c>
      <c r="E234" s="32">
        <v>1578826</v>
      </c>
      <c r="F234" s="32" t="s">
        <v>20</v>
      </c>
      <c r="G234" s="32">
        <v>20330462</v>
      </c>
      <c r="H234" s="32" t="s">
        <v>363</v>
      </c>
      <c r="I234" s="32">
        <v>1</v>
      </c>
      <c r="J234" s="30" t="s">
        <v>36</v>
      </c>
      <c r="K234" s="24">
        <v>1</v>
      </c>
      <c r="L234" s="25">
        <v>17.6</v>
      </c>
      <c r="M234" s="25">
        <v>52.8</v>
      </c>
      <c r="N234" s="25">
        <v>52.8</v>
      </c>
    </row>
    <row r="235" spans="4:14">
      <c r="D235" s="64"/>
      <c r="E235" s="32"/>
      <c r="F235" s="32"/>
      <c r="G235" s="32"/>
      <c r="H235" s="32"/>
      <c r="I235" s="32"/>
      <c r="J235" s="30" t="s">
        <v>36</v>
      </c>
      <c r="K235" s="24">
        <v>1</v>
      </c>
      <c r="L235" s="25">
        <v>17.6</v>
      </c>
      <c r="M235" s="25"/>
      <c r="N235" s="25"/>
    </row>
    <row r="236" spans="4:14">
      <c r="D236" s="64"/>
      <c r="E236" s="32"/>
      <c r="F236" s="32"/>
      <c r="G236" s="32"/>
      <c r="H236" s="32"/>
      <c r="I236" s="32"/>
      <c r="J236" s="30" t="s">
        <v>36</v>
      </c>
      <c r="K236" s="24">
        <v>1</v>
      </c>
      <c r="L236" s="25">
        <v>17.6</v>
      </c>
      <c r="M236" s="25"/>
      <c r="N236" s="25"/>
    </row>
    <row r="237" spans="4:14">
      <c r="D237" s="64">
        <v>46067</v>
      </c>
      <c r="E237" s="32">
        <v>1578826</v>
      </c>
      <c r="F237" s="32" t="s">
        <v>20</v>
      </c>
      <c r="G237" s="32">
        <v>20382023</v>
      </c>
      <c r="H237" s="32" t="s">
        <v>339</v>
      </c>
      <c r="I237" s="32">
        <v>1</v>
      </c>
      <c r="J237" s="30" t="s">
        <v>36</v>
      </c>
      <c r="K237" s="24">
        <v>1</v>
      </c>
      <c r="L237" s="25">
        <v>17.6</v>
      </c>
      <c r="M237" s="25">
        <v>17.6</v>
      </c>
      <c r="N237" s="25">
        <v>17.6</v>
      </c>
    </row>
    <row r="238" spans="4:14">
      <c r="D238" s="64">
        <v>46067</v>
      </c>
      <c r="E238" s="32">
        <v>1578826</v>
      </c>
      <c r="F238" s="32" t="s">
        <v>20</v>
      </c>
      <c r="G238" s="32">
        <v>20387686</v>
      </c>
      <c r="H238" s="32" t="s">
        <v>364</v>
      </c>
      <c r="I238" s="32">
        <v>1</v>
      </c>
      <c r="J238" s="30" t="s">
        <v>36</v>
      </c>
      <c r="K238" s="24">
        <v>1</v>
      </c>
      <c r="L238" s="25">
        <v>17.6</v>
      </c>
      <c r="M238" s="25">
        <v>17.6</v>
      </c>
      <c r="N238" s="25">
        <v>17.6</v>
      </c>
    </row>
    <row r="239" spans="4:14">
      <c r="D239" s="64">
        <v>46067</v>
      </c>
      <c r="E239" s="32">
        <v>1578826</v>
      </c>
      <c r="F239" s="32" t="s">
        <v>20</v>
      </c>
      <c r="G239" s="32">
        <v>20324645</v>
      </c>
      <c r="H239" s="32" t="s">
        <v>312</v>
      </c>
      <c r="I239" s="32">
        <v>2</v>
      </c>
      <c r="J239" s="34" t="s">
        <v>128</v>
      </c>
      <c r="K239" s="24">
        <v>1</v>
      </c>
      <c r="L239" s="25">
        <v>22.4</v>
      </c>
      <c r="M239" s="25">
        <v>22.4</v>
      </c>
      <c r="N239" s="25">
        <v>44.8</v>
      </c>
    </row>
    <row r="240" spans="4:14">
      <c r="D240" s="64">
        <v>46067</v>
      </c>
      <c r="E240" s="32">
        <v>1578826</v>
      </c>
      <c r="F240" s="32" t="s">
        <v>20</v>
      </c>
      <c r="G240" s="32">
        <v>20324723</v>
      </c>
      <c r="H240" s="32" t="s">
        <v>283</v>
      </c>
      <c r="I240" s="32">
        <v>1</v>
      </c>
      <c r="J240" s="34" t="s">
        <v>128</v>
      </c>
      <c r="K240" s="24">
        <v>1</v>
      </c>
      <c r="L240" s="25">
        <v>22.4</v>
      </c>
      <c r="M240" s="25">
        <v>22.4</v>
      </c>
      <c r="N240" s="25">
        <v>22.4</v>
      </c>
    </row>
    <row r="241" spans="4:14">
      <c r="D241" s="64">
        <v>46067</v>
      </c>
      <c r="E241" s="32">
        <v>1578826</v>
      </c>
      <c r="F241" s="32" t="s">
        <v>20</v>
      </c>
      <c r="G241" s="32">
        <v>20324636</v>
      </c>
      <c r="H241" s="32" t="s">
        <v>313</v>
      </c>
      <c r="I241" s="32">
        <v>2</v>
      </c>
      <c r="J241" s="34" t="s">
        <v>181</v>
      </c>
      <c r="K241" s="24">
        <v>1</v>
      </c>
      <c r="L241" s="25">
        <v>28</v>
      </c>
      <c r="M241" s="25">
        <v>28</v>
      </c>
      <c r="N241" s="25">
        <v>56</v>
      </c>
    </row>
    <row r="242" spans="4:14">
      <c r="D242" s="64">
        <v>46067</v>
      </c>
      <c r="E242" s="32">
        <v>1578826</v>
      </c>
      <c r="F242" s="32" t="s">
        <v>20</v>
      </c>
      <c r="G242" s="32">
        <v>20324642</v>
      </c>
      <c r="H242" s="32" t="s">
        <v>321</v>
      </c>
      <c r="I242" s="32">
        <v>1</v>
      </c>
      <c r="J242" s="30" t="s">
        <v>36</v>
      </c>
      <c r="K242" s="24">
        <v>1</v>
      </c>
      <c r="L242" s="25">
        <v>17.6</v>
      </c>
      <c r="M242" s="25">
        <v>17.6</v>
      </c>
      <c r="N242" s="25">
        <v>17.6</v>
      </c>
    </row>
    <row r="243" spans="4:14">
      <c r="D243" s="64">
        <v>46067</v>
      </c>
      <c r="E243" s="32">
        <v>1578826</v>
      </c>
      <c r="F243" s="32" t="s">
        <v>20</v>
      </c>
      <c r="G243" s="32">
        <v>20324732</v>
      </c>
      <c r="H243" s="32" t="s">
        <v>314</v>
      </c>
      <c r="I243" s="32">
        <v>1</v>
      </c>
      <c r="J243" s="34" t="s">
        <v>128</v>
      </c>
      <c r="K243" s="24">
        <v>1</v>
      </c>
      <c r="L243" s="25">
        <v>22.4</v>
      </c>
      <c r="M243" s="25">
        <v>22.4</v>
      </c>
      <c r="N243" s="25">
        <v>22.4</v>
      </c>
    </row>
    <row r="244" spans="4:14">
      <c r="D244" s="64">
        <v>46067</v>
      </c>
      <c r="E244" s="32">
        <v>1578826</v>
      </c>
      <c r="F244" s="32" t="s">
        <v>20</v>
      </c>
      <c r="G244" s="32">
        <v>20324644</v>
      </c>
      <c r="H244" s="32" t="s">
        <v>288</v>
      </c>
      <c r="I244" s="32">
        <v>2</v>
      </c>
      <c r="J244" s="34" t="s">
        <v>128</v>
      </c>
      <c r="K244" s="24">
        <v>1</v>
      </c>
      <c r="L244" s="25">
        <v>22.4</v>
      </c>
      <c r="M244" s="25">
        <v>22.4</v>
      </c>
      <c r="N244" s="25">
        <v>44.8</v>
      </c>
    </row>
    <row r="245" spans="4:14">
      <c r="D245" s="64">
        <v>46067</v>
      </c>
      <c r="E245" s="32">
        <v>1578826</v>
      </c>
      <c r="F245" s="32" t="s">
        <v>20</v>
      </c>
      <c r="G245" s="32">
        <v>20324814</v>
      </c>
      <c r="H245" s="32" t="s">
        <v>289</v>
      </c>
      <c r="I245" s="32">
        <v>2</v>
      </c>
      <c r="J245" s="34" t="s">
        <v>128</v>
      </c>
      <c r="K245" s="24">
        <v>1</v>
      </c>
      <c r="L245" s="25">
        <v>22.4</v>
      </c>
      <c r="M245" s="25">
        <v>22.4</v>
      </c>
      <c r="N245" s="25">
        <v>44.8</v>
      </c>
    </row>
    <row r="246" spans="4:14">
      <c r="D246" s="64">
        <v>46067</v>
      </c>
      <c r="E246" s="32">
        <v>1578826</v>
      </c>
      <c r="F246" s="32" t="s">
        <v>20</v>
      </c>
      <c r="G246" s="32">
        <v>20324646</v>
      </c>
      <c r="H246" s="32" t="s">
        <v>315</v>
      </c>
      <c r="I246" s="32">
        <v>1</v>
      </c>
      <c r="J246" s="30" t="s">
        <v>259</v>
      </c>
      <c r="K246" s="24">
        <v>1</v>
      </c>
      <c r="L246" s="25">
        <v>20</v>
      </c>
      <c r="M246" s="25">
        <v>20</v>
      </c>
      <c r="N246" s="25">
        <v>20</v>
      </c>
    </row>
    <row r="247" spans="4:14">
      <c r="D247" s="64">
        <v>46067</v>
      </c>
      <c r="E247" s="32">
        <v>1578826</v>
      </c>
      <c r="F247" s="32" t="s">
        <v>20</v>
      </c>
      <c r="G247" s="32">
        <v>20332069</v>
      </c>
      <c r="H247" s="32" t="s">
        <v>352</v>
      </c>
      <c r="I247" s="32">
        <v>1</v>
      </c>
      <c r="J247" s="34" t="s">
        <v>128</v>
      </c>
      <c r="K247" s="24">
        <v>1</v>
      </c>
      <c r="L247" s="25">
        <v>22.4</v>
      </c>
      <c r="M247" s="25">
        <v>22.4</v>
      </c>
      <c r="N247" s="25">
        <v>22.4</v>
      </c>
    </row>
    <row r="248" spans="4:14">
      <c r="D248" s="64">
        <v>46067</v>
      </c>
      <c r="E248" s="32">
        <v>1578826</v>
      </c>
      <c r="F248" s="32" t="s">
        <v>26</v>
      </c>
      <c r="G248" s="32">
        <v>20363591</v>
      </c>
      <c r="H248" s="32" t="s">
        <v>365</v>
      </c>
      <c r="I248" s="32">
        <v>1</v>
      </c>
      <c r="J248" s="34" t="s">
        <v>128</v>
      </c>
      <c r="K248" s="24">
        <v>1</v>
      </c>
      <c r="L248" s="25">
        <v>22.4</v>
      </c>
      <c r="M248" s="25">
        <v>22.4</v>
      </c>
      <c r="N248" s="25">
        <v>22.4</v>
      </c>
    </row>
    <row r="249" spans="4:14">
      <c r="D249" s="64">
        <v>46067</v>
      </c>
      <c r="E249" s="32">
        <v>1579029</v>
      </c>
      <c r="F249" s="32" t="s">
        <v>16</v>
      </c>
      <c r="G249" s="32">
        <v>20324039</v>
      </c>
      <c r="H249" s="32" t="s">
        <v>293</v>
      </c>
      <c r="I249" s="32">
        <v>2</v>
      </c>
      <c r="J249" s="30" t="s">
        <v>18</v>
      </c>
      <c r="K249" s="24">
        <f t="shared" ref="K249:K252" si="14">M249/L249</f>
        <v>37</v>
      </c>
      <c r="L249" s="25">
        <v>4.4</v>
      </c>
      <c r="M249" s="25">
        <v>162.8</v>
      </c>
      <c r="N249" s="25">
        <v>325.6</v>
      </c>
    </row>
    <row r="250" spans="4:14">
      <c r="D250" s="64">
        <v>46067</v>
      </c>
      <c r="E250" s="32">
        <v>1579029</v>
      </c>
      <c r="F250" s="32" t="s">
        <v>20</v>
      </c>
      <c r="G250" s="32">
        <v>20324699</v>
      </c>
      <c r="H250" s="32" t="s">
        <v>252</v>
      </c>
      <c r="I250" s="32">
        <v>2</v>
      </c>
      <c r="J250" s="30" t="s">
        <v>18</v>
      </c>
      <c r="K250" s="24">
        <f t="shared" si="14"/>
        <v>5</v>
      </c>
      <c r="L250" s="25">
        <v>4.4</v>
      </c>
      <c r="M250" s="25">
        <v>22</v>
      </c>
      <c r="N250" s="25">
        <v>44</v>
      </c>
    </row>
    <row r="251" spans="4:14">
      <c r="D251" s="64">
        <v>46072</v>
      </c>
      <c r="E251" s="32">
        <v>1579237</v>
      </c>
      <c r="F251" s="32" t="s">
        <v>16</v>
      </c>
      <c r="G251" s="32">
        <v>20324463</v>
      </c>
      <c r="H251" s="32" t="s">
        <v>249</v>
      </c>
      <c r="I251" s="32">
        <v>1</v>
      </c>
      <c r="J251" s="30" t="s">
        <v>18</v>
      </c>
      <c r="K251" s="24">
        <f t="shared" si="14"/>
        <v>35</v>
      </c>
      <c r="L251" s="25">
        <v>4.4</v>
      </c>
      <c r="M251" s="25">
        <v>154</v>
      </c>
      <c r="N251" s="25">
        <v>154</v>
      </c>
    </row>
    <row r="252" spans="4:14">
      <c r="D252" s="64">
        <v>46072</v>
      </c>
      <c r="E252" s="32">
        <v>1579237</v>
      </c>
      <c r="F252" s="32" t="s">
        <v>16</v>
      </c>
      <c r="G252" s="32">
        <v>20324039</v>
      </c>
      <c r="H252" s="32" t="s">
        <v>293</v>
      </c>
      <c r="I252" s="32">
        <v>1</v>
      </c>
      <c r="J252" s="30" t="s">
        <v>18</v>
      </c>
      <c r="K252" s="24">
        <f t="shared" si="14"/>
        <v>37</v>
      </c>
      <c r="L252" s="25">
        <v>4.4</v>
      </c>
      <c r="M252" s="25">
        <v>162.8</v>
      </c>
      <c r="N252" s="25">
        <v>162.8</v>
      </c>
    </row>
    <row r="253" spans="4:14">
      <c r="D253" s="64">
        <v>46072</v>
      </c>
      <c r="E253" s="32">
        <v>1579237</v>
      </c>
      <c r="F253" s="32" t="s">
        <v>20</v>
      </c>
      <c r="G253" s="32">
        <v>20324367</v>
      </c>
      <c r="H253" s="32" t="s">
        <v>158</v>
      </c>
      <c r="I253" s="32">
        <v>1</v>
      </c>
      <c r="J253" s="31" t="s">
        <v>29</v>
      </c>
      <c r="K253" s="24">
        <v>1</v>
      </c>
      <c r="L253" s="25">
        <v>6.4</v>
      </c>
      <c r="M253" s="25">
        <v>6.4</v>
      </c>
      <c r="N253" s="25">
        <v>6.4</v>
      </c>
    </row>
    <row r="254" spans="4:14">
      <c r="D254" s="64">
        <v>46072</v>
      </c>
      <c r="E254" s="32">
        <v>1579237</v>
      </c>
      <c r="F254" s="32" t="s">
        <v>20</v>
      </c>
      <c r="G254" s="32">
        <v>20324699</v>
      </c>
      <c r="H254" s="32" t="s">
        <v>252</v>
      </c>
      <c r="I254" s="32">
        <v>2</v>
      </c>
      <c r="J254" s="30" t="s">
        <v>18</v>
      </c>
      <c r="K254" s="24">
        <f>M254/L254</f>
        <v>5</v>
      </c>
      <c r="L254" s="25">
        <v>4.4</v>
      </c>
      <c r="M254" s="25">
        <v>22</v>
      </c>
      <c r="N254" s="25">
        <v>44</v>
      </c>
    </row>
    <row r="255" spans="4:14">
      <c r="D255" s="64">
        <v>46072</v>
      </c>
      <c r="E255" s="32">
        <v>1579238</v>
      </c>
      <c r="F255" s="32" t="s">
        <v>20</v>
      </c>
      <c r="G255" s="32">
        <v>20328267</v>
      </c>
      <c r="H255" s="32" t="s">
        <v>298</v>
      </c>
      <c r="I255" s="32">
        <v>1</v>
      </c>
      <c r="J255" s="34" t="s">
        <v>128</v>
      </c>
      <c r="K255" s="24">
        <v>1</v>
      </c>
      <c r="L255" s="25">
        <v>22.4</v>
      </c>
      <c r="M255" s="25">
        <v>22.4</v>
      </c>
      <c r="N255" s="25">
        <v>22.4</v>
      </c>
    </row>
    <row r="256" spans="4:14">
      <c r="D256" s="64">
        <v>46072</v>
      </c>
      <c r="E256" s="32">
        <v>1579238</v>
      </c>
      <c r="F256" s="32" t="s">
        <v>20</v>
      </c>
      <c r="G256" s="32">
        <v>20324735</v>
      </c>
      <c r="H256" s="32" t="s">
        <v>353</v>
      </c>
      <c r="I256" s="32">
        <v>1</v>
      </c>
      <c r="J256" s="30" t="s">
        <v>36</v>
      </c>
      <c r="K256" s="24">
        <v>1</v>
      </c>
      <c r="L256" s="25">
        <v>17.6</v>
      </c>
      <c r="M256" s="25">
        <v>17.6</v>
      </c>
      <c r="N256" s="25">
        <v>17.6</v>
      </c>
    </row>
    <row r="257" spans="4:14">
      <c r="D257" s="64">
        <v>46072</v>
      </c>
      <c r="E257" s="32">
        <v>1579238</v>
      </c>
      <c r="F257" s="32" t="s">
        <v>20</v>
      </c>
      <c r="G257" s="32">
        <v>20324891</v>
      </c>
      <c r="H257" s="32" t="s">
        <v>302</v>
      </c>
      <c r="I257" s="32">
        <v>1</v>
      </c>
      <c r="J257" s="34" t="s">
        <v>181</v>
      </c>
      <c r="K257" s="24">
        <v>1</v>
      </c>
      <c r="L257" s="25">
        <v>28</v>
      </c>
      <c r="M257" s="25">
        <v>28</v>
      </c>
      <c r="N257" s="25">
        <v>28</v>
      </c>
    </row>
    <row r="258" spans="4:14">
      <c r="D258" s="64">
        <v>46072</v>
      </c>
      <c r="E258" s="32">
        <v>1579238</v>
      </c>
      <c r="F258" s="32" t="s">
        <v>20</v>
      </c>
      <c r="G258" s="32">
        <v>20345154</v>
      </c>
      <c r="H258" s="32" t="s">
        <v>304</v>
      </c>
      <c r="I258" s="32">
        <v>1</v>
      </c>
      <c r="J258" s="34" t="s">
        <v>128</v>
      </c>
      <c r="K258" s="24">
        <v>1</v>
      </c>
      <c r="L258" s="25">
        <v>22.4</v>
      </c>
      <c r="M258" s="25">
        <v>22.4</v>
      </c>
      <c r="N258" s="25">
        <v>22.4</v>
      </c>
    </row>
    <row r="259" spans="4:14">
      <c r="D259" s="64">
        <v>46072</v>
      </c>
      <c r="E259" s="32">
        <v>1579238</v>
      </c>
      <c r="F259" s="32" t="s">
        <v>20</v>
      </c>
      <c r="G259" s="32">
        <v>20382055</v>
      </c>
      <c r="H259" s="32" t="s">
        <v>283</v>
      </c>
      <c r="I259" s="32">
        <v>1</v>
      </c>
      <c r="J259" s="30" t="s">
        <v>36</v>
      </c>
      <c r="K259" s="24">
        <v>1</v>
      </c>
      <c r="L259" s="25">
        <v>17.6</v>
      </c>
      <c r="M259" s="25">
        <v>17.6</v>
      </c>
      <c r="N259" s="25">
        <v>17.6</v>
      </c>
    </row>
    <row r="260" spans="4:14">
      <c r="D260" s="64">
        <v>46072</v>
      </c>
      <c r="E260" s="32">
        <v>1579238</v>
      </c>
      <c r="F260" s="32" t="s">
        <v>20</v>
      </c>
      <c r="G260" s="32">
        <v>20328266</v>
      </c>
      <c r="H260" s="32" t="s">
        <v>305</v>
      </c>
      <c r="I260" s="32">
        <v>1</v>
      </c>
      <c r="J260" s="34" t="s">
        <v>181</v>
      </c>
      <c r="K260" s="24">
        <v>1</v>
      </c>
      <c r="L260" s="25">
        <v>28</v>
      </c>
      <c r="M260" s="25">
        <v>28</v>
      </c>
      <c r="N260" s="25">
        <v>28</v>
      </c>
    </row>
    <row r="261" spans="4:14">
      <c r="D261" s="64">
        <v>46072</v>
      </c>
      <c r="E261" s="32">
        <v>1579238</v>
      </c>
      <c r="F261" s="32" t="s">
        <v>20</v>
      </c>
      <c r="G261" s="32">
        <v>20341396</v>
      </c>
      <c r="H261" s="32" t="s">
        <v>354</v>
      </c>
      <c r="I261" s="32">
        <v>1</v>
      </c>
      <c r="J261" s="30" t="s">
        <v>36</v>
      </c>
      <c r="K261" s="24">
        <v>1</v>
      </c>
      <c r="L261" s="25">
        <v>17.6</v>
      </c>
      <c r="M261" s="25">
        <v>17.6</v>
      </c>
      <c r="N261" s="25">
        <v>17.6</v>
      </c>
    </row>
    <row r="262" spans="4:14">
      <c r="D262" s="64">
        <v>46072</v>
      </c>
      <c r="E262" s="32">
        <v>1579238</v>
      </c>
      <c r="F262" s="32" t="s">
        <v>20</v>
      </c>
      <c r="G262" s="32">
        <v>20327630</v>
      </c>
      <c r="H262" s="32" t="s">
        <v>306</v>
      </c>
      <c r="I262" s="32">
        <v>1</v>
      </c>
      <c r="J262" s="34" t="s">
        <v>128</v>
      </c>
      <c r="K262" s="24">
        <v>1</v>
      </c>
      <c r="L262" s="25">
        <v>22.4</v>
      </c>
      <c r="M262" s="25">
        <v>22.4</v>
      </c>
      <c r="N262" s="25">
        <v>22.4</v>
      </c>
    </row>
    <row r="263" spans="4:14">
      <c r="D263" s="64">
        <v>46072</v>
      </c>
      <c r="E263" s="32">
        <v>1579238</v>
      </c>
      <c r="F263" s="32" t="s">
        <v>20</v>
      </c>
      <c r="G263" s="32">
        <v>20338703</v>
      </c>
      <c r="H263" s="32" t="s">
        <v>307</v>
      </c>
      <c r="I263" s="32">
        <v>1</v>
      </c>
      <c r="J263" s="34" t="s">
        <v>128</v>
      </c>
      <c r="K263" s="24">
        <v>1</v>
      </c>
      <c r="L263" s="25">
        <v>22.4</v>
      </c>
      <c r="M263" s="25">
        <v>22.4</v>
      </c>
      <c r="N263" s="25">
        <v>22.4</v>
      </c>
    </row>
    <row r="264" spans="4:14">
      <c r="D264" s="64">
        <v>46072</v>
      </c>
      <c r="E264" s="32">
        <v>1579238</v>
      </c>
      <c r="F264" s="32" t="s">
        <v>20</v>
      </c>
      <c r="G264" s="32">
        <v>20350751</v>
      </c>
      <c r="H264" s="32" t="s">
        <v>355</v>
      </c>
      <c r="I264" s="32">
        <v>1</v>
      </c>
      <c r="J264" s="30" t="s">
        <v>259</v>
      </c>
      <c r="K264" s="24">
        <v>1</v>
      </c>
      <c r="L264" s="25">
        <v>20</v>
      </c>
      <c r="M264" s="25">
        <v>20</v>
      </c>
      <c r="N264" s="25">
        <v>20</v>
      </c>
    </row>
    <row r="265" spans="4:14">
      <c r="D265" s="64">
        <v>46072</v>
      </c>
      <c r="E265" s="32">
        <v>1579238</v>
      </c>
      <c r="F265" s="32" t="s">
        <v>20</v>
      </c>
      <c r="G265" s="32">
        <v>20398299</v>
      </c>
      <c r="H265" s="32" t="s">
        <v>308</v>
      </c>
      <c r="I265" s="32">
        <v>1</v>
      </c>
      <c r="J265" s="34" t="s">
        <v>128</v>
      </c>
      <c r="K265" s="24">
        <v>1</v>
      </c>
      <c r="L265" s="25">
        <v>22.4</v>
      </c>
      <c r="M265" s="25">
        <v>22.4</v>
      </c>
      <c r="N265" s="25">
        <v>22.4</v>
      </c>
    </row>
    <row r="266" spans="4:14">
      <c r="D266" s="64">
        <v>46074</v>
      </c>
      <c r="E266" s="32">
        <v>1579341</v>
      </c>
      <c r="F266" s="32" t="s">
        <v>16</v>
      </c>
      <c r="G266" s="32">
        <v>20324039</v>
      </c>
      <c r="H266" s="32" t="s">
        <v>293</v>
      </c>
      <c r="I266" s="32">
        <v>1</v>
      </c>
      <c r="J266" s="30" t="s">
        <v>18</v>
      </c>
      <c r="K266" s="24">
        <f t="shared" ref="K266:K269" si="15">M266/L266</f>
        <v>37</v>
      </c>
      <c r="L266" s="25">
        <v>4.4</v>
      </c>
      <c r="M266" s="25">
        <v>162.8</v>
      </c>
      <c r="N266" s="25">
        <v>162.8</v>
      </c>
    </row>
    <row r="267" spans="4:14">
      <c r="D267" s="64">
        <v>46074</v>
      </c>
      <c r="E267" s="32">
        <v>1579341</v>
      </c>
      <c r="F267" s="32" t="s">
        <v>20</v>
      </c>
      <c r="G267" s="32">
        <v>20324699</v>
      </c>
      <c r="H267" s="32" t="s">
        <v>252</v>
      </c>
      <c r="I267" s="32">
        <v>1</v>
      </c>
      <c r="J267" s="30" t="s">
        <v>18</v>
      </c>
      <c r="K267" s="24">
        <f t="shared" si="15"/>
        <v>5</v>
      </c>
      <c r="L267" s="25">
        <v>4.4</v>
      </c>
      <c r="M267" s="25">
        <v>22</v>
      </c>
      <c r="N267" s="25">
        <v>22</v>
      </c>
    </row>
    <row r="268" spans="4:14">
      <c r="D268" s="64">
        <v>46076</v>
      </c>
      <c r="E268" s="32">
        <v>1579466</v>
      </c>
      <c r="F268" s="32" t="s">
        <v>16</v>
      </c>
      <c r="G268" s="32">
        <v>20324039</v>
      </c>
      <c r="H268" s="32" t="s">
        <v>293</v>
      </c>
      <c r="I268" s="32">
        <v>2</v>
      </c>
      <c r="J268" s="30" t="s">
        <v>18</v>
      </c>
      <c r="K268" s="24">
        <f t="shared" si="15"/>
        <v>37</v>
      </c>
      <c r="L268" s="25">
        <v>4.4</v>
      </c>
      <c r="M268" s="25">
        <v>162.8</v>
      </c>
      <c r="N268" s="25">
        <v>325.6</v>
      </c>
    </row>
    <row r="269" spans="4:14">
      <c r="D269" s="64">
        <v>46076</v>
      </c>
      <c r="E269" s="32">
        <v>1579466</v>
      </c>
      <c r="F269" s="32" t="s">
        <v>16</v>
      </c>
      <c r="G269" s="32">
        <v>20324045</v>
      </c>
      <c r="H269" s="32" t="s">
        <v>294</v>
      </c>
      <c r="I269" s="32">
        <v>1</v>
      </c>
      <c r="J269" s="30" t="s">
        <v>18</v>
      </c>
      <c r="K269" s="24">
        <f t="shared" si="15"/>
        <v>19</v>
      </c>
      <c r="L269" s="25">
        <v>4.4</v>
      </c>
      <c r="M269" s="25">
        <v>83.6</v>
      </c>
      <c r="N269" s="25">
        <v>83.6</v>
      </c>
    </row>
    <row r="270" spans="4:14">
      <c r="D270" s="64">
        <v>46076</v>
      </c>
      <c r="E270" s="32">
        <v>1579466</v>
      </c>
      <c r="F270" s="32" t="s">
        <v>20</v>
      </c>
      <c r="G270" s="32">
        <v>20324367</v>
      </c>
      <c r="H270" s="32" t="s">
        <v>158</v>
      </c>
      <c r="I270" s="32">
        <v>2</v>
      </c>
      <c r="J270" s="31" t="s">
        <v>29</v>
      </c>
      <c r="K270" s="24">
        <v>1</v>
      </c>
      <c r="L270" s="25">
        <v>6.4</v>
      </c>
      <c r="M270" s="25">
        <v>6.4</v>
      </c>
      <c r="N270" s="25">
        <v>12.8</v>
      </c>
    </row>
    <row r="271" spans="4:14">
      <c r="D271" s="64">
        <v>46076</v>
      </c>
      <c r="E271" s="32">
        <v>1579466</v>
      </c>
      <c r="F271" s="32" t="s">
        <v>20</v>
      </c>
      <c r="G271" s="32">
        <v>20324699</v>
      </c>
      <c r="H271" s="32" t="s">
        <v>252</v>
      </c>
      <c r="I271" s="32">
        <v>3</v>
      </c>
      <c r="J271" s="30" t="s">
        <v>18</v>
      </c>
      <c r="K271" s="24">
        <f t="shared" ref="K271:K274" si="16">M271/L271</f>
        <v>5</v>
      </c>
      <c r="L271" s="25">
        <v>4.4</v>
      </c>
      <c r="M271" s="25">
        <v>22</v>
      </c>
      <c r="N271" s="25">
        <v>66</v>
      </c>
    </row>
    <row r="272" spans="4:14">
      <c r="D272" s="64">
        <v>46076</v>
      </c>
      <c r="E272" s="32">
        <v>1579568</v>
      </c>
      <c r="F272" s="32" t="s">
        <v>16</v>
      </c>
      <c r="G272" s="32">
        <v>20324039</v>
      </c>
      <c r="H272" s="32" t="s">
        <v>293</v>
      </c>
      <c r="I272" s="32">
        <v>2</v>
      </c>
      <c r="J272" s="30" t="s">
        <v>18</v>
      </c>
      <c r="K272" s="24">
        <f t="shared" si="16"/>
        <v>37</v>
      </c>
      <c r="L272" s="25">
        <v>4.4</v>
      </c>
      <c r="M272" s="25">
        <v>162.8</v>
      </c>
      <c r="N272" s="25">
        <v>325.6</v>
      </c>
    </row>
    <row r="273" spans="4:14">
      <c r="D273" s="64">
        <v>46076</v>
      </c>
      <c r="E273" s="32">
        <v>1579568</v>
      </c>
      <c r="F273" s="32" t="s">
        <v>16</v>
      </c>
      <c r="G273" s="32">
        <v>20324049</v>
      </c>
      <c r="H273" s="32" t="s">
        <v>343</v>
      </c>
      <c r="I273" s="32">
        <v>1</v>
      </c>
      <c r="J273" s="30" t="s">
        <v>18</v>
      </c>
      <c r="K273" s="24">
        <f t="shared" si="16"/>
        <v>25</v>
      </c>
      <c r="L273" s="25">
        <v>4.4</v>
      </c>
      <c r="M273" s="25">
        <v>110</v>
      </c>
      <c r="N273" s="25">
        <v>110</v>
      </c>
    </row>
    <row r="274" spans="4:14">
      <c r="D274" s="64">
        <v>46076</v>
      </c>
      <c r="E274" s="32">
        <v>1579568</v>
      </c>
      <c r="F274" s="32" t="s">
        <v>16</v>
      </c>
      <c r="G274" s="32">
        <v>20324045</v>
      </c>
      <c r="H274" s="32" t="s">
        <v>294</v>
      </c>
      <c r="I274" s="32">
        <v>1</v>
      </c>
      <c r="J274" s="30" t="s">
        <v>18</v>
      </c>
      <c r="K274" s="24">
        <f t="shared" si="16"/>
        <v>19</v>
      </c>
      <c r="L274" s="25">
        <v>4.4</v>
      </c>
      <c r="M274" s="25">
        <v>83.6</v>
      </c>
      <c r="N274" s="25">
        <v>83.6</v>
      </c>
    </row>
    <row r="275" spans="4:14">
      <c r="D275" s="64">
        <v>46076</v>
      </c>
      <c r="E275" s="32">
        <v>1579568</v>
      </c>
      <c r="F275" s="32" t="s">
        <v>20</v>
      </c>
      <c r="G275" s="32">
        <v>20324710</v>
      </c>
      <c r="H275" s="32" t="s">
        <v>366</v>
      </c>
      <c r="I275" s="32">
        <v>1</v>
      </c>
      <c r="J275" s="34"/>
      <c r="K275" s="25"/>
      <c r="L275" s="25"/>
      <c r="M275" s="25">
        <v>17.6</v>
      </c>
      <c r="N275" s="25">
        <v>17.6</v>
      </c>
    </row>
    <row r="276" spans="4:14">
      <c r="D276" s="64">
        <v>46076</v>
      </c>
      <c r="E276" s="32">
        <v>1579568</v>
      </c>
      <c r="F276" s="32" t="s">
        <v>20</v>
      </c>
      <c r="G276" s="32">
        <v>20324699</v>
      </c>
      <c r="H276" s="32" t="s">
        <v>252</v>
      </c>
      <c r="I276" s="32">
        <v>3</v>
      </c>
      <c r="J276" s="30" t="s">
        <v>18</v>
      </c>
      <c r="K276" s="24">
        <f t="shared" ref="K276:K281" si="17">M276/L276</f>
        <v>5</v>
      </c>
      <c r="L276" s="25">
        <v>4.4</v>
      </c>
      <c r="M276" s="25">
        <v>22</v>
      </c>
      <c r="N276" s="25">
        <v>66</v>
      </c>
    </row>
    <row r="277" spans="4:14">
      <c r="D277" s="64">
        <v>46077</v>
      </c>
      <c r="E277" s="32">
        <v>1579777</v>
      </c>
      <c r="F277" s="32" t="s">
        <v>16</v>
      </c>
      <c r="G277" s="32">
        <v>20324039</v>
      </c>
      <c r="H277" s="32" t="s">
        <v>293</v>
      </c>
      <c r="I277" s="32">
        <v>2</v>
      </c>
      <c r="J277" s="30" t="s">
        <v>18</v>
      </c>
      <c r="K277" s="24">
        <f t="shared" si="17"/>
        <v>37</v>
      </c>
      <c r="L277" s="25">
        <v>4.4</v>
      </c>
      <c r="M277" s="25">
        <v>162.8</v>
      </c>
      <c r="N277" s="25">
        <v>325.6</v>
      </c>
    </row>
    <row r="278" spans="4:14">
      <c r="D278" s="64">
        <v>46077</v>
      </c>
      <c r="E278" s="32">
        <v>1579777</v>
      </c>
      <c r="F278" s="32" t="s">
        <v>20</v>
      </c>
      <c r="G278" s="32">
        <v>20324699</v>
      </c>
      <c r="H278" s="32" t="s">
        <v>252</v>
      </c>
      <c r="I278" s="32">
        <v>2</v>
      </c>
      <c r="J278" s="30" t="s">
        <v>18</v>
      </c>
      <c r="K278" s="24">
        <f t="shared" si="17"/>
        <v>5</v>
      </c>
      <c r="L278" s="25">
        <v>4.4</v>
      </c>
      <c r="M278" s="25">
        <v>22</v>
      </c>
      <c r="N278" s="25">
        <v>44</v>
      </c>
    </row>
    <row r="279" spans="4:14">
      <c r="D279" s="64">
        <v>46078</v>
      </c>
      <c r="E279" s="32">
        <v>1580112</v>
      </c>
      <c r="F279" s="32" t="s">
        <v>16</v>
      </c>
      <c r="G279" s="32">
        <v>20324028</v>
      </c>
      <c r="H279" s="32" t="s">
        <v>317</v>
      </c>
      <c r="I279" s="32">
        <v>1</v>
      </c>
      <c r="J279" s="30" t="s">
        <v>18</v>
      </c>
      <c r="K279" s="24">
        <f t="shared" si="17"/>
        <v>42</v>
      </c>
      <c r="L279" s="25">
        <v>4.4</v>
      </c>
      <c r="M279" s="25">
        <v>184.8</v>
      </c>
      <c r="N279" s="25">
        <v>184.8</v>
      </c>
    </row>
    <row r="280" spans="4:14">
      <c r="D280" s="64">
        <v>46078</v>
      </c>
      <c r="E280" s="32">
        <v>1580112</v>
      </c>
      <c r="F280" s="32" t="s">
        <v>16</v>
      </c>
      <c r="G280" s="32">
        <v>20324046</v>
      </c>
      <c r="H280" s="32" t="s">
        <v>232</v>
      </c>
      <c r="I280" s="32">
        <v>1</v>
      </c>
      <c r="J280" s="30" t="s">
        <v>18</v>
      </c>
      <c r="K280" s="24">
        <f t="shared" si="17"/>
        <v>49</v>
      </c>
      <c r="L280" s="25">
        <v>4.4</v>
      </c>
      <c r="M280" s="25">
        <v>215.6</v>
      </c>
      <c r="N280" s="25">
        <v>215.6</v>
      </c>
    </row>
    <row r="281" spans="4:14">
      <c r="D281" s="64">
        <v>46078</v>
      </c>
      <c r="E281" s="32">
        <v>1580112</v>
      </c>
      <c r="F281" s="32" t="s">
        <v>16</v>
      </c>
      <c r="G281" s="32">
        <v>20324045</v>
      </c>
      <c r="H281" s="32" t="s">
        <v>294</v>
      </c>
      <c r="I281" s="32">
        <v>2</v>
      </c>
      <c r="J281" s="30" t="s">
        <v>18</v>
      </c>
      <c r="K281" s="24">
        <f t="shared" si="17"/>
        <v>19</v>
      </c>
      <c r="L281" s="25">
        <v>4.4</v>
      </c>
      <c r="M281" s="25">
        <v>83.6</v>
      </c>
      <c r="N281" s="25">
        <v>167.2</v>
      </c>
    </row>
    <row r="282" spans="4:14">
      <c r="D282" s="64">
        <v>46078</v>
      </c>
      <c r="E282" s="32">
        <v>1580112</v>
      </c>
      <c r="F282" s="32" t="s">
        <v>20</v>
      </c>
      <c r="G282" s="32">
        <v>20358758</v>
      </c>
      <c r="H282" s="32" t="s">
        <v>331</v>
      </c>
      <c r="I282" s="32">
        <v>2</v>
      </c>
      <c r="J282" s="31" t="s">
        <v>29</v>
      </c>
      <c r="K282" s="24">
        <v>1</v>
      </c>
      <c r="L282" s="25">
        <v>6.4</v>
      </c>
      <c r="M282" s="25">
        <v>6.4</v>
      </c>
      <c r="N282" s="25">
        <v>12.8</v>
      </c>
    </row>
    <row r="283" spans="4:14">
      <c r="D283" s="64">
        <v>46078</v>
      </c>
      <c r="E283" s="32">
        <v>1580112</v>
      </c>
      <c r="F283" s="32" t="s">
        <v>16</v>
      </c>
      <c r="G283" s="32">
        <v>20325204</v>
      </c>
      <c r="H283" s="32" t="s">
        <v>332</v>
      </c>
      <c r="I283" s="32">
        <v>2</v>
      </c>
      <c r="J283" s="30" t="s">
        <v>18</v>
      </c>
      <c r="K283" s="24">
        <f t="shared" ref="K283:K287" si="18">M283/L283</f>
        <v>13</v>
      </c>
      <c r="L283" s="25">
        <v>4.4</v>
      </c>
      <c r="M283" s="25">
        <v>57.2</v>
      </c>
      <c r="N283" s="25">
        <v>114.4</v>
      </c>
    </row>
    <row r="284" spans="4:14">
      <c r="D284" s="64">
        <v>46078</v>
      </c>
      <c r="E284" s="32">
        <v>1580112</v>
      </c>
      <c r="F284" s="32" t="s">
        <v>20</v>
      </c>
      <c r="G284" s="32">
        <v>20325545</v>
      </c>
      <c r="H284" s="32" t="s">
        <v>367</v>
      </c>
      <c r="I284" s="32">
        <v>2</v>
      </c>
      <c r="J284" s="30" t="s">
        <v>18</v>
      </c>
      <c r="K284" s="24">
        <f t="shared" si="18"/>
        <v>3</v>
      </c>
      <c r="L284" s="25">
        <v>4.4</v>
      </c>
      <c r="M284" s="25">
        <v>13.2</v>
      </c>
      <c r="N284" s="25">
        <v>26.4</v>
      </c>
    </row>
    <row r="285" spans="4:14">
      <c r="D285" s="64">
        <v>46078</v>
      </c>
      <c r="E285" s="32">
        <v>1580112</v>
      </c>
      <c r="F285" s="32" t="s">
        <v>20</v>
      </c>
      <c r="G285" s="32">
        <v>20325131</v>
      </c>
      <c r="H285" s="32" t="s">
        <v>333</v>
      </c>
      <c r="I285" s="32">
        <v>1</v>
      </c>
      <c r="J285" s="30" t="s">
        <v>18</v>
      </c>
      <c r="K285" s="24">
        <f t="shared" si="18"/>
        <v>8</v>
      </c>
      <c r="L285" s="25">
        <v>4.4</v>
      </c>
      <c r="M285" s="25">
        <v>35.2</v>
      </c>
      <c r="N285" s="25">
        <v>35.2</v>
      </c>
    </row>
    <row r="286" spans="4:14">
      <c r="D286" s="64">
        <v>46078</v>
      </c>
      <c r="E286" s="32">
        <v>1580112</v>
      </c>
      <c r="F286" s="32" t="s">
        <v>20</v>
      </c>
      <c r="G286" s="32">
        <v>20330458</v>
      </c>
      <c r="H286" s="32" t="s">
        <v>334</v>
      </c>
      <c r="I286" s="32">
        <v>1</v>
      </c>
      <c r="J286" s="30" t="s">
        <v>18</v>
      </c>
      <c r="K286" s="24">
        <f t="shared" si="18"/>
        <v>5</v>
      </c>
      <c r="L286" s="25">
        <v>4.4</v>
      </c>
      <c r="M286" s="25">
        <v>22</v>
      </c>
      <c r="N286" s="25">
        <v>22</v>
      </c>
    </row>
    <row r="287" spans="4:14">
      <c r="D287" s="64">
        <v>46078</v>
      </c>
      <c r="E287" s="32">
        <v>1580112</v>
      </c>
      <c r="F287" s="32" t="s">
        <v>20</v>
      </c>
      <c r="G287" s="32">
        <v>20324699</v>
      </c>
      <c r="H287" s="32" t="s">
        <v>252</v>
      </c>
      <c r="I287" s="32">
        <v>3</v>
      </c>
      <c r="J287" s="30" t="s">
        <v>18</v>
      </c>
      <c r="K287" s="24">
        <f t="shared" si="18"/>
        <v>5</v>
      </c>
      <c r="L287" s="25">
        <v>4.4</v>
      </c>
      <c r="M287" s="25">
        <v>22</v>
      </c>
      <c r="N287" s="25">
        <v>66</v>
      </c>
    </row>
    <row r="288" spans="4:14">
      <c r="D288" s="64">
        <v>46079</v>
      </c>
      <c r="E288" s="32">
        <v>1580161</v>
      </c>
      <c r="F288" s="32" t="s">
        <v>20</v>
      </c>
      <c r="G288" s="32">
        <v>20358566</v>
      </c>
      <c r="H288" s="32" t="s">
        <v>329</v>
      </c>
      <c r="I288" s="32">
        <v>2</v>
      </c>
      <c r="J288" s="34"/>
      <c r="K288" s="25"/>
      <c r="L288" s="25"/>
      <c r="M288" s="25">
        <v>17.6</v>
      </c>
      <c r="N288" s="25">
        <v>35.2</v>
      </c>
    </row>
    <row r="289" spans="4:14">
      <c r="D289" s="64">
        <v>46079</v>
      </c>
      <c r="E289" s="32">
        <v>1580161</v>
      </c>
      <c r="F289" s="32" t="s">
        <v>20</v>
      </c>
      <c r="G289" s="32">
        <v>20389912</v>
      </c>
      <c r="H289" s="32" t="s">
        <v>368</v>
      </c>
      <c r="I289" s="32">
        <v>2</v>
      </c>
      <c r="J289" s="31" t="s">
        <v>29</v>
      </c>
      <c r="K289" s="24">
        <v>1</v>
      </c>
      <c r="L289" s="25">
        <v>6.4</v>
      </c>
      <c r="M289" s="25">
        <v>6.4</v>
      </c>
      <c r="N289" s="25">
        <v>12.8</v>
      </c>
    </row>
    <row r="290" spans="4:14">
      <c r="D290" s="64">
        <v>46079</v>
      </c>
      <c r="E290" s="32">
        <v>1580161</v>
      </c>
      <c r="F290" s="32" t="s">
        <v>20</v>
      </c>
      <c r="G290" s="32">
        <v>20324699</v>
      </c>
      <c r="H290" s="32" t="s">
        <v>252</v>
      </c>
      <c r="I290" s="32">
        <v>1</v>
      </c>
      <c r="J290" s="30" t="s">
        <v>18</v>
      </c>
      <c r="K290" s="24">
        <f t="shared" ref="K290:K301" si="19">M290/L290</f>
        <v>5</v>
      </c>
      <c r="L290" s="25">
        <v>4.4</v>
      </c>
      <c r="M290" s="25">
        <v>22</v>
      </c>
      <c r="N290" s="25">
        <v>22</v>
      </c>
    </row>
    <row r="291" spans="4:14">
      <c r="D291" s="64">
        <v>46079</v>
      </c>
      <c r="E291" s="32">
        <v>1580161</v>
      </c>
      <c r="F291" s="32" t="s">
        <v>20</v>
      </c>
      <c r="G291" s="32">
        <v>20325524</v>
      </c>
      <c r="H291" s="32" t="s">
        <v>369</v>
      </c>
      <c r="I291" s="32">
        <v>1</v>
      </c>
      <c r="J291" s="30" t="s">
        <v>18</v>
      </c>
      <c r="K291" s="24">
        <f t="shared" si="19"/>
        <v>3</v>
      </c>
      <c r="L291" s="25">
        <v>4.4</v>
      </c>
      <c r="M291" s="25">
        <v>13.2</v>
      </c>
      <c r="N291" s="25">
        <v>13.2</v>
      </c>
    </row>
    <row r="292" spans="4:14">
      <c r="D292" s="64">
        <v>46079</v>
      </c>
      <c r="E292" s="32">
        <v>1580221</v>
      </c>
      <c r="F292" s="32" t="s">
        <v>20</v>
      </c>
      <c r="G292" s="32">
        <v>20326623</v>
      </c>
      <c r="H292" s="32" t="s">
        <v>370</v>
      </c>
      <c r="I292" s="32">
        <v>1</v>
      </c>
      <c r="J292" s="34" t="s">
        <v>128</v>
      </c>
      <c r="K292" s="24">
        <v>1</v>
      </c>
      <c r="L292" s="25">
        <v>22.4</v>
      </c>
      <c r="M292" s="25">
        <v>22.4</v>
      </c>
      <c r="N292" s="25">
        <v>22.4</v>
      </c>
    </row>
    <row r="293" spans="4:14">
      <c r="D293" s="64">
        <v>46079</v>
      </c>
      <c r="E293" s="32">
        <v>1580221</v>
      </c>
      <c r="F293" s="32" t="s">
        <v>20</v>
      </c>
      <c r="G293" s="32">
        <v>20324814</v>
      </c>
      <c r="H293" s="32" t="s">
        <v>289</v>
      </c>
      <c r="I293" s="32">
        <v>1</v>
      </c>
      <c r="J293" s="34" t="s">
        <v>128</v>
      </c>
      <c r="K293" s="24">
        <v>1</v>
      </c>
      <c r="L293" s="25">
        <v>22.4</v>
      </c>
      <c r="M293" s="25">
        <v>22.4</v>
      </c>
      <c r="N293" s="25">
        <v>22.4</v>
      </c>
    </row>
    <row r="294" spans="4:14">
      <c r="D294" s="64">
        <v>46079</v>
      </c>
      <c r="E294" s="32">
        <v>1580482</v>
      </c>
      <c r="F294" s="32" t="s">
        <v>16</v>
      </c>
      <c r="G294" s="32">
        <v>20324039</v>
      </c>
      <c r="H294" s="32" t="s">
        <v>293</v>
      </c>
      <c r="I294" s="32">
        <v>2</v>
      </c>
      <c r="J294" s="30" t="s">
        <v>18</v>
      </c>
      <c r="K294" s="24">
        <f t="shared" si="19"/>
        <v>37</v>
      </c>
      <c r="L294" s="25">
        <v>4.4</v>
      </c>
      <c r="M294" s="25">
        <v>162.8</v>
      </c>
      <c r="N294" s="25">
        <v>325.6</v>
      </c>
    </row>
    <row r="295" spans="4:14">
      <c r="D295" s="64">
        <v>46079</v>
      </c>
      <c r="E295" s="32">
        <v>1580482</v>
      </c>
      <c r="F295" s="32" t="s">
        <v>16</v>
      </c>
      <c r="G295" s="32">
        <v>20324028</v>
      </c>
      <c r="H295" s="32" t="s">
        <v>317</v>
      </c>
      <c r="I295" s="32">
        <v>1</v>
      </c>
      <c r="J295" s="30" t="s">
        <v>18</v>
      </c>
      <c r="K295" s="24">
        <f t="shared" si="19"/>
        <v>42</v>
      </c>
      <c r="L295" s="25">
        <v>4.4</v>
      </c>
      <c r="M295" s="25">
        <v>184.8</v>
      </c>
      <c r="N295" s="25">
        <v>184.8</v>
      </c>
    </row>
    <row r="296" spans="4:14">
      <c r="D296" s="64">
        <v>46079</v>
      </c>
      <c r="E296" s="32">
        <v>1580482</v>
      </c>
      <c r="F296" s="32" t="s">
        <v>16</v>
      </c>
      <c r="G296" s="32">
        <v>20336544</v>
      </c>
      <c r="H296" s="32" t="s">
        <v>326</v>
      </c>
      <c r="I296" s="32">
        <v>1</v>
      </c>
      <c r="J296" s="30" t="s">
        <v>18</v>
      </c>
      <c r="K296" s="24">
        <f t="shared" si="19"/>
        <v>19</v>
      </c>
      <c r="L296" s="25">
        <v>4.4</v>
      </c>
      <c r="M296" s="25">
        <v>83.6</v>
      </c>
      <c r="N296" s="25">
        <v>83.6</v>
      </c>
    </row>
    <row r="297" spans="4:14">
      <c r="D297" s="64">
        <v>46079</v>
      </c>
      <c r="E297" s="32">
        <v>1580482</v>
      </c>
      <c r="F297" s="32" t="s">
        <v>16</v>
      </c>
      <c r="G297" s="32">
        <v>20324049</v>
      </c>
      <c r="H297" s="32" t="s">
        <v>343</v>
      </c>
      <c r="I297" s="32">
        <v>1</v>
      </c>
      <c r="J297" s="30" t="s">
        <v>18</v>
      </c>
      <c r="K297" s="24">
        <f t="shared" si="19"/>
        <v>25</v>
      </c>
      <c r="L297" s="25">
        <v>4.4</v>
      </c>
      <c r="M297" s="25">
        <v>110</v>
      </c>
      <c r="N297" s="25">
        <v>110</v>
      </c>
    </row>
    <row r="298" spans="4:14">
      <c r="D298" s="64">
        <v>46079</v>
      </c>
      <c r="E298" s="32">
        <v>1580482</v>
      </c>
      <c r="F298" s="32" t="s">
        <v>16</v>
      </c>
      <c r="G298" s="32">
        <v>20324045</v>
      </c>
      <c r="H298" s="32" t="s">
        <v>294</v>
      </c>
      <c r="I298" s="32">
        <v>1</v>
      </c>
      <c r="J298" s="30" t="s">
        <v>18</v>
      </c>
      <c r="K298" s="24">
        <f t="shared" si="19"/>
        <v>19</v>
      </c>
      <c r="L298" s="25">
        <v>4.4</v>
      </c>
      <c r="M298" s="25">
        <v>83.6</v>
      </c>
      <c r="N298" s="25">
        <v>83.6</v>
      </c>
    </row>
    <row r="299" spans="4:14">
      <c r="D299" s="64">
        <v>46079</v>
      </c>
      <c r="E299" s="32">
        <v>1580482</v>
      </c>
      <c r="F299" s="32" t="s">
        <v>20</v>
      </c>
      <c r="G299" s="32">
        <v>20324699</v>
      </c>
      <c r="H299" s="32" t="s">
        <v>252</v>
      </c>
      <c r="I299" s="32">
        <v>3</v>
      </c>
      <c r="J299" s="30" t="s">
        <v>18</v>
      </c>
      <c r="K299" s="24">
        <f t="shared" si="19"/>
        <v>5</v>
      </c>
      <c r="L299" s="25">
        <v>4.4</v>
      </c>
      <c r="M299" s="25">
        <v>22</v>
      </c>
      <c r="N299" s="25">
        <v>66</v>
      </c>
    </row>
    <row r="300" spans="4:14">
      <c r="D300" s="64">
        <v>46080</v>
      </c>
      <c r="E300" s="32">
        <v>1580526</v>
      </c>
      <c r="F300" s="32" t="s">
        <v>16</v>
      </c>
      <c r="G300" s="32">
        <v>20324463</v>
      </c>
      <c r="H300" s="32" t="s">
        <v>249</v>
      </c>
      <c r="I300" s="32">
        <v>1</v>
      </c>
      <c r="J300" s="30" t="s">
        <v>18</v>
      </c>
      <c r="K300" s="24">
        <f t="shared" si="19"/>
        <v>35</v>
      </c>
      <c r="L300" s="25">
        <v>4.4</v>
      </c>
      <c r="M300" s="25">
        <v>154</v>
      </c>
      <c r="N300" s="25">
        <v>154</v>
      </c>
    </row>
    <row r="301" spans="4:14">
      <c r="D301" s="64">
        <v>46080</v>
      </c>
      <c r="E301" s="32">
        <v>1580526</v>
      </c>
      <c r="F301" s="32" t="s">
        <v>26</v>
      </c>
      <c r="G301" s="32">
        <v>20363598</v>
      </c>
      <c r="H301" s="32" t="s">
        <v>371</v>
      </c>
      <c r="I301" s="32">
        <v>1</v>
      </c>
      <c r="J301" s="30" t="s">
        <v>18</v>
      </c>
      <c r="K301" s="24">
        <f t="shared" si="19"/>
        <v>7</v>
      </c>
      <c r="L301" s="25">
        <v>4.4</v>
      </c>
      <c r="M301" s="25">
        <v>30.8</v>
      </c>
      <c r="N301" s="25">
        <v>30.8</v>
      </c>
    </row>
    <row r="302" spans="4:14">
      <c r="D302" s="64">
        <v>46080</v>
      </c>
      <c r="E302" s="32">
        <v>1580526</v>
      </c>
      <c r="F302" s="32" t="s">
        <v>26</v>
      </c>
      <c r="G302" s="32">
        <v>20363596</v>
      </c>
      <c r="H302" s="32" t="s">
        <v>372</v>
      </c>
      <c r="I302" s="32">
        <v>1</v>
      </c>
      <c r="J302" s="30" t="s">
        <v>18</v>
      </c>
      <c r="K302" s="24">
        <f t="shared" ref="K302:K306" si="20">M302/L302</f>
        <v>3</v>
      </c>
      <c r="L302" s="25">
        <v>4.4</v>
      </c>
      <c r="M302" s="25">
        <v>13.2</v>
      </c>
      <c r="N302" s="25">
        <v>13.2</v>
      </c>
    </row>
    <row r="303" spans="4:14">
      <c r="D303" s="64">
        <v>46080</v>
      </c>
      <c r="E303" s="32">
        <v>1580526</v>
      </c>
      <c r="F303" s="32" t="s">
        <v>20</v>
      </c>
      <c r="G303" s="32">
        <v>20389912</v>
      </c>
      <c r="H303" s="32" t="s">
        <v>368</v>
      </c>
      <c r="I303" s="32">
        <v>1</v>
      </c>
      <c r="J303" s="31" t="s">
        <v>29</v>
      </c>
      <c r="K303" s="24">
        <v>1</v>
      </c>
      <c r="L303" s="25">
        <v>6.4</v>
      </c>
      <c r="M303" s="25">
        <v>6.4</v>
      </c>
      <c r="N303" s="25">
        <v>6.4</v>
      </c>
    </row>
    <row r="304" spans="4:14">
      <c r="D304" s="64">
        <v>46080</v>
      </c>
      <c r="E304" s="32">
        <v>1580526</v>
      </c>
      <c r="F304" s="32" t="s">
        <v>20</v>
      </c>
      <c r="G304" s="32">
        <v>20324367</v>
      </c>
      <c r="H304" s="32" t="s">
        <v>158</v>
      </c>
      <c r="I304" s="32">
        <v>1</v>
      </c>
      <c r="J304" s="31" t="s">
        <v>29</v>
      </c>
      <c r="K304" s="24">
        <v>1</v>
      </c>
      <c r="L304" s="25">
        <v>6.4</v>
      </c>
      <c r="M304" s="25">
        <v>6.4</v>
      </c>
      <c r="N304" s="25">
        <v>6.4</v>
      </c>
    </row>
    <row r="305" spans="4:14">
      <c r="D305" s="64">
        <v>46080</v>
      </c>
      <c r="E305" s="32">
        <v>1580526</v>
      </c>
      <c r="F305" s="32" t="s">
        <v>20</v>
      </c>
      <c r="G305" s="32">
        <v>20330458</v>
      </c>
      <c r="H305" s="32" t="s">
        <v>334</v>
      </c>
      <c r="I305" s="32">
        <v>1</v>
      </c>
      <c r="J305" s="30" t="s">
        <v>18</v>
      </c>
      <c r="K305" s="24">
        <f t="shared" si="20"/>
        <v>5</v>
      </c>
      <c r="L305" s="25">
        <v>4.4</v>
      </c>
      <c r="M305" s="25">
        <v>22</v>
      </c>
      <c r="N305" s="25">
        <v>22</v>
      </c>
    </row>
    <row r="306" spans="4:14">
      <c r="D306" s="64">
        <v>46080</v>
      </c>
      <c r="E306" s="32">
        <v>1580526</v>
      </c>
      <c r="F306" s="32" t="s">
        <v>20</v>
      </c>
      <c r="G306" s="32">
        <v>20324699</v>
      </c>
      <c r="H306" s="32" t="s">
        <v>252</v>
      </c>
      <c r="I306" s="32">
        <v>2</v>
      </c>
      <c r="J306" s="30" t="s">
        <v>18</v>
      </c>
      <c r="K306" s="24">
        <f t="shared" si="20"/>
        <v>5</v>
      </c>
      <c r="L306" s="25">
        <v>4.4</v>
      </c>
      <c r="M306" s="25">
        <v>22</v>
      </c>
      <c r="N306" s="25">
        <v>44</v>
      </c>
    </row>
    <row r="307" spans="4:14">
      <c r="D307" s="64">
        <v>46080</v>
      </c>
      <c r="E307" s="32">
        <v>1580581</v>
      </c>
      <c r="F307" s="32" t="s">
        <v>20</v>
      </c>
      <c r="G307" s="32">
        <v>20324643</v>
      </c>
      <c r="H307" s="32" t="s">
        <v>309</v>
      </c>
      <c r="I307" s="32">
        <v>1</v>
      </c>
      <c r="J307" s="34" t="s">
        <v>128</v>
      </c>
      <c r="K307" s="24">
        <v>1</v>
      </c>
      <c r="L307" s="25">
        <v>22.4</v>
      </c>
      <c r="M307" s="25">
        <v>22.4</v>
      </c>
      <c r="N307" s="25">
        <v>22.4</v>
      </c>
    </row>
    <row r="308" spans="4:14">
      <c r="D308" s="64">
        <v>46080</v>
      </c>
      <c r="E308" s="32">
        <v>1580581</v>
      </c>
      <c r="F308" s="32" t="s">
        <v>20</v>
      </c>
      <c r="G308" s="32">
        <v>20324637</v>
      </c>
      <c r="H308" s="32" t="s">
        <v>280</v>
      </c>
      <c r="I308" s="32">
        <v>1</v>
      </c>
      <c r="J308" s="34" t="s">
        <v>181</v>
      </c>
      <c r="K308" s="24">
        <v>1</v>
      </c>
      <c r="L308" s="25">
        <v>28</v>
      </c>
      <c r="M308" s="25">
        <v>28</v>
      </c>
      <c r="N308" s="25">
        <v>28</v>
      </c>
    </row>
    <row r="309" spans="4:14">
      <c r="D309" s="64">
        <v>46080</v>
      </c>
      <c r="E309" s="32">
        <v>1580581</v>
      </c>
      <c r="F309" s="32" t="s">
        <v>20</v>
      </c>
      <c r="G309" s="32">
        <v>20330449</v>
      </c>
      <c r="H309" s="32" t="s">
        <v>281</v>
      </c>
      <c r="I309" s="32">
        <v>1</v>
      </c>
      <c r="J309" s="34" t="s">
        <v>128</v>
      </c>
      <c r="K309" s="24">
        <v>1</v>
      </c>
      <c r="L309" s="25">
        <v>22.4</v>
      </c>
      <c r="M309" s="25">
        <v>22.4</v>
      </c>
      <c r="N309" s="25">
        <v>22.4</v>
      </c>
    </row>
    <row r="310" spans="4:14">
      <c r="D310" s="64">
        <v>46080</v>
      </c>
      <c r="E310" s="32">
        <v>1580581</v>
      </c>
      <c r="F310" s="32" t="s">
        <v>20</v>
      </c>
      <c r="G310" s="32">
        <v>20325443</v>
      </c>
      <c r="H310" s="32" t="s">
        <v>322</v>
      </c>
      <c r="I310" s="32">
        <v>1</v>
      </c>
      <c r="J310" s="34" t="s">
        <v>181</v>
      </c>
      <c r="K310" s="24">
        <v>1</v>
      </c>
      <c r="L310" s="25">
        <v>28</v>
      </c>
      <c r="M310" s="25">
        <v>28</v>
      </c>
      <c r="N310" s="25">
        <v>28</v>
      </c>
    </row>
    <row r="311" spans="4:14">
      <c r="D311" s="64">
        <v>46080</v>
      </c>
      <c r="E311" s="32">
        <v>1580581</v>
      </c>
      <c r="F311" s="32" t="s">
        <v>20</v>
      </c>
      <c r="G311" s="32">
        <v>20324645</v>
      </c>
      <c r="H311" s="32" t="s">
        <v>312</v>
      </c>
      <c r="I311" s="32">
        <v>1</v>
      </c>
      <c r="J311" s="34" t="s">
        <v>128</v>
      </c>
      <c r="K311" s="24">
        <v>1</v>
      </c>
      <c r="L311" s="25">
        <v>22.4</v>
      </c>
      <c r="M311" s="25">
        <v>22.4</v>
      </c>
      <c r="N311" s="25">
        <v>22.4</v>
      </c>
    </row>
    <row r="312" spans="4:14">
      <c r="D312" s="64">
        <v>46080</v>
      </c>
      <c r="E312" s="32">
        <v>1580581</v>
      </c>
      <c r="F312" s="32" t="s">
        <v>20</v>
      </c>
      <c r="G312" s="32">
        <v>20324636</v>
      </c>
      <c r="H312" s="32" t="s">
        <v>313</v>
      </c>
      <c r="I312" s="32">
        <v>1</v>
      </c>
      <c r="J312" s="34" t="s">
        <v>181</v>
      </c>
      <c r="K312" s="24">
        <v>1</v>
      </c>
      <c r="L312" s="25">
        <v>28</v>
      </c>
      <c r="M312" s="25">
        <v>28</v>
      </c>
      <c r="N312" s="25">
        <v>28</v>
      </c>
    </row>
    <row r="313" spans="4:14">
      <c r="D313" s="64">
        <v>46080</v>
      </c>
      <c r="E313" s="32">
        <v>1580581</v>
      </c>
      <c r="F313" s="32" t="s">
        <v>20</v>
      </c>
      <c r="G313" s="32">
        <v>20324642</v>
      </c>
      <c r="H313" s="32" t="s">
        <v>321</v>
      </c>
      <c r="I313" s="32">
        <v>1</v>
      </c>
      <c r="J313" s="30" t="s">
        <v>36</v>
      </c>
      <c r="K313" s="24">
        <v>1</v>
      </c>
      <c r="L313" s="25">
        <v>17.6</v>
      </c>
      <c r="M313" s="25">
        <v>17.6</v>
      </c>
      <c r="N313" s="25">
        <v>17.6</v>
      </c>
    </row>
    <row r="314" spans="4:14">
      <c r="D314" s="64">
        <v>46080</v>
      </c>
      <c r="E314" s="32">
        <v>1580581</v>
      </c>
      <c r="F314" s="32" t="s">
        <v>20</v>
      </c>
      <c r="G314" s="32">
        <v>20324644</v>
      </c>
      <c r="H314" s="32" t="s">
        <v>288</v>
      </c>
      <c r="I314" s="32">
        <v>1</v>
      </c>
      <c r="J314" s="34" t="s">
        <v>128</v>
      </c>
      <c r="K314" s="24">
        <v>1</v>
      </c>
      <c r="L314" s="25">
        <v>22.4</v>
      </c>
      <c r="M314" s="25">
        <v>22.4</v>
      </c>
      <c r="N314" s="25">
        <v>22.4</v>
      </c>
    </row>
    <row r="315" spans="4:14">
      <c r="D315" s="64">
        <v>46080</v>
      </c>
      <c r="E315" s="32">
        <v>1580581</v>
      </c>
      <c r="F315" s="32" t="s">
        <v>20</v>
      </c>
      <c r="G315" s="32">
        <v>20324814</v>
      </c>
      <c r="H315" s="32" t="s">
        <v>289</v>
      </c>
      <c r="I315" s="32">
        <v>1</v>
      </c>
      <c r="J315" s="34" t="s">
        <v>128</v>
      </c>
      <c r="K315" s="24">
        <v>1</v>
      </c>
      <c r="L315" s="25">
        <v>22.4</v>
      </c>
      <c r="M315" s="25">
        <v>22.4</v>
      </c>
      <c r="N315" s="25">
        <v>22.4</v>
      </c>
    </row>
    <row r="316" spans="4:14">
      <c r="D316" s="64">
        <v>46080</v>
      </c>
      <c r="E316" s="32">
        <v>1580581</v>
      </c>
      <c r="F316" s="32" t="s">
        <v>20</v>
      </c>
      <c r="G316" s="32">
        <v>20324646</v>
      </c>
      <c r="H316" s="32" t="s">
        <v>315</v>
      </c>
      <c r="I316" s="32">
        <v>1</v>
      </c>
      <c r="J316" s="30" t="s">
        <v>259</v>
      </c>
      <c r="K316" s="24">
        <v>1</v>
      </c>
      <c r="L316" s="25">
        <v>20</v>
      </c>
      <c r="M316" s="25">
        <v>20</v>
      </c>
      <c r="N316" s="25">
        <v>20</v>
      </c>
    </row>
    <row r="317" spans="4:14">
      <c r="D317" s="85">
        <v>46080</v>
      </c>
      <c r="E317" s="86">
        <v>1580581</v>
      </c>
      <c r="F317" s="86" t="s">
        <v>26</v>
      </c>
      <c r="G317" s="86">
        <v>20324638</v>
      </c>
      <c r="H317" s="86" t="s">
        <v>316</v>
      </c>
      <c r="I317" s="86">
        <v>1</v>
      </c>
      <c r="J317" s="34" t="s">
        <v>254</v>
      </c>
      <c r="K317" s="24" t="s">
        <v>255</v>
      </c>
      <c r="L317" s="25">
        <v>22.4</v>
      </c>
      <c r="M317" s="25">
        <f>L317+L318</f>
        <v>30.4</v>
      </c>
      <c r="N317" s="25">
        <f>M317+M318</f>
        <v>30.4</v>
      </c>
    </row>
    <row r="318" spans="4:14">
      <c r="D318" s="87"/>
      <c r="E318" s="88"/>
      <c r="F318" s="88"/>
      <c r="G318" s="88"/>
      <c r="H318" s="88"/>
      <c r="I318" s="88"/>
      <c r="J318" s="32" t="s">
        <v>256</v>
      </c>
      <c r="K318" s="24" t="s">
        <v>255</v>
      </c>
      <c r="L318" s="25">
        <v>8</v>
      </c>
      <c r="M318" s="25"/>
      <c r="N318" s="25"/>
    </row>
    <row r="319" spans="4:14">
      <c r="D319" s="64">
        <v>46080</v>
      </c>
      <c r="E319" s="32">
        <v>1580812</v>
      </c>
      <c r="F319" s="32" t="s">
        <v>16</v>
      </c>
      <c r="G319" s="32">
        <v>20324045</v>
      </c>
      <c r="H319" s="32" t="s">
        <v>294</v>
      </c>
      <c r="I319" s="32">
        <v>1</v>
      </c>
      <c r="J319" s="30" t="s">
        <v>18</v>
      </c>
      <c r="K319" s="24">
        <f t="shared" ref="K319:K325" si="21">M319/L319</f>
        <v>19</v>
      </c>
      <c r="L319" s="25">
        <v>4.4</v>
      </c>
      <c r="M319" s="25">
        <v>83.6</v>
      </c>
      <c r="N319" s="25">
        <v>83.6</v>
      </c>
    </row>
    <row r="320" spans="4:14">
      <c r="D320" s="64">
        <v>46080</v>
      </c>
      <c r="E320" s="32">
        <v>1580812</v>
      </c>
      <c r="F320" s="32" t="s">
        <v>20</v>
      </c>
      <c r="G320" s="32">
        <v>20324699</v>
      </c>
      <c r="H320" s="32" t="s">
        <v>252</v>
      </c>
      <c r="I320" s="32">
        <v>1</v>
      </c>
      <c r="J320" s="30" t="s">
        <v>18</v>
      </c>
      <c r="K320" s="24">
        <f t="shared" si="21"/>
        <v>5</v>
      </c>
      <c r="L320" s="25">
        <v>4.4</v>
      </c>
      <c r="M320" s="25">
        <v>22</v>
      </c>
      <c r="N320" s="25">
        <v>22</v>
      </c>
    </row>
    <row r="321" spans="4:14">
      <c r="D321" s="64">
        <v>46080</v>
      </c>
      <c r="E321" s="32">
        <v>1580812</v>
      </c>
      <c r="F321" s="32" t="s">
        <v>41</v>
      </c>
      <c r="G321" s="32">
        <v>20354932</v>
      </c>
      <c r="H321" s="32" t="s">
        <v>210</v>
      </c>
      <c r="I321" s="32">
        <v>12</v>
      </c>
      <c r="J321" s="34" t="s">
        <v>97</v>
      </c>
      <c r="K321" s="24">
        <v>1</v>
      </c>
      <c r="L321" s="25">
        <v>3.2</v>
      </c>
      <c r="M321" s="25">
        <v>3.2</v>
      </c>
      <c r="N321" s="25">
        <v>38.4</v>
      </c>
    </row>
    <row r="322" spans="4:14">
      <c r="D322" s="64">
        <v>46080</v>
      </c>
      <c r="E322" s="32">
        <v>1580812</v>
      </c>
      <c r="F322" s="32" t="s">
        <v>41</v>
      </c>
      <c r="G322" s="32">
        <v>20324519</v>
      </c>
      <c r="H322" s="32" t="s">
        <v>227</v>
      </c>
      <c r="I322" s="32">
        <v>10</v>
      </c>
      <c r="J322" s="30" t="s">
        <v>43</v>
      </c>
      <c r="K322" s="24">
        <v>1</v>
      </c>
      <c r="L322" s="25">
        <v>2</v>
      </c>
      <c r="M322" s="25">
        <v>2</v>
      </c>
      <c r="N322" s="25">
        <v>20</v>
      </c>
    </row>
    <row r="323" spans="4:14">
      <c r="D323" s="64">
        <v>46080</v>
      </c>
      <c r="E323" s="32">
        <v>1580812</v>
      </c>
      <c r="F323" s="32" t="s">
        <v>41</v>
      </c>
      <c r="G323" s="32">
        <v>20326050</v>
      </c>
      <c r="H323" s="32" t="s">
        <v>373</v>
      </c>
      <c r="I323" s="32">
        <v>5</v>
      </c>
      <c r="J323" s="34" t="s">
        <v>97</v>
      </c>
      <c r="K323" s="24">
        <v>1</v>
      </c>
      <c r="L323" s="25">
        <v>3.2</v>
      </c>
      <c r="M323" s="25">
        <v>3.2</v>
      </c>
      <c r="N323" s="25">
        <v>16</v>
      </c>
    </row>
    <row r="324" spans="4:14">
      <c r="D324" s="64">
        <v>46080</v>
      </c>
      <c r="E324" s="32">
        <v>1580865</v>
      </c>
      <c r="F324" s="32" t="s">
        <v>16</v>
      </c>
      <c r="G324" s="32">
        <v>20324046</v>
      </c>
      <c r="H324" s="32" t="s">
        <v>232</v>
      </c>
      <c r="I324" s="32">
        <v>1</v>
      </c>
      <c r="J324" s="30" t="s">
        <v>18</v>
      </c>
      <c r="K324" s="24">
        <f t="shared" si="21"/>
        <v>49</v>
      </c>
      <c r="L324" s="25">
        <v>4.4</v>
      </c>
      <c r="M324" s="25">
        <v>215.6</v>
      </c>
      <c r="N324" s="25">
        <v>215.6</v>
      </c>
    </row>
    <row r="325" spans="4:14">
      <c r="D325" s="64">
        <v>46080</v>
      </c>
      <c r="E325" s="32">
        <v>1580865</v>
      </c>
      <c r="F325" s="32" t="s">
        <v>16</v>
      </c>
      <c r="G325" s="32">
        <v>20324045</v>
      </c>
      <c r="H325" s="32" t="s">
        <v>294</v>
      </c>
      <c r="I325" s="32">
        <v>1</v>
      </c>
      <c r="J325" s="30" t="s">
        <v>18</v>
      </c>
      <c r="K325" s="24">
        <f t="shared" si="21"/>
        <v>19</v>
      </c>
      <c r="L325" s="25">
        <v>4.4</v>
      </c>
      <c r="M325" s="25">
        <v>83.6</v>
      </c>
      <c r="N325" s="25">
        <v>83.6</v>
      </c>
    </row>
    <row r="326" spans="4:14">
      <c r="D326" s="64">
        <v>46080</v>
      </c>
      <c r="E326" s="32">
        <v>1580865</v>
      </c>
      <c r="F326" s="32" t="s">
        <v>20</v>
      </c>
      <c r="G326" s="32">
        <v>20325179</v>
      </c>
      <c r="H326" s="32" t="s">
        <v>330</v>
      </c>
      <c r="I326" s="32">
        <v>1</v>
      </c>
      <c r="J326" s="32" t="s">
        <v>64</v>
      </c>
      <c r="K326" s="24">
        <v>1</v>
      </c>
      <c r="L326" s="25">
        <v>8.8</v>
      </c>
      <c r="M326" s="25">
        <v>13.2</v>
      </c>
      <c r="N326" s="25">
        <v>13.2</v>
      </c>
    </row>
    <row r="327" spans="4:14">
      <c r="D327" s="64"/>
      <c r="E327" s="32"/>
      <c r="F327" s="32"/>
      <c r="G327" s="32"/>
      <c r="H327" s="32"/>
      <c r="I327" s="32"/>
      <c r="J327" s="32" t="s">
        <v>116</v>
      </c>
      <c r="K327" s="24">
        <v>1</v>
      </c>
      <c r="L327" s="25">
        <v>4.4</v>
      </c>
      <c r="M327" s="25"/>
      <c r="N327" s="25"/>
    </row>
    <row r="328" spans="4:14">
      <c r="D328" s="64">
        <v>46080</v>
      </c>
      <c r="E328" s="32">
        <v>1580865</v>
      </c>
      <c r="F328" s="32" t="s">
        <v>20</v>
      </c>
      <c r="G328" s="32">
        <v>20324370</v>
      </c>
      <c r="H328" s="32" t="s">
        <v>102</v>
      </c>
      <c r="I328" s="32">
        <v>1</v>
      </c>
      <c r="J328" s="31" t="s">
        <v>29</v>
      </c>
      <c r="K328" s="24">
        <v>1</v>
      </c>
      <c r="L328" s="25">
        <v>6.4</v>
      </c>
      <c r="M328" s="25">
        <v>6.4</v>
      </c>
      <c r="N328" s="25">
        <v>6.4</v>
      </c>
    </row>
    <row r="329" spans="4:14">
      <c r="D329" s="64">
        <v>46080</v>
      </c>
      <c r="E329" s="32">
        <v>1580865</v>
      </c>
      <c r="F329" s="32" t="s">
        <v>20</v>
      </c>
      <c r="G329" s="32">
        <v>20324367</v>
      </c>
      <c r="H329" s="32" t="s">
        <v>158</v>
      </c>
      <c r="I329" s="32">
        <v>1</v>
      </c>
      <c r="J329" s="31" t="s">
        <v>29</v>
      </c>
      <c r="K329" s="24">
        <v>1</v>
      </c>
      <c r="L329" s="25">
        <v>6.4</v>
      </c>
      <c r="M329" s="25">
        <v>6.4</v>
      </c>
      <c r="N329" s="25">
        <v>6.4</v>
      </c>
    </row>
    <row r="330" spans="4:14">
      <c r="D330" s="64">
        <v>46080</v>
      </c>
      <c r="E330" s="32">
        <v>1580865</v>
      </c>
      <c r="F330" s="32" t="s">
        <v>20</v>
      </c>
      <c r="G330" s="32">
        <v>20324710</v>
      </c>
      <c r="H330" s="32" t="s">
        <v>366</v>
      </c>
      <c r="I330" s="32">
        <v>1</v>
      </c>
      <c r="J330" s="34"/>
      <c r="K330" s="25"/>
      <c r="L330" s="25"/>
      <c r="M330" s="25">
        <v>17.6</v>
      </c>
      <c r="N330" s="25">
        <v>17.6</v>
      </c>
    </row>
    <row r="331" spans="4:14">
      <c r="D331" s="64">
        <v>46080</v>
      </c>
      <c r="E331" s="32">
        <v>1580865</v>
      </c>
      <c r="F331" s="32" t="s">
        <v>20</v>
      </c>
      <c r="G331" s="32">
        <v>20329152</v>
      </c>
      <c r="H331" s="32" t="s">
        <v>345</v>
      </c>
      <c r="I331" s="32">
        <v>2</v>
      </c>
      <c r="J331" s="30" t="s">
        <v>18</v>
      </c>
      <c r="K331" s="24">
        <f>M331/L331</f>
        <v>11</v>
      </c>
      <c r="L331" s="25">
        <v>4.4</v>
      </c>
      <c r="M331" s="25">
        <v>48.4</v>
      </c>
      <c r="N331" s="25">
        <v>96.8</v>
      </c>
    </row>
    <row r="332" spans="4:14">
      <c r="D332" s="64">
        <v>46080</v>
      </c>
      <c r="E332" s="32">
        <v>1580865</v>
      </c>
      <c r="F332" s="32" t="s">
        <v>20</v>
      </c>
      <c r="G332" s="32">
        <v>20324699</v>
      </c>
      <c r="H332" s="32" t="s">
        <v>252</v>
      </c>
      <c r="I332" s="32">
        <v>4</v>
      </c>
      <c r="J332" s="30" t="s">
        <v>18</v>
      </c>
      <c r="K332" s="24">
        <f>M332/L332</f>
        <v>5</v>
      </c>
      <c r="L332" s="25">
        <v>4.4</v>
      </c>
      <c r="M332" s="25">
        <v>22</v>
      </c>
      <c r="N332" s="25">
        <v>88</v>
      </c>
    </row>
    <row r="333" spans="4:14">
      <c r="D333" s="64">
        <v>46081</v>
      </c>
      <c r="E333" s="32">
        <v>1581219</v>
      </c>
      <c r="F333" s="32" t="s">
        <v>20</v>
      </c>
      <c r="G333" s="32">
        <v>20366789</v>
      </c>
      <c r="H333" s="32" t="s">
        <v>322</v>
      </c>
      <c r="I333" s="32">
        <v>2</v>
      </c>
      <c r="J333" s="34" t="s">
        <v>181</v>
      </c>
      <c r="K333" s="24">
        <v>1</v>
      </c>
      <c r="L333" s="25">
        <v>28</v>
      </c>
      <c r="M333" s="25">
        <v>28</v>
      </c>
      <c r="N333" s="25">
        <v>56</v>
      </c>
    </row>
    <row r="334" spans="4:14">
      <c r="D334" s="64">
        <v>46081</v>
      </c>
      <c r="E334" s="32">
        <v>1581219</v>
      </c>
      <c r="F334" s="32" t="s">
        <v>20</v>
      </c>
      <c r="G334" s="32">
        <v>20406210</v>
      </c>
      <c r="H334" s="32" t="s">
        <v>374</v>
      </c>
      <c r="I334" s="32">
        <v>2</v>
      </c>
      <c r="J334" s="30" t="s">
        <v>36</v>
      </c>
      <c r="K334" s="24">
        <v>1</v>
      </c>
      <c r="L334" s="25">
        <v>17.6</v>
      </c>
      <c r="M334" s="25">
        <v>17.6</v>
      </c>
      <c r="N334" s="25">
        <v>35.2</v>
      </c>
    </row>
    <row r="335" spans="4:14">
      <c r="D335" s="64">
        <v>46081</v>
      </c>
      <c r="E335" s="32">
        <v>1581219</v>
      </c>
      <c r="F335" s="32" t="s">
        <v>20</v>
      </c>
      <c r="G335" s="32">
        <v>20391560</v>
      </c>
      <c r="H335" s="32" t="s">
        <v>375</v>
      </c>
      <c r="I335" s="32">
        <v>1</v>
      </c>
      <c r="J335" s="30" t="s">
        <v>51</v>
      </c>
      <c r="K335" s="24" t="s">
        <v>52</v>
      </c>
      <c r="L335" s="25">
        <v>132</v>
      </c>
      <c r="M335" s="25">
        <v>220</v>
      </c>
      <c r="N335" s="25">
        <v>220</v>
      </c>
    </row>
    <row r="336" spans="4:14">
      <c r="D336" s="64"/>
      <c r="E336" s="32"/>
      <c r="F336" s="32"/>
      <c r="G336" s="32"/>
      <c r="H336" s="32"/>
      <c r="I336" s="32"/>
      <c r="J336" s="34" t="s">
        <v>61</v>
      </c>
      <c r="K336" s="24" t="s">
        <v>62</v>
      </c>
      <c r="L336" s="25">
        <v>70.4</v>
      </c>
      <c r="M336" s="25"/>
      <c r="N336" s="25"/>
    </row>
    <row r="337" spans="4:14">
      <c r="D337" s="64"/>
      <c r="E337" s="32"/>
      <c r="F337" s="32"/>
      <c r="G337" s="32"/>
      <c r="H337" s="32"/>
      <c r="I337" s="32"/>
      <c r="J337" s="30" t="s">
        <v>36</v>
      </c>
      <c r="K337" s="24">
        <v>1</v>
      </c>
      <c r="L337" s="25">
        <v>17.6</v>
      </c>
      <c r="M337" s="25"/>
      <c r="N337" s="25"/>
    </row>
    <row r="338" spans="4:14">
      <c r="D338" s="64">
        <v>46081</v>
      </c>
      <c r="E338" s="32">
        <v>1581235</v>
      </c>
      <c r="F338" s="32" t="s">
        <v>16</v>
      </c>
      <c r="G338" s="32">
        <v>20405201</v>
      </c>
      <c r="H338" s="32" t="s">
        <v>325</v>
      </c>
      <c r="I338" s="32">
        <v>1</v>
      </c>
      <c r="J338" s="30" t="s">
        <v>18</v>
      </c>
      <c r="K338" s="24">
        <f t="shared" ref="K338:K341" si="22">M338/L338</f>
        <v>18</v>
      </c>
      <c r="L338" s="25">
        <v>4.4</v>
      </c>
      <c r="M338" s="25">
        <v>79.2</v>
      </c>
      <c r="N338" s="25">
        <v>79.2</v>
      </c>
    </row>
    <row r="339" spans="4:14">
      <c r="D339" s="64">
        <v>46081</v>
      </c>
      <c r="E339" s="32">
        <v>1581235</v>
      </c>
      <c r="F339" s="32" t="s">
        <v>16</v>
      </c>
      <c r="G339" s="32">
        <v>20336544</v>
      </c>
      <c r="H339" s="32" t="s">
        <v>326</v>
      </c>
      <c r="I339" s="32">
        <v>1</v>
      </c>
      <c r="J339" s="30" t="s">
        <v>18</v>
      </c>
      <c r="K339" s="24">
        <f t="shared" si="22"/>
        <v>19</v>
      </c>
      <c r="L339" s="25">
        <v>4.4</v>
      </c>
      <c r="M339" s="25">
        <v>83.6</v>
      </c>
      <c r="N339" s="25">
        <v>83.6</v>
      </c>
    </row>
    <row r="340" spans="4:14">
      <c r="D340" s="64">
        <v>46081</v>
      </c>
      <c r="E340" s="32">
        <v>1581235</v>
      </c>
      <c r="F340" s="32" t="s">
        <v>16</v>
      </c>
      <c r="G340" s="32">
        <v>20324045</v>
      </c>
      <c r="H340" s="32" t="s">
        <v>294</v>
      </c>
      <c r="I340" s="32">
        <v>3</v>
      </c>
      <c r="J340" s="30" t="s">
        <v>18</v>
      </c>
      <c r="K340" s="24">
        <f t="shared" si="22"/>
        <v>19</v>
      </c>
      <c r="L340" s="25">
        <v>4.4</v>
      </c>
      <c r="M340" s="25">
        <v>83.6</v>
      </c>
      <c r="N340" s="25">
        <v>250.8</v>
      </c>
    </row>
    <row r="341" spans="4:14">
      <c r="D341" s="64">
        <v>46081</v>
      </c>
      <c r="E341" s="32">
        <v>1581235</v>
      </c>
      <c r="F341" s="32" t="s">
        <v>26</v>
      </c>
      <c r="G341" s="32">
        <v>20324739</v>
      </c>
      <c r="H341" s="32" t="s">
        <v>376</v>
      </c>
      <c r="I341" s="32">
        <v>1</v>
      </c>
      <c r="J341" s="30" t="s">
        <v>18</v>
      </c>
      <c r="K341" s="24">
        <f t="shared" si="22"/>
        <v>6</v>
      </c>
      <c r="L341" s="25">
        <v>4.4</v>
      </c>
      <c r="M341" s="25">
        <v>26.4</v>
      </c>
      <c r="N341" s="25">
        <v>26.4</v>
      </c>
    </row>
    <row r="342" spans="4:14">
      <c r="D342" s="64">
        <v>46081</v>
      </c>
      <c r="E342" s="32">
        <v>1581235</v>
      </c>
      <c r="F342" s="32" t="s">
        <v>20</v>
      </c>
      <c r="G342" s="32">
        <v>20324370</v>
      </c>
      <c r="H342" s="32" t="s">
        <v>102</v>
      </c>
      <c r="I342" s="32">
        <v>1</v>
      </c>
      <c r="J342" s="31" t="s">
        <v>29</v>
      </c>
      <c r="K342" s="24">
        <v>1</v>
      </c>
      <c r="L342" s="25">
        <v>6.4</v>
      </c>
      <c r="M342" s="25">
        <v>6.4</v>
      </c>
      <c r="N342" s="25">
        <v>6.4</v>
      </c>
    </row>
    <row r="343" spans="4:14">
      <c r="D343" s="64">
        <v>46081</v>
      </c>
      <c r="E343" s="32">
        <v>1581235</v>
      </c>
      <c r="F343" s="32" t="s">
        <v>20</v>
      </c>
      <c r="G343" s="32">
        <v>20329152</v>
      </c>
      <c r="H343" s="32" t="s">
        <v>345</v>
      </c>
      <c r="I343" s="32">
        <v>1</v>
      </c>
      <c r="J343" s="30" t="s">
        <v>18</v>
      </c>
      <c r="K343" s="24">
        <f>M343/L343</f>
        <v>11</v>
      </c>
      <c r="L343" s="25">
        <v>4.4</v>
      </c>
      <c r="M343" s="25">
        <v>48.4</v>
      </c>
      <c r="N343" s="25">
        <v>48.4</v>
      </c>
    </row>
    <row r="344" spans="4:14">
      <c r="D344" s="64">
        <v>46081</v>
      </c>
      <c r="E344" s="32">
        <v>1581235</v>
      </c>
      <c r="F344" s="32" t="s">
        <v>20</v>
      </c>
      <c r="G344" s="32">
        <v>20324699</v>
      </c>
      <c r="H344" s="32" t="s">
        <v>252</v>
      </c>
      <c r="I344" s="32">
        <v>4</v>
      </c>
      <c r="J344" s="30" t="s">
        <v>18</v>
      </c>
      <c r="K344" s="24">
        <f>M344/L344</f>
        <v>5</v>
      </c>
      <c r="L344" s="25">
        <v>4.4</v>
      </c>
      <c r="M344" s="25">
        <v>22</v>
      </c>
      <c r="N344" s="25">
        <v>88</v>
      </c>
    </row>
    <row r="349" ht="14.25" spans="4:14">
      <c r="D349" s="95" t="s">
        <v>377</v>
      </c>
      <c r="E349" s="95"/>
      <c r="F349" s="95"/>
      <c r="G349" s="95"/>
      <c r="H349" s="95"/>
      <c r="I349" s="95"/>
      <c r="J349" s="95"/>
      <c r="K349" s="95"/>
      <c r="L349" s="95"/>
      <c r="M349" s="95"/>
      <c r="N349" s="95"/>
    </row>
    <row r="350" spans="4:14">
      <c r="D350" s="96" t="s">
        <v>4</v>
      </c>
      <c r="E350" s="96" t="s">
        <v>5</v>
      </c>
      <c r="F350" s="96" t="s">
        <v>6</v>
      </c>
      <c r="G350" s="96" t="s">
        <v>7</v>
      </c>
      <c r="H350" s="96" t="s">
        <v>8</v>
      </c>
      <c r="I350" s="96" t="s">
        <v>9</v>
      </c>
      <c r="J350" s="96" t="s">
        <v>10</v>
      </c>
      <c r="K350" s="97" t="s">
        <v>378</v>
      </c>
      <c r="L350" s="98" t="s">
        <v>12</v>
      </c>
      <c r="M350" s="98" t="s">
        <v>13</v>
      </c>
      <c r="N350" s="98" t="s">
        <v>14</v>
      </c>
    </row>
    <row r="351" spans="4:14">
      <c r="D351" s="64">
        <v>46064</v>
      </c>
      <c r="E351" s="32">
        <v>1578189</v>
      </c>
      <c r="F351" s="32" t="s">
        <v>16</v>
      </c>
      <c r="G351" s="32">
        <v>20324463</v>
      </c>
      <c r="H351" s="32" t="s">
        <v>249</v>
      </c>
      <c r="I351" s="32">
        <v>1</v>
      </c>
      <c r="J351" s="30" t="s">
        <v>18</v>
      </c>
      <c r="K351" s="24">
        <f>M351/L351</f>
        <v>35</v>
      </c>
      <c r="L351" s="25">
        <v>4.4</v>
      </c>
      <c r="M351" s="25">
        <v>154</v>
      </c>
      <c r="N351" s="25">
        <v>154</v>
      </c>
    </row>
    <row r="352" spans="4:14">
      <c r="D352" s="64">
        <v>46064</v>
      </c>
      <c r="E352" s="32">
        <v>1578189</v>
      </c>
      <c r="F352" s="32" t="s">
        <v>20</v>
      </c>
      <c r="G352" s="32">
        <v>20324699</v>
      </c>
      <c r="H352" s="32" t="s">
        <v>252</v>
      </c>
      <c r="I352" s="32">
        <v>1</v>
      </c>
      <c r="J352" s="30" t="s">
        <v>18</v>
      </c>
      <c r="K352" s="24">
        <f>M352/L352</f>
        <v>5</v>
      </c>
      <c r="L352" s="25">
        <v>4.4</v>
      </c>
      <c r="M352" s="25">
        <v>22</v>
      </c>
      <c r="N352" s="25">
        <v>22</v>
      </c>
    </row>
    <row r="353" spans="4:14">
      <c r="D353" s="64">
        <v>46064</v>
      </c>
      <c r="E353" s="32">
        <v>1578190</v>
      </c>
      <c r="F353" s="32" t="s">
        <v>20</v>
      </c>
      <c r="G353" s="32">
        <v>20328267</v>
      </c>
      <c r="H353" s="32" t="s">
        <v>298</v>
      </c>
      <c r="I353" s="32">
        <v>1</v>
      </c>
      <c r="J353" s="34" t="s">
        <v>128</v>
      </c>
      <c r="K353" s="24">
        <v>1</v>
      </c>
      <c r="L353" s="25">
        <v>22.4</v>
      </c>
      <c r="M353" s="25">
        <v>22.4</v>
      </c>
      <c r="N353" s="25">
        <v>22.4</v>
      </c>
    </row>
    <row r="354" spans="4:14">
      <c r="D354" s="64">
        <v>46064</v>
      </c>
      <c r="E354" s="32">
        <v>1578190</v>
      </c>
      <c r="F354" s="32" t="s">
        <v>20</v>
      </c>
      <c r="G354" s="32">
        <v>20357239</v>
      </c>
      <c r="H354" s="32" t="s">
        <v>257</v>
      </c>
      <c r="I354" s="32">
        <v>1</v>
      </c>
      <c r="J354" s="34" t="s">
        <v>181</v>
      </c>
      <c r="K354" s="24">
        <v>1</v>
      </c>
      <c r="L354" s="25">
        <v>28</v>
      </c>
      <c r="M354" s="25">
        <v>28</v>
      </c>
      <c r="N354" s="25">
        <v>28</v>
      </c>
    </row>
    <row r="355" spans="4:14">
      <c r="D355" s="64">
        <v>46064</v>
      </c>
      <c r="E355" s="32">
        <v>1578190</v>
      </c>
      <c r="F355" s="32" t="s">
        <v>20</v>
      </c>
      <c r="G355" s="32">
        <v>20345154</v>
      </c>
      <c r="H355" s="32" t="s">
        <v>304</v>
      </c>
      <c r="I355" s="32">
        <v>1</v>
      </c>
      <c r="J355" s="34" t="s">
        <v>128</v>
      </c>
      <c r="K355" s="24">
        <v>1</v>
      </c>
      <c r="L355" s="25">
        <v>22.4</v>
      </c>
      <c r="M355" s="25">
        <v>22.4</v>
      </c>
      <c r="N355" s="25">
        <v>22.4</v>
      </c>
    </row>
    <row r="356" spans="4:14">
      <c r="D356" s="64">
        <v>46064</v>
      </c>
      <c r="E356" s="32">
        <v>1578190</v>
      </c>
      <c r="F356" s="32" t="s">
        <v>20</v>
      </c>
      <c r="G356" s="32">
        <v>20382055</v>
      </c>
      <c r="H356" s="32" t="s">
        <v>283</v>
      </c>
      <c r="I356" s="32">
        <v>1</v>
      </c>
      <c r="J356" s="30" t="s">
        <v>36</v>
      </c>
      <c r="K356" s="24">
        <v>1</v>
      </c>
      <c r="L356" s="25">
        <v>17.6</v>
      </c>
      <c r="M356" s="25">
        <v>17.6</v>
      </c>
      <c r="N356" s="25">
        <v>17.6</v>
      </c>
    </row>
    <row r="357" spans="4:14">
      <c r="D357" s="64">
        <v>46064</v>
      </c>
      <c r="E357" s="32">
        <v>1578190</v>
      </c>
      <c r="F357" s="32" t="s">
        <v>20</v>
      </c>
      <c r="G357" s="32">
        <v>20328266</v>
      </c>
      <c r="H357" s="32" t="s">
        <v>305</v>
      </c>
      <c r="I357" s="32">
        <v>1</v>
      </c>
      <c r="J357" s="34" t="s">
        <v>181</v>
      </c>
      <c r="K357" s="24">
        <v>1</v>
      </c>
      <c r="L357" s="25">
        <v>28</v>
      </c>
      <c r="M357" s="25">
        <v>28</v>
      </c>
      <c r="N357" s="25">
        <v>28</v>
      </c>
    </row>
    <row r="358" spans="4:14">
      <c r="D358" s="64">
        <v>46064</v>
      </c>
      <c r="E358" s="32">
        <v>1578190</v>
      </c>
      <c r="F358" s="32" t="s">
        <v>20</v>
      </c>
      <c r="G358" s="32">
        <v>20341396</v>
      </c>
      <c r="H358" s="32" t="s">
        <v>354</v>
      </c>
      <c r="I358" s="32">
        <v>1</v>
      </c>
      <c r="J358" s="30" t="s">
        <v>36</v>
      </c>
      <c r="K358" s="24">
        <v>1</v>
      </c>
      <c r="L358" s="25">
        <v>17.6</v>
      </c>
      <c r="M358" s="25">
        <v>17.6</v>
      </c>
      <c r="N358" s="25">
        <v>17.6</v>
      </c>
    </row>
    <row r="359" spans="4:14">
      <c r="D359" s="64">
        <v>46064</v>
      </c>
      <c r="E359" s="32">
        <v>1578190</v>
      </c>
      <c r="F359" s="32" t="s">
        <v>20</v>
      </c>
      <c r="G359" s="32">
        <v>20327630</v>
      </c>
      <c r="H359" s="32" t="s">
        <v>306</v>
      </c>
      <c r="I359" s="32">
        <v>1</v>
      </c>
      <c r="J359" s="34" t="s">
        <v>128</v>
      </c>
      <c r="K359" s="24">
        <v>1</v>
      </c>
      <c r="L359" s="25">
        <v>22.4</v>
      </c>
      <c r="M359" s="25">
        <v>22.4</v>
      </c>
      <c r="N359" s="25">
        <v>22.4</v>
      </c>
    </row>
    <row r="360" spans="4:14">
      <c r="D360" s="64">
        <v>46064</v>
      </c>
      <c r="E360" s="32">
        <v>1578190</v>
      </c>
      <c r="F360" s="32" t="s">
        <v>20</v>
      </c>
      <c r="G360" s="32">
        <v>20338703</v>
      </c>
      <c r="H360" s="32" t="s">
        <v>307</v>
      </c>
      <c r="I360" s="32">
        <v>1</v>
      </c>
      <c r="J360" s="34" t="s">
        <v>128</v>
      </c>
      <c r="K360" s="24">
        <v>1</v>
      </c>
      <c r="L360" s="25">
        <v>22.4</v>
      </c>
      <c r="M360" s="25">
        <v>22.4</v>
      </c>
      <c r="N360" s="25">
        <v>22.4</v>
      </c>
    </row>
    <row r="361" spans="4:14">
      <c r="D361" s="64">
        <v>46064</v>
      </c>
      <c r="E361" s="32">
        <v>1578190</v>
      </c>
      <c r="F361" s="32" t="s">
        <v>20</v>
      </c>
      <c r="G361" s="32">
        <v>20350751</v>
      </c>
      <c r="H361" s="32" t="s">
        <v>355</v>
      </c>
      <c r="I361" s="32">
        <v>1</v>
      </c>
      <c r="J361" s="30" t="s">
        <v>259</v>
      </c>
      <c r="K361" s="24">
        <v>1</v>
      </c>
      <c r="L361" s="25">
        <v>20</v>
      </c>
      <c r="M361" s="25">
        <v>20</v>
      </c>
      <c r="N361" s="25">
        <v>20</v>
      </c>
    </row>
    <row r="362" spans="4:14">
      <c r="D362" s="64">
        <v>46064</v>
      </c>
      <c r="E362" s="32">
        <v>1578190</v>
      </c>
      <c r="F362" s="32" t="s">
        <v>20</v>
      </c>
      <c r="G362" s="32">
        <v>20398299</v>
      </c>
      <c r="H362" s="32" t="s">
        <v>308</v>
      </c>
      <c r="I362" s="32">
        <v>1</v>
      </c>
      <c r="J362" s="34" t="s">
        <v>128</v>
      </c>
      <c r="K362" s="24">
        <v>1</v>
      </c>
      <c r="L362" s="25">
        <v>22.4</v>
      </c>
      <c r="M362" s="25">
        <v>22.4</v>
      </c>
      <c r="N362" s="25">
        <v>22.4</v>
      </c>
    </row>
    <row r="363" spans="4:14">
      <c r="D363" s="64">
        <v>46064</v>
      </c>
      <c r="E363" s="32">
        <v>1578200</v>
      </c>
      <c r="F363" s="32" t="s">
        <v>20</v>
      </c>
      <c r="G363" s="32">
        <v>20341590</v>
      </c>
      <c r="H363" s="32" t="s">
        <v>379</v>
      </c>
      <c r="I363" s="32">
        <v>1</v>
      </c>
      <c r="J363" s="34" t="s">
        <v>128</v>
      </c>
      <c r="K363" s="24">
        <v>1</v>
      </c>
      <c r="L363" s="25">
        <v>22.4</v>
      </c>
      <c r="M363" s="25">
        <v>22.4</v>
      </c>
      <c r="N363" s="25">
        <v>22.4</v>
      </c>
    </row>
    <row r="364" spans="4:14">
      <c r="D364" s="99"/>
      <c r="E364" s="100"/>
      <c r="F364" s="100"/>
      <c r="G364" s="100"/>
      <c r="H364" s="100" t="s">
        <v>380</v>
      </c>
      <c r="I364" s="100"/>
      <c r="J364" s="100"/>
      <c r="K364" s="100"/>
      <c r="L364" s="100"/>
      <c r="M364" s="101"/>
      <c r="N364" s="25">
        <v>421.6</v>
      </c>
    </row>
  </sheetData>
  <autoFilter xmlns:etc="http://www.wps.cn/officeDocument/2017/etCustomData" ref="A7:N344" etc:filterBottomFollowUsedRange="0">
    <extLst/>
  </autoFilter>
  <mergeCells count="158">
    <mergeCell ref="D8:H8"/>
    <mergeCell ref="D349:N349"/>
    <mergeCell ref="C7:C344"/>
    <mergeCell ref="D12:D13"/>
    <mergeCell ref="D42:D43"/>
    <mergeCell ref="D51:D52"/>
    <mergeCell ref="D68:D69"/>
    <mergeCell ref="D71:D73"/>
    <mergeCell ref="D89:D90"/>
    <mergeCell ref="D91:D92"/>
    <mergeCell ref="D101:D103"/>
    <mergeCell ref="D108:D109"/>
    <mergeCell ref="D128:D129"/>
    <mergeCell ref="D151:D152"/>
    <mergeCell ref="D173:D174"/>
    <mergeCell ref="D192:D193"/>
    <mergeCell ref="D226:D227"/>
    <mergeCell ref="D229:D231"/>
    <mergeCell ref="D234:D236"/>
    <mergeCell ref="D317:D318"/>
    <mergeCell ref="D326:D327"/>
    <mergeCell ref="D335:D337"/>
    <mergeCell ref="E12:E13"/>
    <mergeCell ref="E42:E43"/>
    <mergeCell ref="E51:E52"/>
    <mergeCell ref="E68:E69"/>
    <mergeCell ref="E71:E73"/>
    <mergeCell ref="E89:E90"/>
    <mergeCell ref="E91:E92"/>
    <mergeCell ref="E101:E103"/>
    <mergeCell ref="E108:E109"/>
    <mergeCell ref="E128:E129"/>
    <mergeCell ref="E151:E152"/>
    <mergeCell ref="E173:E174"/>
    <mergeCell ref="E192:E193"/>
    <mergeCell ref="E226:E227"/>
    <mergeCell ref="E229:E231"/>
    <mergeCell ref="E234:E236"/>
    <mergeCell ref="E317:E318"/>
    <mergeCell ref="E326:E327"/>
    <mergeCell ref="E335:E337"/>
    <mergeCell ref="F12:F13"/>
    <mergeCell ref="F42:F43"/>
    <mergeCell ref="F51:F52"/>
    <mergeCell ref="F68:F69"/>
    <mergeCell ref="F71:F73"/>
    <mergeCell ref="F89:F90"/>
    <mergeCell ref="F91:F92"/>
    <mergeCell ref="F101:F103"/>
    <mergeCell ref="F108:F109"/>
    <mergeCell ref="F128:F129"/>
    <mergeCell ref="F151:F152"/>
    <mergeCell ref="F173:F174"/>
    <mergeCell ref="F192:F193"/>
    <mergeCell ref="F226:F227"/>
    <mergeCell ref="F229:F231"/>
    <mergeCell ref="F234:F236"/>
    <mergeCell ref="F317:F318"/>
    <mergeCell ref="F326:F327"/>
    <mergeCell ref="F335:F337"/>
    <mergeCell ref="G12:G13"/>
    <mergeCell ref="G42:G43"/>
    <mergeCell ref="G51:G52"/>
    <mergeCell ref="G68:G69"/>
    <mergeCell ref="G71:G73"/>
    <mergeCell ref="G89:G90"/>
    <mergeCell ref="G91:G92"/>
    <mergeCell ref="G101:G103"/>
    <mergeCell ref="G108:G109"/>
    <mergeCell ref="G128:G129"/>
    <mergeCell ref="G151:G152"/>
    <mergeCell ref="G173:G174"/>
    <mergeCell ref="G192:G193"/>
    <mergeCell ref="G226:G227"/>
    <mergeCell ref="G229:G231"/>
    <mergeCell ref="G234:G236"/>
    <mergeCell ref="G317:G318"/>
    <mergeCell ref="G326:G327"/>
    <mergeCell ref="G335:G337"/>
    <mergeCell ref="H12:H13"/>
    <mergeCell ref="H42:H43"/>
    <mergeCell ref="H51:H52"/>
    <mergeCell ref="H68:H69"/>
    <mergeCell ref="H71:H73"/>
    <mergeCell ref="H89:H90"/>
    <mergeCell ref="H91:H92"/>
    <mergeCell ref="H101:H103"/>
    <mergeCell ref="H108:H109"/>
    <mergeCell ref="H128:H129"/>
    <mergeCell ref="H151:H152"/>
    <mergeCell ref="H173:H174"/>
    <mergeCell ref="H192:H193"/>
    <mergeCell ref="H226:H227"/>
    <mergeCell ref="H229:H231"/>
    <mergeCell ref="H234:H236"/>
    <mergeCell ref="H317:H318"/>
    <mergeCell ref="H326:H327"/>
    <mergeCell ref="H335:H337"/>
    <mergeCell ref="I12:I13"/>
    <mergeCell ref="I42:I43"/>
    <mergeCell ref="I51:I52"/>
    <mergeCell ref="I68:I69"/>
    <mergeCell ref="I71:I73"/>
    <mergeCell ref="I89:I90"/>
    <mergeCell ref="I91:I92"/>
    <mergeCell ref="I101:I103"/>
    <mergeCell ref="I108:I109"/>
    <mergeCell ref="I128:I129"/>
    <mergeCell ref="I151:I152"/>
    <mergeCell ref="I173:I174"/>
    <mergeCell ref="I192:I193"/>
    <mergeCell ref="I226:I227"/>
    <mergeCell ref="I229:I231"/>
    <mergeCell ref="I234:I236"/>
    <mergeCell ref="I317:I318"/>
    <mergeCell ref="I326:I327"/>
    <mergeCell ref="I335:I337"/>
    <mergeCell ref="M12:M13"/>
    <mergeCell ref="M42:M43"/>
    <mergeCell ref="M51:M52"/>
    <mergeCell ref="M68:M69"/>
    <mergeCell ref="M71:M73"/>
    <mergeCell ref="M89:M90"/>
    <mergeCell ref="M91:M92"/>
    <mergeCell ref="M101:M103"/>
    <mergeCell ref="M108:M109"/>
    <mergeCell ref="M128:M129"/>
    <mergeCell ref="M151:M152"/>
    <mergeCell ref="M173:M174"/>
    <mergeCell ref="M192:M193"/>
    <mergeCell ref="M226:M227"/>
    <mergeCell ref="M229:M231"/>
    <mergeCell ref="M234:M236"/>
    <mergeCell ref="M317:M318"/>
    <mergeCell ref="M326:M327"/>
    <mergeCell ref="M335:M337"/>
    <mergeCell ref="N12:N13"/>
    <mergeCell ref="N42:N43"/>
    <mergeCell ref="N51:N52"/>
    <mergeCell ref="N68:N69"/>
    <mergeCell ref="N71:N73"/>
    <mergeCell ref="N89:N90"/>
    <mergeCell ref="N91:N92"/>
    <mergeCell ref="N101:N103"/>
    <mergeCell ref="N108:N109"/>
    <mergeCell ref="N128:N129"/>
    <mergeCell ref="N151:N152"/>
    <mergeCell ref="N173:N174"/>
    <mergeCell ref="N192:N193"/>
    <mergeCell ref="N226:N227"/>
    <mergeCell ref="N229:N231"/>
    <mergeCell ref="N234:N236"/>
    <mergeCell ref="N317:N318"/>
    <mergeCell ref="N326:N327"/>
    <mergeCell ref="N335:N337"/>
    <mergeCell ref="B4:H5"/>
    <mergeCell ref="C1:H2"/>
    <mergeCell ref="A7:B3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"/>
  <sheetViews>
    <sheetView workbookViewId="0">
      <selection activeCell="A2" sqref="A2:Q2"/>
    </sheetView>
  </sheetViews>
  <sheetFormatPr defaultColWidth="9" defaultRowHeight="13.5"/>
  <cols>
    <col min="1" max="1" width="19.0083333333333" customWidth="1"/>
    <col min="2" max="2" width="11.0083333333333" customWidth="1"/>
    <col min="3" max="3" width="24.0083333333333" customWidth="1"/>
    <col min="4" max="4" width="11.3416666666667" customWidth="1"/>
    <col min="5" max="5" width="10.3416666666667" customWidth="1"/>
    <col min="6" max="6" width="13.0083333333333" customWidth="1"/>
    <col min="7" max="13" width="10.3416666666667" customWidth="1"/>
    <col min="14" max="16" width="14.0083333333333" customWidth="1"/>
    <col min="17" max="17" width="10.3416666666667" customWidth="1"/>
  </cols>
  <sheetData>
    <row r="1" ht="39" customHeight="1" spans="1:17">
      <c r="A1" s="71" t="s">
        <v>381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3"/>
    </row>
    <row r="2" ht="24.5" customHeight="1" spans="1:17">
      <c r="A2" s="71" t="s">
        <v>382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3"/>
    </row>
    <row r="3" ht="18.5" customHeight="1" spans="1:17">
      <c r="A3" s="74" t="s">
        <v>383</v>
      </c>
      <c r="B3" s="74" t="s">
        <v>384</v>
      </c>
      <c r="C3" s="74" t="s">
        <v>8</v>
      </c>
      <c r="D3" s="74" t="s">
        <v>4</v>
      </c>
      <c r="E3" s="74" t="s">
        <v>385</v>
      </c>
      <c r="F3" s="74" t="s">
        <v>386</v>
      </c>
      <c r="G3" s="74" t="s">
        <v>387</v>
      </c>
      <c r="H3" s="75" t="s">
        <v>388</v>
      </c>
      <c r="I3" s="76" t="s">
        <v>389</v>
      </c>
      <c r="J3" s="76" t="s">
        <v>390</v>
      </c>
      <c r="K3" s="76" t="s">
        <v>391</v>
      </c>
      <c r="L3" s="76" t="s">
        <v>392</v>
      </c>
      <c r="M3" s="76" t="s">
        <v>393</v>
      </c>
      <c r="N3" s="76" t="s">
        <v>394</v>
      </c>
      <c r="O3" s="76" t="s">
        <v>395</v>
      </c>
      <c r="P3" s="76" t="s">
        <v>396</v>
      </c>
      <c r="Q3" s="77" t="s">
        <v>397</v>
      </c>
    </row>
    <row r="4" ht="18.5" customHeight="1" spans="1:17">
      <c r="A4" s="78" t="s">
        <v>398</v>
      </c>
      <c r="B4" s="78">
        <v>20413427</v>
      </c>
      <c r="C4" s="78" t="s">
        <v>399</v>
      </c>
      <c r="D4" s="79">
        <v>46078.4973565972</v>
      </c>
      <c r="E4" s="78" t="s">
        <v>400</v>
      </c>
      <c r="F4" s="78" t="s">
        <v>401</v>
      </c>
      <c r="G4" s="78">
        <v>142</v>
      </c>
      <c r="H4" s="80">
        <v>0</v>
      </c>
      <c r="I4" s="80">
        <v>4.4</v>
      </c>
      <c r="J4" s="80">
        <f>H4*I4</f>
        <v>0</v>
      </c>
      <c r="K4" s="80">
        <v>1</v>
      </c>
      <c r="L4" s="80">
        <v>40</v>
      </c>
      <c r="M4" s="80">
        <f>K4*L4</f>
        <v>40</v>
      </c>
      <c r="N4" s="80">
        <v>1</v>
      </c>
      <c r="O4" s="80">
        <v>120</v>
      </c>
      <c r="P4" s="80">
        <f>N4*O4</f>
        <v>120</v>
      </c>
      <c r="Q4" s="80">
        <f>J4+M4+P4</f>
        <v>160</v>
      </c>
    </row>
    <row r="5" ht="18.5" customHeight="1" spans="1:17">
      <c r="A5" s="78" t="s">
        <v>398</v>
      </c>
      <c r="B5" s="78">
        <v>20413430</v>
      </c>
      <c r="C5" s="78" t="s">
        <v>402</v>
      </c>
      <c r="D5" s="79">
        <v>46078.4973606829</v>
      </c>
      <c r="E5" s="78" t="s">
        <v>400</v>
      </c>
      <c r="F5" s="78" t="s">
        <v>403</v>
      </c>
      <c r="G5" s="78">
        <v>17</v>
      </c>
      <c r="H5" s="78">
        <v>17</v>
      </c>
      <c r="I5" s="80">
        <v>4.4</v>
      </c>
      <c r="J5" s="80">
        <f>G5*I5</f>
        <v>74.8</v>
      </c>
      <c r="K5" s="80">
        <v>0</v>
      </c>
      <c r="L5" s="80">
        <v>40</v>
      </c>
      <c r="M5" s="80">
        <f>K5*L5</f>
        <v>0</v>
      </c>
      <c r="N5" s="80">
        <v>0</v>
      </c>
      <c r="O5" s="80">
        <v>120</v>
      </c>
      <c r="P5" s="80">
        <f>N5*O5</f>
        <v>0</v>
      </c>
      <c r="Q5" s="80">
        <f t="shared" ref="Q5:Q47" si="0">J5+M5+P5</f>
        <v>74.8</v>
      </c>
    </row>
    <row r="6" ht="18.5" customHeight="1" spans="1:17">
      <c r="A6" s="78" t="s">
        <v>398</v>
      </c>
      <c r="B6" s="78">
        <v>20413430</v>
      </c>
      <c r="C6" s="78" t="s">
        <v>402</v>
      </c>
      <c r="D6" s="79">
        <v>46078.4973606829</v>
      </c>
      <c r="E6" s="78" t="s">
        <v>400</v>
      </c>
      <c r="F6" s="78" t="s">
        <v>404</v>
      </c>
      <c r="G6" s="78">
        <v>2</v>
      </c>
      <c r="H6" s="78">
        <v>2</v>
      </c>
      <c r="I6" s="80">
        <v>4.4</v>
      </c>
      <c r="J6" s="80">
        <f t="shared" ref="J6:J15" si="1">G6*I6</f>
        <v>8.8</v>
      </c>
      <c r="K6" s="80">
        <v>0</v>
      </c>
      <c r="L6" s="80">
        <v>40</v>
      </c>
      <c r="M6" s="80">
        <f t="shared" ref="M6:M19" si="2">K6*L6</f>
        <v>0</v>
      </c>
      <c r="N6" s="80">
        <v>0</v>
      </c>
      <c r="O6" s="80">
        <v>120</v>
      </c>
      <c r="P6" s="80">
        <f t="shared" ref="P6:P19" si="3">N6*O6</f>
        <v>0</v>
      </c>
      <c r="Q6" s="80">
        <f t="shared" si="0"/>
        <v>8.8</v>
      </c>
    </row>
    <row r="7" ht="18.5" customHeight="1" spans="1:17">
      <c r="A7" s="78" t="s">
        <v>398</v>
      </c>
      <c r="B7" s="78">
        <v>20413430</v>
      </c>
      <c r="C7" s="78" t="s">
        <v>402</v>
      </c>
      <c r="D7" s="79">
        <v>46078.4973606829</v>
      </c>
      <c r="E7" s="78" t="s">
        <v>405</v>
      </c>
      <c r="F7" s="78" t="s">
        <v>406</v>
      </c>
      <c r="G7" s="78">
        <v>1</v>
      </c>
      <c r="H7" s="78">
        <v>1</v>
      </c>
      <c r="I7" s="80">
        <v>4.4</v>
      </c>
      <c r="J7" s="80">
        <f t="shared" si="1"/>
        <v>4.4</v>
      </c>
      <c r="K7" s="80">
        <v>0</v>
      </c>
      <c r="L7" s="80">
        <v>40</v>
      </c>
      <c r="M7" s="80">
        <f t="shared" si="2"/>
        <v>0</v>
      </c>
      <c r="N7" s="80">
        <v>0</v>
      </c>
      <c r="O7" s="80">
        <v>120</v>
      </c>
      <c r="P7" s="80">
        <f t="shared" si="3"/>
        <v>0</v>
      </c>
      <c r="Q7" s="80">
        <f t="shared" si="0"/>
        <v>4.4</v>
      </c>
    </row>
    <row r="8" ht="18.5" customHeight="1" spans="1:17">
      <c r="A8" s="78" t="s">
        <v>398</v>
      </c>
      <c r="B8" s="78">
        <v>20413431</v>
      </c>
      <c r="C8" s="78" t="s">
        <v>407</v>
      </c>
      <c r="D8" s="79">
        <v>46078.4973643519</v>
      </c>
      <c r="E8" s="78" t="s">
        <v>405</v>
      </c>
      <c r="F8" s="78" t="s">
        <v>406</v>
      </c>
      <c r="G8" s="78">
        <v>1</v>
      </c>
      <c r="H8" s="78">
        <v>1</v>
      </c>
      <c r="I8" s="80">
        <v>4.4</v>
      </c>
      <c r="J8" s="80">
        <f t="shared" si="1"/>
        <v>4.4</v>
      </c>
      <c r="K8" s="80">
        <v>0</v>
      </c>
      <c r="L8" s="80">
        <v>40</v>
      </c>
      <c r="M8" s="80">
        <f t="shared" si="2"/>
        <v>0</v>
      </c>
      <c r="N8" s="80">
        <v>0</v>
      </c>
      <c r="O8" s="80">
        <v>120</v>
      </c>
      <c r="P8" s="80">
        <f t="shared" si="3"/>
        <v>0</v>
      </c>
      <c r="Q8" s="80">
        <f t="shared" si="0"/>
        <v>4.4</v>
      </c>
    </row>
    <row r="9" ht="18.5" customHeight="1" spans="1:17">
      <c r="A9" s="78" t="s">
        <v>398</v>
      </c>
      <c r="B9" s="78">
        <v>20413431</v>
      </c>
      <c r="C9" s="78" t="s">
        <v>407</v>
      </c>
      <c r="D9" s="79">
        <v>46078.4973643519</v>
      </c>
      <c r="E9" s="78" t="s">
        <v>400</v>
      </c>
      <c r="F9" s="78" t="s">
        <v>403</v>
      </c>
      <c r="G9" s="78">
        <v>21</v>
      </c>
      <c r="H9" s="78">
        <v>21</v>
      </c>
      <c r="I9" s="80">
        <v>4.4</v>
      </c>
      <c r="J9" s="80">
        <f t="shared" si="1"/>
        <v>92.4</v>
      </c>
      <c r="K9" s="80">
        <v>0</v>
      </c>
      <c r="L9" s="80">
        <v>40</v>
      </c>
      <c r="M9" s="80">
        <f t="shared" si="2"/>
        <v>0</v>
      </c>
      <c r="N9" s="80">
        <v>0</v>
      </c>
      <c r="O9" s="80">
        <v>120</v>
      </c>
      <c r="P9" s="80">
        <f t="shared" si="3"/>
        <v>0</v>
      </c>
      <c r="Q9" s="80">
        <f t="shared" si="0"/>
        <v>92.4</v>
      </c>
    </row>
    <row r="10" ht="18.5" customHeight="1" spans="1:17">
      <c r="A10" s="78" t="s">
        <v>398</v>
      </c>
      <c r="B10" s="78">
        <v>20412237</v>
      </c>
      <c r="C10" s="78" t="s">
        <v>408</v>
      </c>
      <c r="D10" s="79">
        <v>46062.9703448727</v>
      </c>
      <c r="E10" s="78" t="s">
        <v>405</v>
      </c>
      <c r="F10" s="78" t="s">
        <v>409</v>
      </c>
      <c r="G10" s="78">
        <v>1</v>
      </c>
      <c r="H10" s="78">
        <v>1</v>
      </c>
      <c r="I10" s="80">
        <v>4.4</v>
      </c>
      <c r="J10" s="80">
        <f t="shared" si="1"/>
        <v>4.4</v>
      </c>
      <c r="K10" s="80">
        <v>0</v>
      </c>
      <c r="L10" s="80">
        <v>40</v>
      </c>
      <c r="M10" s="80">
        <f t="shared" si="2"/>
        <v>0</v>
      </c>
      <c r="N10" s="80">
        <v>0</v>
      </c>
      <c r="O10" s="80">
        <v>120</v>
      </c>
      <c r="P10" s="80">
        <f t="shared" si="3"/>
        <v>0</v>
      </c>
      <c r="Q10" s="80">
        <f t="shared" si="0"/>
        <v>4.4</v>
      </c>
    </row>
    <row r="11" ht="18.5" customHeight="1" spans="1:17">
      <c r="A11" s="78" t="s">
        <v>398</v>
      </c>
      <c r="B11" s="78">
        <v>20412237</v>
      </c>
      <c r="C11" s="78" t="s">
        <v>408</v>
      </c>
      <c r="D11" s="79">
        <v>46062.9703448727</v>
      </c>
      <c r="E11" s="78" t="s">
        <v>400</v>
      </c>
      <c r="F11" s="78" t="s">
        <v>403</v>
      </c>
      <c r="G11" s="78">
        <v>13</v>
      </c>
      <c r="H11" s="78">
        <v>13</v>
      </c>
      <c r="I11" s="80">
        <v>4.4</v>
      </c>
      <c r="J11" s="80">
        <f t="shared" si="1"/>
        <v>57.2</v>
      </c>
      <c r="K11" s="80">
        <v>0</v>
      </c>
      <c r="L11" s="80">
        <v>40</v>
      </c>
      <c r="M11" s="80">
        <f t="shared" si="2"/>
        <v>0</v>
      </c>
      <c r="N11" s="80">
        <v>0</v>
      </c>
      <c r="O11" s="80">
        <v>120</v>
      </c>
      <c r="P11" s="80">
        <f t="shared" si="3"/>
        <v>0</v>
      </c>
      <c r="Q11" s="80">
        <f t="shared" si="0"/>
        <v>57.2</v>
      </c>
    </row>
    <row r="12" ht="18.5" customHeight="1" spans="1:17">
      <c r="A12" s="78" t="s">
        <v>398</v>
      </c>
      <c r="B12" s="78">
        <v>20411499</v>
      </c>
      <c r="C12" s="78" t="s">
        <v>410</v>
      </c>
      <c r="D12" s="79">
        <v>46056.0844837616</v>
      </c>
      <c r="E12" s="78" t="s">
        <v>405</v>
      </c>
      <c r="F12" s="78" t="s">
        <v>406</v>
      </c>
      <c r="G12" s="78">
        <v>1</v>
      </c>
      <c r="H12" s="78">
        <v>1</v>
      </c>
      <c r="I12" s="80">
        <v>4.4</v>
      </c>
      <c r="J12" s="80">
        <f t="shared" si="1"/>
        <v>4.4</v>
      </c>
      <c r="K12" s="80">
        <v>0</v>
      </c>
      <c r="L12" s="80">
        <v>40</v>
      </c>
      <c r="M12" s="80">
        <f t="shared" si="2"/>
        <v>0</v>
      </c>
      <c r="N12" s="80">
        <v>0</v>
      </c>
      <c r="O12" s="80">
        <v>120</v>
      </c>
      <c r="P12" s="80">
        <f t="shared" si="3"/>
        <v>0</v>
      </c>
      <c r="Q12" s="80">
        <f t="shared" si="0"/>
        <v>4.4</v>
      </c>
    </row>
    <row r="13" ht="18.5" customHeight="1" spans="1:17">
      <c r="A13" s="78" t="s">
        <v>398</v>
      </c>
      <c r="B13" s="78">
        <v>20411499</v>
      </c>
      <c r="C13" s="78" t="s">
        <v>410</v>
      </c>
      <c r="D13" s="79">
        <v>46056.0844837616</v>
      </c>
      <c r="E13" s="78" t="s">
        <v>400</v>
      </c>
      <c r="F13" s="78" t="s">
        <v>411</v>
      </c>
      <c r="G13" s="78">
        <v>8</v>
      </c>
      <c r="H13" s="78">
        <v>8</v>
      </c>
      <c r="I13" s="80">
        <v>4.4</v>
      </c>
      <c r="J13" s="80">
        <f t="shared" si="1"/>
        <v>35.2</v>
      </c>
      <c r="K13" s="80">
        <v>0</v>
      </c>
      <c r="L13" s="80">
        <v>40</v>
      </c>
      <c r="M13" s="80">
        <f t="shared" si="2"/>
        <v>0</v>
      </c>
      <c r="N13" s="80">
        <v>0</v>
      </c>
      <c r="O13" s="80">
        <v>120</v>
      </c>
      <c r="P13" s="80">
        <f t="shared" si="3"/>
        <v>0</v>
      </c>
      <c r="Q13" s="80">
        <f t="shared" si="0"/>
        <v>35.2</v>
      </c>
    </row>
    <row r="14" ht="18.5" customHeight="1" spans="1:17">
      <c r="A14" s="78" t="s">
        <v>398</v>
      </c>
      <c r="B14" s="78">
        <v>20411499</v>
      </c>
      <c r="C14" s="78" t="s">
        <v>410</v>
      </c>
      <c r="D14" s="79">
        <v>46056.0844837616</v>
      </c>
      <c r="E14" s="78" t="s">
        <v>400</v>
      </c>
      <c r="F14" s="78" t="s">
        <v>403</v>
      </c>
      <c r="G14" s="78">
        <v>16</v>
      </c>
      <c r="H14" s="78">
        <v>16</v>
      </c>
      <c r="I14" s="80">
        <v>4.4</v>
      </c>
      <c r="J14" s="80">
        <f t="shared" si="1"/>
        <v>70.4</v>
      </c>
      <c r="K14" s="80">
        <v>0</v>
      </c>
      <c r="L14" s="80">
        <v>40</v>
      </c>
      <c r="M14" s="80">
        <f t="shared" si="2"/>
        <v>0</v>
      </c>
      <c r="N14" s="80">
        <v>0</v>
      </c>
      <c r="O14" s="80">
        <v>120</v>
      </c>
      <c r="P14" s="80">
        <f t="shared" si="3"/>
        <v>0</v>
      </c>
      <c r="Q14" s="80">
        <f t="shared" si="0"/>
        <v>70.4</v>
      </c>
    </row>
    <row r="15" ht="18.5" customHeight="1" spans="1:17">
      <c r="A15" s="78" t="s">
        <v>398</v>
      </c>
      <c r="B15" s="78">
        <v>20411500</v>
      </c>
      <c r="C15" s="78" t="s">
        <v>412</v>
      </c>
      <c r="D15" s="79">
        <v>46056.0844853819</v>
      </c>
      <c r="E15" s="78" t="s">
        <v>405</v>
      </c>
      <c r="F15" s="78" t="s">
        <v>406</v>
      </c>
      <c r="G15" s="78">
        <v>1</v>
      </c>
      <c r="H15" s="78">
        <v>1</v>
      </c>
      <c r="I15" s="80">
        <v>4.4</v>
      </c>
      <c r="J15" s="80">
        <f t="shared" si="1"/>
        <v>4.4</v>
      </c>
      <c r="K15" s="80">
        <v>0</v>
      </c>
      <c r="L15" s="80">
        <v>40</v>
      </c>
      <c r="M15" s="80">
        <f t="shared" si="2"/>
        <v>0</v>
      </c>
      <c r="N15" s="80">
        <v>0</v>
      </c>
      <c r="O15" s="80">
        <v>120</v>
      </c>
      <c r="P15" s="80">
        <f t="shared" si="3"/>
        <v>0</v>
      </c>
      <c r="Q15" s="80">
        <f t="shared" si="0"/>
        <v>4.4</v>
      </c>
    </row>
    <row r="16" ht="18.5" customHeight="1" spans="1:17">
      <c r="A16" s="78" t="s">
        <v>398</v>
      </c>
      <c r="B16" s="78">
        <v>20411500</v>
      </c>
      <c r="C16" s="78" t="s">
        <v>412</v>
      </c>
      <c r="D16" s="79">
        <v>46056.0844853819</v>
      </c>
      <c r="E16" s="78" t="s">
        <v>400</v>
      </c>
      <c r="F16" s="78" t="s">
        <v>401</v>
      </c>
      <c r="G16" s="78">
        <v>159</v>
      </c>
      <c r="H16" s="80">
        <v>0</v>
      </c>
      <c r="I16" s="80">
        <v>4.4</v>
      </c>
      <c r="J16" s="80">
        <f>H16*I16</f>
        <v>0</v>
      </c>
      <c r="K16" s="80">
        <v>1</v>
      </c>
      <c r="L16" s="80">
        <v>40</v>
      </c>
      <c r="M16" s="80">
        <f t="shared" si="2"/>
        <v>40</v>
      </c>
      <c r="N16" s="80">
        <v>1</v>
      </c>
      <c r="O16" s="80">
        <v>120</v>
      </c>
      <c r="P16" s="80">
        <f t="shared" si="3"/>
        <v>120</v>
      </c>
      <c r="Q16" s="80">
        <f t="shared" si="0"/>
        <v>160</v>
      </c>
    </row>
    <row r="17" ht="18.5" customHeight="1" spans="1:17">
      <c r="A17" s="78" t="s">
        <v>398</v>
      </c>
      <c r="B17" s="78">
        <v>20411501</v>
      </c>
      <c r="C17" s="78" t="s">
        <v>413</v>
      </c>
      <c r="D17" s="79">
        <v>46056.0844872338</v>
      </c>
      <c r="E17" s="78" t="s">
        <v>405</v>
      </c>
      <c r="F17" s="78" t="s">
        <v>409</v>
      </c>
      <c r="G17" s="78">
        <v>1</v>
      </c>
      <c r="H17" s="78">
        <v>1</v>
      </c>
      <c r="I17" s="80">
        <v>4.4</v>
      </c>
      <c r="J17" s="80">
        <f>G17*I17</f>
        <v>4.4</v>
      </c>
      <c r="K17" s="80">
        <v>0</v>
      </c>
      <c r="L17" s="80">
        <v>40</v>
      </c>
      <c r="M17" s="80">
        <f t="shared" si="2"/>
        <v>0</v>
      </c>
      <c r="N17" s="80">
        <v>0</v>
      </c>
      <c r="O17" s="80">
        <v>120</v>
      </c>
      <c r="P17" s="80">
        <f t="shared" si="3"/>
        <v>0</v>
      </c>
      <c r="Q17" s="80">
        <f t="shared" si="0"/>
        <v>4.4</v>
      </c>
    </row>
    <row r="18" ht="18.5" customHeight="1" spans="1:17">
      <c r="A18" s="78" t="s">
        <v>398</v>
      </c>
      <c r="B18" s="78">
        <v>20411501</v>
      </c>
      <c r="C18" s="78" t="s">
        <v>413</v>
      </c>
      <c r="D18" s="79">
        <v>46056.0844872338</v>
      </c>
      <c r="E18" s="78" t="s">
        <v>400</v>
      </c>
      <c r="F18" s="78" t="s">
        <v>403</v>
      </c>
      <c r="G18" s="78">
        <v>10</v>
      </c>
      <c r="H18" s="78">
        <v>10</v>
      </c>
      <c r="I18" s="80">
        <v>4.4</v>
      </c>
      <c r="J18" s="80">
        <f>G18*I18</f>
        <v>44</v>
      </c>
      <c r="K18" s="80">
        <v>0</v>
      </c>
      <c r="L18" s="80">
        <v>40</v>
      </c>
      <c r="M18" s="80">
        <f t="shared" si="2"/>
        <v>0</v>
      </c>
      <c r="N18" s="80">
        <v>0</v>
      </c>
      <c r="O18" s="80">
        <v>120</v>
      </c>
      <c r="P18" s="80">
        <f t="shared" si="3"/>
        <v>0</v>
      </c>
      <c r="Q18" s="80">
        <f t="shared" si="0"/>
        <v>44</v>
      </c>
    </row>
    <row r="19" ht="18.5" customHeight="1" spans="1:17">
      <c r="A19" s="78" t="s">
        <v>398</v>
      </c>
      <c r="B19" s="78">
        <v>20411678</v>
      </c>
      <c r="C19" s="78" t="s">
        <v>414</v>
      </c>
      <c r="D19" s="79">
        <v>46056.6510519329</v>
      </c>
      <c r="E19" s="78" t="s">
        <v>400</v>
      </c>
      <c r="F19" s="78" t="s">
        <v>401</v>
      </c>
      <c r="G19" s="78">
        <v>30</v>
      </c>
      <c r="H19" s="80">
        <v>0</v>
      </c>
      <c r="I19" s="80">
        <v>4.4</v>
      </c>
      <c r="J19" s="80">
        <f>H19*I19</f>
        <v>0</v>
      </c>
      <c r="K19" s="80">
        <v>1</v>
      </c>
      <c r="L19" s="80">
        <v>40</v>
      </c>
      <c r="M19" s="80">
        <f t="shared" si="2"/>
        <v>40</v>
      </c>
      <c r="N19" s="80">
        <v>1</v>
      </c>
      <c r="O19" s="80">
        <v>120</v>
      </c>
      <c r="P19" s="80">
        <f t="shared" si="3"/>
        <v>120</v>
      </c>
      <c r="Q19" s="80">
        <f t="shared" si="0"/>
        <v>160</v>
      </c>
    </row>
    <row r="20" ht="18.5" customHeight="1" spans="1:17">
      <c r="A20" s="78" t="s">
        <v>398</v>
      </c>
      <c r="B20" s="78">
        <v>20411678</v>
      </c>
      <c r="C20" s="78" t="s">
        <v>414</v>
      </c>
      <c r="D20" s="79">
        <v>46056.6510519329</v>
      </c>
      <c r="E20" s="78" t="s">
        <v>405</v>
      </c>
      <c r="F20" s="78" t="s">
        <v>406</v>
      </c>
      <c r="G20" s="78">
        <v>1</v>
      </c>
      <c r="H20" s="78">
        <v>1</v>
      </c>
      <c r="I20" s="80">
        <v>4.4</v>
      </c>
      <c r="J20" s="80">
        <f t="shared" ref="J20:J28" si="4">G20*I20</f>
        <v>4.4</v>
      </c>
      <c r="K20" s="80">
        <v>0</v>
      </c>
      <c r="L20" s="80">
        <v>40</v>
      </c>
      <c r="M20" s="80">
        <f t="shared" ref="M20:M29" si="5">K20*L20</f>
        <v>0</v>
      </c>
      <c r="N20" s="80">
        <v>0</v>
      </c>
      <c r="O20" s="80">
        <v>120</v>
      </c>
      <c r="P20" s="80">
        <f t="shared" ref="P20:P29" si="6">N20*O20</f>
        <v>0</v>
      </c>
      <c r="Q20" s="80">
        <f t="shared" si="0"/>
        <v>4.4</v>
      </c>
    </row>
    <row r="21" ht="18.5" customHeight="1" spans="1:17">
      <c r="A21" s="78" t="s">
        <v>398</v>
      </c>
      <c r="B21" s="78">
        <v>20411678</v>
      </c>
      <c r="C21" s="78" t="s">
        <v>414</v>
      </c>
      <c r="D21" s="79">
        <v>46056.6510519329</v>
      </c>
      <c r="E21" s="78" t="s">
        <v>400</v>
      </c>
      <c r="F21" s="78" t="s">
        <v>404</v>
      </c>
      <c r="G21" s="78">
        <v>12</v>
      </c>
      <c r="H21" s="78">
        <v>12</v>
      </c>
      <c r="I21" s="80">
        <v>4.4</v>
      </c>
      <c r="J21" s="80">
        <f t="shared" si="4"/>
        <v>52.8</v>
      </c>
      <c r="K21" s="80">
        <v>0</v>
      </c>
      <c r="L21" s="80">
        <v>40</v>
      </c>
      <c r="M21" s="80">
        <f t="shared" si="5"/>
        <v>0</v>
      </c>
      <c r="N21" s="80">
        <v>0</v>
      </c>
      <c r="O21" s="80">
        <v>120</v>
      </c>
      <c r="P21" s="80">
        <f t="shared" si="6"/>
        <v>0</v>
      </c>
      <c r="Q21" s="80">
        <f t="shared" si="0"/>
        <v>52.8</v>
      </c>
    </row>
    <row r="22" ht="18.5" customHeight="1" spans="1:17">
      <c r="A22" s="78" t="s">
        <v>398</v>
      </c>
      <c r="B22" s="78">
        <v>20411679</v>
      </c>
      <c r="C22" s="78" t="s">
        <v>415</v>
      </c>
      <c r="D22" s="79">
        <v>46056.6510380787</v>
      </c>
      <c r="E22" s="78" t="s">
        <v>405</v>
      </c>
      <c r="F22" s="78" t="s">
        <v>406</v>
      </c>
      <c r="G22" s="78">
        <v>1</v>
      </c>
      <c r="H22" s="78">
        <v>1</v>
      </c>
      <c r="I22" s="80">
        <v>4.4</v>
      </c>
      <c r="J22" s="80">
        <f t="shared" si="4"/>
        <v>4.4</v>
      </c>
      <c r="K22" s="80">
        <v>0</v>
      </c>
      <c r="L22" s="80">
        <v>40</v>
      </c>
      <c r="M22" s="80">
        <f t="shared" si="5"/>
        <v>0</v>
      </c>
      <c r="N22" s="80">
        <v>0</v>
      </c>
      <c r="O22" s="80">
        <v>120</v>
      </c>
      <c r="P22" s="80">
        <f t="shared" si="6"/>
        <v>0</v>
      </c>
      <c r="Q22" s="80">
        <f t="shared" si="0"/>
        <v>4.4</v>
      </c>
    </row>
    <row r="23" ht="18.5" customHeight="1" spans="1:17">
      <c r="A23" s="78" t="s">
        <v>398</v>
      </c>
      <c r="B23" s="78">
        <v>20411679</v>
      </c>
      <c r="C23" s="78" t="s">
        <v>415</v>
      </c>
      <c r="D23" s="79">
        <v>46056.6510380787</v>
      </c>
      <c r="E23" s="78" t="s">
        <v>400</v>
      </c>
      <c r="F23" s="78" t="s">
        <v>403</v>
      </c>
      <c r="G23" s="78">
        <v>20</v>
      </c>
      <c r="H23" s="78">
        <v>20</v>
      </c>
      <c r="I23" s="80">
        <v>4.4</v>
      </c>
      <c r="J23" s="80">
        <f t="shared" si="4"/>
        <v>88</v>
      </c>
      <c r="K23" s="80">
        <v>0</v>
      </c>
      <c r="L23" s="80">
        <v>40</v>
      </c>
      <c r="M23" s="80">
        <f t="shared" si="5"/>
        <v>0</v>
      </c>
      <c r="N23" s="80">
        <v>0</v>
      </c>
      <c r="O23" s="80">
        <v>120</v>
      </c>
      <c r="P23" s="80">
        <f t="shared" si="6"/>
        <v>0</v>
      </c>
      <c r="Q23" s="80">
        <f t="shared" si="0"/>
        <v>88</v>
      </c>
    </row>
    <row r="24" ht="18.5" customHeight="1" spans="1:17">
      <c r="A24" s="78" t="s">
        <v>398</v>
      </c>
      <c r="B24" s="78">
        <v>20411680</v>
      </c>
      <c r="C24" s="78" t="s">
        <v>416</v>
      </c>
      <c r="D24" s="79">
        <v>46056.6510428588</v>
      </c>
      <c r="E24" s="78" t="s">
        <v>400</v>
      </c>
      <c r="F24" s="78" t="s">
        <v>403</v>
      </c>
      <c r="G24" s="78">
        <v>23</v>
      </c>
      <c r="H24" s="78">
        <v>23</v>
      </c>
      <c r="I24" s="80">
        <v>4.4</v>
      </c>
      <c r="J24" s="80">
        <f t="shared" si="4"/>
        <v>101.2</v>
      </c>
      <c r="K24" s="80">
        <v>0</v>
      </c>
      <c r="L24" s="80">
        <v>40</v>
      </c>
      <c r="M24" s="80">
        <f t="shared" si="5"/>
        <v>0</v>
      </c>
      <c r="N24" s="80">
        <v>0</v>
      </c>
      <c r="O24" s="80">
        <v>120</v>
      </c>
      <c r="P24" s="80">
        <f t="shared" si="6"/>
        <v>0</v>
      </c>
      <c r="Q24" s="80">
        <f t="shared" si="0"/>
        <v>101.2</v>
      </c>
    </row>
    <row r="25" ht="18.5" customHeight="1" spans="1:17">
      <c r="A25" s="78" t="s">
        <v>398</v>
      </c>
      <c r="B25" s="78">
        <v>20411680</v>
      </c>
      <c r="C25" s="78" t="s">
        <v>416</v>
      </c>
      <c r="D25" s="79">
        <v>46056.6510428588</v>
      </c>
      <c r="E25" s="78" t="s">
        <v>405</v>
      </c>
      <c r="F25" s="78" t="s">
        <v>406</v>
      </c>
      <c r="G25" s="78">
        <v>1</v>
      </c>
      <c r="H25" s="78">
        <v>1</v>
      </c>
      <c r="I25" s="80">
        <v>4.4</v>
      </c>
      <c r="J25" s="80">
        <f t="shared" si="4"/>
        <v>4.4</v>
      </c>
      <c r="K25" s="80">
        <v>0</v>
      </c>
      <c r="L25" s="80">
        <v>40</v>
      </c>
      <c r="M25" s="80">
        <f t="shared" si="5"/>
        <v>0</v>
      </c>
      <c r="N25" s="80">
        <v>0</v>
      </c>
      <c r="O25" s="80">
        <v>120</v>
      </c>
      <c r="P25" s="80">
        <f t="shared" si="6"/>
        <v>0</v>
      </c>
      <c r="Q25" s="80">
        <f t="shared" si="0"/>
        <v>4.4</v>
      </c>
    </row>
    <row r="26" ht="18.5" customHeight="1" spans="1:17">
      <c r="A26" s="78" t="s">
        <v>398</v>
      </c>
      <c r="B26" s="78">
        <v>20411681</v>
      </c>
      <c r="C26" s="78" t="s">
        <v>417</v>
      </c>
      <c r="D26" s="79">
        <v>46056.6510474884</v>
      </c>
      <c r="E26" s="78" t="s">
        <v>405</v>
      </c>
      <c r="F26" s="78" t="s">
        <v>406</v>
      </c>
      <c r="G26" s="78">
        <v>1</v>
      </c>
      <c r="H26" s="78">
        <v>1</v>
      </c>
      <c r="I26" s="80">
        <v>4.4</v>
      </c>
      <c r="J26" s="80">
        <f t="shared" si="4"/>
        <v>4.4</v>
      </c>
      <c r="K26" s="80">
        <v>0</v>
      </c>
      <c r="L26" s="80">
        <v>40</v>
      </c>
      <c r="M26" s="80">
        <f t="shared" si="5"/>
        <v>0</v>
      </c>
      <c r="N26" s="80">
        <v>0</v>
      </c>
      <c r="O26" s="80">
        <v>120</v>
      </c>
      <c r="P26" s="80">
        <f t="shared" si="6"/>
        <v>0</v>
      </c>
      <c r="Q26" s="80">
        <f t="shared" si="0"/>
        <v>4.4</v>
      </c>
    </row>
    <row r="27" ht="18.5" customHeight="1" spans="1:17">
      <c r="A27" s="78" t="s">
        <v>398</v>
      </c>
      <c r="B27" s="78">
        <v>20411681</v>
      </c>
      <c r="C27" s="78" t="s">
        <v>417</v>
      </c>
      <c r="D27" s="79">
        <v>46056.6510474884</v>
      </c>
      <c r="E27" s="78" t="s">
        <v>400</v>
      </c>
      <c r="F27" s="78" t="s">
        <v>403</v>
      </c>
      <c r="G27" s="78">
        <v>23</v>
      </c>
      <c r="H27" s="78">
        <v>23</v>
      </c>
      <c r="I27" s="80">
        <v>4.4</v>
      </c>
      <c r="J27" s="80">
        <f t="shared" si="4"/>
        <v>101.2</v>
      </c>
      <c r="K27" s="80">
        <v>0</v>
      </c>
      <c r="L27" s="80">
        <v>40</v>
      </c>
      <c r="M27" s="80">
        <f t="shared" si="5"/>
        <v>0</v>
      </c>
      <c r="N27" s="80">
        <v>0</v>
      </c>
      <c r="O27" s="80">
        <v>120</v>
      </c>
      <c r="P27" s="80">
        <f t="shared" si="6"/>
        <v>0</v>
      </c>
      <c r="Q27" s="80">
        <f t="shared" si="0"/>
        <v>101.2</v>
      </c>
    </row>
    <row r="28" ht="18.5" customHeight="1" spans="1:17">
      <c r="A28" s="78" t="s">
        <v>398</v>
      </c>
      <c r="B28" s="78">
        <v>20411506</v>
      </c>
      <c r="C28" s="78" t="s">
        <v>418</v>
      </c>
      <c r="D28" s="79">
        <v>46056.0844891551</v>
      </c>
      <c r="E28" s="78" t="s">
        <v>400</v>
      </c>
      <c r="F28" s="78" t="s">
        <v>404</v>
      </c>
      <c r="G28" s="78">
        <v>40</v>
      </c>
      <c r="H28" s="78">
        <v>40</v>
      </c>
      <c r="I28" s="80">
        <v>4.4</v>
      </c>
      <c r="J28" s="80">
        <f t="shared" si="4"/>
        <v>176</v>
      </c>
      <c r="K28" s="80">
        <v>0</v>
      </c>
      <c r="L28" s="80">
        <v>40</v>
      </c>
      <c r="M28" s="80">
        <f t="shared" si="5"/>
        <v>0</v>
      </c>
      <c r="N28" s="80">
        <v>0</v>
      </c>
      <c r="O28" s="80">
        <v>120</v>
      </c>
      <c r="P28" s="80">
        <f t="shared" si="6"/>
        <v>0</v>
      </c>
      <c r="Q28" s="80">
        <f t="shared" si="0"/>
        <v>176</v>
      </c>
    </row>
    <row r="29" ht="18.5" customHeight="1" spans="1:17">
      <c r="A29" s="78" t="s">
        <v>398</v>
      </c>
      <c r="B29" s="78">
        <v>20411506</v>
      </c>
      <c r="C29" s="78" t="s">
        <v>418</v>
      </c>
      <c r="D29" s="79">
        <v>46056.0844891551</v>
      </c>
      <c r="E29" s="78" t="s">
        <v>400</v>
      </c>
      <c r="F29" s="78" t="s">
        <v>401</v>
      </c>
      <c r="G29" s="78">
        <v>68</v>
      </c>
      <c r="H29" s="80">
        <v>0</v>
      </c>
      <c r="I29" s="80">
        <v>4.4</v>
      </c>
      <c r="J29" s="80">
        <f>H29*I29</f>
        <v>0</v>
      </c>
      <c r="K29" s="80">
        <v>1</v>
      </c>
      <c r="L29" s="80">
        <v>40</v>
      </c>
      <c r="M29" s="80">
        <f t="shared" si="5"/>
        <v>40</v>
      </c>
      <c r="N29" s="80">
        <v>1</v>
      </c>
      <c r="O29" s="80">
        <v>120</v>
      </c>
      <c r="P29" s="80">
        <f t="shared" si="6"/>
        <v>120</v>
      </c>
      <c r="Q29" s="80">
        <f t="shared" si="0"/>
        <v>160</v>
      </c>
    </row>
    <row r="30" ht="18.5" customHeight="1" spans="1:17">
      <c r="A30" s="78" t="s">
        <v>398</v>
      </c>
      <c r="B30" s="78">
        <v>20411506</v>
      </c>
      <c r="C30" s="78" t="s">
        <v>418</v>
      </c>
      <c r="D30" s="79">
        <v>46056.0844891551</v>
      </c>
      <c r="E30" s="78" t="s">
        <v>405</v>
      </c>
      <c r="F30" s="78" t="s">
        <v>406</v>
      </c>
      <c r="G30" s="78">
        <v>1</v>
      </c>
      <c r="H30" s="78">
        <v>1</v>
      </c>
      <c r="I30" s="80">
        <v>4.4</v>
      </c>
      <c r="J30" s="80">
        <f t="shared" ref="J30:J41" si="7">G30*I30</f>
        <v>4.4</v>
      </c>
      <c r="K30" s="80">
        <v>0</v>
      </c>
      <c r="L30" s="80">
        <v>40</v>
      </c>
      <c r="M30" s="80">
        <f t="shared" ref="M30:M42" si="8">K30*L30</f>
        <v>0</v>
      </c>
      <c r="N30" s="80">
        <v>0</v>
      </c>
      <c r="O30" s="80">
        <v>120</v>
      </c>
      <c r="P30" s="80">
        <f t="shared" ref="P30:P42" si="9">N30*O30</f>
        <v>0</v>
      </c>
      <c r="Q30" s="80">
        <f t="shared" si="0"/>
        <v>4.4</v>
      </c>
    </row>
    <row r="31" ht="18.5" customHeight="1" spans="1:17">
      <c r="A31" s="78" t="s">
        <v>398</v>
      </c>
      <c r="B31" s="78">
        <v>20411507</v>
      </c>
      <c r="C31" s="78" t="s">
        <v>419</v>
      </c>
      <c r="D31" s="79">
        <v>46056.084491088</v>
      </c>
      <c r="E31" s="78" t="s">
        <v>405</v>
      </c>
      <c r="F31" s="78" t="s">
        <v>406</v>
      </c>
      <c r="G31" s="78">
        <v>1</v>
      </c>
      <c r="H31" s="78">
        <v>1</v>
      </c>
      <c r="I31" s="80">
        <v>4.4</v>
      </c>
      <c r="J31" s="80">
        <f t="shared" si="7"/>
        <v>4.4</v>
      </c>
      <c r="K31" s="80">
        <v>0</v>
      </c>
      <c r="L31" s="80">
        <v>40</v>
      </c>
      <c r="M31" s="80">
        <f t="shared" si="8"/>
        <v>0</v>
      </c>
      <c r="N31" s="80">
        <v>0</v>
      </c>
      <c r="O31" s="80">
        <v>120</v>
      </c>
      <c r="P31" s="80">
        <f t="shared" si="9"/>
        <v>0</v>
      </c>
      <c r="Q31" s="80">
        <f t="shared" si="0"/>
        <v>4.4</v>
      </c>
    </row>
    <row r="32" ht="18.5" customHeight="1" spans="1:17">
      <c r="A32" s="78" t="s">
        <v>398</v>
      </c>
      <c r="B32" s="78">
        <v>20411507</v>
      </c>
      <c r="C32" s="78" t="s">
        <v>419</v>
      </c>
      <c r="D32" s="79">
        <v>46056.084491088</v>
      </c>
      <c r="E32" s="78" t="s">
        <v>400</v>
      </c>
      <c r="F32" s="78" t="s">
        <v>403</v>
      </c>
      <c r="G32" s="78">
        <v>11</v>
      </c>
      <c r="H32" s="78">
        <v>11</v>
      </c>
      <c r="I32" s="80">
        <v>4.4</v>
      </c>
      <c r="J32" s="80">
        <f t="shared" si="7"/>
        <v>48.4</v>
      </c>
      <c r="K32" s="80">
        <v>0</v>
      </c>
      <c r="L32" s="80">
        <v>40</v>
      </c>
      <c r="M32" s="80">
        <f t="shared" si="8"/>
        <v>0</v>
      </c>
      <c r="N32" s="80">
        <v>0</v>
      </c>
      <c r="O32" s="80">
        <v>120</v>
      </c>
      <c r="P32" s="80">
        <f t="shared" si="9"/>
        <v>0</v>
      </c>
      <c r="Q32" s="80">
        <f t="shared" si="0"/>
        <v>48.4</v>
      </c>
    </row>
    <row r="33" ht="18.5" customHeight="1" spans="1:17">
      <c r="A33" s="78" t="s">
        <v>398</v>
      </c>
      <c r="B33" s="78">
        <v>20411508</v>
      </c>
      <c r="C33" s="78" t="s">
        <v>420</v>
      </c>
      <c r="D33" s="79">
        <v>46056.0844837616</v>
      </c>
      <c r="E33" s="78" t="s">
        <v>405</v>
      </c>
      <c r="F33" s="78" t="s">
        <v>406</v>
      </c>
      <c r="G33" s="78">
        <v>1</v>
      </c>
      <c r="H33" s="78">
        <v>1</v>
      </c>
      <c r="I33" s="80">
        <v>4.4</v>
      </c>
      <c r="J33" s="80">
        <f t="shared" si="7"/>
        <v>4.4</v>
      </c>
      <c r="K33" s="80">
        <v>0</v>
      </c>
      <c r="L33" s="80">
        <v>40</v>
      </c>
      <c r="M33" s="80">
        <f t="shared" si="8"/>
        <v>0</v>
      </c>
      <c r="N33" s="80">
        <v>0</v>
      </c>
      <c r="O33" s="80">
        <v>120</v>
      </c>
      <c r="P33" s="80">
        <f t="shared" si="9"/>
        <v>0</v>
      </c>
      <c r="Q33" s="80">
        <f t="shared" si="0"/>
        <v>4.4</v>
      </c>
    </row>
    <row r="34" ht="18.5" customHeight="1" spans="1:17">
      <c r="A34" s="78" t="s">
        <v>398</v>
      </c>
      <c r="B34" s="78">
        <v>20411508</v>
      </c>
      <c r="C34" s="78" t="s">
        <v>420</v>
      </c>
      <c r="D34" s="79">
        <v>46056.0844837616</v>
      </c>
      <c r="E34" s="78" t="s">
        <v>400</v>
      </c>
      <c r="F34" s="78" t="s">
        <v>403</v>
      </c>
      <c r="G34" s="78">
        <v>18</v>
      </c>
      <c r="H34" s="78">
        <v>18</v>
      </c>
      <c r="I34" s="80">
        <v>4.4</v>
      </c>
      <c r="J34" s="80">
        <f t="shared" si="7"/>
        <v>79.2</v>
      </c>
      <c r="K34" s="80">
        <v>0</v>
      </c>
      <c r="L34" s="80">
        <v>40</v>
      </c>
      <c r="M34" s="80">
        <f t="shared" si="8"/>
        <v>0</v>
      </c>
      <c r="N34" s="80">
        <v>0</v>
      </c>
      <c r="O34" s="80">
        <v>120</v>
      </c>
      <c r="P34" s="80">
        <f t="shared" si="9"/>
        <v>0</v>
      </c>
      <c r="Q34" s="80">
        <f t="shared" si="0"/>
        <v>79.2</v>
      </c>
    </row>
    <row r="35" ht="18.5" customHeight="1" spans="1:17">
      <c r="A35" s="78" t="s">
        <v>398</v>
      </c>
      <c r="B35" s="78">
        <v>20411509</v>
      </c>
      <c r="C35" s="78" t="s">
        <v>421</v>
      </c>
      <c r="D35" s="79">
        <v>46056.0844853009</v>
      </c>
      <c r="E35" s="78" t="s">
        <v>400</v>
      </c>
      <c r="F35" s="78" t="s">
        <v>403</v>
      </c>
      <c r="G35" s="78">
        <v>38</v>
      </c>
      <c r="H35" s="78">
        <v>38</v>
      </c>
      <c r="I35" s="80">
        <v>4.4</v>
      </c>
      <c r="J35" s="80">
        <f t="shared" si="7"/>
        <v>167.2</v>
      </c>
      <c r="K35" s="80">
        <v>0</v>
      </c>
      <c r="L35" s="80">
        <v>40</v>
      </c>
      <c r="M35" s="80">
        <f t="shared" si="8"/>
        <v>0</v>
      </c>
      <c r="N35" s="80">
        <v>0</v>
      </c>
      <c r="O35" s="80">
        <v>120</v>
      </c>
      <c r="P35" s="80">
        <f t="shared" si="9"/>
        <v>0</v>
      </c>
      <c r="Q35" s="80">
        <f t="shared" si="0"/>
        <v>167.2</v>
      </c>
    </row>
    <row r="36" ht="18.5" customHeight="1" spans="1:17">
      <c r="A36" s="78" t="s">
        <v>398</v>
      </c>
      <c r="B36" s="78">
        <v>20411509</v>
      </c>
      <c r="C36" s="78" t="s">
        <v>421</v>
      </c>
      <c r="D36" s="79">
        <v>46056.0844853009</v>
      </c>
      <c r="E36" s="78" t="s">
        <v>405</v>
      </c>
      <c r="F36" s="78" t="s">
        <v>406</v>
      </c>
      <c r="G36" s="78">
        <v>1</v>
      </c>
      <c r="H36" s="78">
        <v>1</v>
      </c>
      <c r="I36" s="80">
        <v>4.4</v>
      </c>
      <c r="J36" s="80">
        <f t="shared" si="7"/>
        <v>4.4</v>
      </c>
      <c r="K36" s="80">
        <v>0</v>
      </c>
      <c r="L36" s="80">
        <v>40</v>
      </c>
      <c r="M36" s="80">
        <f t="shared" si="8"/>
        <v>0</v>
      </c>
      <c r="N36" s="80">
        <v>0</v>
      </c>
      <c r="O36" s="80">
        <v>120</v>
      </c>
      <c r="P36" s="80">
        <f t="shared" si="9"/>
        <v>0</v>
      </c>
      <c r="Q36" s="80">
        <f t="shared" si="0"/>
        <v>4.4</v>
      </c>
    </row>
    <row r="37" ht="18.5" customHeight="1" spans="1:17">
      <c r="A37" s="78" t="s">
        <v>398</v>
      </c>
      <c r="B37" s="78">
        <v>20411510</v>
      </c>
      <c r="C37" s="78" t="s">
        <v>422</v>
      </c>
      <c r="D37" s="79">
        <v>46056.0844869213</v>
      </c>
      <c r="E37" s="78" t="s">
        <v>400</v>
      </c>
      <c r="F37" s="78" t="s">
        <v>403</v>
      </c>
      <c r="G37" s="78">
        <v>7</v>
      </c>
      <c r="H37" s="78">
        <v>7</v>
      </c>
      <c r="I37" s="80">
        <v>4.4</v>
      </c>
      <c r="J37" s="80">
        <f t="shared" si="7"/>
        <v>30.8</v>
      </c>
      <c r="K37" s="80">
        <v>0</v>
      </c>
      <c r="L37" s="80">
        <v>40</v>
      </c>
      <c r="M37" s="80">
        <f t="shared" si="8"/>
        <v>0</v>
      </c>
      <c r="N37" s="80">
        <v>0</v>
      </c>
      <c r="O37" s="80">
        <v>120</v>
      </c>
      <c r="P37" s="80">
        <f t="shared" si="9"/>
        <v>0</v>
      </c>
      <c r="Q37" s="80">
        <f t="shared" si="0"/>
        <v>30.8</v>
      </c>
    </row>
    <row r="38" ht="18.5" customHeight="1" spans="1:17">
      <c r="A38" s="78" t="s">
        <v>398</v>
      </c>
      <c r="B38" s="78">
        <v>20411510</v>
      </c>
      <c r="C38" s="78" t="s">
        <v>422</v>
      </c>
      <c r="D38" s="79">
        <v>46056.0844869213</v>
      </c>
      <c r="E38" s="78" t="s">
        <v>405</v>
      </c>
      <c r="F38" s="78" t="s">
        <v>409</v>
      </c>
      <c r="G38" s="78">
        <v>1</v>
      </c>
      <c r="H38" s="78">
        <v>1</v>
      </c>
      <c r="I38" s="80">
        <v>4.4</v>
      </c>
      <c r="J38" s="80">
        <f t="shared" si="7"/>
        <v>4.4</v>
      </c>
      <c r="K38" s="80">
        <v>0</v>
      </c>
      <c r="L38" s="80">
        <v>40</v>
      </c>
      <c r="M38" s="80">
        <f t="shared" si="8"/>
        <v>0</v>
      </c>
      <c r="N38" s="80">
        <v>0</v>
      </c>
      <c r="O38" s="80">
        <v>120</v>
      </c>
      <c r="P38" s="80">
        <f t="shared" si="9"/>
        <v>0</v>
      </c>
      <c r="Q38" s="80">
        <f t="shared" si="0"/>
        <v>4.4</v>
      </c>
    </row>
    <row r="39" ht="18.5" customHeight="1" spans="1:17">
      <c r="A39" s="78" t="s">
        <v>398</v>
      </c>
      <c r="B39" s="78">
        <v>20413543</v>
      </c>
      <c r="C39" s="78" t="s">
        <v>423</v>
      </c>
      <c r="D39" s="79">
        <v>46078.9931021644</v>
      </c>
      <c r="E39" s="78" t="s">
        <v>405</v>
      </c>
      <c r="F39" s="78" t="s">
        <v>406</v>
      </c>
      <c r="G39" s="78">
        <v>1</v>
      </c>
      <c r="H39" s="78">
        <v>1</v>
      </c>
      <c r="I39" s="80">
        <v>4.4</v>
      </c>
      <c r="J39" s="80">
        <f t="shared" si="7"/>
        <v>4.4</v>
      </c>
      <c r="K39" s="80">
        <v>0</v>
      </c>
      <c r="L39" s="80">
        <v>40</v>
      </c>
      <c r="M39" s="80">
        <f t="shared" si="8"/>
        <v>0</v>
      </c>
      <c r="N39" s="80">
        <v>0</v>
      </c>
      <c r="O39" s="80">
        <v>120</v>
      </c>
      <c r="P39" s="80">
        <f t="shared" si="9"/>
        <v>0</v>
      </c>
      <c r="Q39" s="80">
        <f t="shared" si="0"/>
        <v>4.4</v>
      </c>
    </row>
    <row r="40" ht="18.5" customHeight="1" spans="1:17">
      <c r="A40" s="78" t="s">
        <v>398</v>
      </c>
      <c r="B40" s="78">
        <v>20413543</v>
      </c>
      <c r="C40" s="78" t="s">
        <v>423</v>
      </c>
      <c r="D40" s="79">
        <v>46078.9931021644</v>
      </c>
      <c r="E40" s="78" t="s">
        <v>400</v>
      </c>
      <c r="F40" s="78" t="s">
        <v>411</v>
      </c>
      <c r="G40" s="78">
        <v>8</v>
      </c>
      <c r="H40" s="78">
        <v>8</v>
      </c>
      <c r="I40" s="80">
        <v>4.4</v>
      </c>
      <c r="J40" s="80">
        <f t="shared" si="7"/>
        <v>35.2</v>
      </c>
      <c r="K40" s="80">
        <v>0</v>
      </c>
      <c r="L40" s="80">
        <v>40</v>
      </c>
      <c r="M40" s="80">
        <f t="shared" si="8"/>
        <v>0</v>
      </c>
      <c r="N40" s="80">
        <v>0</v>
      </c>
      <c r="O40" s="80">
        <v>120</v>
      </c>
      <c r="P40" s="80">
        <f t="shared" si="9"/>
        <v>0</v>
      </c>
      <c r="Q40" s="80">
        <f t="shared" si="0"/>
        <v>35.2</v>
      </c>
    </row>
    <row r="41" ht="18.5" customHeight="1" spans="1:17">
      <c r="A41" s="78" t="s">
        <v>398</v>
      </c>
      <c r="B41" s="78">
        <v>20413543</v>
      </c>
      <c r="C41" s="78" t="s">
        <v>423</v>
      </c>
      <c r="D41" s="79">
        <v>46078.9931021644</v>
      </c>
      <c r="E41" s="78" t="s">
        <v>400</v>
      </c>
      <c r="F41" s="78" t="s">
        <v>403</v>
      </c>
      <c r="G41" s="78">
        <v>18</v>
      </c>
      <c r="H41" s="78">
        <v>18</v>
      </c>
      <c r="I41" s="80">
        <v>4.4</v>
      </c>
      <c r="J41" s="80">
        <f t="shared" si="7"/>
        <v>79.2</v>
      </c>
      <c r="K41" s="80">
        <v>0</v>
      </c>
      <c r="L41" s="80">
        <v>40</v>
      </c>
      <c r="M41" s="80">
        <f t="shared" si="8"/>
        <v>0</v>
      </c>
      <c r="N41" s="80">
        <v>0</v>
      </c>
      <c r="O41" s="80">
        <v>120</v>
      </c>
      <c r="P41" s="80">
        <f t="shared" si="9"/>
        <v>0</v>
      </c>
      <c r="Q41" s="80">
        <f t="shared" si="0"/>
        <v>79.2</v>
      </c>
    </row>
    <row r="42" ht="18.5" customHeight="1" spans="1:17">
      <c r="A42" s="78" t="s">
        <v>398</v>
      </c>
      <c r="B42" s="78">
        <v>20413544</v>
      </c>
      <c r="C42" s="78" t="s">
        <v>424</v>
      </c>
      <c r="D42" s="79">
        <v>46078.9931037847</v>
      </c>
      <c r="E42" s="78" t="s">
        <v>400</v>
      </c>
      <c r="F42" s="78" t="s">
        <v>401</v>
      </c>
      <c r="G42" s="78">
        <v>146</v>
      </c>
      <c r="H42" s="80">
        <v>0</v>
      </c>
      <c r="I42" s="80">
        <v>4.4</v>
      </c>
      <c r="J42" s="80">
        <f>H42*I42</f>
        <v>0</v>
      </c>
      <c r="K42" s="80">
        <v>1</v>
      </c>
      <c r="L42" s="80">
        <v>40</v>
      </c>
      <c r="M42" s="80">
        <f t="shared" si="8"/>
        <v>40</v>
      </c>
      <c r="N42" s="80">
        <v>1</v>
      </c>
      <c r="O42" s="80">
        <v>120</v>
      </c>
      <c r="P42" s="80">
        <f t="shared" si="9"/>
        <v>120</v>
      </c>
      <c r="Q42" s="80">
        <f t="shared" si="0"/>
        <v>160</v>
      </c>
    </row>
    <row r="43" ht="18.5" customHeight="1" spans="1:17">
      <c r="A43" s="80"/>
      <c r="B43" s="80"/>
      <c r="C43" s="80" t="s">
        <v>380</v>
      </c>
      <c r="D43" s="80"/>
      <c r="E43" s="80"/>
      <c r="F43" s="80"/>
      <c r="G43" s="80">
        <f t="shared" ref="G43:Q43" si="10">SUM(G4:G42)</f>
        <v>866</v>
      </c>
      <c r="H43" s="80">
        <f t="shared" si="10"/>
        <v>321</v>
      </c>
      <c r="I43" s="80">
        <f t="shared" si="10"/>
        <v>171.6</v>
      </c>
      <c r="J43" s="80">
        <f t="shared" si="10"/>
        <v>1412.4</v>
      </c>
      <c r="K43" s="80">
        <f t="shared" si="10"/>
        <v>5</v>
      </c>
      <c r="L43" s="80">
        <f t="shared" si="10"/>
        <v>1560</v>
      </c>
      <c r="M43" s="80">
        <f t="shared" si="10"/>
        <v>200</v>
      </c>
      <c r="N43" s="80">
        <f t="shared" si="10"/>
        <v>5</v>
      </c>
      <c r="O43" s="80">
        <f t="shared" si="10"/>
        <v>4680</v>
      </c>
      <c r="P43" s="80">
        <f t="shared" si="10"/>
        <v>600</v>
      </c>
      <c r="Q43" s="80">
        <f t="shared" si="10"/>
        <v>2212.4</v>
      </c>
    </row>
    <row r="50" ht="28.5" customHeight="1" spans="1:17">
      <c r="A50" s="71" t="s">
        <v>425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3"/>
    </row>
    <row r="51" ht="22.5" customHeight="1" spans="1:17">
      <c r="A51" s="74" t="s">
        <v>383</v>
      </c>
      <c r="B51" s="74" t="s">
        <v>384</v>
      </c>
      <c r="C51" s="74" t="s">
        <v>8</v>
      </c>
      <c r="D51" s="74" t="s">
        <v>4</v>
      </c>
      <c r="E51" s="74" t="s">
        <v>385</v>
      </c>
      <c r="F51" s="74" t="s">
        <v>386</v>
      </c>
      <c r="G51" s="74" t="s">
        <v>387</v>
      </c>
      <c r="H51" s="75" t="s">
        <v>388</v>
      </c>
      <c r="I51" s="76" t="s">
        <v>389</v>
      </c>
      <c r="J51" s="76" t="s">
        <v>390</v>
      </c>
      <c r="K51" s="76" t="s">
        <v>391</v>
      </c>
      <c r="L51" s="76" t="s">
        <v>392</v>
      </c>
      <c r="M51" s="76" t="s">
        <v>393</v>
      </c>
      <c r="N51" s="76" t="s">
        <v>394</v>
      </c>
      <c r="O51" s="76" t="s">
        <v>395</v>
      </c>
      <c r="P51" s="76" t="s">
        <v>396</v>
      </c>
      <c r="Q51" s="77" t="s">
        <v>397</v>
      </c>
    </row>
    <row r="52" ht="22.5" customHeight="1" spans="1:17">
      <c r="A52" s="78" t="s">
        <v>426</v>
      </c>
      <c r="B52" s="78">
        <v>20412234</v>
      </c>
      <c r="C52" s="78" t="s">
        <v>427</v>
      </c>
      <c r="D52" s="79">
        <v>46062.9704125347</v>
      </c>
      <c r="E52" s="78" t="s">
        <v>400</v>
      </c>
      <c r="F52" s="78" t="s">
        <v>403</v>
      </c>
      <c r="G52" s="78">
        <v>17</v>
      </c>
      <c r="H52" s="78">
        <v>17</v>
      </c>
      <c r="I52" s="80">
        <v>4.4</v>
      </c>
      <c r="J52" s="80">
        <f>G52*I52</f>
        <v>74.8</v>
      </c>
      <c r="K52" s="80">
        <v>0</v>
      </c>
      <c r="L52" s="80">
        <v>40</v>
      </c>
      <c r="M52" s="80">
        <f>K52*L52</f>
        <v>0</v>
      </c>
      <c r="N52" s="80">
        <v>0</v>
      </c>
      <c r="O52" s="80">
        <v>120</v>
      </c>
      <c r="P52" s="80">
        <f>N52*O52</f>
        <v>0</v>
      </c>
      <c r="Q52" s="80">
        <f>J52+M52+P52</f>
        <v>74.8</v>
      </c>
    </row>
    <row r="53" ht="22.5" customHeight="1" spans="1:17">
      <c r="A53" s="78" t="s">
        <v>426</v>
      </c>
      <c r="B53" s="78">
        <v>20412234</v>
      </c>
      <c r="C53" s="78" t="s">
        <v>427</v>
      </c>
      <c r="D53" s="79">
        <v>46062.9704125347</v>
      </c>
      <c r="E53" s="78" t="s">
        <v>405</v>
      </c>
      <c r="F53" s="78" t="s">
        <v>409</v>
      </c>
      <c r="G53" s="78">
        <v>1</v>
      </c>
      <c r="H53" s="78">
        <v>1</v>
      </c>
      <c r="I53" s="80">
        <v>4.4</v>
      </c>
      <c r="J53" s="80">
        <f>G53*I53</f>
        <v>4.4</v>
      </c>
      <c r="K53" s="80">
        <v>0</v>
      </c>
      <c r="L53" s="80">
        <v>40</v>
      </c>
      <c r="M53" s="80">
        <f>K53*L53</f>
        <v>0</v>
      </c>
      <c r="N53" s="80">
        <v>0</v>
      </c>
      <c r="O53" s="80">
        <v>120</v>
      </c>
      <c r="P53" s="80">
        <f>N53*O53</f>
        <v>0</v>
      </c>
      <c r="Q53" s="80">
        <f>J53+M53+P53</f>
        <v>4.4</v>
      </c>
    </row>
    <row r="54" ht="22.5" customHeight="1" spans="1:17">
      <c r="A54" s="78" t="s">
        <v>426</v>
      </c>
      <c r="B54" s="78">
        <v>20412235</v>
      </c>
      <c r="C54" s="78" t="s">
        <v>428</v>
      </c>
      <c r="D54" s="79">
        <v>46062.9704141551</v>
      </c>
      <c r="E54" s="78" t="s">
        <v>405</v>
      </c>
      <c r="F54" s="78" t="s">
        <v>409</v>
      </c>
      <c r="G54" s="78">
        <v>1</v>
      </c>
      <c r="H54" s="78">
        <v>1</v>
      </c>
      <c r="I54" s="80">
        <v>4.4</v>
      </c>
      <c r="J54" s="80">
        <f>G54*I54</f>
        <v>4.4</v>
      </c>
      <c r="K54" s="80">
        <v>0</v>
      </c>
      <c r="L54" s="80">
        <v>40</v>
      </c>
      <c r="M54" s="80">
        <f>K54*L54</f>
        <v>0</v>
      </c>
      <c r="N54" s="80">
        <v>0</v>
      </c>
      <c r="O54" s="80">
        <v>120</v>
      </c>
      <c r="P54" s="80">
        <f>N54*O54</f>
        <v>0</v>
      </c>
      <c r="Q54" s="80">
        <f>J54+M54+P54</f>
        <v>4.4</v>
      </c>
    </row>
    <row r="55" ht="22.5" customHeight="1" spans="1:17">
      <c r="A55" s="78" t="s">
        <v>426</v>
      </c>
      <c r="B55" s="78">
        <v>20412235</v>
      </c>
      <c r="C55" s="78" t="s">
        <v>428</v>
      </c>
      <c r="D55" s="79">
        <v>46062.9704141551</v>
      </c>
      <c r="E55" s="78" t="s">
        <v>400</v>
      </c>
      <c r="F55" s="78" t="s">
        <v>403</v>
      </c>
      <c r="G55" s="78">
        <v>31</v>
      </c>
      <c r="H55" s="78">
        <v>31</v>
      </c>
      <c r="I55" s="80">
        <v>4.4</v>
      </c>
      <c r="J55" s="80">
        <f>G55*I55</f>
        <v>136.4</v>
      </c>
      <c r="K55" s="80">
        <v>0</v>
      </c>
      <c r="L55" s="80">
        <v>40</v>
      </c>
      <c r="M55" s="80">
        <f>K55*L55</f>
        <v>0</v>
      </c>
      <c r="N55" s="80">
        <v>0</v>
      </c>
      <c r="O55" s="80">
        <v>120</v>
      </c>
      <c r="P55" s="80">
        <f>N55*O55</f>
        <v>0</v>
      </c>
      <c r="Q55" s="80">
        <f>J55+M55+P55</f>
        <v>136.4</v>
      </c>
    </row>
    <row r="56" ht="22.5" customHeight="1" spans="1:17">
      <c r="A56" s="78" t="s">
        <v>426</v>
      </c>
      <c r="B56" s="78">
        <v>20412236</v>
      </c>
      <c r="C56" s="78" t="s">
        <v>429</v>
      </c>
      <c r="D56" s="79">
        <v>46062.9704160532</v>
      </c>
      <c r="E56" s="78" t="s">
        <v>400</v>
      </c>
      <c r="F56" s="78" t="s">
        <v>403</v>
      </c>
      <c r="G56" s="78">
        <v>1</v>
      </c>
      <c r="H56" s="78">
        <v>1</v>
      </c>
      <c r="I56" s="80">
        <v>4.4</v>
      </c>
      <c r="J56" s="80">
        <f>G56*I56</f>
        <v>4.4</v>
      </c>
      <c r="K56" s="80">
        <v>0</v>
      </c>
      <c r="L56" s="80">
        <v>40</v>
      </c>
      <c r="M56" s="80">
        <f>K56*L56</f>
        <v>0</v>
      </c>
      <c r="N56" s="80">
        <v>0</v>
      </c>
      <c r="O56" s="80">
        <v>120</v>
      </c>
      <c r="P56" s="80">
        <f>N56*O56</f>
        <v>0</v>
      </c>
      <c r="Q56" s="80">
        <f>J56+M56+P56</f>
        <v>4.4</v>
      </c>
    </row>
    <row r="57" ht="22.5" customHeight="1" spans="1:17">
      <c r="A57" s="80"/>
      <c r="B57" s="80"/>
      <c r="C57" s="80" t="s">
        <v>380</v>
      </c>
      <c r="D57" s="80"/>
      <c r="E57" s="80"/>
      <c r="F57" s="80"/>
      <c r="G57" s="80">
        <f t="shared" ref="G57:Q57" si="11">SUM(G52:G56)</f>
        <v>51</v>
      </c>
      <c r="H57" s="80">
        <f t="shared" si="11"/>
        <v>51</v>
      </c>
      <c r="I57" s="80">
        <f t="shared" si="11"/>
        <v>22</v>
      </c>
      <c r="J57" s="80">
        <f t="shared" si="11"/>
        <v>224.4</v>
      </c>
      <c r="K57" s="80">
        <f t="shared" si="11"/>
        <v>0</v>
      </c>
      <c r="L57" s="80">
        <f t="shared" si="11"/>
        <v>200</v>
      </c>
      <c r="M57" s="80">
        <f t="shared" si="11"/>
        <v>0</v>
      </c>
      <c r="N57" s="80">
        <f t="shared" si="11"/>
        <v>0</v>
      </c>
      <c r="O57" s="80">
        <f t="shared" si="11"/>
        <v>600</v>
      </c>
      <c r="P57" s="80">
        <f t="shared" si="11"/>
        <v>0</v>
      </c>
      <c r="Q57" s="80">
        <f t="shared" si="11"/>
        <v>224.4</v>
      </c>
    </row>
  </sheetData>
  <autoFilter xmlns:etc="http://www.wps.cn/officeDocument/2017/etCustomData" ref="A3:Q43" etc:filterBottomFollowUsedRange="0">
    <extLst/>
  </autoFilter>
  <mergeCells count="3">
    <mergeCell ref="A1:Q1"/>
    <mergeCell ref="A2:Q2"/>
    <mergeCell ref="A50:Q50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430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19</v>
      </c>
      <c r="J8" s="67"/>
      <c r="K8" s="33"/>
      <c r="L8" s="33"/>
      <c r="M8" s="33"/>
      <c r="N8" s="33">
        <v>678.4</v>
      </c>
    </row>
    <row r="9" spans="1:14">
      <c r="D9" s="68">
        <v>46058</v>
      </c>
      <c r="E9" s="69">
        <v>1576665</v>
      </c>
      <c r="F9" s="69" t="s">
        <v>16</v>
      </c>
      <c r="G9" s="69">
        <v>20324731</v>
      </c>
      <c r="H9" s="69" t="s">
        <v>431</v>
      </c>
      <c r="I9" s="69">
        <v>2</v>
      </c>
      <c r="J9" s="70" t="s">
        <v>18</v>
      </c>
      <c r="K9" s="18">
        <f>M9/L9</f>
        <v>10</v>
      </c>
      <c r="L9" s="19">
        <v>4.4</v>
      </c>
      <c r="M9" s="19">
        <v>44</v>
      </c>
      <c r="N9" s="19">
        <v>88</v>
      </c>
    </row>
    <row r="10" spans="1:14">
      <c r="D10" s="64">
        <v>46065</v>
      </c>
      <c r="E10" s="32">
        <v>1578461</v>
      </c>
      <c r="F10" s="32" t="s">
        <v>20</v>
      </c>
      <c r="G10" s="32">
        <v>20324712</v>
      </c>
      <c r="H10" s="32" t="s">
        <v>344</v>
      </c>
      <c r="I10" s="32">
        <v>1</v>
      </c>
      <c r="J10" s="32" t="s">
        <v>64</v>
      </c>
      <c r="K10" s="24">
        <v>1</v>
      </c>
      <c r="L10" s="25">
        <v>8.8</v>
      </c>
      <c r="M10" s="25">
        <v>13.2</v>
      </c>
      <c r="N10" s="25">
        <v>13.2</v>
      </c>
    </row>
    <row r="11" spans="1:14">
      <c r="D11" s="64"/>
      <c r="E11" s="32"/>
      <c r="F11" s="32"/>
      <c r="G11" s="32"/>
      <c r="H11" s="32"/>
      <c r="I11" s="32"/>
      <c r="J11" s="32" t="s">
        <v>116</v>
      </c>
      <c r="K11" s="24">
        <v>1</v>
      </c>
      <c r="L11" s="25">
        <v>4.4</v>
      </c>
      <c r="M11" s="25"/>
      <c r="N11" s="25"/>
    </row>
    <row r="12" spans="1:14">
      <c r="D12" s="64">
        <v>46065</v>
      </c>
      <c r="E12" s="32">
        <v>1578461</v>
      </c>
      <c r="F12" s="32" t="s">
        <v>20</v>
      </c>
      <c r="G12" s="32">
        <v>20324364</v>
      </c>
      <c r="H12" s="32" t="s">
        <v>99</v>
      </c>
      <c r="I12" s="3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64">
        <v>46065</v>
      </c>
      <c r="E13" s="32">
        <v>1578461</v>
      </c>
      <c r="F13" s="32" t="s">
        <v>20</v>
      </c>
      <c r="G13" s="32">
        <v>20324363</v>
      </c>
      <c r="H13" s="32" t="s">
        <v>30</v>
      </c>
      <c r="I13" s="32">
        <v>1</v>
      </c>
      <c r="J13" s="31" t="s">
        <v>29</v>
      </c>
      <c r="K13" s="24">
        <v>1</v>
      </c>
      <c r="L13" s="25">
        <v>6.4</v>
      </c>
      <c r="M13" s="25">
        <v>6.4</v>
      </c>
      <c r="N13" s="25">
        <v>6.4</v>
      </c>
    </row>
    <row r="14" spans="1:14">
      <c r="D14" s="64">
        <v>46066</v>
      </c>
      <c r="E14" s="32">
        <v>1578714</v>
      </c>
      <c r="F14" s="32" t="s">
        <v>20</v>
      </c>
      <c r="G14" s="32">
        <v>20324415</v>
      </c>
      <c r="H14" s="32" t="s">
        <v>432</v>
      </c>
      <c r="I14" s="32">
        <v>1</v>
      </c>
      <c r="J14" s="32" t="s">
        <v>64</v>
      </c>
      <c r="K14" s="24">
        <v>1</v>
      </c>
      <c r="L14" s="25">
        <v>8.8</v>
      </c>
      <c r="M14" s="25">
        <v>13.2</v>
      </c>
      <c r="N14" s="25">
        <v>13.2</v>
      </c>
    </row>
    <row r="15" spans="1:14">
      <c r="D15" s="64"/>
      <c r="E15" s="32"/>
      <c r="F15" s="32"/>
      <c r="G15" s="32"/>
      <c r="H15" s="32"/>
      <c r="I15" s="32"/>
      <c r="J15" s="32" t="s">
        <v>116</v>
      </c>
      <c r="K15" s="24">
        <v>1</v>
      </c>
      <c r="L15" s="25">
        <v>4.4</v>
      </c>
      <c r="M15" s="25"/>
      <c r="N15" s="25"/>
    </row>
    <row r="16" spans="1:14">
      <c r="D16" s="64">
        <v>46066</v>
      </c>
      <c r="E16" s="32">
        <v>1578714</v>
      </c>
      <c r="F16" s="32" t="s">
        <v>20</v>
      </c>
      <c r="G16" s="32">
        <v>20324716</v>
      </c>
      <c r="H16" s="32" t="s">
        <v>245</v>
      </c>
      <c r="I16" s="32">
        <v>1</v>
      </c>
      <c r="J16" s="32" t="s">
        <v>29</v>
      </c>
      <c r="K16" s="24">
        <v>1</v>
      </c>
      <c r="L16" s="25">
        <v>6.4</v>
      </c>
      <c r="M16" s="25">
        <v>10.8</v>
      </c>
      <c r="N16" s="25">
        <v>10.8</v>
      </c>
    </row>
    <row r="17" spans="4:14">
      <c r="D17" s="64"/>
      <c r="E17" s="32"/>
      <c r="F17" s="32"/>
      <c r="G17" s="32"/>
      <c r="H17" s="32"/>
      <c r="I17" s="32"/>
      <c r="J17" s="32" t="s">
        <v>116</v>
      </c>
      <c r="K17" s="24">
        <v>1</v>
      </c>
      <c r="L17" s="25">
        <v>4.4</v>
      </c>
      <c r="M17" s="25"/>
      <c r="N17" s="25"/>
    </row>
    <row r="18" spans="4:14">
      <c r="D18" s="64">
        <v>46066</v>
      </c>
      <c r="E18" s="32">
        <v>1578714</v>
      </c>
      <c r="F18" s="32" t="s">
        <v>20</v>
      </c>
      <c r="G18" s="32">
        <v>20324363</v>
      </c>
      <c r="H18" s="32" t="s">
        <v>30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46066</v>
      </c>
      <c r="E19" s="32">
        <v>1578714</v>
      </c>
      <c r="F19" s="32" t="s">
        <v>16</v>
      </c>
      <c r="G19" s="32">
        <v>20324379</v>
      </c>
      <c r="H19" s="32" t="s">
        <v>433</v>
      </c>
      <c r="I19" s="32">
        <v>1</v>
      </c>
      <c r="J19" s="30" t="s">
        <v>18</v>
      </c>
      <c r="K19" s="24">
        <f>M19/L19</f>
        <v>24</v>
      </c>
      <c r="L19" s="25">
        <v>4.4</v>
      </c>
      <c r="M19" s="25">
        <v>105.6</v>
      </c>
      <c r="N19" s="25">
        <v>105.6</v>
      </c>
    </row>
    <row r="20" spans="4:14">
      <c r="D20" s="64">
        <v>46078</v>
      </c>
      <c r="E20" s="32">
        <v>1580113</v>
      </c>
      <c r="F20" s="32" t="s">
        <v>20</v>
      </c>
      <c r="G20" s="32">
        <v>20324712</v>
      </c>
      <c r="H20" s="32" t="s">
        <v>344</v>
      </c>
      <c r="I20" s="32">
        <v>1</v>
      </c>
      <c r="J20" s="32" t="s">
        <v>64</v>
      </c>
      <c r="K20" s="24">
        <v>1</v>
      </c>
      <c r="L20" s="25">
        <v>8.8</v>
      </c>
      <c r="M20" s="25">
        <v>13.2</v>
      </c>
      <c r="N20" s="25">
        <v>13.2</v>
      </c>
    </row>
    <row r="21" spans="4:14">
      <c r="D21" s="64"/>
      <c r="E21" s="32"/>
      <c r="F21" s="32"/>
      <c r="G21" s="32"/>
      <c r="H21" s="32"/>
      <c r="I21" s="32"/>
      <c r="J21" s="32" t="s">
        <v>116</v>
      </c>
      <c r="K21" s="24">
        <v>1</v>
      </c>
      <c r="L21" s="25">
        <v>4.4</v>
      </c>
      <c r="M21" s="25"/>
      <c r="N21" s="25"/>
    </row>
    <row r="22" spans="4:14">
      <c r="D22" s="64">
        <v>46078</v>
      </c>
      <c r="E22" s="32">
        <v>1580113</v>
      </c>
      <c r="F22" s="32" t="s">
        <v>20</v>
      </c>
      <c r="G22" s="32">
        <v>20324716</v>
      </c>
      <c r="H22" s="32" t="s">
        <v>245</v>
      </c>
      <c r="I22" s="32">
        <v>1</v>
      </c>
      <c r="J22" s="32" t="s">
        <v>29</v>
      </c>
      <c r="K22" s="24">
        <v>1</v>
      </c>
      <c r="L22" s="25">
        <v>6.4</v>
      </c>
      <c r="M22" s="25">
        <v>10.8</v>
      </c>
      <c r="N22" s="25">
        <v>10.8</v>
      </c>
    </row>
    <row r="23" spans="4:14">
      <c r="D23" s="64"/>
      <c r="E23" s="32"/>
      <c r="F23" s="32"/>
      <c r="G23" s="32"/>
      <c r="H23" s="32"/>
      <c r="I23" s="32"/>
      <c r="J23" s="32" t="s">
        <v>116</v>
      </c>
      <c r="K23" s="24">
        <v>1</v>
      </c>
      <c r="L23" s="25">
        <v>4.4</v>
      </c>
      <c r="M23" s="25"/>
      <c r="N23" s="25"/>
    </row>
    <row r="24" spans="4:14">
      <c r="D24" s="64">
        <v>46078</v>
      </c>
      <c r="E24" s="32">
        <v>1580113</v>
      </c>
      <c r="F24" s="32" t="s">
        <v>20</v>
      </c>
      <c r="G24" s="32">
        <v>20324363</v>
      </c>
      <c r="H24" s="32" t="s">
        <v>30</v>
      </c>
      <c r="I24" s="32">
        <v>1</v>
      </c>
      <c r="J24" s="31" t="s">
        <v>29</v>
      </c>
      <c r="K24" s="24">
        <v>1</v>
      </c>
      <c r="L24" s="25">
        <v>6.4</v>
      </c>
      <c r="M24" s="25">
        <v>6.4</v>
      </c>
      <c r="N24" s="25">
        <v>6.4</v>
      </c>
    </row>
    <row r="25" spans="4:14">
      <c r="D25" s="64">
        <v>46078</v>
      </c>
      <c r="E25" s="32">
        <v>1580113</v>
      </c>
      <c r="F25" s="32" t="s">
        <v>16</v>
      </c>
      <c r="G25" s="32">
        <v>20324731</v>
      </c>
      <c r="H25" s="32" t="s">
        <v>431</v>
      </c>
      <c r="I25" s="32">
        <v>2</v>
      </c>
      <c r="J25" s="30" t="s">
        <v>18</v>
      </c>
      <c r="K25" s="24">
        <f t="shared" ref="K25:K30" si="0">M25/L25</f>
        <v>10</v>
      </c>
      <c r="L25" s="25">
        <v>4.4</v>
      </c>
      <c r="M25" s="25">
        <v>44</v>
      </c>
      <c r="N25" s="25">
        <v>88</v>
      </c>
    </row>
    <row r="26" spans="4:14">
      <c r="D26" s="64">
        <v>46078</v>
      </c>
      <c r="E26" s="32">
        <v>1580113</v>
      </c>
      <c r="F26" s="32" t="s">
        <v>16</v>
      </c>
      <c r="G26" s="32">
        <v>20324379</v>
      </c>
      <c r="H26" s="32" t="s">
        <v>433</v>
      </c>
      <c r="I26" s="32">
        <v>1</v>
      </c>
      <c r="J26" s="30" t="s">
        <v>18</v>
      </c>
      <c r="K26" s="24">
        <f t="shared" si="0"/>
        <v>24</v>
      </c>
      <c r="L26" s="25">
        <v>4.4</v>
      </c>
      <c r="M26" s="25">
        <v>105.6</v>
      </c>
      <c r="N26" s="25">
        <v>105.6</v>
      </c>
    </row>
    <row r="27" spans="4:14">
      <c r="D27" s="64">
        <v>46080</v>
      </c>
      <c r="E27" s="32">
        <v>1580866</v>
      </c>
      <c r="F27" s="32" t="s">
        <v>20</v>
      </c>
      <c r="G27" s="32">
        <v>20324716</v>
      </c>
      <c r="H27" s="32" t="s">
        <v>245</v>
      </c>
      <c r="I27" s="32">
        <v>1</v>
      </c>
      <c r="J27" s="32" t="s">
        <v>29</v>
      </c>
      <c r="K27" s="24">
        <v>1</v>
      </c>
      <c r="L27" s="25">
        <v>6.4</v>
      </c>
      <c r="M27" s="25">
        <v>10.8</v>
      </c>
      <c r="N27" s="25">
        <v>10.8</v>
      </c>
    </row>
    <row r="28" spans="4:14">
      <c r="D28" s="64"/>
      <c r="E28" s="32"/>
      <c r="F28" s="32"/>
      <c r="G28" s="32"/>
      <c r="H28" s="32"/>
      <c r="I28" s="32"/>
      <c r="J28" s="32" t="s">
        <v>116</v>
      </c>
      <c r="K28" s="24">
        <v>1</v>
      </c>
      <c r="L28" s="25">
        <v>4.4</v>
      </c>
      <c r="M28" s="25"/>
      <c r="N28" s="25"/>
    </row>
    <row r="29" spans="4:14">
      <c r="D29" s="64">
        <v>46080</v>
      </c>
      <c r="E29" s="32">
        <v>1580866</v>
      </c>
      <c r="F29" s="32" t="s">
        <v>16</v>
      </c>
      <c r="G29" s="32">
        <v>20324731</v>
      </c>
      <c r="H29" s="32" t="s">
        <v>431</v>
      </c>
      <c r="I29" s="32">
        <v>2</v>
      </c>
      <c r="J29" s="30" t="s">
        <v>18</v>
      </c>
      <c r="K29" s="24">
        <f t="shared" si="0"/>
        <v>10</v>
      </c>
      <c r="L29" s="25">
        <v>4.4</v>
      </c>
      <c r="M29" s="25">
        <v>44</v>
      </c>
      <c r="N29" s="25">
        <v>88</v>
      </c>
    </row>
    <row r="30" spans="4:14">
      <c r="D30" s="21">
        <v>46080</v>
      </c>
      <c r="E30" s="22">
        <v>1580866</v>
      </c>
      <c r="F30" s="22" t="s">
        <v>16</v>
      </c>
      <c r="G30" s="22">
        <v>20324379</v>
      </c>
      <c r="H30" s="22" t="s">
        <v>433</v>
      </c>
      <c r="I30" s="22">
        <v>1</v>
      </c>
      <c r="J30" s="30" t="s">
        <v>18</v>
      </c>
      <c r="K30" s="24">
        <f t="shared" si="0"/>
        <v>24</v>
      </c>
      <c r="L30" s="25">
        <v>4.4</v>
      </c>
      <c r="M30" s="26">
        <v>105.6</v>
      </c>
      <c r="N30" s="26">
        <v>105.6</v>
      </c>
    </row>
    <row r="31" ht="0.05" customHeight="1"/>
  </sheetData>
  <autoFilter xmlns:etc="http://www.wps.cn/officeDocument/2017/etCustomData" ref="A7:N30" etc:filterBottomFollowUsedRange="0">
    <extLst/>
  </autoFilter>
  <mergeCells count="53">
    <mergeCell ref="D8:H8"/>
    <mergeCell ref="C7:C30"/>
    <mergeCell ref="D10:D11"/>
    <mergeCell ref="D14:D15"/>
    <mergeCell ref="D16:D17"/>
    <mergeCell ref="D20:D21"/>
    <mergeCell ref="D22:D23"/>
    <mergeCell ref="D27:D28"/>
    <mergeCell ref="E10:E11"/>
    <mergeCell ref="E14:E15"/>
    <mergeCell ref="E16:E17"/>
    <mergeCell ref="E20:E21"/>
    <mergeCell ref="E22:E23"/>
    <mergeCell ref="E27:E28"/>
    <mergeCell ref="F10:F11"/>
    <mergeCell ref="F14:F15"/>
    <mergeCell ref="F16:F17"/>
    <mergeCell ref="F20:F21"/>
    <mergeCell ref="F22:F23"/>
    <mergeCell ref="F27:F28"/>
    <mergeCell ref="G10:G11"/>
    <mergeCell ref="G14:G15"/>
    <mergeCell ref="G16:G17"/>
    <mergeCell ref="G20:G21"/>
    <mergeCell ref="G22:G23"/>
    <mergeCell ref="G27:G28"/>
    <mergeCell ref="H10:H11"/>
    <mergeCell ref="H14:H15"/>
    <mergeCell ref="H16:H17"/>
    <mergeCell ref="H20:H21"/>
    <mergeCell ref="H22:H23"/>
    <mergeCell ref="H27:H28"/>
    <mergeCell ref="I10:I11"/>
    <mergeCell ref="I14:I15"/>
    <mergeCell ref="I16:I17"/>
    <mergeCell ref="I20:I21"/>
    <mergeCell ref="I22:I23"/>
    <mergeCell ref="I27:I28"/>
    <mergeCell ref="M10:M11"/>
    <mergeCell ref="M14:M15"/>
    <mergeCell ref="M16:M17"/>
    <mergeCell ref="M20:M21"/>
    <mergeCell ref="M22:M23"/>
    <mergeCell ref="M27:M28"/>
    <mergeCell ref="N10:N11"/>
    <mergeCell ref="N14:N15"/>
    <mergeCell ref="N16:N17"/>
    <mergeCell ref="N20:N21"/>
    <mergeCell ref="N22:N23"/>
    <mergeCell ref="N27:N28"/>
    <mergeCell ref="B4:H5"/>
    <mergeCell ref="C1:H2"/>
    <mergeCell ref="A7:B30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434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52</v>
      </c>
      <c r="J8" s="67"/>
      <c r="K8" s="33"/>
      <c r="L8" s="33"/>
      <c r="M8" s="33"/>
      <c r="N8" s="33">
        <v>1639.2</v>
      </c>
    </row>
    <row r="9" spans="1:14">
      <c r="D9" s="68">
        <v>46055</v>
      </c>
      <c r="E9" s="69">
        <v>1575639</v>
      </c>
      <c r="F9" s="69" t="s">
        <v>16</v>
      </c>
      <c r="G9" s="69">
        <v>20324423</v>
      </c>
      <c r="H9" s="69" t="s">
        <v>145</v>
      </c>
      <c r="I9" s="69">
        <v>3</v>
      </c>
      <c r="J9" s="70" t="s">
        <v>18</v>
      </c>
      <c r="K9" s="18">
        <f>M9/L9</f>
        <v>18</v>
      </c>
      <c r="L9" s="19">
        <v>4.4</v>
      </c>
      <c r="M9" s="19">
        <v>79.2</v>
      </c>
      <c r="N9" s="19">
        <v>237.6</v>
      </c>
    </row>
    <row r="10" spans="1:14">
      <c r="D10" s="64">
        <v>46055</v>
      </c>
      <c r="E10" s="32">
        <v>1575639</v>
      </c>
      <c r="F10" s="32" t="s">
        <v>16</v>
      </c>
      <c r="G10" s="32">
        <v>20324420</v>
      </c>
      <c r="H10" s="32" t="s">
        <v>435</v>
      </c>
      <c r="I10" s="32">
        <v>1</v>
      </c>
      <c r="J10" s="34" t="s">
        <v>18</v>
      </c>
      <c r="K10" s="24">
        <v>3</v>
      </c>
      <c r="L10" s="25">
        <v>4.4</v>
      </c>
      <c r="M10" s="25">
        <v>22</v>
      </c>
      <c r="N10" s="25">
        <v>22</v>
      </c>
    </row>
    <row r="11" spans="1:14">
      <c r="D11" s="64"/>
      <c r="E11" s="32"/>
      <c r="F11" s="32"/>
      <c r="G11" s="32"/>
      <c r="H11" s="32"/>
      <c r="I11" s="32"/>
      <c r="J11" s="30" t="s">
        <v>436</v>
      </c>
      <c r="K11" s="24">
        <v>1</v>
      </c>
      <c r="L11" s="25">
        <v>8.8</v>
      </c>
      <c r="M11" s="25"/>
      <c r="N11" s="25"/>
    </row>
    <row r="12" spans="1:14">
      <c r="D12" s="64">
        <v>46055</v>
      </c>
      <c r="E12" s="32">
        <v>1575639</v>
      </c>
      <c r="F12" s="32" t="s">
        <v>20</v>
      </c>
      <c r="G12" s="32">
        <v>20324421</v>
      </c>
      <c r="H12" s="32" t="s">
        <v>437</v>
      </c>
      <c r="I12" s="32">
        <v>1</v>
      </c>
      <c r="J12" s="30" t="s">
        <v>18</v>
      </c>
      <c r="K12" s="24">
        <f>M12/L12</f>
        <v>3</v>
      </c>
      <c r="L12" s="25">
        <v>4.4</v>
      </c>
      <c r="M12" s="25">
        <v>13.2</v>
      </c>
      <c r="N12" s="25">
        <v>13.2</v>
      </c>
    </row>
    <row r="13" spans="1:14">
      <c r="D13" s="64">
        <v>46056</v>
      </c>
      <c r="E13" s="32">
        <v>1575746</v>
      </c>
      <c r="F13" s="32" t="s">
        <v>20</v>
      </c>
      <c r="G13" s="32">
        <v>20326777</v>
      </c>
      <c r="H13" s="32" t="s">
        <v>438</v>
      </c>
      <c r="I13" s="32">
        <v>1</v>
      </c>
      <c r="J13" s="30" t="s">
        <v>36</v>
      </c>
      <c r="K13" s="24">
        <v>1</v>
      </c>
      <c r="L13" s="25">
        <v>17.6</v>
      </c>
      <c r="M13" s="25">
        <v>17.6</v>
      </c>
      <c r="N13" s="25">
        <v>17.6</v>
      </c>
    </row>
    <row r="14" spans="1:14">
      <c r="D14" s="64">
        <v>46056</v>
      </c>
      <c r="E14" s="32">
        <v>1575993</v>
      </c>
      <c r="F14" s="32" t="s">
        <v>16</v>
      </c>
      <c r="G14" s="32">
        <v>20324423</v>
      </c>
      <c r="H14" s="32" t="s">
        <v>145</v>
      </c>
      <c r="I14" s="32">
        <v>2</v>
      </c>
      <c r="J14" s="30" t="s">
        <v>18</v>
      </c>
      <c r="K14" s="24">
        <f>M14/L14</f>
        <v>18</v>
      </c>
      <c r="L14" s="25">
        <v>4.4</v>
      </c>
      <c r="M14" s="25">
        <v>79.2</v>
      </c>
      <c r="N14" s="25">
        <v>158.4</v>
      </c>
    </row>
    <row r="15" spans="1:14">
      <c r="D15" s="64">
        <v>46056</v>
      </c>
      <c r="E15" s="32">
        <v>1575993</v>
      </c>
      <c r="F15" s="32" t="s">
        <v>41</v>
      </c>
      <c r="G15" s="32">
        <v>20375423</v>
      </c>
      <c r="H15" s="32" t="s">
        <v>439</v>
      </c>
      <c r="I15" s="32">
        <v>10</v>
      </c>
      <c r="J15" s="34" t="s">
        <v>97</v>
      </c>
      <c r="K15" s="24">
        <v>1</v>
      </c>
      <c r="L15" s="25">
        <v>3.2</v>
      </c>
      <c r="M15" s="25">
        <v>3.2</v>
      </c>
      <c r="N15" s="25">
        <v>32</v>
      </c>
    </row>
    <row r="16" spans="1:14">
      <c r="D16" s="64">
        <v>46057</v>
      </c>
      <c r="E16" s="32">
        <v>1576079</v>
      </c>
      <c r="F16" s="32" t="s">
        <v>20</v>
      </c>
      <c r="G16" s="32">
        <v>20326777</v>
      </c>
      <c r="H16" s="32" t="s">
        <v>438</v>
      </c>
      <c r="I16" s="32">
        <v>1</v>
      </c>
      <c r="J16" s="30" t="s">
        <v>36</v>
      </c>
      <c r="K16" s="24">
        <v>1</v>
      </c>
      <c r="L16" s="25">
        <v>17.6</v>
      </c>
      <c r="M16" s="25">
        <v>17.6</v>
      </c>
      <c r="N16" s="25">
        <v>17.6</v>
      </c>
    </row>
    <row r="17" spans="4:14">
      <c r="D17" s="64">
        <v>46057</v>
      </c>
      <c r="E17" s="32">
        <v>1576315</v>
      </c>
      <c r="F17" s="32" t="s">
        <v>16</v>
      </c>
      <c r="G17" s="32">
        <v>20324423</v>
      </c>
      <c r="H17" s="32" t="s">
        <v>145</v>
      </c>
      <c r="I17" s="32">
        <v>2</v>
      </c>
      <c r="J17" s="30" t="s">
        <v>18</v>
      </c>
      <c r="K17" s="24">
        <f>M17/L17</f>
        <v>18</v>
      </c>
      <c r="L17" s="25">
        <v>4.4</v>
      </c>
      <c r="M17" s="25">
        <v>79.2</v>
      </c>
      <c r="N17" s="25">
        <v>158.4</v>
      </c>
    </row>
    <row r="18" spans="4:14">
      <c r="D18" s="64">
        <v>46057</v>
      </c>
      <c r="E18" s="32">
        <v>1576315</v>
      </c>
      <c r="F18" s="32" t="s">
        <v>20</v>
      </c>
      <c r="G18" s="32">
        <v>20324557</v>
      </c>
      <c r="H18" s="32" t="s">
        <v>111</v>
      </c>
      <c r="I18" s="3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64">
        <v>46057</v>
      </c>
      <c r="E19" s="32">
        <v>1576315</v>
      </c>
      <c r="F19" s="32" t="s">
        <v>20</v>
      </c>
      <c r="G19" s="32">
        <v>20340826</v>
      </c>
      <c r="H19" s="32" t="s">
        <v>440</v>
      </c>
      <c r="I19" s="32">
        <v>1</v>
      </c>
      <c r="J19" s="32" t="s">
        <v>64</v>
      </c>
      <c r="K19" s="24">
        <v>1</v>
      </c>
      <c r="L19" s="25">
        <v>8.8</v>
      </c>
      <c r="M19" s="25">
        <v>8.8</v>
      </c>
      <c r="N19" s="25">
        <v>8.8</v>
      </c>
    </row>
    <row r="20" spans="4:14">
      <c r="D20" s="64">
        <v>46057</v>
      </c>
      <c r="E20" s="32">
        <v>1576315</v>
      </c>
      <c r="F20" s="32" t="s">
        <v>20</v>
      </c>
      <c r="G20" s="32">
        <v>20324559</v>
      </c>
      <c r="H20" s="32" t="s">
        <v>112</v>
      </c>
      <c r="I20" s="32">
        <v>2</v>
      </c>
      <c r="J20" s="32" t="s">
        <v>64</v>
      </c>
      <c r="K20" s="24">
        <v>1</v>
      </c>
      <c r="L20" s="25">
        <v>8.8</v>
      </c>
      <c r="M20" s="25">
        <v>8.8</v>
      </c>
      <c r="N20" s="25">
        <v>17.6</v>
      </c>
    </row>
    <row r="21" spans="4:14">
      <c r="D21" s="64">
        <v>46057</v>
      </c>
      <c r="E21" s="32">
        <v>1576315</v>
      </c>
      <c r="F21" s="32" t="s">
        <v>41</v>
      </c>
      <c r="G21" s="32">
        <v>20375423</v>
      </c>
      <c r="H21" s="32" t="s">
        <v>439</v>
      </c>
      <c r="I21" s="32">
        <v>6</v>
      </c>
      <c r="J21" s="34" t="s">
        <v>97</v>
      </c>
      <c r="K21" s="24">
        <v>1</v>
      </c>
      <c r="L21" s="25">
        <v>3.2</v>
      </c>
      <c r="M21" s="25">
        <v>3.2</v>
      </c>
      <c r="N21" s="25">
        <v>19.2</v>
      </c>
    </row>
    <row r="22" spans="4:14">
      <c r="D22" s="64">
        <v>46058</v>
      </c>
      <c r="E22" s="32">
        <v>1576666</v>
      </c>
      <c r="F22" s="32" t="s">
        <v>16</v>
      </c>
      <c r="G22" s="32">
        <v>20324423</v>
      </c>
      <c r="H22" s="32" t="s">
        <v>145</v>
      </c>
      <c r="I22" s="32">
        <v>1</v>
      </c>
      <c r="J22" s="30" t="s">
        <v>18</v>
      </c>
      <c r="K22" s="24">
        <f t="shared" ref="K22:K25" si="0">M22/L22</f>
        <v>18</v>
      </c>
      <c r="L22" s="25">
        <v>4.4</v>
      </c>
      <c r="M22" s="25">
        <v>79.2</v>
      </c>
      <c r="N22" s="25">
        <v>79.2</v>
      </c>
    </row>
    <row r="23" spans="4:14">
      <c r="D23" s="64">
        <v>46059</v>
      </c>
      <c r="E23" s="32">
        <v>1576760</v>
      </c>
      <c r="F23" s="32" t="s">
        <v>20</v>
      </c>
      <c r="G23" s="32">
        <v>20326777</v>
      </c>
      <c r="H23" s="32" t="s">
        <v>438</v>
      </c>
      <c r="I23" s="32">
        <v>1</v>
      </c>
      <c r="J23" s="30" t="s">
        <v>36</v>
      </c>
      <c r="K23" s="24">
        <v>1</v>
      </c>
      <c r="L23" s="25">
        <v>17.6</v>
      </c>
      <c r="M23" s="25">
        <v>17.6</v>
      </c>
      <c r="N23" s="25">
        <v>17.6</v>
      </c>
    </row>
    <row r="24" spans="4:14">
      <c r="D24" s="64">
        <v>46060</v>
      </c>
      <c r="E24" s="32">
        <v>1577038</v>
      </c>
      <c r="F24" s="32" t="s">
        <v>16</v>
      </c>
      <c r="G24" s="32">
        <v>20324423</v>
      </c>
      <c r="H24" s="32" t="s">
        <v>145</v>
      </c>
      <c r="I24" s="32">
        <v>1</v>
      </c>
      <c r="J24" s="30" t="s">
        <v>18</v>
      </c>
      <c r="K24" s="24">
        <f t="shared" si="0"/>
        <v>18</v>
      </c>
      <c r="L24" s="25">
        <v>4.4</v>
      </c>
      <c r="M24" s="25">
        <v>79.2</v>
      </c>
      <c r="N24" s="25">
        <v>79.2</v>
      </c>
    </row>
    <row r="25" spans="4:14">
      <c r="D25" s="64">
        <v>46060</v>
      </c>
      <c r="E25" s="32">
        <v>1577038</v>
      </c>
      <c r="F25" s="32" t="s">
        <v>16</v>
      </c>
      <c r="G25" s="32">
        <v>20324420</v>
      </c>
      <c r="H25" s="32" t="s">
        <v>435</v>
      </c>
      <c r="I25" s="32">
        <v>1</v>
      </c>
      <c r="J25" s="34" t="s">
        <v>18</v>
      </c>
      <c r="K25" s="24">
        <v>3</v>
      </c>
      <c r="L25" s="25">
        <v>4.4</v>
      </c>
      <c r="M25" s="25">
        <v>22</v>
      </c>
      <c r="N25" s="25">
        <v>22</v>
      </c>
    </row>
    <row r="26" spans="4:14">
      <c r="D26" s="64"/>
      <c r="E26" s="32"/>
      <c r="F26" s="32"/>
      <c r="G26" s="32"/>
      <c r="H26" s="32"/>
      <c r="I26" s="32"/>
      <c r="J26" s="30" t="s">
        <v>436</v>
      </c>
      <c r="K26" s="24">
        <v>1</v>
      </c>
      <c r="L26" s="25">
        <v>8.8</v>
      </c>
      <c r="M26" s="25"/>
      <c r="N26" s="25"/>
    </row>
    <row r="27" spans="4:14">
      <c r="D27" s="64">
        <v>46060</v>
      </c>
      <c r="E27" s="32">
        <v>1577038</v>
      </c>
      <c r="F27" s="32" t="s">
        <v>20</v>
      </c>
      <c r="G27" s="32">
        <v>20324421</v>
      </c>
      <c r="H27" s="32" t="s">
        <v>437</v>
      </c>
      <c r="I27" s="32">
        <v>2</v>
      </c>
      <c r="J27" s="30" t="s">
        <v>18</v>
      </c>
      <c r="K27" s="24">
        <f>M27/L27</f>
        <v>3</v>
      </c>
      <c r="L27" s="25">
        <v>4.4</v>
      </c>
      <c r="M27" s="25">
        <v>13.2</v>
      </c>
      <c r="N27" s="25">
        <v>26.4</v>
      </c>
    </row>
    <row r="28" spans="4:14">
      <c r="D28" s="64">
        <v>46062</v>
      </c>
      <c r="E28" s="32">
        <v>1577502</v>
      </c>
      <c r="F28" s="32" t="s">
        <v>16</v>
      </c>
      <c r="G28" s="32">
        <v>20324423</v>
      </c>
      <c r="H28" s="32" t="s">
        <v>145</v>
      </c>
      <c r="I28" s="32">
        <v>2</v>
      </c>
      <c r="J28" s="30" t="s">
        <v>18</v>
      </c>
      <c r="K28" s="24">
        <f>M28/L28</f>
        <v>18</v>
      </c>
      <c r="L28" s="25">
        <v>4.4</v>
      </c>
      <c r="M28" s="25">
        <v>79.2</v>
      </c>
      <c r="N28" s="25">
        <v>158.4</v>
      </c>
    </row>
    <row r="29" spans="4:14">
      <c r="D29" s="64">
        <v>46062</v>
      </c>
      <c r="E29" s="32">
        <v>1577502</v>
      </c>
      <c r="F29" s="32" t="s">
        <v>20</v>
      </c>
      <c r="G29" s="32">
        <v>20324363</v>
      </c>
      <c r="H29" s="32" t="s">
        <v>30</v>
      </c>
      <c r="I29" s="32">
        <v>1</v>
      </c>
      <c r="J29" s="31" t="s">
        <v>29</v>
      </c>
      <c r="K29" s="24">
        <v>1</v>
      </c>
      <c r="L29" s="25">
        <v>6.4</v>
      </c>
      <c r="M29" s="25">
        <v>6.4</v>
      </c>
      <c r="N29" s="25">
        <v>6.4</v>
      </c>
    </row>
    <row r="30" spans="4:14">
      <c r="D30" s="64">
        <v>46062</v>
      </c>
      <c r="E30" s="32">
        <v>1577502</v>
      </c>
      <c r="F30" s="32" t="s">
        <v>16</v>
      </c>
      <c r="G30" s="32">
        <v>20324420</v>
      </c>
      <c r="H30" s="32" t="s">
        <v>435</v>
      </c>
      <c r="I30" s="32">
        <v>1</v>
      </c>
      <c r="J30" s="34" t="s">
        <v>18</v>
      </c>
      <c r="K30" s="24">
        <v>3</v>
      </c>
      <c r="L30" s="25">
        <v>4.4</v>
      </c>
      <c r="M30" s="25">
        <v>22</v>
      </c>
      <c r="N30" s="25">
        <v>22</v>
      </c>
    </row>
    <row r="31" spans="4:14">
      <c r="D31" s="64"/>
      <c r="E31" s="32"/>
      <c r="F31" s="32"/>
      <c r="G31" s="32"/>
      <c r="H31" s="32"/>
      <c r="I31" s="32"/>
      <c r="J31" s="30" t="s">
        <v>436</v>
      </c>
      <c r="K31" s="24">
        <v>1</v>
      </c>
      <c r="L31" s="25">
        <v>8.8</v>
      </c>
      <c r="M31" s="25"/>
      <c r="N31" s="25"/>
    </row>
    <row r="32" spans="4:14">
      <c r="D32" s="64">
        <v>46063</v>
      </c>
      <c r="E32" s="32">
        <v>1577858</v>
      </c>
      <c r="F32" s="32" t="s">
        <v>16</v>
      </c>
      <c r="G32" s="32">
        <v>20324423</v>
      </c>
      <c r="H32" s="32" t="s">
        <v>145</v>
      </c>
      <c r="I32" s="32">
        <v>1</v>
      </c>
      <c r="J32" s="30" t="s">
        <v>18</v>
      </c>
      <c r="K32" s="24">
        <f>M32/L32</f>
        <v>18</v>
      </c>
      <c r="L32" s="25">
        <v>4.4</v>
      </c>
      <c r="M32" s="25">
        <v>79.2</v>
      </c>
      <c r="N32" s="25">
        <v>79.2</v>
      </c>
    </row>
    <row r="33" spans="4:14">
      <c r="D33" s="64">
        <v>46063</v>
      </c>
      <c r="E33" s="32">
        <v>1577858</v>
      </c>
      <c r="F33" s="32" t="s">
        <v>16</v>
      </c>
      <c r="G33" s="32">
        <v>20324420</v>
      </c>
      <c r="H33" s="32" t="s">
        <v>435</v>
      </c>
      <c r="I33" s="32">
        <v>1</v>
      </c>
      <c r="J33" s="34" t="s">
        <v>18</v>
      </c>
      <c r="K33" s="24">
        <v>3</v>
      </c>
      <c r="L33" s="25">
        <v>4.4</v>
      </c>
      <c r="M33" s="25">
        <v>22</v>
      </c>
      <c r="N33" s="25">
        <v>22</v>
      </c>
    </row>
    <row r="34" spans="4:14">
      <c r="D34" s="64"/>
      <c r="E34" s="32"/>
      <c r="F34" s="32"/>
      <c r="G34" s="32"/>
      <c r="H34" s="32"/>
      <c r="I34" s="32"/>
      <c r="J34" s="30" t="s">
        <v>436</v>
      </c>
      <c r="K34" s="24">
        <v>1</v>
      </c>
      <c r="L34" s="25">
        <v>8.8</v>
      </c>
      <c r="M34" s="25"/>
      <c r="N34" s="25"/>
    </row>
    <row r="35" spans="4:14">
      <c r="D35" s="64">
        <v>46063</v>
      </c>
      <c r="E35" s="32">
        <v>1577858</v>
      </c>
      <c r="F35" s="32" t="s">
        <v>20</v>
      </c>
      <c r="G35" s="32">
        <v>20324421</v>
      </c>
      <c r="H35" s="32" t="s">
        <v>437</v>
      </c>
      <c r="I35" s="32">
        <v>1</v>
      </c>
      <c r="J35" s="30" t="s">
        <v>18</v>
      </c>
      <c r="K35" s="24">
        <f t="shared" ref="K35:K40" si="1">M35/L35</f>
        <v>3</v>
      </c>
      <c r="L35" s="25">
        <v>4.4</v>
      </c>
      <c r="M35" s="25">
        <v>13.2</v>
      </c>
      <c r="N35" s="25">
        <v>13.2</v>
      </c>
    </row>
    <row r="36" spans="4:14">
      <c r="D36" s="64">
        <v>46064</v>
      </c>
      <c r="E36" s="32">
        <v>1578104</v>
      </c>
      <c r="F36" s="32" t="s">
        <v>16</v>
      </c>
      <c r="G36" s="32">
        <v>20324063</v>
      </c>
      <c r="H36" s="32" t="s">
        <v>441</v>
      </c>
      <c r="I36" s="32">
        <v>1</v>
      </c>
      <c r="J36" s="30" t="s">
        <v>18</v>
      </c>
      <c r="K36" s="24">
        <f t="shared" si="1"/>
        <v>13</v>
      </c>
      <c r="L36" s="25">
        <v>4.4</v>
      </c>
      <c r="M36" s="25">
        <v>57.2</v>
      </c>
      <c r="N36" s="25">
        <v>57.2</v>
      </c>
    </row>
    <row r="37" spans="4:14">
      <c r="D37" s="64">
        <v>46066</v>
      </c>
      <c r="E37" s="32">
        <v>1578715</v>
      </c>
      <c r="F37" s="32" t="s">
        <v>16</v>
      </c>
      <c r="G37" s="32">
        <v>20324423</v>
      </c>
      <c r="H37" s="32" t="s">
        <v>145</v>
      </c>
      <c r="I37" s="32">
        <v>1</v>
      </c>
      <c r="J37" s="30" t="s">
        <v>18</v>
      </c>
      <c r="K37" s="24">
        <f t="shared" si="1"/>
        <v>18</v>
      </c>
      <c r="L37" s="25">
        <v>4.4</v>
      </c>
      <c r="M37" s="25">
        <v>79.2</v>
      </c>
      <c r="N37" s="25">
        <v>79.2</v>
      </c>
    </row>
    <row r="38" spans="4:14">
      <c r="D38" s="64">
        <v>46074</v>
      </c>
      <c r="E38" s="32">
        <v>1579342</v>
      </c>
      <c r="F38" s="32" t="s">
        <v>16</v>
      </c>
      <c r="G38" s="32">
        <v>20324063</v>
      </c>
      <c r="H38" s="32" t="s">
        <v>441</v>
      </c>
      <c r="I38" s="32">
        <v>1</v>
      </c>
      <c r="J38" s="30" t="s">
        <v>18</v>
      </c>
      <c r="K38" s="24">
        <f t="shared" si="1"/>
        <v>13</v>
      </c>
      <c r="L38" s="25">
        <v>4.4</v>
      </c>
      <c r="M38" s="25">
        <v>57.2</v>
      </c>
      <c r="N38" s="25">
        <v>57.2</v>
      </c>
    </row>
    <row r="39" spans="4:14">
      <c r="D39" s="64">
        <v>46079</v>
      </c>
      <c r="E39" s="32">
        <v>1580514</v>
      </c>
      <c r="F39" s="32" t="s">
        <v>16</v>
      </c>
      <c r="G39" s="32">
        <v>20324423</v>
      </c>
      <c r="H39" s="32" t="s">
        <v>145</v>
      </c>
      <c r="I39" s="32">
        <v>1</v>
      </c>
      <c r="J39" s="30" t="s">
        <v>18</v>
      </c>
      <c r="K39" s="24">
        <f t="shared" si="1"/>
        <v>18</v>
      </c>
      <c r="L39" s="25">
        <v>4.4</v>
      </c>
      <c r="M39" s="25">
        <v>79.2</v>
      </c>
      <c r="N39" s="25">
        <v>79.2</v>
      </c>
    </row>
    <row r="40" spans="4:14">
      <c r="D40" s="64">
        <v>46079</v>
      </c>
      <c r="E40" s="32">
        <v>1580514</v>
      </c>
      <c r="F40" s="32" t="s">
        <v>16</v>
      </c>
      <c r="G40" s="32">
        <v>20324420</v>
      </c>
      <c r="H40" s="32" t="s">
        <v>435</v>
      </c>
      <c r="I40" s="32">
        <v>1</v>
      </c>
      <c r="J40" s="34" t="s">
        <v>18</v>
      </c>
      <c r="K40" s="24">
        <v>3</v>
      </c>
      <c r="L40" s="25">
        <v>4.4</v>
      </c>
      <c r="M40" s="25">
        <v>22</v>
      </c>
      <c r="N40" s="25">
        <v>22</v>
      </c>
    </row>
    <row r="41" spans="4:14">
      <c r="D41" s="64"/>
      <c r="E41" s="32"/>
      <c r="F41" s="32"/>
      <c r="G41" s="32"/>
      <c r="H41" s="32"/>
      <c r="I41" s="32"/>
      <c r="J41" s="30" t="s">
        <v>436</v>
      </c>
      <c r="K41" s="24">
        <v>1</v>
      </c>
      <c r="L41" s="25">
        <v>8.8</v>
      </c>
      <c r="M41" s="25"/>
      <c r="N41" s="25"/>
    </row>
    <row r="42" spans="4:14">
      <c r="D42" s="64">
        <v>46079</v>
      </c>
      <c r="E42" s="32">
        <v>1580514</v>
      </c>
      <c r="F42" s="32" t="s">
        <v>20</v>
      </c>
      <c r="G42" s="32">
        <v>20324421</v>
      </c>
      <c r="H42" s="32" t="s">
        <v>437</v>
      </c>
      <c r="I42" s="32">
        <v>1</v>
      </c>
      <c r="J42" s="30" t="s">
        <v>18</v>
      </c>
      <c r="K42" s="24">
        <f>M42/L42</f>
        <v>3</v>
      </c>
      <c r="L42" s="25">
        <v>4.4</v>
      </c>
      <c r="M42" s="25">
        <v>13.2</v>
      </c>
      <c r="N42" s="25">
        <v>13.2</v>
      </c>
    </row>
    <row r="43" spans="4:14">
      <c r="D43" s="64">
        <v>46080</v>
      </c>
      <c r="E43" s="32">
        <v>1580582</v>
      </c>
      <c r="F43" s="32" t="s">
        <v>20</v>
      </c>
      <c r="G43" s="32">
        <v>20326777</v>
      </c>
      <c r="H43" s="32" t="s">
        <v>438</v>
      </c>
      <c r="I43" s="32">
        <v>1</v>
      </c>
      <c r="J43" s="30" t="s">
        <v>36</v>
      </c>
      <c r="K43" s="24">
        <v>1</v>
      </c>
      <c r="L43" s="25">
        <v>17.6</v>
      </c>
      <c r="M43" s="25">
        <v>17.6</v>
      </c>
      <c r="N43" s="25">
        <v>17.6</v>
      </c>
    </row>
    <row r="44" spans="4:14">
      <c r="D44" s="64">
        <v>46080</v>
      </c>
      <c r="E44" s="32">
        <v>1580867</v>
      </c>
      <c r="F44" s="32" t="s">
        <v>16</v>
      </c>
      <c r="G44" s="32">
        <v>20324423</v>
      </c>
      <c r="H44" s="32" t="s">
        <v>145</v>
      </c>
      <c r="I44" s="32">
        <v>1</v>
      </c>
      <c r="J44" s="30" t="s">
        <v>18</v>
      </c>
      <c r="K44" s="24">
        <f>M44/L44</f>
        <v>18</v>
      </c>
      <c r="L44" s="25">
        <v>4.4</v>
      </c>
      <c r="M44" s="25">
        <v>79.2</v>
      </c>
      <c r="N44" s="25">
        <v>79.2</v>
      </c>
    </row>
  </sheetData>
  <autoFilter xmlns:etc="http://www.wps.cn/officeDocument/2017/etCustomData" ref="A7:N44" etc:filterBottomFollowUsedRange="0">
    <extLst/>
  </autoFilter>
  <mergeCells count="45">
    <mergeCell ref="D8:H8"/>
    <mergeCell ref="C7:C44"/>
    <mergeCell ref="D10:D11"/>
    <mergeCell ref="D25:D26"/>
    <mergeCell ref="D30:D31"/>
    <mergeCell ref="D33:D34"/>
    <mergeCell ref="D40:D41"/>
    <mergeCell ref="E10:E11"/>
    <mergeCell ref="E25:E26"/>
    <mergeCell ref="E30:E31"/>
    <mergeCell ref="E33:E34"/>
    <mergeCell ref="E40:E41"/>
    <mergeCell ref="F10:F11"/>
    <mergeCell ref="F25:F26"/>
    <mergeCell ref="F30:F31"/>
    <mergeCell ref="F33:F34"/>
    <mergeCell ref="F40:F41"/>
    <mergeCell ref="G10:G11"/>
    <mergeCell ref="G25:G26"/>
    <mergeCell ref="G30:G31"/>
    <mergeCell ref="G33:G34"/>
    <mergeCell ref="G40:G41"/>
    <mergeCell ref="H10:H11"/>
    <mergeCell ref="H25:H26"/>
    <mergeCell ref="H30:H31"/>
    <mergeCell ref="H33:H34"/>
    <mergeCell ref="H40:H41"/>
    <mergeCell ref="I10:I11"/>
    <mergeCell ref="I25:I26"/>
    <mergeCell ref="I30:I31"/>
    <mergeCell ref="I33:I34"/>
    <mergeCell ref="I40:I41"/>
    <mergeCell ref="M10:M11"/>
    <mergeCell ref="M25:M26"/>
    <mergeCell ref="M30:M31"/>
    <mergeCell ref="M33:M34"/>
    <mergeCell ref="M40:M41"/>
    <mergeCell ref="N10:N11"/>
    <mergeCell ref="N25:N26"/>
    <mergeCell ref="N30:N31"/>
    <mergeCell ref="N33:N34"/>
    <mergeCell ref="N40:N41"/>
    <mergeCell ref="B4:H5"/>
    <mergeCell ref="C1:H2"/>
    <mergeCell ref="A7:B44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65" t="s">
        <v>442</v>
      </c>
      <c r="E8" s="66" t="s">
        <v>2</v>
      </c>
      <c r="F8" s="66" t="s">
        <v>2</v>
      </c>
      <c r="G8" s="66" t="s">
        <v>2</v>
      </c>
      <c r="H8" s="66" t="s">
        <v>2</v>
      </c>
      <c r="I8" s="65">
        <v>9</v>
      </c>
      <c r="J8" s="67"/>
      <c r="K8" s="33"/>
      <c r="L8" s="33"/>
      <c r="M8" s="33"/>
      <c r="N8" s="33">
        <v>84.8</v>
      </c>
    </row>
    <row r="9" spans="1:14">
      <c r="D9" s="68">
        <v>46055</v>
      </c>
      <c r="E9" s="69">
        <v>1575640</v>
      </c>
      <c r="F9" s="69" t="s">
        <v>20</v>
      </c>
      <c r="G9" s="69">
        <v>20358759</v>
      </c>
      <c r="H9" s="69" t="s">
        <v>443</v>
      </c>
      <c r="I9" s="69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64">
        <v>46055</v>
      </c>
      <c r="E10" s="32">
        <v>1575640</v>
      </c>
      <c r="F10" s="32" t="s">
        <v>20</v>
      </c>
      <c r="G10" s="32">
        <v>20338571</v>
      </c>
      <c r="H10" s="32" t="s">
        <v>444</v>
      </c>
      <c r="I10" s="32">
        <v>1</v>
      </c>
      <c r="J10" s="32" t="s">
        <v>116</v>
      </c>
      <c r="K10" s="24">
        <f>M10/L10</f>
        <v>3</v>
      </c>
      <c r="L10" s="25">
        <v>4.4</v>
      </c>
      <c r="M10" s="25">
        <v>13.2</v>
      </c>
      <c r="N10" s="25">
        <v>13.2</v>
      </c>
    </row>
    <row r="11" spans="1:14">
      <c r="D11" s="64">
        <v>46066</v>
      </c>
      <c r="E11" s="32">
        <v>1578716</v>
      </c>
      <c r="F11" s="32" t="s">
        <v>20</v>
      </c>
      <c r="G11" s="32">
        <v>20324533</v>
      </c>
      <c r="H11" s="32" t="s">
        <v>124</v>
      </c>
      <c r="I11" s="32">
        <v>1</v>
      </c>
      <c r="J11" s="31" t="s">
        <v>29</v>
      </c>
      <c r="K11" s="24">
        <v>1</v>
      </c>
      <c r="L11" s="25">
        <v>6.4</v>
      </c>
      <c r="M11" s="25">
        <v>6.4</v>
      </c>
      <c r="N11" s="25">
        <v>6.4</v>
      </c>
    </row>
    <row r="12" spans="1:14">
      <c r="D12" s="64">
        <v>46066</v>
      </c>
      <c r="E12" s="32">
        <v>1578716</v>
      </c>
      <c r="F12" s="32" t="s">
        <v>20</v>
      </c>
      <c r="G12" s="32">
        <v>20324363</v>
      </c>
      <c r="H12" s="32" t="s">
        <v>30</v>
      </c>
      <c r="I12" s="3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64">
        <v>46071</v>
      </c>
      <c r="E13" s="32">
        <v>1579174</v>
      </c>
      <c r="F13" s="32" t="s">
        <v>20</v>
      </c>
      <c r="G13" s="32">
        <v>20324411</v>
      </c>
      <c r="H13" s="32" t="s">
        <v>445</v>
      </c>
      <c r="I13" s="32">
        <v>1</v>
      </c>
      <c r="J13" s="31" t="s">
        <v>29</v>
      </c>
      <c r="K13" s="24">
        <v>1</v>
      </c>
      <c r="L13" s="25">
        <v>6.4</v>
      </c>
      <c r="M13" s="25">
        <v>6.4</v>
      </c>
      <c r="N13" s="25">
        <v>6.4</v>
      </c>
    </row>
    <row r="14" spans="1:14">
      <c r="D14" s="64">
        <v>46071</v>
      </c>
      <c r="E14" s="32">
        <v>1579174</v>
      </c>
      <c r="F14" s="32" t="s">
        <v>20</v>
      </c>
      <c r="G14" s="32">
        <v>20338571</v>
      </c>
      <c r="H14" s="32" t="s">
        <v>444</v>
      </c>
      <c r="I14" s="32">
        <v>1</v>
      </c>
      <c r="J14" s="32" t="s">
        <v>116</v>
      </c>
      <c r="K14" s="24">
        <f t="shared" ref="K14:K18" si="0">M14/L14</f>
        <v>3</v>
      </c>
      <c r="L14" s="25">
        <v>4.4</v>
      </c>
      <c r="M14" s="25">
        <v>13.2</v>
      </c>
      <c r="N14" s="25">
        <v>13.2</v>
      </c>
    </row>
    <row r="15" spans="1:14">
      <c r="D15" s="64">
        <v>46071</v>
      </c>
      <c r="E15" s="32">
        <v>1579174</v>
      </c>
      <c r="F15" s="32" t="s">
        <v>20</v>
      </c>
      <c r="G15" s="32">
        <v>20324363</v>
      </c>
      <c r="H15" s="32" t="s">
        <v>30</v>
      </c>
      <c r="I15" s="32">
        <v>1</v>
      </c>
      <c r="J15" s="31" t="s">
        <v>29</v>
      </c>
      <c r="K15" s="24">
        <v>1</v>
      </c>
      <c r="L15" s="25">
        <v>6.4</v>
      </c>
      <c r="M15" s="25">
        <v>6.4</v>
      </c>
      <c r="N15" s="25">
        <v>6.4</v>
      </c>
    </row>
    <row r="16" spans="1:14">
      <c r="D16" s="64">
        <v>46074</v>
      </c>
      <c r="E16" s="32">
        <v>1579343</v>
      </c>
      <c r="F16" s="32" t="s">
        <v>20</v>
      </c>
      <c r="G16" s="32">
        <v>20333369</v>
      </c>
      <c r="H16" s="32" t="s">
        <v>446</v>
      </c>
      <c r="I16" s="32">
        <v>1</v>
      </c>
      <c r="J16" s="32" t="s">
        <v>64</v>
      </c>
      <c r="K16" s="24">
        <v>1</v>
      </c>
      <c r="L16" s="25">
        <v>8.8</v>
      </c>
      <c r="M16" s="25">
        <v>13.2</v>
      </c>
      <c r="N16" s="25">
        <v>13.2</v>
      </c>
    </row>
    <row r="17" spans="4:14">
      <c r="D17" s="64"/>
      <c r="E17" s="32"/>
      <c r="F17" s="32"/>
      <c r="G17" s="32"/>
      <c r="H17" s="32"/>
      <c r="I17" s="32"/>
      <c r="J17" s="32" t="s">
        <v>116</v>
      </c>
      <c r="K17" s="24">
        <v>1</v>
      </c>
      <c r="L17" s="25">
        <v>4.4</v>
      </c>
      <c r="M17" s="25"/>
      <c r="N17" s="25"/>
    </row>
    <row r="18" spans="4:14">
      <c r="D18" s="64">
        <v>46077</v>
      </c>
      <c r="E18" s="32">
        <v>1579612</v>
      </c>
      <c r="F18" s="32" t="s">
        <v>20</v>
      </c>
      <c r="G18" s="32">
        <v>20338571</v>
      </c>
      <c r="H18" s="32" t="s">
        <v>444</v>
      </c>
      <c r="I18" s="32">
        <v>1</v>
      </c>
      <c r="J18" s="32" t="s">
        <v>116</v>
      </c>
      <c r="K18" s="24">
        <f t="shared" si="0"/>
        <v>3</v>
      </c>
      <c r="L18" s="25">
        <v>4.4</v>
      </c>
      <c r="M18" s="25">
        <v>13.2</v>
      </c>
      <c r="N18" s="25">
        <v>13.2</v>
      </c>
    </row>
    <row r="19" ht="0.05" customHeight="1"/>
  </sheetData>
  <autoFilter xmlns:etc="http://www.wps.cn/officeDocument/2017/etCustomData" ref="A7:N18" etc:filterBottomFollowUsedRange="0">
    <extLst/>
  </autoFilter>
  <mergeCells count="13">
    <mergeCell ref="D8:H8"/>
    <mergeCell ref="C7:C18"/>
    <mergeCell ref="D16:D17"/>
    <mergeCell ref="E16:E17"/>
    <mergeCell ref="F16:F17"/>
    <mergeCell ref="G16:G17"/>
    <mergeCell ref="H16:H17"/>
    <mergeCell ref="I16:I17"/>
    <mergeCell ref="M16:M17"/>
    <mergeCell ref="N16:N17"/>
    <mergeCell ref="B4:H5"/>
    <mergeCell ref="C1:H2"/>
    <mergeCell ref="A7:B18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view="pageBreakPreview" zoomScaleNormal="100" workbookViewId="0">
      <pane ySplit="6" topLeftCell="A7" activePane="bottomLeft" state="frozen"/>
      <selection/>
      <selection pane="bottomLeft" activeCell="E40" sqref="E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447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4</v>
      </c>
      <c r="J8" s="13"/>
      <c r="K8" s="14"/>
      <c r="L8" s="14"/>
      <c r="M8" s="14"/>
      <c r="N8" s="14">
        <v>25.6</v>
      </c>
    </row>
    <row r="9" spans="1:14">
      <c r="D9" s="15">
        <v>46079</v>
      </c>
      <c r="E9" s="16">
        <v>1580515</v>
      </c>
      <c r="F9" s="16" t="s">
        <v>20</v>
      </c>
      <c r="G9" s="16">
        <v>20324413</v>
      </c>
      <c r="H9" s="16" t="s">
        <v>160</v>
      </c>
      <c r="I9" s="16">
        <v>2</v>
      </c>
      <c r="J9" s="29" t="s">
        <v>29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46079</v>
      </c>
      <c r="E10" s="22">
        <v>1580515</v>
      </c>
      <c r="F10" s="22" t="s">
        <v>20</v>
      </c>
      <c r="G10" s="22">
        <v>20324364</v>
      </c>
      <c r="H10" s="22" t="s">
        <v>99</v>
      </c>
      <c r="I10" s="22">
        <v>1</v>
      </c>
      <c r="J10" s="31" t="s">
        <v>29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46079</v>
      </c>
      <c r="E11" s="22">
        <v>1580515</v>
      </c>
      <c r="F11" s="22" t="s">
        <v>20</v>
      </c>
      <c r="G11" s="22">
        <v>20324363</v>
      </c>
      <c r="H11" s="22" t="s">
        <v>30</v>
      </c>
      <c r="I11" s="22">
        <v>1</v>
      </c>
      <c r="J11" s="31" t="s">
        <v>29</v>
      </c>
      <c r="K11" s="24">
        <v>1</v>
      </c>
      <c r="L11" s="25">
        <v>6.4</v>
      </c>
      <c r="M11" s="26">
        <v>6.4</v>
      </c>
      <c r="N11" s="26">
        <v>6.4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448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22</v>
      </c>
      <c r="J8" s="13"/>
      <c r="K8" s="14"/>
      <c r="L8" s="14"/>
      <c r="M8" s="14"/>
      <c r="N8" s="14">
        <v>140.8</v>
      </c>
    </row>
    <row r="9" spans="1:14">
      <c r="D9" s="15">
        <v>46055</v>
      </c>
      <c r="E9" s="16">
        <v>1575641</v>
      </c>
      <c r="F9" s="16" t="s">
        <v>20</v>
      </c>
      <c r="G9" s="16">
        <v>20324413</v>
      </c>
      <c r="H9" s="16" t="s">
        <v>160</v>
      </c>
      <c r="I9" s="16">
        <v>1</v>
      </c>
      <c r="J9" s="29" t="s">
        <v>29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46055</v>
      </c>
      <c r="E10" s="22">
        <v>1575641</v>
      </c>
      <c r="F10" s="22" t="s">
        <v>20</v>
      </c>
      <c r="G10" s="22">
        <v>20324364</v>
      </c>
      <c r="H10" s="22" t="s">
        <v>99</v>
      </c>
      <c r="I10" s="22">
        <v>3</v>
      </c>
      <c r="J10" s="31" t="s">
        <v>29</v>
      </c>
      <c r="K10" s="24">
        <v>1</v>
      </c>
      <c r="L10" s="25">
        <v>6.4</v>
      </c>
      <c r="M10" s="26">
        <v>6.4</v>
      </c>
      <c r="N10" s="26">
        <v>19.2</v>
      </c>
    </row>
    <row r="11" spans="1:14">
      <c r="D11" s="21">
        <v>46055</v>
      </c>
      <c r="E11" s="22">
        <v>1575641</v>
      </c>
      <c r="F11" s="22" t="s">
        <v>20</v>
      </c>
      <c r="G11" s="22">
        <v>20324363</v>
      </c>
      <c r="H11" s="22" t="s">
        <v>30</v>
      </c>
      <c r="I11" s="22">
        <v>4</v>
      </c>
      <c r="J11" s="31" t="s">
        <v>29</v>
      </c>
      <c r="K11" s="24">
        <v>1</v>
      </c>
      <c r="L11" s="25">
        <v>6.4</v>
      </c>
      <c r="M11" s="26">
        <v>6.4</v>
      </c>
      <c r="N11" s="26">
        <v>25.6</v>
      </c>
    </row>
    <row r="12" spans="1:14">
      <c r="D12" s="21">
        <v>46063</v>
      </c>
      <c r="E12" s="22">
        <v>1577859</v>
      </c>
      <c r="F12" s="22" t="s">
        <v>20</v>
      </c>
      <c r="G12" s="22">
        <v>20324413</v>
      </c>
      <c r="H12" s="22" t="s">
        <v>160</v>
      </c>
      <c r="I12" s="22">
        <v>2</v>
      </c>
      <c r="J12" s="31" t="s">
        <v>29</v>
      </c>
      <c r="K12" s="24">
        <v>1</v>
      </c>
      <c r="L12" s="25">
        <v>6.4</v>
      </c>
      <c r="M12" s="26">
        <v>6.4</v>
      </c>
      <c r="N12" s="26">
        <v>12.8</v>
      </c>
    </row>
    <row r="13" spans="1:14">
      <c r="D13" s="21">
        <v>46063</v>
      </c>
      <c r="E13" s="22">
        <v>1577859</v>
      </c>
      <c r="F13" s="22" t="s">
        <v>20</v>
      </c>
      <c r="G13" s="22">
        <v>20324364</v>
      </c>
      <c r="H13" s="22" t="s">
        <v>99</v>
      </c>
      <c r="I13" s="22">
        <v>3</v>
      </c>
      <c r="J13" s="31" t="s">
        <v>29</v>
      </c>
      <c r="K13" s="24">
        <v>1</v>
      </c>
      <c r="L13" s="25">
        <v>6.4</v>
      </c>
      <c r="M13" s="26">
        <v>6.4</v>
      </c>
      <c r="N13" s="26">
        <v>19.2</v>
      </c>
    </row>
    <row r="14" spans="1:14">
      <c r="D14" s="21">
        <v>46063</v>
      </c>
      <c r="E14" s="22">
        <v>1577859</v>
      </c>
      <c r="F14" s="22" t="s">
        <v>20</v>
      </c>
      <c r="G14" s="22">
        <v>20324363</v>
      </c>
      <c r="H14" s="22" t="s">
        <v>30</v>
      </c>
      <c r="I14" s="22">
        <v>2</v>
      </c>
      <c r="J14" s="31" t="s">
        <v>29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46063</v>
      </c>
      <c r="E15" s="22">
        <v>1577859</v>
      </c>
      <c r="F15" s="22" t="s">
        <v>20</v>
      </c>
      <c r="G15" s="22">
        <v>20324485</v>
      </c>
      <c r="H15" s="22" t="s">
        <v>31</v>
      </c>
      <c r="I15" s="22">
        <v>1</v>
      </c>
      <c r="J15" s="31" t="s">
        <v>29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46067</v>
      </c>
      <c r="E16" s="22">
        <v>1579030</v>
      </c>
      <c r="F16" s="22" t="s">
        <v>20</v>
      </c>
      <c r="G16" s="22">
        <v>20324413</v>
      </c>
      <c r="H16" s="22" t="s">
        <v>160</v>
      </c>
      <c r="I16" s="22">
        <v>1</v>
      </c>
      <c r="J16" s="31" t="s">
        <v>29</v>
      </c>
      <c r="K16" s="24">
        <v>1</v>
      </c>
      <c r="L16" s="25">
        <v>6.4</v>
      </c>
      <c r="M16" s="26">
        <v>6.4</v>
      </c>
      <c r="N16" s="26">
        <v>6.4</v>
      </c>
    </row>
    <row r="17" spans="4:14">
      <c r="D17" s="21">
        <v>46067</v>
      </c>
      <c r="E17" s="22">
        <v>1579030</v>
      </c>
      <c r="F17" s="22" t="s">
        <v>20</v>
      </c>
      <c r="G17" s="22">
        <v>20324364</v>
      </c>
      <c r="H17" s="22" t="s">
        <v>99</v>
      </c>
      <c r="I17" s="22">
        <v>1</v>
      </c>
      <c r="J17" s="31" t="s">
        <v>29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64">
        <v>46067</v>
      </c>
      <c r="E18" s="32">
        <v>1579030</v>
      </c>
      <c r="F18" s="32" t="s">
        <v>20</v>
      </c>
      <c r="G18" s="32">
        <v>20324363</v>
      </c>
      <c r="H18" s="32" t="s">
        <v>30</v>
      </c>
      <c r="I18" s="32">
        <v>4</v>
      </c>
      <c r="J18" s="31" t="s">
        <v>29</v>
      </c>
      <c r="K18" s="24">
        <v>1</v>
      </c>
      <c r="L18" s="25">
        <v>6.4</v>
      </c>
      <c r="M18" s="26">
        <v>6.4</v>
      </c>
      <c r="N18" s="26">
        <v>25.6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topLeftCell="E1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449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6</v>
      </c>
      <c r="J8" s="13"/>
      <c r="K8" s="14"/>
      <c r="L8" s="14"/>
      <c r="M8" s="14"/>
      <c r="N8" s="14">
        <v>38.4</v>
      </c>
    </row>
    <row r="9" spans="1:14">
      <c r="D9" s="15">
        <v>46055</v>
      </c>
      <c r="E9" s="16">
        <v>1575422</v>
      </c>
      <c r="F9" s="16" t="s">
        <v>20</v>
      </c>
      <c r="G9" s="16">
        <v>20324364</v>
      </c>
      <c r="H9" s="16" t="s">
        <v>99</v>
      </c>
      <c r="I9" s="16">
        <v>1</v>
      </c>
      <c r="J9" s="29" t="s">
        <v>29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46057</v>
      </c>
      <c r="E10" s="22">
        <v>1576316</v>
      </c>
      <c r="F10" s="22" t="s">
        <v>20</v>
      </c>
      <c r="G10" s="22">
        <v>20324364</v>
      </c>
      <c r="H10" s="22" t="s">
        <v>99</v>
      </c>
      <c r="I10" s="22">
        <v>1</v>
      </c>
      <c r="J10" s="31" t="s">
        <v>29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46058</v>
      </c>
      <c r="E11" s="22">
        <v>1576667</v>
      </c>
      <c r="F11" s="22" t="s">
        <v>20</v>
      </c>
      <c r="G11" s="22">
        <v>20324364</v>
      </c>
      <c r="H11" s="22" t="s">
        <v>99</v>
      </c>
      <c r="I11" s="22">
        <v>2</v>
      </c>
      <c r="J11" s="31" t="s">
        <v>29</v>
      </c>
      <c r="K11" s="24">
        <v>1</v>
      </c>
      <c r="L11" s="25">
        <v>6.4</v>
      </c>
      <c r="M11" s="26">
        <v>6.4</v>
      </c>
      <c r="N11" s="26">
        <v>12.8</v>
      </c>
    </row>
    <row r="12" spans="1:14">
      <c r="D12" s="21">
        <v>46066</v>
      </c>
      <c r="E12" s="22">
        <v>1578759</v>
      </c>
      <c r="F12" s="22" t="s">
        <v>20</v>
      </c>
      <c r="G12" s="22">
        <v>20324364</v>
      </c>
      <c r="H12" s="22" t="s">
        <v>99</v>
      </c>
      <c r="I12" s="22">
        <v>1</v>
      </c>
      <c r="J12" s="31" t="s">
        <v>29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46079</v>
      </c>
      <c r="E13" s="22">
        <v>1580516</v>
      </c>
      <c r="F13" s="22" t="s">
        <v>20</v>
      </c>
      <c r="G13" s="22">
        <v>20324364</v>
      </c>
      <c r="H13" s="22" t="s">
        <v>99</v>
      </c>
      <c r="I13" s="22">
        <v>1</v>
      </c>
      <c r="J13" s="31" t="s">
        <v>29</v>
      </c>
      <c r="K13" s="24">
        <v>1</v>
      </c>
      <c r="L13" s="25">
        <v>6.4</v>
      </c>
      <c r="M13" s="26">
        <v>6.4</v>
      </c>
      <c r="N13" s="26">
        <v>6.4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56" t="s">
        <v>4</v>
      </c>
      <c r="E7" s="56" t="s">
        <v>5</v>
      </c>
      <c r="F7" s="56" t="s">
        <v>6</v>
      </c>
      <c r="G7" s="56" t="s">
        <v>7</v>
      </c>
      <c r="H7" s="56" t="s">
        <v>8</v>
      </c>
      <c r="I7" s="56" t="s">
        <v>9</v>
      </c>
      <c r="J7" s="32" t="s">
        <v>10</v>
      </c>
      <c r="K7" s="57" t="s">
        <v>11</v>
      </c>
      <c r="L7" s="58" t="s">
        <v>12</v>
      </c>
      <c r="M7" s="59" t="s">
        <v>13</v>
      </c>
      <c r="N7" s="59" t="s">
        <v>14</v>
      </c>
    </row>
    <row r="8" ht="14.25" spans="1:14">
      <c r="D8" s="11" t="s">
        <v>450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21</v>
      </c>
      <c r="J8" s="13"/>
      <c r="K8" s="14"/>
      <c r="L8" s="14"/>
      <c r="M8" s="14"/>
      <c r="N8" s="14">
        <v>606.4</v>
      </c>
    </row>
    <row r="9" spans="1:14">
      <c r="D9" s="15">
        <v>46063</v>
      </c>
      <c r="E9" s="16">
        <v>1577860</v>
      </c>
      <c r="F9" s="16" t="s">
        <v>20</v>
      </c>
      <c r="G9" s="16">
        <v>20352347</v>
      </c>
      <c r="H9" s="16" t="s">
        <v>451</v>
      </c>
      <c r="I9" s="16">
        <v>1</v>
      </c>
      <c r="J9" s="60" t="s">
        <v>22</v>
      </c>
      <c r="K9" s="61">
        <v>1</v>
      </c>
      <c r="L9" s="20">
        <v>12.8</v>
      </c>
      <c r="M9" s="20">
        <v>12.8</v>
      </c>
      <c r="N9" s="20">
        <v>12.8</v>
      </c>
    </row>
    <row r="10" spans="1:14">
      <c r="D10" s="21">
        <v>46063</v>
      </c>
      <c r="E10" s="22">
        <v>1577860</v>
      </c>
      <c r="F10" s="22" t="s">
        <v>20</v>
      </c>
      <c r="G10" s="22">
        <v>20324560</v>
      </c>
      <c r="H10" s="22" t="s">
        <v>452</v>
      </c>
      <c r="I10" s="22">
        <v>3</v>
      </c>
      <c r="J10" s="31" t="s">
        <v>29</v>
      </c>
      <c r="K10" s="24">
        <v>1</v>
      </c>
      <c r="L10" s="25">
        <v>6.4</v>
      </c>
      <c r="M10" s="26">
        <v>6.4</v>
      </c>
      <c r="N10" s="26">
        <v>19.2</v>
      </c>
    </row>
    <row r="11" spans="1:14">
      <c r="D11" s="21">
        <v>46063</v>
      </c>
      <c r="E11" s="22">
        <v>1577860</v>
      </c>
      <c r="F11" s="23" t="s">
        <v>16</v>
      </c>
      <c r="G11" s="22">
        <v>20324552</v>
      </c>
      <c r="H11" s="22" t="s">
        <v>453</v>
      </c>
      <c r="I11" s="22">
        <v>2</v>
      </c>
      <c r="J11" s="30" t="s">
        <v>18</v>
      </c>
      <c r="K11" s="24">
        <f>M11/L11</f>
        <v>19</v>
      </c>
      <c r="L11" s="25">
        <v>4.4</v>
      </c>
      <c r="M11" s="26">
        <v>83.6</v>
      </c>
      <c r="N11" s="26">
        <v>167.2</v>
      </c>
    </row>
    <row r="12" spans="1:14">
      <c r="D12" s="21">
        <v>46063</v>
      </c>
      <c r="E12" s="22">
        <v>1577860</v>
      </c>
      <c r="F12" s="22" t="s">
        <v>20</v>
      </c>
      <c r="G12" s="22">
        <v>20363586</v>
      </c>
      <c r="H12" s="22" t="s">
        <v>454</v>
      </c>
      <c r="I12" s="22">
        <v>4</v>
      </c>
      <c r="J12" s="30" t="s">
        <v>18</v>
      </c>
      <c r="K12" s="24">
        <f t="shared" ref="K12:K17" si="0">M12/L12</f>
        <v>3</v>
      </c>
      <c r="L12" s="25">
        <v>4.4</v>
      </c>
      <c r="M12" s="26">
        <v>13.2</v>
      </c>
      <c r="N12" s="26">
        <v>52.8</v>
      </c>
    </row>
    <row r="13" spans="1:14">
      <c r="D13" s="21">
        <v>46063</v>
      </c>
      <c r="E13" s="22">
        <v>1577860</v>
      </c>
      <c r="F13" s="22" t="s">
        <v>20</v>
      </c>
      <c r="G13" s="22">
        <v>20324369</v>
      </c>
      <c r="H13" s="22" t="s">
        <v>140</v>
      </c>
      <c r="I13" s="22">
        <v>2</v>
      </c>
      <c r="J13" s="30" t="s">
        <v>18</v>
      </c>
      <c r="K13" s="24">
        <f t="shared" si="0"/>
        <v>3</v>
      </c>
      <c r="L13" s="25">
        <v>4.4</v>
      </c>
      <c r="M13" s="26">
        <v>13.2</v>
      </c>
      <c r="N13" s="26">
        <v>26.4</v>
      </c>
    </row>
    <row r="14" spans="1:14">
      <c r="D14" s="21">
        <v>46079</v>
      </c>
      <c r="E14" s="22">
        <v>1580281</v>
      </c>
      <c r="F14" s="22" t="s">
        <v>20</v>
      </c>
      <c r="G14" s="22">
        <v>20352347</v>
      </c>
      <c r="H14" s="22" t="s">
        <v>451</v>
      </c>
      <c r="I14" s="22">
        <v>1</v>
      </c>
      <c r="J14" s="62" t="s">
        <v>22</v>
      </c>
      <c r="K14" s="63">
        <v>1</v>
      </c>
      <c r="L14" s="26">
        <v>12.8</v>
      </c>
      <c r="M14" s="26">
        <v>12.8</v>
      </c>
      <c r="N14" s="26">
        <v>12.8</v>
      </c>
    </row>
    <row r="15" spans="1:14">
      <c r="D15" s="21">
        <v>46079</v>
      </c>
      <c r="E15" s="22">
        <v>1580281</v>
      </c>
      <c r="F15" s="22" t="s">
        <v>20</v>
      </c>
      <c r="G15" s="22">
        <v>20324401</v>
      </c>
      <c r="H15" s="22" t="s">
        <v>21</v>
      </c>
      <c r="I15" s="22">
        <v>4</v>
      </c>
      <c r="J15" s="62" t="s">
        <v>22</v>
      </c>
      <c r="K15" s="63">
        <v>1</v>
      </c>
      <c r="L15" s="26">
        <v>12.8</v>
      </c>
      <c r="M15" s="26">
        <v>12.8</v>
      </c>
      <c r="N15" s="26">
        <v>51.2</v>
      </c>
    </row>
    <row r="16" spans="1:14">
      <c r="D16" s="21">
        <v>46079</v>
      </c>
      <c r="E16" s="22">
        <v>1580281</v>
      </c>
      <c r="F16" s="23" t="s">
        <v>16</v>
      </c>
      <c r="G16" s="22">
        <v>20324552</v>
      </c>
      <c r="H16" s="22" t="s">
        <v>453</v>
      </c>
      <c r="I16" s="22">
        <v>3</v>
      </c>
      <c r="J16" s="30" t="s">
        <v>18</v>
      </c>
      <c r="K16" s="24">
        <f>M16/L16</f>
        <v>19</v>
      </c>
      <c r="L16" s="25">
        <v>4.4</v>
      </c>
      <c r="M16" s="26">
        <v>83.6</v>
      </c>
      <c r="N16" s="26">
        <v>250.8</v>
      </c>
    </row>
    <row r="17" spans="4:14">
      <c r="D17" s="21">
        <v>46079</v>
      </c>
      <c r="E17" s="22">
        <v>1580281</v>
      </c>
      <c r="F17" s="22" t="s">
        <v>20</v>
      </c>
      <c r="G17" s="22">
        <v>20324369</v>
      </c>
      <c r="H17" s="22" t="s">
        <v>140</v>
      </c>
      <c r="I17" s="22">
        <v>1</v>
      </c>
      <c r="J17" s="30" t="s">
        <v>18</v>
      </c>
      <c r="K17" s="24">
        <f t="shared" si="0"/>
        <v>3</v>
      </c>
      <c r="L17" s="25">
        <v>4.4</v>
      </c>
      <c r="M17" s="26">
        <v>13.2</v>
      </c>
      <c r="N17" s="26">
        <v>13.2</v>
      </c>
    </row>
    <row r="18" ht="0.05" customHeight="1"/>
  </sheetData>
  <autoFilter xmlns:etc="http://www.wps.cn/officeDocument/2017/etCustomData" ref="A7:N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455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14</v>
      </c>
      <c r="J8" s="13"/>
      <c r="K8" s="14"/>
      <c r="L8" s="14"/>
      <c r="M8" s="14"/>
      <c r="N8" s="14">
        <v>612.4</v>
      </c>
    </row>
    <row r="9" spans="1:14">
      <c r="D9" s="15">
        <v>46055</v>
      </c>
      <c r="E9" s="16">
        <v>1575423</v>
      </c>
      <c r="F9" s="16" t="s">
        <v>20</v>
      </c>
      <c r="G9" s="16">
        <v>20329068</v>
      </c>
      <c r="H9" s="16" t="s">
        <v>456</v>
      </c>
      <c r="I9" s="16">
        <v>1</v>
      </c>
      <c r="J9" s="29" t="s">
        <v>29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46055</v>
      </c>
      <c r="E10" s="22">
        <v>1575423</v>
      </c>
      <c r="F10" s="22" t="s">
        <v>20</v>
      </c>
      <c r="G10" s="22">
        <v>20329168</v>
      </c>
      <c r="H10" s="22" t="s">
        <v>457</v>
      </c>
      <c r="I10" s="22">
        <v>1</v>
      </c>
      <c r="J10" s="30" t="s">
        <v>18</v>
      </c>
      <c r="K10" s="24">
        <f t="shared" ref="K10:K13" si="0">M10/L10</f>
        <v>21</v>
      </c>
      <c r="L10" s="25">
        <v>4.4</v>
      </c>
      <c r="M10" s="26">
        <v>92.4</v>
      </c>
      <c r="N10" s="26">
        <v>92.4</v>
      </c>
    </row>
    <row r="11" spans="1:14">
      <c r="D11" s="21">
        <v>46058</v>
      </c>
      <c r="E11" s="22">
        <v>1576668</v>
      </c>
      <c r="F11" s="22" t="s">
        <v>20</v>
      </c>
      <c r="G11" s="22">
        <v>20329168</v>
      </c>
      <c r="H11" s="22" t="s">
        <v>457</v>
      </c>
      <c r="I11" s="22">
        <v>1</v>
      </c>
      <c r="J11" s="30" t="s">
        <v>18</v>
      </c>
      <c r="K11" s="24">
        <f t="shared" si="0"/>
        <v>21</v>
      </c>
      <c r="L11" s="25">
        <v>4.4</v>
      </c>
      <c r="M11" s="26">
        <v>92.4</v>
      </c>
      <c r="N11" s="26">
        <v>92.4</v>
      </c>
    </row>
    <row r="12" spans="1:14">
      <c r="D12" s="21">
        <v>46058</v>
      </c>
      <c r="E12" s="22">
        <v>1576668</v>
      </c>
      <c r="F12" s="22" t="s">
        <v>20</v>
      </c>
      <c r="G12" s="22">
        <v>20324369</v>
      </c>
      <c r="H12" s="22" t="s">
        <v>140</v>
      </c>
      <c r="I12" s="22">
        <v>1</v>
      </c>
      <c r="J12" s="30" t="s">
        <v>18</v>
      </c>
      <c r="K12" s="24">
        <f t="shared" si="0"/>
        <v>3</v>
      </c>
      <c r="L12" s="25">
        <v>4.4</v>
      </c>
      <c r="M12" s="26">
        <v>13.2</v>
      </c>
      <c r="N12" s="26">
        <v>13.2</v>
      </c>
    </row>
    <row r="13" spans="1:14">
      <c r="D13" s="21">
        <v>46062</v>
      </c>
      <c r="E13" s="22">
        <v>1577503</v>
      </c>
      <c r="F13" s="22" t="s">
        <v>20</v>
      </c>
      <c r="G13" s="22">
        <v>20329168</v>
      </c>
      <c r="H13" s="22" t="s">
        <v>457</v>
      </c>
      <c r="I13" s="22">
        <v>1</v>
      </c>
      <c r="J13" s="30" t="s">
        <v>18</v>
      </c>
      <c r="K13" s="24">
        <f t="shared" si="0"/>
        <v>21</v>
      </c>
      <c r="L13" s="25">
        <v>4.4</v>
      </c>
      <c r="M13" s="26">
        <v>92.4</v>
      </c>
      <c r="N13" s="26">
        <v>92.4</v>
      </c>
    </row>
    <row r="14" spans="1:14">
      <c r="D14" s="21">
        <v>46065</v>
      </c>
      <c r="E14" s="22">
        <v>1578462</v>
      </c>
      <c r="F14" s="22" t="s">
        <v>20</v>
      </c>
      <c r="G14" s="22">
        <v>20329069</v>
      </c>
      <c r="H14" s="22" t="s">
        <v>458</v>
      </c>
      <c r="I14" s="22">
        <v>1</v>
      </c>
      <c r="J14" s="31" t="s">
        <v>29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46065</v>
      </c>
      <c r="E15" s="22">
        <v>1578462</v>
      </c>
      <c r="F15" s="22" t="s">
        <v>20</v>
      </c>
      <c r="G15" s="22">
        <v>20329068</v>
      </c>
      <c r="H15" s="22" t="s">
        <v>456</v>
      </c>
      <c r="I15" s="22">
        <v>2</v>
      </c>
      <c r="J15" s="31" t="s">
        <v>29</v>
      </c>
      <c r="K15" s="24">
        <v>1</v>
      </c>
      <c r="L15" s="25">
        <v>6.4</v>
      </c>
      <c r="M15" s="26">
        <v>6.4</v>
      </c>
      <c r="N15" s="26">
        <v>12.8</v>
      </c>
    </row>
    <row r="16" spans="1:14">
      <c r="D16" s="21">
        <v>46065</v>
      </c>
      <c r="E16" s="22">
        <v>1578462</v>
      </c>
      <c r="F16" s="22" t="s">
        <v>20</v>
      </c>
      <c r="G16" s="22">
        <v>20329168</v>
      </c>
      <c r="H16" s="22" t="s">
        <v>457</v>
      </c>
      <c r="I16" s="22">
        <v>1</v>
      </c>
      <c r="J16" s="30" t="s">
        <v>18</v>
      </c>
      <c r="K16" s="24">
        <f t="shared" ref="K16:K21" si="1">M16/L16</f>
        <v>21</v>
      </c>
      <c r="L16" s="25">
        <v>4.4</v>
      </c>
      <c r="M16" s="26">
        <v>92.4</v>
      </c>
      <c r="N16" s="26">
        <v>92.4</v>
      </c>
    </row>
    <row r="17" spans="4:14">
      <c r="D17" s="21">
        <v>46077</v>
      </c>
      <c r="E17" s="22">
        <v>1579775</v>
      </c>
      <c r="F17" s="22" t="s">
        <v>20</v>
      </c>
      <c r="G17" s="22">
        <v>20329068</v>
      </c>
      <c r="H17" s="22" t="s">
        <v>456</v>
      </c>
      <c r="I17" s="22">
        <v>1</v>
      </c>
      <c r="J17" s="31" t="s">
        <v>29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46077</v>
      </c>
      <c r="E18" s="22">
        <v>1579775</v>
      </c>
      <c r="F18" s="22" t="s">
        <v>20</v>
      </c>
      <c r="G18" s="22">
        <v>20329168</v>
      </c>
      <c r="H18" s="22" t="s">
        <v>457</v>
      </c>
      <c r="I18" s="22">
        <v>1</v>
      </c>
      <c r="J18" s="30" t="s">
        <v>18</v>
      </c>
      <c r="K18" s="24">
        <f t="shared" si="1"/>
        <v>21</v>
      </c>
      <c r="L18" s="25">
        <v>4.4</v>
      </c>
      <c r="M18" s="26">
        <v>92.4</v>
      </c>
      <c r="N18" s="26">
        <v>92.4</v>
      </c>
    </row>
    <row r="19" spans="4:14">
      <c r="D19" s="21">
        <v>46080</v>
      </c>
      <c r="E19" s="22">
        <v>1580527</v>
      </c>
      <c r="F19" s="22" t="s">
        <v>20</v>
      </c>
      <c r="G19" s="22">
        <v>20324364</v>
      </c>
      <c r="H19" s="22" t="s">
        <v>99</v>
      </c>
      <c r="I19" s="22">
        <v>1</v>
      </c>
      <c r="J19" s="31" t="s">
        <v>29</v>
      </c>
      <c r="K19" s="24">
        <v>1</v>
      </c>
      <c r="L19" s="25">
        <v>6.4</v>
      </c>
      <c r="M19" s="26">
        <v>6.4</v>
      </c>
      <c r="N19" s="26">
        <v>6.4</v>
      </c>
    </row>
    <row r="20" spans="4:14">
      <c r="D20" s="21">
        <v>46080</v>
      </c>
      <c r="E20" s="22">
        <v>1580527</v>
      </c>
      <c r="F20" s="22" t="s">
        <v>20</v>
      </c>
      <c r="G20" s="22">
        <v>20324533</v>
      </c>
      <c r="H20" s="22" t="s">
        <v>124</v>
      </c>
      <c r="I20" s="22">
        <v>1</v>
      </c>
      <c r="J20" s="31" t="s">
        <v>29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46080</v>
      </c>
      <c r="E21" s="22">
        <v>1580527</v>
      </c>
      <c r="F21" s="22" t="s">
        <v>20</v>
      </c>
      <c r="G21" s="22">
        <v>20329168</v>
      </c>
      <c r="H21" s="22" t="s">
        <v>457</v>
      </c>
      <c r="I21" s="22">
        <v>1</v>
      </c>
      <c r="J21" s="30" t="s">
        <v>18</v>
      </c>
      <c r="K21" s="24">
        <f t="shared" si="1"/>
        <v>21</v>
      </c>
      <c r="L21" s="25">
        <v>4.4</v>
      </c>
      <c r="M21" s="26">
        <v>92.4</v>
      </c>
      <c r="N21" s="26">
        <v>92.4</v>
      </c>
    </row>
    <row r="22" ht="0.05" customHeight="1"/>
  </sheetData>
  <autoFilter xmlns:etc="http://www.wps.cn/officeDocument/2017/etCustomData" ref="A7:N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459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39</v>
      </c>
      <c r="J8" s="13"/>
      <c r="K8" s="14"/>
      <c r="L8" s="14"/>
      <c r="M8" s="14"/>
      <c r="N8" s="14">
        <v>438</v>
      </c>
    </row>
    <row r="9" spans="1:14">
      <c r="D9" s="15">
        <v>46056</v>
      </c>
      <c r="E9" s="16">
        <v>1575994</v>
      </c>
      <c r="F9" s="16" t="s">
        <v>20</v>
      </c>
      <c r="G9" s="16">
        <v>20324560</v>
      </c>
      <c r="H9" s="16" t="s">
        <v>452</v>
      </c>
      <c r="I9" s="16">
        <v>1</v>
      </c>
      <c r="J9" s="29" t="s">
        <v>29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46056</v>
      </c>
      <c r="E10" s="22">
        <v>1575994</v>
      </c>
      <c r="F10" s="22" t="s">
        <v>20</v>
      </c>
      <c r="G10" s="22">
        <v>20324532</v>
      </c>
      <c r="H10" s="22" t="s">
        <v>460</v>
      </c>
      <c r="I10" s="22">
        <v>1</v>
      </c>
      <c r="J10" s="31" t="s">
        <v>29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46056</v>
      </c>
      <c r="E11" s="22">
        <v>1575994</v>
      </c>
      <c r="F11" s="22" t="s">
        <v>20</v>
      </c>
      <c r="G11" s="22">
        <v>20324743</v>
      </c>
      <c r="H11" s="22" t="s">
        <v>461</v>
      </c>
      <c r="I11" s="22">
        <v>1</v>
      </c>
      <c r="J11" s="31" t="s">
        <v>29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46056</v>
      </c>
      <c r="E12" s="22">
        <v>1575994</v>
      </c>
      <c r="F12" s="22" t="s">
        <v>20</v>
      </c>
      <c r="G12" s="22">
        <v>20324562</v>
      </c>
      <c r="H12" s="22" t="s">
        <v>462</v>
      </c>
      <c r="I12" s="22">
        <v>1</v>
      </c>
      <c r="J12" s="31" t="s">
        <v>29</v>
      </c>
      <c r="K12" s="24">
        <v>1</v>
      </c>
      <c r="L12" s="25">
        <v>6.4</v>
      </c>
      <c r="M12" s="26">
        <v>6.4</v>
      </c>
      <c r="N12" s="26">
        <v>6.4</v>
      </c>
    </row>
    <row r="13" spans="1:14">
      <c r="D13" s="21">
        <v>46056</v>
      </c>
      <c r="E13" s="22">
        <v>1575994</v>
      </c>
      <c r="F13" s="22" t="s">
        <v>20</v>
      </c>
      <c r="G13" s="22">
        <v>20325191</v>
      </c>
      <c r="H13" s="22" t="s">
        <v>463</v>
      </c>
      <c r="I13" s="22">
        <v>1</v>
      </c>
      <c r="J13" s="30" t="s">
        <v>18</v>
      </c>
      <c r="K13" s="24">
        <f>M13/L13</f>
        <v>11</v>
      </c>
      <c r="L13" s="25">
        <v>4.4</v>
      </c>
      <c r="M13" s="26">
        <v>48.4</v>
      </c>
      <c r="N13" s="26">
        <v>48.4</v>
      </c>
    </row>
    <row r="14" spans="1:14">
      <c r="D14" s="21">
        <v>46056</v>
      </c>
      <c r="E14" s="22">
        <v>1575994</v>
      </c>
      <c r="F14" s="22" t="s">
        <v>20</v>
      </c>
      <c r="G14" s="22">
        <v>20324369</v>
      </c>
      <c r="H14" s="22" t="s">
        <v>140</v>
      </c>
      <c r="I14" s="22">
        <v>1</v>
      </c>
      <c r="J14" s="30" t="s">
        <v>18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46058</v>
      </c>
      <c r="E15" s="22">
        <v>1576669</v>
      </c>
      <c r="F15" s="22" t="s">
        <v>20</v>
      </c>
      <c r="G15" s="22">
        <v>20324364</v>
      </c>
      <c r="H15" s="22" t="s">
        <v>99</v>
      </c>
      <c r="I15" s="22">
        <v>4</v>
      </c>
      <c r="J15" s="31" t="s">
        <v>29</v>
      </c>
      <c r="K15" s="24">
        <v>1</v>
      </c>
      <c r="L15" s="25">
        <v>6.4</v>
      </c>
      <c r="M15" s="26">
        <v>6.4</v>
      </c>
      <c r="N15" s="26">
        <v>25.6</v>
      </c>
    </row>
    <row r="16" spans="1:14">
      <c r="D16" s="21">
        <v>46058</v>
      </c>
      <c r="E16" s="22">
        <v>1576669</v>
      </c>
      <c r="F16" s="22" t="s">
        <v>20</v>
      </c>
      <c r="G16" s="22">
        <v>20324553</v>
      </c>
      <c r="H16" s="22" t="s">
        <v>464</v>
      </c>
      <c r="I16" s="22">
        <v>8</v>
      </c>
      <c r="J16" s="31" t="s">
        <v>29</v>
      </c>
      <c r="K16" s="24">
        <v>1</v>
      </c>
      <c r="L16" s="25">
        <v>6.4</v>
      </c>
      <c r="M16" s="26">
        <v>6.4</v>
      </c>
      <c r="N16" s="26">
        <v>51.2</v>
      </c>
    </row>
    <row r="17" spans="4:14">
      <c r="D17" s="21">
        <v>46058</v>
      </c>
      <c r="E17" s="22">
        <v>1576669</v>
      </c>
      <c r="F17" s="22" t="s">
        <v>20</v>
      </c>
      <c r="G17" s="22">
        <v>20324532</v>
      </c>
      <c r="H17" s="22" t="s">
        <v>460</v>
      </c>
      <c r="I17" s="22">
        <v>4</v>
      </c>
      <c r="J17" s="31" t="s">
        <v>29</v>
      </c>
      <c r="K17" s="24">
        <v>1</v>
      </c>
      <c r="L17" s="25">
        <v>6.4</v>
      </c>
      <c r="M17" s="26">
        <v>6.4</v>
      </c>
      <c r="N17" s="26">
        <v>25.6</v>
      </c>
    </row>
    <row r="18" spans="4:14">
      <c r="D18" s="21">
        <v>46058</v>
      </c>
      <c r="E18" s="22">
        <v>1576669</v>
      </c>
      <c r="F18" s="22" t="s">
        <v>20</v>
      </c>
      <c r="G18" s="22">
        <v>20396533</v>
      </c>
      <c r="H18" s="22" t="s">
        <v>465</v>
      </c>
      <c r="I18" s="22">
        <v>2</v>
      </c>
      <c r="J18" s="31" t="s">
        <v>29</v>
      </c>
      <c r="K18" s="24">
        <v>1</v>
      </c>
      <c r="L18" s="25">
        <v>6.4</v>
      </c>
      <c r="M18" s="26">
        <v>6.4</v>
      </c>
      <c r="N18" s="26">
        <v>12.8</v>
      </c>
    </row>
    <row r="19" spans="4:14">
      <c r="D19" s="21">
        <v>46062</v>
      </c>
      <c r="E19" s="22">
        <v>1577504</v>
      </c>
      <c r="F19" s="22" t="s">
        <v>20</v>
      </c>
      <c r="G19" s="22">
        <v>20324553</v>
      </c>
      <c r="H19" s="22" t="s">
        <v>464</v>
      </c>
      <c r="I19" s="22">
        <v>4</v>
      </c>
      <c r="J19" s="31" t="s">
        <v>29</v>
      </c>
      <c r="K19" s="24">
        <v>1</v>
      </c>
      <c r="L19" s="25">
        <v>6.4</v>
      </c>
      <c r="M19" s="26">
        <v>6.4</v>
      </c>
      <c r="N19" s="26">
        <v>25.6</v>
      </c>
    </row>
    <row r="20" spans="4:14">
      <c r="D20" s="21">
        <v>46062</v>
      </c>
      <c r="E20" s="22">
        <v>1577504</v>
      </c>
      <c r="F20" s="22" t="s">
        <v>20</v>
      </c>
      <c r="G20" s="22">
        <v>20329169</v>
      </c>
      <c r="H20" s="22" t="s">
        <v>466</v>
      </c>
      <c r="I20" s="22">
        <v>1</v>
      </c>
      <c r="J20" s="31" t="s">
        <v>29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46062</v>
      </c>
      <c r="E21" s="22">
        <v>1577504</v>
      </c>
      <c r="F21" s="22" t="s">
        <v>20</v>
      </c>
      <c r="G21" s="22">
        <v>20325191</v>
      </c>
      <c r="H21" s="22" t="s">
        <v>463</v>
      </c>
      <c r="I21" s="22">
        <v>1</v>
      </c>
      <c r="J21" s="30" t="s">
        <v>18</v>
      </c>
      <c r="K21" s="24">
        <f t="shared" ref="K21:K24" si="0">M21/L21</f>
        <v>11</v>
      </c>
      <c r="L21" s="25">
        <v>4.4</v>
      </c>
      <c r="M21" s="26">
        <v>48.4</v>
      </c>
      <c r="N21" s="26">
        <v>48.4</v>
      </c>
    </row>
    <row r="22" spans="4:14">
      <c r="D22" s="21">
        <v>46062</v>
      </c>
      <c r="E22" s="22">
        <v>1577504</v>
      </c>
      <c r="F22" s="22" t="s">
        <v>20</v>
      </c>
      <c r="G22" s="22">
        <v>20324369</v>
      </c>
      <c r="H22" s="22" t="s">
        <v>140</v>
      </c>
      <c r="I22" s="22">
        <v>1</v>
      </c>
      <c r="J22" s="30" t="s">
        <v>18</v>
      </c>
      <c r="K22" s="24">
        <f t="shared" si="0"/>
        <v>3</v>
      </c>
      <c r="L22" s="25">
        <v>4.4</v>
      </c>
      <c r="M22" s="26">
        <v>13.2</v>
      </c>
      <c r="N22" s="26">
        <v>13.2</v>
      </c>
    </row>
    <row r="23" spans="4:14">
      <c r="D23" s="21">
        <v>46065</v>
      </c>
      <c r="E23" s="22">
        <v>1578463</v>
      </c>
      <c r="F23" s="22" t="s">
        <v>20</v>
      </c>
      <c r="G23" s="22">
        <v>20329068</v>
      </c>
      <c r="H23" s="22" t="s">
        <v>456</v>
      </c>
      <c r="I23" s="22">
        <v>1</v>
      </c>
      <c r="J23" s="31" t="s">
        <v>29</v>
      </c>
      <c r="K23" s="24">
        <v>1</v>
      </c>
      <c r="L23" s="25">
        <v>6.4</v>
      </c>
      <c r="M23" s="26">
        <v>6.4</v>
      </c>
      <c r="N23" s="26">
        <v>6.4</v>
      </c>
    </row>
    <row r="24" spans="4:14">
      <c r="D24" s="21">
        <v>46065</v>
      </c>
      <c r="E24" s="22">
        <v>1578463</v>
      </c>
      <c r="F24" s="22" t="s">
        <v>20</v>
      </c>
      <c r="G24" s="22">
        <v>20325191</v>
      </c>
      <c r="H24" s="22" t="s">
        <v>463</v>
      </c>
      <c r="I24" s="22">
        <v>1</v>
      </c>
      <c r="J24" s="30" t="s">
        <v>18</v>
      </c>
      <c r="K24" s="24">
        <f t="shared" si="0"/>
        <v>11</v>
      </c>
      <c r="L24" s="25">
        <v>4.4</v>
      </c>
      <c r="M24" s="26">
        <v>48.4</v>
      </c>
      <c r="N24" s="26">
        <v>48.4</v>
      </c>
    </row>
    <row r="25" spans="4:14">
      <c r="D25" s="21">
        <v>46077</v>
      </c>
      <c r="E25" s="22">
        <v>1579774</v>
      </c>
      <c r="F25" s="22" t="s">
        <v>20</v>
      </c>
      <c r="G25" s="22">
        <v>20324532</v>
      </c>
      <c r="H25" s="22" t="s">
        <v>460</v>
      </c>
      <c r="I25" s="22">
        <v>1</v>
      </c>
      <c r="J25" s="31" t="s">
        <v>29</v>
      </c>
      <c r="K25" s="24">
        <v>1</v>
      </c>
      <c r="L25" s="25">
        <v>6.4</v>
      </c>
      <c r="M25" s="26">
        <v>6.4</v>
      </c>
      <c r="N25" s="26">
        <v>6.4</v>
      </c>
    </row>
    <row r="26" spans="4:14">
      <c r="D26" s="21">
        <v>46077</v>
      </c>
      <c r="E26" s="22">
        <v>1579774</v>
      </c>
      <c r="F26" s="22" t="s">
        <v>20</v>
      </c>
      <c r="G26" s="22">
        <v>20329068</v>
      </c>
      <c r="H26" s="22" t="s">
        <v>456</v>
      </c>
      <c r="I26" s="22">
        <v>1</v>
      </c>
      <c r="J26" s="31" t="s">
        <v>29</v>
      </c>
      <c r="K26" s="24">
        <v>1</v>
      </c>
      <c r="L26" s="25">
        <v>6.4</v>
      </c>
      <c r="M26" s="26">
        <v>6.4</v>
      </c>
      <c r="N26" s="26">
        <v>6.4</v>
      </c>
    </row>
    <row r="27" spans="4:14">
      <c r="D27" s="21">
        <v>46077</v>
      </c>
      <c r="E27" s="22">
        <v>1579774</v>
      </c>
      <c r="F27" s="22" t="s">
        <v>20</v>
      </c>
      <c r="G27" s="22">
        <v>20396533</v>
      </c>
      <c r="H27" s="22" t="s">
        <v>465</v>
      </c>
      <c r="I27" s="22">
        <v>1</v>
      </c>
      <c r="J27" s="31" t="s">
        <v>29</v>
      </c>
      <c r="K27" s="24">
        <v>1</v>
      </c>
      <c r="L27" s="25">
        <v>6.4</v>
      </c>
      <c r="M27" s="26">
        <v>6.4</v>
      </c>
      <c r="N27" s="26">
        <v>6.4</v>
      </c>
    </row>
    <row r="28" spans="4:14">
      <c r="D28" s="21">
        <v>46077</v>
      </c>
      <c r="E28" s="22">
        <v>1579774</v>
      </c>
      <c r="F28" s="22" t="s">
        <v>20</v>
      </c>
      <c r="G28" s="22">
        <v>20324562</v>
      </c>
      <c r="H28" s="22" t="s">
        <v>462</v>
      </c>
      <c r="I28" s="22">
        <v>1</v>
      </c>
      <c r="J28" s="31" t="s">
        <v>29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46077</v>
      </c>
      <c r="E29" s="22">
        <v>1579774</v>
      </c>
      <c r="F29" s="22" t="s">
        <v>20</v>
      </c>
      <c r="G29" s="22">
        <v>20325191</v>
      </c>
      <c r="H29" s="22" t="s">
        <v>463</v>
      </c>
      <c r="I29" s="22">
        <v>1</v>
      </c>
      <c r="J29" s="30" t="s">
        <v>18</v>
      </c>
      <c r="K29" s="24">
        <f>M29/L29</f>
        <v>11</v>
      </c>
      <c r="L29" s="25">
        <v>4.4</v>
      </c>
      <c r="M29" s="26">
        <v>48.4</v>
      </c>
      <c r="N29" s="26">
        <v>48.4</v>
      </c>
    </row>
    <row r="30" spans="4:14">
      <c r="D30" s="21">
        <v>46077</v>
      </c>
      <c r="E30" s="22">
        <v>1579774</v>
      </c>
      <c r="F30" s="22" t="s">
        <v>20</v>
      </c>
      <c r="G30" s="22">
        <v>20324369</v>
      </c>
      <c r="H30" s="22" t="s">
        <v>140</v>
      </c>
      <c r="I30" s="22">
        <v>1</v>
      </c>
      <c r="J30" s="30" t="s">
        <v>18</v>
      </c>
      <c r="K30" s="24">
        <f>M30/L30</f>
        <v>3</v>
      </c>
      <c r="L30" s="25">
        <v>4.4</v>
      </c>
      <c r="M30" s="26">
        <v>13.2</v>
      </c>
      <c r="N30" s="26">
        <v>13.2</v>
      </c>
    </row>
  </sheetData>
  <autoFilter xmlns:etc="http://www.wps.cn/officeDocument/2017/etCustomData" ref="A7:N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scale="91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875" customWidth="1"/>
    <col min="11" max="11" width="18.625" customWidth="1"/>
    <col min="12" max="12" width="12.875" customWidth="1"/>
    <col min="13" max="13" width="12.2083333333333" customWidth="1"/>
    <col min="14" max="14" width="12.3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3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467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31</v>
      </c>
      <c r="J8" s="13"/>
      <c r="K8" s="14"/>
      <c r="L8" s="14"/>
      <c r="M8" s="14"/>
      <c r="N8" s="14">
        <v>420.8</v>
      </c>
    </row>
    <row r="9" spans="1:14">
      <c r="D9" s="15">
        <v>46057</v>
      </c>
      <c r="E9" s="16">
        <v>1576317</v>
      </c>
      <c r="F9" s="16" t="s">
        <v>20</v>
      </c>
      <c r="G9" s="16">
        <v>20338947</v>
      </c>
      <c r="H9" s="16" t="s">
        <v>468</v>
      </c>
      <c r="I9" s="16">
        <v>1</v>
      </c>
      <c r="J9" s="29" t="s">
        <v>29</v>
      </c>
      <c r="K9" s="18">
        <v>1</v>
      </c>
      <c r="L9" s="19">
        <v>6.4</v>
      </c>
      <c r="M9" s="20">
        <v>6.4</v>
      </c>
      <c r="N9" s="20">
        <v>6.4</v>
      </c>
    </row>
    <row r="10" spans="1:14">
      <c r="D10" s="21">
        <v>46057</v>
      </c>
      <c r="E10" s="22">
        <v>1576317</v>
      </c>
      <c r="F10" s="23" t="s">
        <v>16</v>
      </c>
      <c r="G10" s="22">
        <v>20324530</v>
      </c>
      <c r="H10" s="22" t="s">
        <v>469</v>
      </c>
      <c r="I10" s="22">
        <v>1</v>
      </c>
      <c r="J10" s="30" t="s">
        <v>18</v>
      </c>
      <c r="K10" s="24">
        <f>M10/L10</f>
        <v>9</v>
      </c>
      <c r="L10" s="25">
        <v>4.4</v>
      </c>
      <c r="M10" s="26">
        <v>39.6</v>
      </c>
      <c r="N10" s="26">
        <v>39.6</v>
      </c>
    </row>
    <row r="11" spans="1:14">
      <c r="D11" s="21">
        <v>46057</v>
      </c>
      <c r="E11" s="22">
        <v>1576317</v>
      </c>
      <c r="F11" s="22" t="s">
        <v>20</v>
      </c>
      <c r="G11" s="22">
        <v>20325943</v>
      </c>
      <c r="H11" s="22" t="s">
        <v>470</v>
      </c>
      <c r="I11" s="22">
        <v>1</v>
      </c>
      <c r="J11" s="30" t="s">
        <v>18</v>
      </c>
      <c r="K11" s="24">
        <f t="shared" ref="K11:K16" si="0">M11/L11</f>
        <v>3</v>
      </c>
      <c r="L11" s="25">
        <v>4.4</v>
      </c>
      <c r="M11" s="26">
        <v>13.2</v>
      </c>
      <c r="N11" s="26">
        <v>13.2</v>
      </c>
    </row>
    <row r="12" spans="1:14">
      <c r="D12" s="21">
        <v>46057</v>
      </c>
      <c r="E12" s="22">
        <v>1576317</v>
      </c>
      <c r="F12" s="22" t="s">
        <v>20</v>
      </c>
      <c r="G12" s="22">
        <v>20383301</v>
      </c>
      <c r="H12" s="22" t="s">
        <v>471</v>
      </c>
      <c r="I12" s="22">
        <v>4</v>
      </c>
      <c r="J12" s="30" t="s">
        <v>18</v>
      </c>
      <c r="K12" s="24">
        <f t="shared" si="0"/>
        <v>3</v>
      </c>
      <c r="L12" s="25">
        <v>4.4</v>
      </c>
      <c r="M12" s="26">
        <v>13.2</v>
      </c>
      <c r="N12" s="26">
        <v>52.8</v>
      </c>
    </row>
    <row r="13" spans="1:14">
      <c r="D13" s="21">
        <v>46058</v>
      </c>
      <c r="E13" s="22">
        <v>1576670</v>
      </c>
      <c r="F13" s="22" t="s">
        <v>20</v>
      </c>
      <c r="G13" s="22">
        <v>20338947</v>
      </c>
      <c r="H13" s="22" t="s">
        <v>468</v>
      </c>
      <c r="I13" s="22">
        <v>1</v>
      </c>
      <c r="J13" s="31" t="s">
        <v>29</v>
      </c>
      <c r="K13" s="24">
        <v>1</v>
      </c>
      <c r="L13" s="25">
        <v>6.4</v>
      </c>
      <c r="M13" s="26">
        <v>6.4</v>
      </c>
      <c r="N13" s="26">
        <v>6.4</v>
      </c>
    </row>
    <row r="14" spans="1:14">
      <c r="D14" s="21">
        <v>46058</v>
      </c>
      <c r="E14" s="22">
        <v>1576670</v>
      </c>
      <c r="F14" s="22" t="s">
        <v>20</v>
      </c>
      <c r="G14" s="22">
        <v>20396534</v>
      </c>
      <c r="H14" s="22" t="s">
        <v>472</v>
      </c>
      <c r="I14" s="22">
        <v>1</v>
      </c>
      <c r="J14" s="31" t="s">
        <v>29</v>
      </c>
      <c r="K14" s="24">
        <v>1</v>
      </c>
      <c r="L14" s="25">
        <v>6.4</v>
      </c>
      <c r="M14" s="26">
        <v>6.4</v>
      </c>
      <c r="N14" s="26">
        <v>6.4</v>
      </c>
    </row>
    <row r="15" spans="1:14">
      <c r="D15" s="21">
        <v>46058</v>
      </c>
      <c r="E15" s="22">
        <v>1576670</v>
      </c>
      <c r="F15" s="22" t="s">
        <v>20</v>
      </c>
      <c r="G15" s="22">
        <v>20324562</v>
      </c>
      <c r="H15" s="22" t="s">
        <v>462</v>
      </c>
      <c r="I15" s="22">
        <v>1</v>
      </c>
      <c r="J15" s="31" t="s">
        <v>29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46058</v>
      </c>
      <c r="E16" s="22">
        <v>1576670</v>
      </c>
      <c r="F16" s="22" t="s">
        <v>20</v>
      </c>
      <c r="G16" s="22">
        <v>20383301</v>
      </c>
      <c r="H16" s="22" t="s">
        <v>471</v>
      </c>
      <c r="I16" s="22">
        <v>6</v>
      </c>
      <c r="J16" s="30" t="s">
        <v>18</v>
      </c>
      <c r="K16" s="24">
        <f t="shared" si="0"/>
        <v>3</v>
      </c>
      <c r="L16" s="25">
        <v>4.4</v>
      </c>
      <c r="M16" s="26">
        <v>13.2</v>
      </c>
      <c r="N16" s="26">
        <v>79.2</v>
      </c>
    </row>
    <row r="17" spans="4:14">
      <c r="D17" s="21">
        <v>46065</v>
      </c>
      <c r="E17" s="22">
        <v>1578464</v>
      </c>
      <c r="F17" s="22" t="s">
        <v>20</v>
      </c>
      <c r="G17" s="22">
        <v>20326195</v>
      </c>
      <c r="H17" s="22" t="s">
        <v>460</v>
      </c>
      <c r="I17" s="22">
        <v>1</v>
      </c>
      <c r="J17" s="31" t="s">
        <v>29</v>
      </c>
      <c r="K17" s="24">
        <v>1</v>
      </c>
      <c r="L17" s="25">
        <v>6.4</v>
      </c>
      <c r="M17" s="26">
        <v>6.4</v>
      </c>
      <c r="N17" s="26">
        <v>6.4</v>
      </c>
    </row>
    <row r="18" spans="4:14">
      <c r="D18" s="21">
        <v>46065</v>
      </c>
      <c r="E18" s="22">
        <v>1578464</v>
      </c>
      <c r="F18" s="22" t="s">
        <v>20</v>
      </c>
      <c r="G18" s="22">
        <v>20324562</v>
      </c>
      <c r="H18" s="22" t="s">
        <v>462</v>
      </c>
      <c r="I18" s="22">
        <v>1</v>
      </c>
      <c r="J18" s="31" t="s">
        <v>29</v>
      </c>
      <c r="K18" s="24">
        <v>1</v>
      </c>
      <c r="L18" s="25">
        <v>6.4</v>
      </c>
      <c r="M18" s="26">
        <v>6.4</v>
      </c>
      <c r="N18" s="26">
        <v>6.4</v>
      </c>
    </row>
    <row r="19" spans="4:14">
      <c r="D19" s="21">
        <v>46065</v>
      </c>
      <c r="E19" s="22">
        <v>1578464</v>
      </c>
      <c r="F19" s="22" t="s">
        <v>20</v>
      </c>
      <c r="G19" s="22">
        <v>20383301</v>
      </c>
      <c r="H19" s="22" t="s">
        <v>471</v>
      </c>
      <c r="I19" s="22">
        <v>4</v>
      </c>
      <c r="J19" s="30" t="s">
        <v>18</v>
      </c>
      <c r="K19" s="24">
        <f t="shared" ref="K19:K24" si="1">M19/L19</f>
        <v>3</v>
      </c>
      <c r="L19" s="25">
        <v>4.4</v>
      </c>
      <c r="M19" s="26">
        <v>13.2</v>
      </c>
      <c r="N19" s="26">
        <v>52.8</v>
      </c>
    </row>
    <row r="20" spans="4:14">
      <c r="D20" s="21">
        <v>46066</v>
      </c>
      <c r="E20" s="22">
        <v>1578760</v>
      </c>
      <c r="F20" s="22" t="s">
        <v>20</v>
      </c>
      <c r="G20" s="22">
        <v>20326195</v>
      </c>
      <c r="H20" s="22" t="s">
        <v>460</v>
      </c>
      <c r="I20" s="22">
        <v>1</v>
      </c>
      <c r="J20" s="31" t="s">
        <v>29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46066</v>
      </c>
      <c r="E21" s="22">
        <v>1578760</v>
      </c>
      <c r="F21" s="22" t="s">
        <v>20</v>
      </c>
      <c r="G21" s="22">
        <v>20383301</v>
      </c>
      <c r="H21" s="22" t="s">
        <v>471</v>
      </c>
      <c r="I21" s="22">
        <v>2</v>
      </c>
      <c r="J21" s="30" t="s">
        <v>18</v>
      </c>
      <c r="K21" s="24">
        <f t="shared" ref="K21:K26" si="2">M21/L21</f>
        <v>3</v>
      </c>
      <c r="L21" s="25">
        <v>4.4</v>
      </c>
      <c r="M21" s="26">
        <v>13.2</v>
      </c>
      <c r="N21" s="26">
        <v>26.4</v>
      </c>
    </row>
    <row r="22" spans="4:14">
      <c r="D22" s="21">
        <v>46078</v>
      </c>
      <c r="E22" s="22">
        <v>1580114</v>
      </c>
      <c r="F22" s="22" t="s">
        <v>20</v>
      </c>
      <c r="G22" s="22">
        <v>20338947</v>
      </c>
      <c r="H22" s="22" t="s">
        <v>468</v>
      </c>
      <c r="I22" s="22">
        <v>1</v>
      </c>
      <c r="J22" s="31" t="s">
        <v>29</v>
      </c>
      <c r="K22" s="24">
        <v>1</v>
      </c>
      <c r="L22" s="25">
        <v>6.4</v>
      </c>
      <c r="M22" s="26">
        <v>6.4</v>
      </c>
      <c r="N22" s="26">
        <v>6.4</v>
      </c>
    </row>
    <row r="23" spans="4:14">
      <c r="D23" s="21">
        <v>46078</v>
      </c>
      <c r="E23" s="22">
        <v>1580114</v>
      </c>
      <c r="F23" s="23" t="s">
        <v>16</v>
      </c>
      <c r="G23" s="22">
        <v>20324523</v>
      </c>
      <c r="H23" s="22" t="s">
        <v>473</v>
      </c>
      <c r="I23" s="22">
        <v>1</v>
      </c>
      <c r="J23" s="30" t="s">
        <v>18</v>
      </c>
      <c r="K23" s="24">
        <f t="shared" si="1"/>
        <v>6</v>
      </c>
      <c r="L23" s="25">
        <v>4.4</v>
      </c>
      <c r="M23" s="26">
        <v>26.4</v>
      </c>
      <c r="N23" s="26">
        <v>26.4</v>
      </c>
    </row>
    <row r="24" spans="4:14">
      <c r="D24" s="21">
        <v>46078</v>
      </c>
      <c r="E24" s="22">
        <v>1580114</v>
      </c>
      <c r="F24" s="23" t="s">
        <v>16</v>
      </c>
      <c r="G24" s="22">
        <v>20324530</v>
      </c>
      <c r="H24" s="22" t="s">
        <v>469</v>
      </c>
      <c r="I24" s="22">
        <v>1</v>
      </c>
      <c r="J24" s="30" t="s">
        <v>18</v>
      </c>
      <c r="K24" s="24">
        <f t="shared" si="1"/>
        <v>9</v>
      </c>
      <c r="L24" s="25">
        <v>4.4</v>
      </c>
      <c r="M24" s="26">
        <v>39.6</v>
      </c>
      <c r="N24" s="26">
        <v>39.6</v>
      </c>
    </row>
    <row r="25" spans="4:14">
      <c r="D25" s="21">
        <v>46078</v>
      </c>
      <c r="E25" s="22">
        <v>1580114</v>
      </c>
      <c r="F25" s="22" t="s">
        <v>20</v>
      </c>
      <c r="G25" s="22">
        <v>20325943</v>
      </c>
      <c r="H25" s="22" t="s">
        <v>470</v>
      </c>
      <c r="I25" s="22">
        <v>1</v>
      </c>
      <c r="J25" s="30" t="s">
        <v>18</v>
      </c>
      <c r="K25" s="24">
        <f t="shared" si="2"/>
        <v>3</v>
      </c>
      <c r="L25" s="25">
        <v>4.4</v>
      </c>
      <c r="M25" s="26">
        <v>13.2</v>
      </c>
      <c r="N25" s="26">
        <v>13.2</v>
      </c>
    </row>
    <row r="26" spans="4:14">
      <c r="D26" s="21">
        <v>46078</v>
      </c>
      <c r="E26" s="22">
        <v>1580114</v>
      </c>
      <c r="F26" s="22" t="s">
        <v>20</v>
      </c>
      <c r="G26" s="22">
        <v>20383301</v>
      </c>
      <c r="H26" s="22" t="s">
        <v>471</v>
      </c>
      <c r="I26" s="22">
        <v>2</v>
      </c>
      <c r="J26" s="30" t="s">
        <v>18</v>
      </c>
      <c r="K26" s="24">
        <f t="shared" si="2"/>
        <v>3</v>
      </c>
      <c r="L26" s="25">
        <v>4.4</v>
      </c>
      <c r="M26" s="26">
        <v>13.2</v>
      </c>
      <c r="N26" s="26">
        <v>26.4</v>
      </c>
    </row>
    <row r="27" ht="0.05" customHeight="1"/>
  </sheetData>
  <autoFilter xmlns:etc="http://www.wps.cn/officeDocument/2017/etCustomData" ref="A7:N26" etc:filterBottomFollowUsedRange="0">
    <extLst/>
  </autoFilter>
  <mergeCells count="5">
    <mergeCell ref="D8:H8"/>
    <mergeCell ref="C7:C26"/>
    <mergeCell ref="B4:H5"/>
    <mergeCell ref="A7:B26"/>
    <mergeCell ref="C1:H2"/>
  </mergeCells>
  <pageMargins left="0.25" right="0.25" top="0.75" bottom="0.75" header="0.298611111111111" footer="0.298611111111111"/>
  <pageSetup paperSize="9" scale="97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25" customWidth="1"/>
    <col min="11" max="11" width="16.75" customWidth="1"/>
    <col min="12" max="12" width="11.5" customWidth="1"/>
    <col min="13" max="13" width="10.875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474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34</v>
      </c>
      <c r="J8" s="13"/>
      <c r="K8" s="14"/>
      <c r="L8" s="14"/>
      <c r="M8" s="14"/>
      <c r="N8" s="14">
        <v>448.8</v>
      </c>
    </row>
    <row r="9" spans="1:14">
      <c r="D9" s="55">
        <v>46055</v>
      </c>
      <c r="E9" s="45">
        <v>1575642</v>
      </c>
      <c r="F9" s="45" t="s">
        <v>20</v>
      </c>
      <c r="G9" s="45">
        <v>20383301</v>
      </c>
      <c r="H9" s="45" t="s">
        <v>471</v>
      </c>
      <c r="I9" s="45">
        <v>7</v>
      </c>
      <c r="J9" s="30" t="s">
        <v>18</v>
      </c>
      <c r="K9" s="24">
        <f t="shared" ref="K9:K12" si="0">M9/L9</f>
        <v>3</v>
      </c>
      <c r="L9" s="25">
        <v>4.4</v>
      </c>
      <c r="M9" s="53">
        <v>13.2</v>
      </c>
      <c r="N9" s="53">
        <v>92.4</v>
      </c>
    </row>
    <row r="10" spans="1:14">
      <c r="D10" s="55">
        <v>46057</v>
      </c>
      <c r="E10" s="45">
        <v>1576318</v>
      </c>
      <c r="F10" s="45" t="s">
        <v>20</v>
      </c>
      <c r="G10" s="45">
        <v>20383301</v>
      </c>
      <c r="H10" s="45" t="s">
        <v>471</v>
      </c>
      <c r="I10" s="45">
        <v>6</v>
      </c>
      <c r="J10" s="30" t="s">
        <v>18</v>
      </c>
      <c r="K10" s="24">
        <f t="shared" si="0"/>
        <v>3</v>
      </c>
      <c r="L10" s="25">
        <v>4.4</v>
      </c>
      <c r="M10" s="53">
        <v>13.2</v>
      </c>
      <c r="N10" s="53">
        <v>79.2</v>
      </c>
    </row>
    <row r="11" spans="1:14">
      <c r="D11" s="55">
        <v>46058</v>
      </c>
      <c r="E11" s="45">
        <v>1576671</v>
      </c>
      <c r="F11" s="45" t="s">
        <v>20</v>
      </c>
      <c r="G11" s="45">
        <v>20383301</v>
      </c>
      <c r="H11" s="45" t="s">
        <v>471</v>
      </c>
      <c r="I11" s="45">
        <v>10</v>
      </c>
      <c r="J11" s="30" t="s">
        <v>18</v>
      </c>
      <c r="K11" s="24">
        <f t="shared" si="0"/>
        <v>3</v>
      </c>
      <c r="L11" s="25">
        <v>4.4</v>
      </c>
      <c r="M11" s="53">
        <v>13.2</v>
      </c>
      <c r="N11" s="53">
        <v>132</v>
      </c>
    </row>
    <row r="12" spans="1:14">
      <c r="D12" s="55">
        <v>46080</v>
      </c>
      <c r="E12" s="45">
        <v>1580868</v>
      </c>
      <c r="F12" s="45" t="s">
        <v>20</v>
      </c>
      <c r="G12" s="45">
        <v>20383301</v>
      </c>
      <c r="H12" s="45" t="s">
        <v>471</v>
      </c>
      <c r="I12" s="45">
        <v>11</v>
      </c>
      <c r="J12" s="30" t="s">
        <v>18</v>
      </c>
      <c r="K12" s="24">
        <f t="shared" si="0"/>
        <v>3</v>
      </c>
      <c r="L12" s="25">
        <v>4.4</v>
      </c>
      <c r="M12" s="53">
        <v>13.2</v>
      </c>
      <c r="N12" s="53">
        <v>145.2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25" customWidth="1"/>
    <col min="11" max="11" width="16.75" customWidth="1"/>
    <col min="12" max="12" width="11.5" customWidth="1"/>
    <col min="13" max="13" width="10.875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475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3</v>
      </c>
      <c r="J8" s="13"/>
      <c r="K8" s="14"/>
      <c r="L8" s="14"/>
      <c r="M8" s="14"/>
      <c r="N8" s="14">
        <v>24</v>
      </c>
    </row>
    <row r="9" spans="1:14">
      <c r="D9" s="15">
        <v>46079</v>
      </c>
      <c r="E9" s="16">
        <v>1580517</v>
      </c>
      <c r="F9" s="16" t="s">
        <v>20</v>
      </c>
      <c r="G9" s="16">
        <v>20324557</v>
      </c>
      <c r="H9" s="16" t="s">
        <v>111</v>
      </c>
      <c r="I9" s="16">
        <v>1</v>
      </c>
      <c r="J9" s="29" t="s">
        <v>29</v>
      </c>
      <c r="K9" s="18">
        <v>1</v>
      </c>
      <c r="L9" s="19">
        <v>6.4</v>
      </c>
      <c r="M9" s="52">
        <v>6.4</v>
      </c>
      <c r="N9" s="53">
        <v>6.4</v>
      </c>
    </row>
    <row r="10" spans="1:14">
      <c r="D10" s="21">
        <v>46079</v>
      </c>
      <c r="E10" s="22">
        <v>1580517</v>
      </c>
      <c r="F10" s="22" t="s">
        <v>20</v>
      </c>
      <c r="G10" s="22">
        <v>20324559</v>
      </c>
      <c r="H10" s="22" t="s">
        <v>112</v>
      </c>
      <c r="I10" s="22">
        <v>2</v>
      </c>
      <c r="J10" s="32" t="s">
        <v>64</v>
      </c>
      <c r="K10" s="24">
        <v>1</v>
      </c>
      <c r="L10" s="25">
        <v>8.8</v>
      </c>
      <c r="M10" s="54">
        <v>8.8</v>
      </c>
      <c r="N10" s="53">
        <v>17.6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12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5" customWidth="1"/>
    <col min="10" max="10" width="21.5" customWidth="1"/>
    <col min="11" max="11" width="16.75" customWidth="1"/>
    <col min="12" max="12" width="11.5" customWidth="1"/>
    <col min="13" max="13" width="10.875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9" t="s">
        <v>13</v>
      </c>
      <c r="N7" s="9" t="s">
        <v>14</v>
      </c>
    </row>
    <row r="8" ht="14.25" spans="1:14">
      <c r="D8" s="11" t="s">
        <v>476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f>153-1</f>
        <v>152</v>
      </c>
      <c r="J8" s="13"/>
      <c r="K8" s="33"/>
      <c r="L8" s="33"/>
      <c r="M8" s="33"/>
      <c r="N8" s="33">
        <f>1139.6-28</f>
        <v>1111.6</v>
      </c>
    </row>
    <row r="9" spans="1:14">
      <c r="D9" s="15">
        <v>46057</v>
      </c>
      <c r="E9" s="16">
        <v>1576285</v>
      </c>
      <c r="F9" s="16" t="s">
        <v>20</v>
      </c>
      <c r="G9" s="16">
        <v>20324363</v>
      </c>
      <c r="H9" s="16" t="s">
        <v>30</v>
      </c>
      <c r="I9" s="16">
        <v>1</v>
      </c>
      <c r="J9" s="29" t="s">
        <v>29</v>
      </c>
      <c r="K9" s="18">
        <v>1</v>
      </c>
      <c r="L9" s="19">
        <v>6.4</v>
      </c>
      <c r="M9" s="19">
        <v>6.4</v>
      </c>
      <c r="N9" s="19">
        <v>6.4</v>
      </c>
    </row>
    <row r="10" spans="1:14">
      <c r="D10" s="21">
        <v>46057</v>
      </c>
      <c r="E10" s="22">
        <v>1576285</v>
      </c>
      <c r="F10" s="22" t="s">
        <v>20</v>
      </c>
      <c r="G10" s="22">
        <v>20329256</v>
      </c>
      <c r="H10" s="22" t="s">
        <v>477</v>
      </c>
      <c r="I10" s="22">
        <v>13</v>
      </c>
      <c r="J10" s="30" t="s">
        <v>18</v>
      </c>
      <c r="K10" s="24">
        <f>M10/L10</f>
        <v>3</v>
      </c>
      <c r="L10" s="25">
        <v>4.4</v>
      </c>
      <c r="M10" s="25">
        <v>13.2</v>
      </c>
      <c r="N10" s="25">
        <v>171.6</v>
      </c>
    </row>
    <row r="11" spans="1:14">
      <c r="D11" s="21">
        <v>46057</v>
      </c>
      <c r="E11" s="22">
        <v>1576285</v>
      </c>
      <c r="F11" s="22" t="s">
        <v>41</v>
      </c>
      <c r="G11" s="22">
        <v>20324850</v>
      </c>
      <c r="H11" s="22" t="s">
        <v>478</v>
      </c>
      <c r="I11" s="22">
        <v>80</v>
      </c>
      <c r="J11" s="30" t="s">
        <v>43</v>
      </c>
      <c r="K11" s="24">
        <v>1</v>
      </c>
      <c r="L11" s="25">
        <v>2</v>
      </c>
      <c r="M11" s="25">
        <v>2</v>
      </c>
      <c r="N11" s="25">
        <v>160</v>
      </c>
    </row>
    <row r="12" spans="1:14">
      <c r="D12" s="21">
        <v>46062</v>
      </c>
      <c r="E12" s="22">
        <v>1577505</v>
      </c>
      <c r="F12" s="22" t="s">
        <v>20</v>
      </c>
      <c r="G12" s="22">
        <v>20324533</v>
      </c>
      <c r="H12" s="22" t="s">
        <v>124</v>
      </c>
      <c r="I12" s="22">
        <v>1</v>
      </c>
      <c r="J12" s="31" t="s">
        <v>29</v>
      </c>
      <c r="K12" s="24">
        <v>1</v>
      </c>
      <c r="L12" s="25">
        <v>6.4</v>
      </c>
      <c r="M12" s="25">
        <v>6.4</v>
      </c>
      <c r="N12" s="25">
        <v>6.4</v>
      </c>
    </row>
    <row r="13" spans="1:14">
      <c r="D13" s="21">
        <v>46062</v>
      </c>
      <c r="E13" s="22">
        <v>1577505</v>
      </c>
      <c r="F13" s="22" t="s">
        <v>20</v>
      </c>
      <c r="G13" s="22">
        <v>20392070</v>
      </c>
      <c r="H13" s="22" t="s">
        <v>479</v>
      </c>
      <c r="I13" s="22">
        <v>1</v>
      </c>
      <c r="J13" s="32" t="s">
        <v>116</v>
      </c>
      <c r="K13" s="24">
        <f>M13/L13</f>
        <v>4</v>
      </c>
      <c r="L13" s="25">
        <v>4.4</v>
      </c>
      <c r="M13" s="25">
        <v>17.6</v>
      </c>
      <c r="N13" s="25">
        <v>17.6</v>
      </c>
    </row>
    <row r="14" spans="1:14">
      <c r="D14" s="21">
        <v>46062</v>
      </c>
      <c r="E14" s="22">
        <v>1577505</v>
      </c>
      <c r="F14" s="22" t="s">
        <v>20</v>
      </c>
      <c r="G14" s="22">
        <v>20329256</v>
      </c>
      <c r="H14" s="22" t="s">
        <v>477</v>
      </c>
      <c r="I14" s="22">
        <v>17</v>
      </c>
      <c r="J14" s="30" t="s">
        <v>18</v>
      </c>
      <c r="K14" s="24">
        <f>M14/L14</f>
        <v>3</v>
      </c>
      <c r="L14" s="25">
        <v>4.4</v>
      </c>
      <c r="M14" s="25">
        <v>13.2</v>
      </c>
      <c r="N14" s="25">
        <v>224.4</v>
      </c>
    </row>
    <row r="15" spans="1:14">
      <c r="D15" s="21">
        <v>46067</v>
      </c>
      <c r="E15" s="22">
        <v>1579031</v>
      </c>
      <c r="F15" s="22" t="s">
        <v>20</v>
      </c>
      <c r="G15" s="22">
        <v>20324413</v>
      </c>
      <c r="H15" s="22" t="s">
        <v>160</v>
      </c>
      <c r="I15" s="22">
        <v>1</v>
      </c>
      <c r="J15" s="31" t="s">
        <v>29</v>
      </c>
      <c r="K15" s="24">
        <v>1</v>
      </c>
      <c r="L15" s="25">
        <v>6.4</v>
      </c>
      <c r="M15" s="25">
        <v>6.4</v>
      </c>
      <c r="N15" s="25">
        <v>6.4</v>
      </c>
    </row>
    <row r="16" spans="1:14">
      <c r="D16" s="21">
        <v>46067</v>
      </c>
      <c r="E16" s="22">
        <v>1579031</v>
      </c>
      <c r="F16" s="22" t="s">
        <v>20</v>
      </c>
      <c r="G16" s="22">
        <v>20324363</v>
      </c>
      <c r="H16" s="22" t="s">
        <v>30</v>
      </c>
      <c r="I16" s="22">
        <v>1</v>
      </c>
      <c r="J16" s="31" t="s">
        <v>29</v>
      </c>
      <c r="K16" s="24">
        <v>1</v>
      </c>
      <c r="L16" s="25">
        <v>6.4</v>
      </c>
      <c r="M16" s="25">
        <v>6.4</v>
      </c>
      <c r="N16" s="25">
        <v>6.4</v>
      </c>
    </row>
    <row r="17" spans="4:14">
      <c r="D17" s="21">
        <v>46067</v>
      </c>
      <c r="E17" s="22">
        <v>1579031</v>
      </c>
      <c r="F17" s="22" t="s">
        <v>20</v>
      </c>
      <c r="G17" s="22">
        <v>20329256</v>
      </c>
      <c r="H17" s="22" t="s">
        <v>477</v>
      </c>
      <c r="I17" s="22">
        <v>14</v>
      </c>
      <c r="J17" s="30" t="s">
        <v>18</v>
      </c>
      <c r="K17" s="24">
        <f t="shared" ref="K17:K23" si="0">M17/L17</f>
        <v>3</v>
      </c>
      <c r="L17" s="25">
        <v>4.4</v>
      </c>
      <c r="M17" s="25">
        <v>13.2</v>
      </c>
      <c r="N17" s="25">
        <v>184.8</v>
      </c>
    </row>
    <row r="18" spans="4:14">
      <c r="D18" s="21">
        <v>46074</v>
      </c>
      <c r="E18" s="22">
        <v>1579344</v>
      </c>
      <c r="F18" s="22" t="s">
        <v>20</v>
      </c>
      <c r="G18" s="22">
        <v>20324413</v>
      </c>
      <c r="H18" s="22" t="s">
        <v>160</v>
      </c>
      <c r="I18" s="22">
        <v>1</v>
      </c>
      <c r="J18" s="31" t="s">
        <v>29</v>
      </c>
      <c r="K18" s="24">
        <v>1</v>
      </c>
      <c r="L18" s="25">
        <v>6.4</v>
      </c>
      <c r="M18" s="25">
        <v>6.4</v>
      </c>
      <c r="N18" s="25">
        <v>6.4</v>
      </c>
    </row>
    <row r="19" spans="4:14">
      <c r="D19" s="21">
        <v>46074</v>
      </c>
      <c r="E19" s="22">
        <v>1579344</v>
      </c>
      <c r="F19" s="22" t="s">
        <v>20</v>
      </c>
      <c r="G19" s="22">
        <v>20324364</v>
      </c>
      <c r="H19" s="22" t="s">
        <v>99</v>
      </c>
      <c r="I19" s="22">
        <v>1</v>
      </c>
      <c r="J19" s="31" t="s">
        <v>29</v>
      </c>
      <c r="K19" s="24">
        <v>1</v>
      </c>
      <c r="L19" s="25">
        <v>6.4</v>
      </c>
      <c r="M19" s="25">
        <v>6.4</v>
      </c>
      <c r="N19" s="25">
        <v>6.4</v>
      </c>
    </row>
    <row r="20" spans="4:14">
      <c r="D20" s="21">
        <v>46074</v>
      </c>
      <c r="E20" s="22">
        <v>1579344</v>
      </c>
      <c r="F20" s="22" t="s">
        <v>20</v>
      </c>
      <c r="G20" s="22">
        <v>20338571</v>
      </c>
      <c r="H20" s="22" t="s">
        <v>444</v>
      </c>
      <c r="I20" s="22">
        <v>1</v>
      </c>
      <c r="J20" s="32" t="s">
        <v>116</v>
      </c>
      <c r="K20" s="24">
        <f t="shared" si="0"/>
        <v>3</v>
      </c>
      <c r="L20" s="25">
        <v>4.4</v>
      </c>
      <c r="M20" s="25">
        <v>13.2</v>
      </c>
      <c r="N20" s="25">
        <v>13.2</v>
      </c>
    </row>
    <row r="21" spans="4:14">
      <c r="D21" s="21">
        <v>46074</v>
      </c>
      <c r="E21" s="22">
        <v>1579344</v>
      </c>
      <c r="F21" s="22" t="s">
        <v>20</v>
      </c>
      <c r="G21" s="22">
        <v>20324363</v>
      </c>
      <c r="H21" s="22" t="s">
        <v>30</v>
      </c>
      <c r="I21" s="22">
        <v>1</v>
      </c>
      <c r="J21" s="31" t="s">
        <v>29</v>
      </c>
      <c r="K21" s="24">
        <v>1</v>
      </c>
      <c r="L21" s="25">
        <v>6.4</v>
      </c>
      <c r="M21" s="25">
        <v>6.4</v>
      </c>
      <c r="N21" s="25">
        <v>6.4</v>
      </c>
    </row>
    <row r="22" spans="4:14">
      <c r="D22" s="21">
        <v>46074</v>
      </c>
      <c r="E22" s="22">
        <v>1579344</v>
      </c>
      <c r="F22" s="22" t="s">
        <v>20</v>
      </c>
      <c r="G22" s="22">
        <v>20329256</v>
      </c>
      <c r="H22" s="22" t="s">
        <v>477</v>
      </c>
      <c r="I22" s="22">
        <v>11</v>
      </c>
      <c r="J22" s="30" t="s">
        <v>18</v>
      </c>
      <c r="K22" s="24">
        <f t="shared" si="0"/>
        <v>3</v>
      </c>
      <c r="L22" s="25">
        <v>4.4</v>
      </c>
      <c r="M22" s="25">
        <v>13.2</v>
      </c>
      <c r="N22" s="25">
        <v>145.2</v>
      </c>
    </row>
    <row r="23" spans="4:14">
      <c r="D23" s="21">
        <v>46077</v>
      </c>
      <c r="E23" s="22">
        <v>1579613</v>
      </c>
      <c r="F23" s="22" t="s">
        <v>20</v>
      </c>
      <c r="G23" s="22">
        <v>20329256</v>
      </c>
      <c r="H23" s="22" t="s">
        <v>477</v>
      </c>
      <c r="I23" s="22">
        <v>5</v>
      </c>
      <c r="J23" s="30" t="s">
        <v>18</v>
      </c>
      <c r="K23" s="24">
        <f t="shared" si="0"/>
        <v>3</v>
      </c>
      <c r="L23" s="25">
        <v>4.4</v>
      </c>
      <c r="M23" s="25">
        <v>13.2</v>
      </c>
      <c r="N23" s="25">
        <v>66</v>
      </c>
    </row>
    <row r="24" spans="4:14">
      <c r="D24" s="21">
        <v>46078</v>
      </c>
      <c r="E24" s="22">
        <v>1579879</v>
      </c>
      <c r="F24" s="23" t="s">
        <v>20</v>
      </c>
      <c r="G24" s="22">
        <v>20332947</v>
      </c>
      <c r="H24" s="22" t="s">
        <v>480</v>
      </c>
      <c r="I24" s="22">
        <v>3</v>
      </c>
      <c r="J24" s="34" t="s">
        <v>181</v>
      </c>
      <c r="K24" s="24">
        <v>1</v>
      </c>
      <c r="L24" s="25">
        <v>28</v>
      </c>
      <c r="M24" s="25">
        <v>28</v>
      </c>
      <c r="N24" s="25">
        <v>84</v>
      </c>
    </row>
    <row r="25" spans="4:14">
      <c r="D25" s="21">
        <v>46079</v>
      </c>
      <c r="E25" s="22">
        <v>1580222</v>
      </c>
      <c r="F25" s="23" t="s">
        <v>20</v>
      </c>
      <c r="G25" s="22">
        <v>20332947</v>
      </c>
      <c r="H25" s="22" t="s">
        <v>480</v>
      </c>
      <c r="I25" s="22">
        <v>1</v>
      </c>
      <c r="J25" s="34" t="s">
        <v>181</v>
      </c>
      <c r="K25" s="24">
        <v>1</v>
      </c>
      <c r="L25" s="25">
        <v>28</v>
      </c>
      <c r="M25" s="25">
        <v>28</v>
      </c>
      <c r="N25" s="25">
        <v>28</v>
      </c>
    </row>
    <row r="30" spans="4:14">
      <c r="D30" s="1" t="s">
        <v>185</v>
      </c>
    </row>
    <row r="33" spans="4:12">
      <c r="D33" s="2" t="s">
        <v>186</v>
      </c>
    </row>
    <row r="35" spans="4:12">
      <c r="D35" s="4" t="s">
        <v>187</v>
      </c>
      <c r="E35" s="4" t="s">
        <v>188</v>
      </c>
      <c r="G35" s="4" t="s">
        <v>189</v>
      </c>
      <c r="H35" s="4" t="s">
        <v>190</v>
      </c>
      <c r="I35" s="4" t="s">
        <v>7</v>
      </c>
      <c r="J35" s="4" t="s">
        <v>191</v>
      </c>
      <c r="L35" s="4" t="s">
        <v>192</v>
      </c>
    </row>
    <row r="36" ht="15.75" spans="4:12">
      <c r="D36" s="35" t="s">
        <v>3</v>
      </c>
      <c r="E36" s="36" t="s">
        <v>2</v>
      </c>
      <c r="F36" s="36" t="s">
        <v>2</v>
      </c>
      <c r="G36" s="36" t="s">
        <v>2</v>
      </c>
      <c r="H36" s="36" t="s">
        <v>2</v>
      </c>
      <c r="I36" s="36" t="s">
        <v>2</v>
      </c>
      <c r="J36" s="37" t="s">
        <v>2</v>
      </c>
      <c r="K36" s="36" t="s">
        <v>2</v>
      </c>
      <c r="L36" s="38"/>
    </row>
    <row r="37" ht="14.25" spans="4:12">
      <c r="D37" s="39" t="s">
        <v>476</v>
      </c>
      <c r="E37" s="36" t="s">
        <v>2</v>
      </c>
      <c r="F37" s="36" t="s">
        <v>2</v>
      </c>
      <c r="G37" s="36" t="s">
        <v>2</v>
      </c>
      <c r="H37" s="36" t="s">
        <v>2</v>
      </c>
      <c r="I37" s="36" t="s">
        <v>2</v>
      </c>
      <c r="J37" s="40" t="s">
        <v>2</v>
      </c>
      <c r="K37" s="36" t="s">
        <v>2</v>
      </c>
      <c r="L37" s="41">
        <v>-28</v>
      </c>
    </row>
    <row r="38" spans="4:12">
      <c r="D38" s="42" t="s">
        <v>20</v>
      </c>
      <c r="E38" s="36" t="s">
        <v>2</v>
      </c>
      <c r="F38" s="36" t="s">
        <v>2</v>
      </c>
      <c r="G38" s="36" t="s">
        <v>2</v>
      </c>
      <c r="H38" s="36" t="s">
        <v>2</v>
      </c>
      <c r="I38" s="36" t="s">
        <v>2</v>
      </c>
      <c r="J38" s="43" t="s">
        <v>2</v>
      </c>
      <c r="K38" s="36" t="s">
        <v>2</v>
      </c>
      <c r="L38" s="44">
        <v>-28</v>
      </c>
    </row>
    <row r="39" spans="4:12">
      <c r="D39" s="45">
        <v>3005947519</v>
      </c>
      <c r="E39" s="46">
        <v>46083.5382350347</v>
      </c>
      <c r="F39" s="47" t="s">
        <v>2</v>
      </c>
      <c r="G39" s="48" t="s">
        <v>193</v>
      </c>
      <c r="H39" s="49">
        <v>46078.0387113079</v>
      </c>
      <c r="I39" s="50">
        <v>20332947</v>
      </c>
      <c r="J39" s="50" t="s">
        <v>480</v>
      </c>
      <c r="K39" s="47" t="s">
        <v>2</v>
      </c>
      <c r="L39" s="51">
        <v>-28</v>
      </c>
    </row>
  </sheetData>
  <autoFilter xmlns:etc="http://www.wps.cn/officeDocument/2017/etCustomData" ref="A7:N25" etc:filterBottomFollowUsedRange="0">
    <extLst/>
  </autoFilter>
  <mergeCells count="17">
    <mergeCell ref="D8:H8"/>
    <mergeCell ref="E35:F35"/>
    <mergeCell ref="J35:K35"/>
    <mergeCell ref="D36:I36"/>
    <mergeCell ref="J36:K36"/>
    <mergeCell ref="D37:I37"/>
    <mergeCell ref="J37:K37"/>
    <mergeCell ref="D38:I38"/>
    <mergeCell ref="J38:K38"/>
    <mergeCell ref="E39:F39"/>
    <mergeCell ref="J39:K39"/>
    <mergeCell ref="C7:C25"/>
    <mergeCell ref="B4:H5"/>
    <mergeCell ref="A7:B25"/>
    <mergeCell ref="C1:H2"/>
    <mergeCell ref="D30:M31"/>
    <mergeCell ref="D33:H34"/>
  </mergeCells>
  <pageMargins left="0.25" right="0.25" top="0.75" bottom="0.75" header="0.298611111111111" footer="0.298611111111111"/>
  <pageSetup paperSize="9" scale="95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showGridLines="0" view="pageBreakPreview" zoomScaleNormal="100" workbookViewId="0">
      <pane ySplit="6" topLeftCell="A7" activePane="bottomLeft" state="frozen"/>
      <selection/>
      <selection pane="bottomLeft" activeCell="N8" sqref="N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25" customWidth="1"/>
    <col min="11" max="11" width="16.75" customWidth="1"/>
    <col min="12" max="12" width="11.5" customWidth="1"/>
    <col min="13" max="13" width="10.875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28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481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11</v>
      </c>
      <c r="J8" s="13"/>
      <c r="K8" s="14"/>
      <c r="L8" s="14"/>
      <c r="M8" s="14"/>
      <c r="N8" s="14">
        <v>183.2</v>
      </c>
    </row>
    <row r="9" spans="1:14">
      <c r="D9" s="15">
        <v>46055</v>
      </c>
      <c r="E9" s="16">
        <v>1575643</v>
      </c>
      <c r="F9" s="16" t="s">
        <v>20</v>
      </c>
      <c r="G9" s="16">
        <v>20324364</v>
      </c>
      <c r="H9" s="16" t="s">
        <v>99</v>
      </c>
      <c r="I9" s="16">
        <v>2</v>
      </c>
      <c r="J9" s="29" t="s">
        <v>29</v>
      </c>
      <c r="K9" s="18">
        <v>1</v>
      </c>
      <c r="L9" s="19">
        <v>6.4</v>
      </c>
      <c r="M9" s="20">
        <v>6.4</v>
      </c>
      <c r="N9" s="20">
        <v>12.8</v>
      </c>
    </row>
    <row r="10" spans="1:14">
      <c r="D10" s="21">
        <v>46056</v>
      </c>
      <c r="E10" s="22">
        <v>1575995</v>
      </c>
      <c r="F10" s="22" t="s">
        <v>16</v>
      </c>
      <c r="G10" s="22">
        <v>20324065</v>
      </c>
      <c r="H10" s="22" t="s">
        <v>482</v>
      </c>
      <c r="I10" s="22">
        <v>2</v>
      </c>
      <c r="J10" s="30" t="s">
        <v>18</v>
      </c>
      <c r="K10" s="24">
        <f>M10/L10</f>
        <v>14</v>
      </c>
      <c r="L10" s="25">
        <v>4.4</v>
      </c>
      <c r="M10" s="26">
        <v>61.6</v>
      </c>
      <c r="N10" s="26">
        <v>123.2</v>
      </c>
    </row>
    <row r="11" spans="1:14">
      <c r="D11" s="21">
        <v>46062</v>
      </c>
      <c r="E11" s="22">
        <v>1577506</v>
      </c>
      <c r="F11" s="22" t="s">
        <v>20</v>
      </c>
      <c r="G11" s="22">
        <v>20324364</v>
      </c>
      <c r="H11" s="22" t="s">
        <v>99</v>
      </c>
      <c r="I11" s="22">
        <v>1</v>
      </c>
      <c r="J11" s="31" t="s">
        <v>29</v>
      </c>
      <c r="K11" s="24">
        <v>1</v>
      </c>
      <c r="L11" s="25">
        <v>6.4</v>
      </c>
      <c r="M11" s="26">
        <v>6.4</v>
      </c>
      <c r="N11" s="26">
        <v>6.4</v>
      </c>
    </row>
    <row r="12" spans="1:14">
      <c r="D12" s="21">
        <v>46062</v>
      </c>
      <c r="E12" s="22">
        <v>1577506</v>
      </c>
      <c r="F12" s="22" t="s">
        <v>20</v>
      </c>
      <c r="G12" s="22">
        <v>20324938</v>
      </c>
      <c r="H12" s="22" t="s">
        <v>483</v>
      </c>
      <c r="I12" s="22">
        <v>1</v>
      </c>
      <c r="J12" s="32" t="s">
        <v>64</v>
      </c>
      <c r="K12" s="24">
        <v>1</v>
      </c>
      <c r="L12" s="25">
        <v>8.8</v>
      </c>
      <c r="M12" s="26">
        <v>8.8</v>
      </c>
      <c r="N12" s="26">
        <v>8.8</v>
      </c>
    </row>
    <row r="13" spans="1:14">
      <c r="D13" s="21">
        <v>46067</v>
      </c>
      <c r="E13" s="22">
        <v>1579032</v>
      </c>
      <c r="F13" s="22" t="s">
        <v>20</v>
      </c>
      <c r="G13" s="22">
        <v>20324364</v>
      </c>
      <c r="H13" s="22" t="s">
        <v>99</v>
      </c>
      <c r="I13" s="22">
        <v>2</v>
      </c>
      <c r="J13" s="31" t="s">
        <v>29</v>
      </c>
      <c r="K13" s="24">
        <v>1</v>
      </c>
      <c r="L13" s="25">
        <v>6.4</v>
      </c>
      <c r="M13" s="26">
        <v>6.4</v>
      </c>
      <c r="N13" s="26">
        <v>12.8</v>
      </c>
    </row>
    <row r="14" spans="1:14">
      <c r="D14" s="21">
        <v>46079</v>
      </c>
      <c r="E14" s="22">
        <v>1580518</v>
      </c>
      <c r="F14" s="22" t="s">
        <v>20</v>
      </c>
      <c r="G14" s="22">
        <v>20324364</v>
      </c>
      <c r="H14" s="22" t="s">
        <v>99</v>
      </c>
      <c r="I14" s="22">
        <v>2</v>
      </c>
      <c r="J14" s="31" t="s">
        <v>29</v>
      </c>
      <c r="K14" s="24">
        <v>1</v>
      </c>
      <c r="L14" s="25">
        <v>6.4</v>
      </c>
      <c r="M14" s="26">
        <v>6.4</v>
      </c>
      <c r="N14" s="26">
        <v>12.8</v>
      </c>
    </row>
    <row r="15" spans="1:14">
      <c r="D15" s="21">
        <v>46080</v>
      </c>
      <c r="E15" s="22">
        <v>1580869</v>
      </c>
      <c r="F15" s="22" t="s">
        <v>20</v>
      </c>
      <c r="G15" s="22">
        <v>20324364</v>
      </c>
      <c r="H15" s="22" t="s">
        <v>99</v>
      </c>
      <c r="I15" s="22">
        <v>1</v>
      </c>
      <c r="J15" s="31" t="s">
        <v>29</v>
      </c>
      <c r="K15" s="24">
        <v>1</v>
      </c>
      <c r="L15" s="25">
        <v>6.4</v>
      </c>
      <c r="M15" s="26">
        <v>6.4</v>
      </c>
      <c r="N15" s="26">
        <v>6.4</v>
      </c>
    </row>
    <row r="16" ht="0.05" customHeight="1"/>
  </sheetData>
  <autoFilter xmlns:etc="http://www.wps.cn/officeDocument/2017/etCustomData" ref="A7:N15" etc:filterBottomFollowUsedRange="0">
    <extLst/>
  </autoFilter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showGridLines="0" view="pageBreakPreview" zoomScaleNormal="100" workbookViewId="0">
      <pane ySplit="6" topLeftCell="A7" activePane="bottomLeft" state="frozen"/>
      <selection/>
      <selection pane="bottomLeft" activeCell="P26" sqref="P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8.25" customWidth="1"/>
    <col min="11" max="11" width="16.75" customWidth="1"/>
    <col min="12" max="12" width="11.5" customWidth="1"/>
    <col min="13" max="13" width="10.875" customWidth="1"/>
    <col min="14" max="14" width="11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 spans="1:14">
      <c r="D6" s="3"/>
      <c r="E6" s="3"/>
      <c r="F6" s="3"/>
      <c r="G6" s="3"/>
      <c r="H6" s="3"/>
      <c r="I6" s="3"/>
      <c r="J6" s="3"/>
    </row>
    <row r="7" spans="1:14">
      <c r="A7" s="4" t="s">
        <v>2</v>
      </c>
      <c r="B7" s="5" t="s">
        <v>2</v>
      </c>
      <c r="C7" s="6" t="s">
        <v>2</v>
      </c>
      <c r="D7" s="7" t="s">
        <v>4</v>
      </c>
      <c r="E7" s="7" t="s">
        <v>5</v>
      </c>
      <c r="F7" s="7" t="s">
        <v>6</v>
      </c>
      <c r="G7" s="7" t="s">
        <v>7</v>
      </c>
      <c r="H7" s="7" t="s">
        <v>8</v>
      </c>
      <c r="I7" s="7" t="s">
        <v>9</v>
      </c>
      <c r="J7" s="7" t="s">
        <v>10</v>
      </c>
      <c r="K7" s="8" t="s">
        <v>11</v>
      </c>
      <c r="L7" s="9" t="s">
        <v>12</v>
      </c>
      <c r="M7" s="10" t="s">
        <v>13</v>
      </c>
      <c r="N7" s="10" t="s">
        <v>14</v>
      </c>
    </row>
    <row r="8" ht="14.25" spans="1:14">
      <c r="D8" s="11" t="s">
        <v>484</v>
      </c>
      <c r="E8" s="12" t="s">
        <v>2</v>
      </c>
      <c r="F8" s="12" t="s">
        <v>2</v>
      </c>
      <c r="G8" s="12" t="s">
        <v>2</v>
      </c>
      <c r="H8" s="12" t="s">
        <v>2</v>
      </c>
      <c r="I8" s="11">
        <v>77</v>
      </c>
      <c r="J8" s="13"/>
      <c r="K8" s="14"/>
      <c r="L8" s="14"/>
      <c r="M8" s="14"/>
      <c r="N8" s="14">
        <v>538.8</v>
      </c>
    </row>
    <row r="9" spans="1:14">
      <c r="D9" s="15">
        <v>46055</v>
      </c>
      <c r="E9" s="16">
        <v>1575644</v>
      </c>
      <c r="F9" s="16" t="s">
        <v>20</v>
      </c>
      <c r="G9" s="16">
        <v>20324364</v>
      </c>
      <c r="H9" s="16" t="s">
        <v>99</v>
      </c>
      <c r="I9" s="16">
        <v>4</v>
      </c>
      <c r="J9" s="17" t="s">
        <v>29</v>
      </c>
      <c r="K9" s="18">
        <v>1</v>
      </c>
      <c r="L9" s="19">
        <v>6.4</v>
      </c>
      <c r="M9" s="20">
        <v>6.4</v>
      </c>
      <c r="N9" s="20">
        <v>25.6</v>
      </c>
    </row>
    <row r="10" spans="1:14">
      <c r="D10" s="21">
        <v>46055</v>
      </c>
      <c r="E10" s="22">
        <v>1575644</v>
      </c>
      <c r="F10" s="22" t="s">
        <v>20</v>
      </c>
      <c r="G10" s="22">
        <v>20324557</v>
      </c>
      <c r="H10" s="22" t="s">
        <v>111</v>
      </c>
      <c r="I10" s="22">
        <v>1</v>
      </c>
      <c r="J10" s="23" t="s">
        <v>29</v>
      </c>
      <c r="K10" s="24">
        <v>1</v>
      </c>
      <c r="L10" s="25">
        <v>6.4</v>
      </c>
      <c r="M10" s="26">
        <v>6.4</v>
      </c>
      <c r="N10" s="26">
        <v>6.4</v>
      </c>
    </row>
    <row r="11" spans="1:14">
      <c r="D11" s="21">
        <v>46055</v>
      </c>
      <c r="E11" s="22">
        <v>1575644</v>
      </c>
      <c r="F11" s="22" t="s">
        <v>20</v>
      </c>
      <c r="G11" s="22">
        <v>20324559</v>
      </c>
      <c r="H11" s="22" t="s">
        <v>112</v>
      </c>
      <c r="I11" s="22">
        <v>1</v>
      </c>
      <c r="J11" s="22" t="s">
        <v>64</v>
      </c>
      <c r="K11" s="24">
        <v>1</v>
      </c>
      <c r="L11" s="25">
        <v>8.8</v>
      </c>
      <c r="M11" s="26">
        <v>8.8</v>
      </c>
      <c r="N11" s="26">
        <v>8.8</v>
      </c>
    </row>
    <row r="12" spans="1:14">
      <c r="D12" s="21">
        <v>46055</v>
      </c>
      <c r="E12" s="22">
        <v>1575644</v>
      </c>
      <c r="F12" s="22" t="s">
        <v>20</v>
      </c>
      <c r="G12" s="22">
        <v>20324707</v>
      </c>
      <c r="H12" s="22" t="s">
        <v>164</v>
      </c>
      <c r="I12" s="22">
        <v>5</v>
      </c>
      <c r="J12" s="23" t="s">
        <v>29</v>
      </c>
      <c r="K12" s="24">
        <v>1</v>
      </c>
      <c r="L12" s="25">
        <v>6.4</v>
      </c>
      <c r="M12" s="26">
        <v>6.4</v>
      </c>
      <c r="N12" s="26">
        <v>32</v>
      </c>
    </row>
    <row r="13" spans="1:14">
      <c r="D13" s="21">
        <v>46055</v>
      </c>
      <c r="E13" s="22">
        <v>1575644</v>
      </c>
      <c r="F13" s="22" t="s">
        <v>20</v>
      </c>
      <c r="G13" s="22">
        <v>20325606</v>
      </c>
      <c r="H13" s="22" t="s">
        <v>485</v>
      </c>
      <c r="I13" s="22">
        <v>1</v>
      </c>
      <c r="J13" s="22" t="s">
        <v>64</v>
      </c>
      <c r="K13" s="24">
        <v>1</v>
      </c>
      <c r="L13" s="25">
        <v>8.8</v>
      </c>
      <c r="M13" s="26">
        <v>8.8</v>
      </c>
      <c r="N13" s="26">
        <v>8.8</v>
      </c>
    </row>
    <row r="14" spans="1:14">
      <c r="D14" s="21">
        <v>46056</v>
      </c>
      <c r="E14" s="22">
        <v>1575996</v>
      </c>
      <c r="F14" s="22" t="s">
        <v>20</v>
      </c>
      <c r="G14" s="22">
        <v>20324414</v>
      </c>
      <c r="H14" s="22" t="s">
        <v>486</v>
      </c>
      <c r="I14" s="22">
        <v>1</v>
      </c>
      <c r="J14" s="22" t="s">
        <v>116</v>
      </c>
      <c r="K14" s="24">
        <f>M14/L14</f>
        <v>3</v>
      </c>
      <c r="L14" s="25">
        <v>4.4</v>
      </c>
      <c r="M14" s="26">
        <v>13.2</v>
      </c>
      <c r="N14" s="26">
        <v>13.2</v>
      </c>
    </row>
    <row r="15" spans="1:14">
      <c r="D15" s="21">
        <v>46056</v>
      </c>
      <c r="E15" s="22">
        <v>1575996</v>
      </c>
      <c r="F15" s="22" t="s">
        <v>20</v>
      </c>
      <c r="G15" s="22">
        <v>20324707</v>
      </c>
      <c r="H15" s="22" t="s">
        <v>164</v>
      </c>
      <c r="I15" s="22">
        <v>1</v>
      </c>
      <c r="J15" s="23" t="s">
        <v>29</v>
      </c>
      <c r="K15" s="24">
        <v>1</v>
      </c>
      <c r="L15" s="25">
        <v>6.4</v>
      </c>
      <c r="M15" s="26">
        <v>6.4</v>
      </c>
      <c r="N15" s="26">
        <v>6.4</v>
      </c>
    </row>
    <row r="16" spans="1:14">
      <c r="D16" s="21">
        <v>46056</v>
      </c>
      <c r="E16" s="22">
        <v>1575996</v>
      </c>
      <c r="F16" s="22" t="s">
        <v>20</v>
      </c>
      <c r="G16" s="22">
        <v>20325606</v>
      </c>
      <c r="H16" s="22" t="s">
        <v>485</v>
      </c>
      <c r="I16" s="22">
        <v>1</v>
      </c>
      <c r="J16" s="22" t="s">
        <v>64</v>
      </c>
      <c r="K16" s="24">
        <v>1</v>
      </c>
      <c r="L16" s="25">
        <v>8.8</v>
      </c>
      <c r="M16" s="26">
        <v>8.8</v>
      </c>
      <c r="N16" s="26">
        <v>8.8</v>
      </c>
    </row>
    <row r="17" spans="4:14">
      <c r="D17" s="21">
        <v>46060</v>
      </c>
      <c r="E17" s="22">
        <v>1577039</v>
      </c>
      <c r="F17" s="22" t="s">
        <v>20</v>
      </c>
      <c r="G17" s="22">
        <v>20324364</v>
      </c>
      <c r="H17" s="22" t="s">
        <v>99</v>
      </c>
      <c r="I17" s="22">
        <v>2</v>
      </c>
      <c r="J17" s="23" t="s">
        <v>29</v>
      </c>
      <c r="K17" s="24">
        <v>1</v>
      </c>
      <c r="L17" s="25">
        <v>6.4</v>
      </c>
      <c r="M17" s="26">
        <v>6.4</v>
      </c>
      <c r="N17" s="26">
        <v>12.8</v>
      </c>
    </row>
    <row r="18" spans="4:14">
      <c r="D18" s="21">
        <v>46060</v>
      </c>
      <c r="E18" s="22">
        <v>1577039</v>
      </c>
      <c r="F18" s="22" t="s">
        <v>20</v>
      </c>
      <c r="G18" s="22">
        <v>20324414</v>
      </c>
      <c r="H18" s="22" t="s">
        <v>486</v>
      </c>
      <c r="I18" s="22">
        <v>1</v>
      </c>
      <c r="J18" s="22" t="s">
        <v>116</v>
      </c>
      <c r="K18" s="24">
        <f>M18/L18</f>
        <v>3</v>
      </c>
      <c r="L18" s="25">
        <v>4.4</v>
      </c>
      <c r="M18" s="26">
        <v>13.2</v>
      </c>
      <c r="N18" s="26">
        <v>13.2</v>
      </c>
    </row>
    <row r="19" spans="4:14">
      <c r="D19" s="21">
        <v>46060</v>
      </c>
      <c r="E19" s="22">
        <v>1577039</v>
      </c>
      <c r="F19" s="22" t="s">
        <v>20</v>
      </c>
      <c r="G19" s="22">
        <v>20324707</v>
      </c>
      <c r="H19" s="22" t="s">
        <v>164</v>
      </c>
      <c r="I19" s="22">
        <v>2</v>
      </c>
      <c r="J19" s="23" t="s">
        <v>29</v>
      </c>
      <c r="K19" s="24">
        <v>1</v>
      </c>
      <c r="L19" s="25">
        <v>6.4</v>
      </c>
      <c r="M19" s="26">
        <v>6.4</v>
      </c>
      <c r="N19" s="26">
        <v>12.8</v>
      </c>
    </row>
    <row r="20" spans="4:14">
      <c r="D20" s="21">
        <v>46062</v>
      </c>
      <c r="E20" s="22">
        <v>1577507</v>
      </c>
      <c r="F20" s="22" t="s">
        <v>20</v>
      </c>
      <c r="G20" s="22">
        <v>20324364</v>
      </c>
      <c r="H20" s="22" t="s">
        <v>99</v>
      </c>
      <c r="I20" s="22">
        <v>1</v>
      </c>
      <c r="J20" s="23" t="s">
        <v>29</v>
      </c>
      <c r="K20" s="24">
        <v>1</v>
      </c>
      <c r="L20" s="25">
        <v>6.4</v>
      </c>
      <c r="M20" s="26">
        <v>6.4</v>
      </c>
      <c r="N20" s="26">
        <v>6.4</v>
      </c>
    </row>
    <row r="21" spans="4:14">
      <c r="D21" s="21">
        <v>46062</v>
      </c>
      <c r="E21" s="22">
        <v>1577507</v>
      </c>
      <c r="F21" s="22" t="s">
        <v>20</v>
      </c>
      <c r="G21" s="22">
        <v>20324414</v>
      </c>
      <c r="H21" s="22" t="s">
        <v>486</v>
      </c>
      <c r="I21" s="22">
        <v>1</v>
      </c>
      <c r="J21" s="22" t="s">
        <v>116</v>
      </c>
      <c r="K21" s="24">
        <f>M21/L21</f>
        <v>3</v>
      </c>
      <c r="L21" s="25">
        <v>4.4</v>
      </c>
      <c r="M21" s="26">
        <v>13.2</v>
      </c>
      <c r="N21" s="26">
        <v>13.2</v>
      </c>
    </row>
    <row r="22" spans="4:14">
      <c r="D22" s="21">
        <v>46062</v>
      </c>
      <c r="E22" s="22">
        <v>1577507</v>
      </c>
      <c r="F22" s="22" t="s">
        <v>20</v>
      </c>
      <c r="G22" s="22">
        <v>20324707</v>
      </c>
      <c r="H22" s="22" t="s">
        <v>164</v>
      </c>
      <c r="I22" s="22">
        <v>2</v>
      </c>
      <c r="J22" s="23" t="s">
        <v>29</v>
      </c>
      <c r="K22" s="24">
        <v>1</v>
      </c>
      <c r="L22" s="25">
        <v>6.4</v>
      </c>
      <c r="M22" s="26">
        <v>6.4</v>
      </c>
      <c r="N22" s="26">
        <v>12.8</v>
      </c>
    </row>
    <row r="23" spans="4:14">
      <c r="D23" s="21">
        <v>46062</v>
      </c>
      <c r="E23" s="22">
        <v>1577507</v>
      </c>
      <c r="F23" s="22" t="s">
        <v>41</v>
      </c>
      <c r="G23" s="22">
        <v>20353778</v>
      </c>
      <c r="H23" s="22" t="s">
        <v>487</v>
      </c>
      <c r="I23" s="22">
        <v>10</v>
      </c>
      <c r="J23" s="27" t="s">
        <v>97</v>
      </c>
      <c r="K23" s="24">
        <v>1</v>
      </c>
      <c r="L23" s="25">
        <v>3.2</v>
      </c>
      <c r="M23" s="26">
        <v>3.2</v>
      </c>
      <c r="N23" s="26">
        <v>32</v>
      </c>
    </row>
    <row r="24" spans="4:14">
      <c r="D24" s="21">
        <v>46065</v>
      </c>
      <c r="E24" s="22">
        <v>1578465</v>
      </c>
      <c r="F24" s="22" t="s">
        <v>20</v>
      </c>
      <c r="G24" s="22">
        <v>20324364</v>
      </c>
      <c r="H24" s="22" t="s">
        <v>99</v>
      </c>
      <c r="I24" s="22">
        <v>5</v>
      </c>
      <c r="J24" s="23" t="s">
        <v>29</v>
      </c>
      <c r="K24" s="24">
        <v>1</v>
      </c>
      <c r="L24" s="25">
        <v>6.4</v>
      </c>
      <c r="M24" s="26">
        <v>6.4</v>
      </c>
      <c r="N24" s="26">
        <v>32</v>
      </c>
    </row>
    <row r="25" spans="4:14">
      <c r="D25" s="21">
        <v>46065</v>
      </c>
      <c r="E25" s="22">
        <v>1578465</v>
      </c>
      <c r="F25" s="22" t="s">
        <v>20</v>
      </c>
      <c r="G25" s="22">
        <v>20324414</v>
      </c>
      <c r="H25" s="22" t="s">
        <v>486</v>
      </c>
      <c r="I25" s="22">
        <v>2</v>
      </c>
      <c r="J25" s="22" t="s">
        <v>116</v>
      </c>
      <c r="K25" s="24">
        <f>M25/L25</f>
        <v>3</v>
      </c>
      <c r="L25" s="25">
        <v>4.4</v>
      </c>
      <c r="M25" s="26">
        <v>13.2</v>
      </c>
      <c r="N25" s="26">
        <v>26.4</v>
      </c>
    </row>
    <row r="26" spans="4:14">
      <c r="D26" s="21">
        <v>46065</v>
      </c>
      <c r="E26" s="22">
        <v>1578465</v>
      </c>
      <c r="F26" s="22" t="s">
        <v>20</v>
      </c>
      <c r="G26" s="22">
        <v>20324707</v>
      </c>
      <c r="H26" s="22" t="s">
        <v>164</v>
      </c>
      <c r="I26" s="22">
        <v>3</v>
      </c>
      <c r="J26" s="23" t="s">
        <v>29</v>
      </c>
      <c r="K26" s="24">
        <v>1</v>
      </c>
      <c r="L26" s="25">
        <v>6.4</v>
      </c>
      <c r="M26" s="26">
        <v>6.4</v>
      </c>
      <c r="N26" s="26">
        <v>19.2</v>
      </c>
    </row>
    <row r="27" spans="4:14">
      <c r="D27" s="21">
        <v>46074</v>
      </c>
      <c r="E27" s="22">
        <v>1579345</v>
      </c>
      <c r="F27" s="22" t="s">
        <v>20</v>
      </c>
      <c r="G27" s="22">
        <v>20324414</v>
      </c>
      <c r="H27" s="22" t="s">
        <v>486</v>
      </c>
      <c r="I27" s="22">
        <v>1</v>
      </c>
      <c r="J27" s="22" t="s">
        <v>116</v>
      </c>
      <c r="K27" s="24">
        <f>M27/L27</f>
        <v>3</v>
      </c>
      <c r="L27" s="25">
        <v>4.4</v>
      </c>
      <c r="M27" s="26">
        <v>13.2</v>
      </c>
      <c r="N27" s="26">
        <v>13.2</v>
      </c>
    </row>
    <row r="28" spans="4:14">
      <c r="D28" s="21">
        <v>46074</v>
      </c>
      <c r="E28" s="22">
        <v>1579345</v>
      </c>
      <c r="F28" s="22" t="s">
        <v>20</v>
      </c>
      <c r="G28" s="22">
        <v>20324707</v>
      </c>
      <c r="H28" s="22" t="s">
        <v>164</v>
      </c>
      <c r="I28" s="22">
        <v>1</v>
      </c>
      <c r="J28" s="23" t="s">
        <v>29</v>
      </c>
      <c r="K28" s="24">
        <v>1</v>
      </c>
      <c r="L28" s="25">
        <v>6.4</v>
      </c>
      <c r="M28" s="26">
        <v>6.4</v>
      </c>
      <c r="N28" s="26">
        <v>6.4</v>
      </c>
    </row>
    <row r="29" spans="4:14">
      <c r="D29" s="21">
        <v>46074</v>
      </c>
      <c r="E29" s="22">
        <v>1579345</v>
      </c>
      <c r="F29" s="22" t="s">
        <v>20</v>
      </c>
      <c r="G29" s="22">
        <v>20325606</v>
      </c>
      <c r="H29" s="22" t="s">
        <v>485</v>
      </c>
      <c r="I29" s="22">
        <v>2</v>
      </c>
      <c r="J29" s="22" t="s">
        <v>64</v>
      </c>
      <c r="K29" s="24">
        <v>1</v>
      </c>
      <c r="L29" s="25">
        <v>8.8</v>
      </c>
      <c r="M29" s="26">
        <v>8.8</v>
      </c>
      <c r="N29" s="26">
        <v>17.6</v>
      </c>
    </row>
    <row r="30" spans="4:14">
      <c r="D30" s="21">
        <v>46077</v>
      </c>
      <c r="E30" s="22">
        <v>1579773</v>
      </c>
      <c r="F30" s="22" t="s">
        <v>20</v>
      </c>
      <c r="G30" s="22">
        <v>20324364</v>
      </c>
      <c r="H30" s="22" t="s">
        <v>99</v>
      </c>
      <c r="I30" s="22">
        <v>3</v>
      </c>
      <c r="J30" s="23" t="s">
        <v>29</v>
      </c>
      <c r="K30" s="24">
        <v>1</v>
      </c>
      <c r="L30" s="25">
        <v>6.4</v>
      </c>
      <c r="M30" s="26">
        <v>6.4</v>
      </c>
      <c r="N30" s="26">
        <v>19.2</v>
      </c>
    </row>
    <row r="31" spans="4:14">
      <c r="D31" s="21">
        <v>46077</v>
      </c>
      <c r="E31" s="22">
        <v>1579773</v>
      </c>
      <c r="F31" s="22" t="s">
        <v>20</v>
      </c>
      <c r="G31" s="22">
        <v>20324414</v>
      </c>
      <c r="H31" s="22" t="s">
        <v>486</v>
      </c>
      <c r="I31" s="22">
        <v>1</v>
      </c>
      <c r="J31" s="22" t="s">
        <v>116</v>
      </c>
      <c r="K31" s="24">
        <f>M31/L31</f>
        <v>3</v>
      </c>
      <c r="L31" s="25">
        <v>4.4</v>
      </c>
      <c r="M31" s="26">
        <v>13.2</v>
      </c>
      <c r="N31" s="26">
        <v>13.2</v>
      </c>
    </row>
    <row r="32" spans="4:14">
      <c r="D32" s="21">
        <v>46077</v>
      </c>
      <c r="E32" s="22">
        <v>1579773</v>
      </c>
      <c r="F32" s="22" t="s">
        <v>20</v>
      </c>
      <c r="G32" s="22">
        <v>20324707</v>
      </c>
      <c r="H32" s="22" t="s">
        <v>164</v>
      </c>
      <c r="I32" s="22">
        <v>3</v>
      </c>
      <c r="J32" s="23" t="s">
        <v>29</v>
      </c>
      <c r="K32" s="24">
        <v>1</v>
      </c>
      <c r="L32" s="25">
        <v>6.4</v>
      </c>
      <c r="M32" s="26">
        <v>6.4</v>
      </c>
      <c r="N32" s="26">
        <v>19.2</v>
      </c>
    </row>
    <row r="33" spans="4:14">
      <c r="D33" s="21">
        <v>46078</v>
      </c>
      <c r="E33" s="22">
        <v>1580115</v>
      </c>
      <c r="F33" s="22" t="s">
        <v>20</v>
      </c>
      <c r="G33" s="22">
        <v>20324364</v>
      </c>
      <c r="H33" s="22" t="s">
        <v>99</v>
      </c>
      <c r="I33" s="22">
        <v>3</v>
      </c>
      <c r="J33" s="23" t="s">
        <v>29</v>
      </c>
      <c r="K33" s="24">
        <v>1</v>
      </c>
      <c r="L33" s="25">
        <v>6.4</v>
      </c>
      <c r="M33" s="26">
        <v>6.4</v>
      </c>
      <c r="N33" s="26">
        <v>19.2</v>
      </c>
    </row>
    <row r="34" spans="4:14">
      <c r="D34" s="21">
        <v>46078</v>
      </c>
      <c r="E34" s="22">
        <v>1580115</v>
      </c>
      <c r="F34" s="22" t="s">
        <v>20</v>
      </c>
      <c r="G34" s="22">
        <v>20324414</v>
      </c>
      <c r="H34" s="22" t="s">
        <v>486</v>
      </c>
      <c r="I34" s="22">
        <v>1</v>
      </c>
      <c r="J34" s="22" t="s">
        <v>116</v>
      </c>
      <c r="K34" s="24">
        <f>M34/L34</f>
        <v>3</v>
      </c>
      <c r="L34" s="25">
        <v>4.4</v>
      </c>
      <c r="M34" s="26">
        <v>13.2</v>
      </c>
      <c r="N34" s="26">
        <v>13.2</v>
      </c>
    </row>
    <row r="35" spans="4:14">
      <c r="D35" s="21">
        <v>46078</v>
      </c>
      <c r="E35" s="22">
        <v>1580115</v>
      </c>
      <c r="F35" s="22" t="s">
        <v>20</v>
      </c>
      <c r="G35" s="22">
        <v>20330329</v>
      </c>
      <c r="H35" s="22" t="s">
        <v>488</v>
      </c>
      <c r="I35" s="22">
        <v>6</v>
      </c>
      <c r="J35" s="23" t="s">
        <v>29</v>
      </c>
      <c r="K35" s="24">
        <v>1</v>
      </c>
      <c r="L35" s="25">
        <v>6.4</v>
      </c>
      <c r="M35" s="26">
        <v>6.4</v>
      </c>
      <c r="N35" s="26">
        <v>38.4</v>
      </c>
    </row>
    <row r="36" spans="4:14">
      <c r="D36" s="21">
        <v>46078</v>
      </c>
      <c r="E36" s="22">
        <v>1580115</v>
      </c>
      <c r="F36" s="22" t="s">
        <v>20</v>
      </c>
      <c r="G36" s="22">
        <v>20324367</v>
      </c>
      <c r="H36" s="22" t="s">
        <v>158</v>
      </c>
      <c r="I36" s="22">
        <v>1</v>
      </c>
      <c r="J36" s="23" t="s">
        <v>29</v>
      </c>
      <c r="K36" s="24">
        <v>1</v>
      </c>
      <c r="L36" s="25">
        <v>6.4</v>
      </c>
      <c r="M36" s="26">
        <v>6.4</v>
      </c>
      <c r="N36" s="26">
        <v>6.4</v>
      </c>
    </row>
    <row r="37" spans="4:14">
      <c r="D37" s="21">
        <v>46078</v>
      </c>
      <c r="E37" s="22">
        <v>1580115</v>
      </c>
      <c r="F37" s="22" t="s">
        <v>20</v>
      </c>
      <c r="G37" s="22">
        <v>20324707</v>
      </c>
      <c r="H37" s="22" t="s">
        <v>164</v>
      </c>
      <c r="I37" s="22">
        <v>2</v>
      </c>
      <c r="J37" s="23" t="s">
        <v>29</v>
      </c>
      <c r="K37" s="24">
        <v>1</v>
      </c>
      <c r="L37" s="25">
        <v>6.4</v>
      </c>
      <c r="M37" s="26">
        <v>6.4</v>
      </c>
      <c r="N37" s="26">
        <v>12.8</v>
      </c>
    </row>
    <row r="38" spans="4:14">
      <c r="D38" s="21">
        <v>46078</v>
      </c>
      <c r="E38" s="22">
        <v>1580115</v>
      </c>
      <c r="F38" s="22" t="s">
        <v>20</v>
      </c>
      <c r="G38" s="22">
        <v>20324416</v>
      </c>
      <c r="H38" s="22" t="s">
        <v>489</v>
      </c>
      <c r="I38" s="22">
        <v>1</v>
      </c>
      <c r="J38" s="22" t="s">
        <v>64</v>
      </c>
      <c r="K38" s="24">
        <v>1</v>
      </c>
      <c r="L38" s="25">
        <v>8.8</v>
      </c>
      <c r="M38" s="26">
        <v>8.8</v>
      </c>
      <c r="N38" s="26">
        <v>8.8</v>
      </c>
    </row>
    <row r="39" spans="4:14">
      <c r="D39" s="21">
        <v>46079</v>
      </c>
      <c r="E39" s="22">
        <v>1580519</v>
      </c>
      <c r="F39" s="22" t="s">
        <v>20</v>
      </c>
      <c r="G39" s="22">
        <v>20324370</v>
      </c>
      <c r="H39" s="22" t="s">
        <v>102</v>
      </c>
      <c r="I39" s="22">
        <v>1</v>
      </c>
      <c r="J39" s="23" t="s">
        <v>29</v>
      </c>
      <c r="K39" s="24">
        <v>1</v>
      </c>
      <c r="L39" s="25">
        <v>6.4</v>
      </c>
      <c r="M39" s="26">
        <v>6.4</v>
      </c>
      <c r="N39" s="26">
        <v>6.4</v>
      </c>
    </row>
    <row r="40" spans="4:14">
      <c r="D40" s="21">
        <v>46079</v>
      </c>
      <c r="E40" s="22">
        <v>1580519</v>
      </c>
      <c r="F40" s="22" t="s">
        <v>20</v>
      </c>
      <c r="G40" s="22">
        <v>20324364</v>
      </c>
      <c r="H40" s="22" t="s">
        <v>99</v>
      </c>
      <c r="I40" s="22">
        <v>4</v>
      </c>
      <c r="J40" s="23" t="s">
        <v>29</v>
      </c>
      <c r="K40" s="24">
        <v>1</v>
      </c>
      <c r="L40" s="25">
        <v>6.4</v>
      </c>
      <c r="M40" s="26">
        <v>6.4</v>
      </c>
      <c r="N40" s="26">
        <v>25.6</v>
      </c>
    </row>
    <row r="41" spans="4:14">
      <c r="D41" s="21">
        <v>46079</v>
      </c>
      <c r="E41" s="22">
        <v>1580519</v>
      </c>
      <c r="F41" s="22" t="s">
        <v>20</v>
      </c>
      <c r="G41" s="22">
        <v>20324414</v>
      </c>
      <c r="H41" s="22" t="s">
        <v>486</v>
      </c>
      <c r="I41" s="22">
        <v>1</v>
      </c>
      <c r="J41" s="22" t="s">
        <v>116</v>
      </c>
      <c r="K41" s="24">
        <f>M41/L41</f>
        <v>3</v>
      </c>
      <c r="L41" s="25">
        <v>4.4</v>
      </c>
      <c r="M41" s="26">
        <v>13.2</v>
      </c>
      <c r="N41" s="26">
        <v>13.2</v>
      </c>
    </row>
    <row r="42" spans="4:14">
      <c r="D42" s="21">
        <v>46079</v>
      </c>
      <c r="E42" s="22">
        <v>1580519</v>
      </c>
      <c r="F42" s="22" t="s">
        <v>20</v>
      </c>
      <c r="G42" s="22">
        <v>20324707</v>
      </c>
      <c r="H42" s="22" t="s">
        <v>164</v>
      </c>
      <c r="I42" s="22">
        <v>1</v>
      </c>
      <c r="J42" s="23" t="s">
        <v>29</v>
      </c>
      <c r="K42" s="24">
        <v>1</v>
      </c>
      <c r="L42" s="25">
        <v>6.4</v>
      </c>
      <c r="M42" s="26">
        <v>6.4</v>
      </c>
      <c r="N42" s="26">
        <v>6.4</v>
      </c>
    </row>
    <row r="43" spans="4:14">
      <c r="D43" s="21">
        <v>46079</v>
      </c>
      <c r="E43" s="22">
        <v>1580519</v>
      </c>
      <c r="F43" s="22" t="s">
        <v>20</v>
      </c>
      <c r="G43" s="22">
        <v>20325606</v>
      </c>
      <c r="H43" s="22" t="s">
        <v>485</v>
      </c>
      <c r="I43" s="22">
        <v>1</v>
      </c>
      <c r="J43" s="22" t="s">
        <v>64</v>
      </c>
      <c r="K43" s="24">
        <v>1</v>
      </c>
      <c r="L43" s="25">
        <v>8.8</v>
      </c>
      <c r="M43" s="26">
        <v>8.8</v>
      </c>
      <c r="N43" s="26">
        <v>8.8</v>
      </c>
    </row>
    <row r="44" ht="0.05" customHeight="1"/>
  </sheetData>
  <autoFilter xmlns:etc="http://www.wps.cn/officeDocument/2017/etCustomData" ref="A7:N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landscape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&amp;"-,Regular"2026年3月2日 8:51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产科</vt:lpstr>
      <vt:lpstr>产科门诊236</vt:lpstr>
      <vt:lpstr>耳鼻喉病房</vt:lpstr>
      <vt:lpstr>耳鼻喉门诊</vt:lpstr>
      <vt:lpstr>发热门诊</vt:lpstr>
      <vt:lpstr>妇二</vt:lpstr>
      <vt:lpstr>妇二门诊561</vt:lpstr>
      <vt:lpstr>妇科门诊</vt:lpstr>
      <vt:lpstr>妇三</vt:lpstr>
      <vt:lpstr>妇一</vt:lpstr>
      <vt:lpstr>肛肠科</vt:lpstr>
      <vt:lpstr>肛肠门诊</vt:lpstr>
      <vt:lpstr>宫腔镜</vt:lpstr>
      <vt:lpstr>骨三</vt:lpstr>
      <vt:lpstr>急诊</vt:lpstr>
      <vt:lpstr>计划生育手术室</vt:lpstr>
      <vt:lpstr>介入科</vt:lpstr>
      <vt:lpstr>静配中心</vt:lpstr>
      <vt:lpstr>口腔科</vt:lpstr>
      <vt:lpstr>老年病病房</vt:lpstr>
      <vt:lpstr>门诊手术室</vt:lpstr>
      <vt:lpstr>内镜诊疗室</vt:lpstr>
      <vt:lpstr>清洁区（手术室）</vt:lpstr>
      <vt:lpstr>肾病一科</vt:lpstr>
      <vt:lpstr>手术室(二区)</vt:lpstr>
      <vt:lpstr>手术室(一区)</vt:lpstr>
      <vt:lpstr>外来</vt:lpstr>
      <vt:lpstr>透析</vt:lpstr>
      <vt:lpstr>外二</vt:lpstr>
      <vt:lpstr>外三</vt:lpstr>
      <vt:lpstr>外四</vt:lpstr>
      <vt:lpstr>外一</vt:lpstr>
      <vt:lpstr>血液</vt:lpstr>
      <vt:lpstr>眼科病房</vt:lpstr>
      <vt:lpstr>眼科门诊322</vt:lpstr>
      <vt:lpstr>眼科门诊357</vt:lpstr>
      <vt:lpstr>眼科门诊手术室（二）</vt:lpstr>
      <vt:lpstr>眼科门诊手术室（一）</vt:lpstr>
      <vt:lpstr>针灸二</vt:lpstr>
      <vt:lpstr>重症医学科</vt:lpstr>
      <vt:lpstr>周围血管二</vt:lpstr>
      <vt:lpstr>周围血管一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2026-03-02T00:53:00Z</dcterms:created>
  <dcterms:modified xsi:type="dcterms:W3CDTF">2026-03-02T06:31:41Z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B75B94CD2A8B414EA67869EAC5133072_13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