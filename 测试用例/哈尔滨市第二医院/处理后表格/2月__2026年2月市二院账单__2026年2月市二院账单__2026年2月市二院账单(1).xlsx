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28" r:id="rId1"/>
    <sheet name="导管室（放射线）" sheetId="1" r:id="rId2"/>
    <sheet name="耳鼻喉门诊" sheetId="2" r:id="rId3"/>
    <sheet name="妇产科病房" sheetId="3" r:id="rId4"/>
    <sheet name="妇产科门诊" sheetId="4" r:id="rId5"/>
    <sheet name="肛肠科" sheetId="5" r:id="rId6"/>
    <sheet name="供应室（手术室）" sheetId="7" r:id="rId7"/>
    <sheet name="急诊" sheetId="8" r:id="rId8"/>
    <sheet name="甲乳外科" sheetId="9" r:id="rId9"/>
    <sheet name="康复中心D区" sheetId="10" r:id="rId10"/>
    <sheet name="口腔科(内)" sheetId="11" r:id="rId11"/>
    <sheet name="口腔科(外)" sheetId="12" r:id="rId12"/>
    <sheet name="口腔科（正）" sheetId="13" r:id="rId13"/>
    <sheet name="口腔修复诊室" sheetId="14" r:id="rId14"/>
    <sheet name="门诊手术室" sheetId="15" r:id="rId15"/>
    <sheet name="泌尿外科" sheetId="16" r:id="rId16"/>
    <sheet name="皮肤科" sheetId="17" r:id="rId17"/>
    <sheet name="手术室" sheetId="18" r:id="rId18"/>
    <sheet name="胃肠肝胆外科" sheetId="19" r:id="rId19"/>
    <sheet name="胃镜室（消化内科）" sheetId="20" r:id="rId20"/>
    <sheet name="心内二" sheetId="21" r:id="rId21"/>
    <sheet name="血液透析室" sheetId="22" r:id="rId22"/>
    <sheet name="眼科" sheetId="23" r:id="rId23"/>
    <sheet name="医疗美容" sheetId="24" r:id="rId24"/>
    <sheet name="大博" sheetId="25" r:id="rId25"/>
    <sheet name="星檀" sheetId="26" r:id="rId26"/>
    <sheet name="钇嵩" sheetId="27" r:id="rId27"/>
  </sheets>
  <definedNames>
    <definedName name="_xlnm._FilterDatabase" localSheetId="2" hidden="1">耳鼻喉门诊!$A$7:$K$50</definedName>
    <definedName name="_xlnm._FilterDatabase" localSheetId="3" hidden="1">妇产科病房!$A$7:$K$21</definedName>
    <definedName name="_xlnm._FilterDatabase" localSheetId="4" hidden="1">妇产科门诊!$A$7:$K$34</definedName>
    <definedName name="_xlnm._FilterDatabase" localSheetId="5" hidden="1">肛肠科!$A$7:$K$22</definedName>
    <definedName name="_xlnm._FilterDatabase" localSheetId="7" hidden="1">急诊!$A$7:$K$55</definedName>
    <definedName name="_xlnm._FilterDatabase" localSheetId="10" hidden="1">'口腔科(内)'!$A$7:$K$367</definedName>
    <definedName name="_xlnm._FilterDatabase" localSheetId="11" hidden="1">'口腔科(外)'!$A$7:$K$70</definedName>
    <definedName name="_xlnm._FilterDatabase" localSheetId="13" hidden="1">口腔修复诊室!$A$7:$K$28</definedName>
    <definedName name="_xlnm._FilterDatabase" localSheetId="14" hidden="1">门诊手术室!$A$7:$K$127</definedName>
    <definedName name="_xlnm._FilterDatabase" localSheetId="17" hidden="1">手术室!$A$7:$K$670</definedName>
    <definedName name="_xlnm._FilterDatabase" localSheetId="22" hidden="1">眼科!$A$7:$K$31</definedName>
    <definedName name="_xlnm._FilterDatabase" localSheetId="23" hidden="1">医疗美容!$A$7:$K$38</definedName>
    <definedName name="_xlnm.Print_Titles" localSheetId="1">'导管室（放射线）'!$1:$6</definedName>
    <definedName name="_xlnm.Print_Titles" localSheetId="2">耳鼻喉门诊!$1:$6</definedName>
    <definedName name="_xlnm.Print_Titles" localSheetId="3">妇产科病房!$1:$6</definedName>
    <definedName name="_xlnm.Print_Titles" localSheetId="4">妇产科门诊!$1:$6</definedName>
    <definedName name="_xlnm.Print_Titles" localSheetId="5">肛肠科!$1:$6</definedName>
    <definedName name="_xlnm.Print_Titles" localSheetId="6">'供应室（手术室）'!$1:$6</definedName>
    <definedName name="_xlnm.Print_Titles" localSheetId="7">急诊!$1:$6</definedName>
    <definedName name="_xlnm.Print_Titles" localSheetId="8">甲乳外科!$1:$6</definedName>
    <definedName name="_xlnm.Print_Titles" localSheetId="9">康复中心D区!$1:$6</definedName>
    <definedName name="_xlnm.Print_Titles" localSheetId="10">'口腔科(内)'!$1:$6</definedName>
    <definedName name="_xlnm.Print_Titles" localSheetId="11">'口腔科(外)'!$1:$6</definedName>
    <definedName name="_xlnm.Print_Titles" localSheetId="12">'口腔科（正）'!$1:$6</definedName>
    <definedName name="_xlnm.Print_Titles" localSheetId="13">口腔修复诊室!$1:$6</definedName>
    <definedName name="_xlnm.Print_Titles" localSheetId="14">门诊手术室!$1:$6</definedName>
    <definedName name="_xlnm.Print_Titles" localSheetId="15">泌尿外科!$1:$6</definedName>
    <definedName name="_xlnm.Print_Titles" localSheetId="16">皮肤科!$1:$6</definedName>
    <definedName name="_xlnm.Print_Titles" localSheetId="17">手术室!$1:$6</definedName>
    <definedName name="_xlnm.Print_Titles" localSheetId="18">胃肠肝胆外科!$1:$6</definedName>
    <definedName name="_xlnm.Print_Titles" localSheetId="19">'胃镜室（消化内科）'!$1:$6</definedName>
    <definedName name="_xlnm.Print_Titles" localSheetId="20">心内二!$1:$6</definedName>
    <definedName name="_xlnm.Print_Titles" localSheetId="21">血液透析室!$1:$6</definedName>
    <definedName name="_xlnm.Print_Titles" localSheetId="22">眼科!$1:$6</definedName>
    <definedName name="_xlnm.Print_Titles" localSheetId="23">医疗美容!$1:$6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<sst xmlns="http://schemas.openxmlformats.org/spreadsheetml/2006/main" count="3756" uniqueCount="509">
  <si>
    <t>哈尔滨市第二医院各科室2026年2月灭菌价格汇总</t>
  </si>
  <si>
    <t>科室</t>
  </si>
  <si>
    <t>价格</t>
  </si>
  <si>
    <t>确认无误签字</t>
  </si>
  <si>
    <t>导管室（放射线）</t>
  </si>
  <si>
    <t>耳鼻喉门诊</t>
  </si>
  <si>
    <t>妇产科门诊</t>
  </si>
  <si>
    <t>妇产科病房</t>
  </si>
  <si>
    <t>甲乳外科</t>
  </si>
  <si>
    <t>肛肠科</t>
  </si>
  <si>
    <t>急诊</t>
  </si>
  <si>
    <t>眼科</t>
  </si>
  <si>
    <t>口腔科(外)</t>
  </si>
  <si>
    <t>泌尿外科</t>
  </si>
  <si>
    <t>口腔修复诊室</t>
  </si>
  <si>
    <t>血液透析</t>
  </si>
  <si>
    <t>口腔科(内)</t>
  </si>
  <si>
    <t>门诊手术室</t>
  </si>
  <si>
    <t>口腔科（正）</t>
  </si>
  <si>
    <t>皮肤科</t>
  </si>
  <si>
    <t>手术室</t>
  </si>
  <si>
    <t>胃镜室（消化内科）</t>
  </si>
  <si>
    <t>供应室（手术室）</t>
  </si>
  <si>
    <t>心内二</t>
  </si>
  <si>
    <t>医疗美容</t>
  </si>
  <si>
    <t>康复中心D区</t>
  </si>
  <si>
    <t>钇嵩医疗</t>
  </si>
  <si>
    <t>胃肠肝胆外科</t>
  </si>
  <si>
    <t>星檀商贸有限公司</t>
  </si>
  <si>
    <t>大博医疗</t>
  </si>
  <si>
    <t>合计</t>
  </si>
  <si>
    <t>捌万捌仟贰佰贰拾肆元伍角</t>
  </si>
  <si>
    <t>黑龙江省铂康医疗灭菌有限公司
2026年2月28日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</si>
  <si>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</si>
  <si>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</si>
  <si>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</si>
  <si>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</si>
  <si>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</si>
  <si>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</si>
  <si>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</si>
  <si>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</si>
  <si>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</si>
  <si>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</si>
  <si>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</si>
  <si>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</si>
  <si>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敷料包(无纺布包)</t>
  </si>
  <si>
    <t>导管室-刷手服/W15050</t>
  </si>
  <si>
    <t>器械包(ZSD)</t>
  </si>
  <si>
    <t>导管室-器械包</t>
  </si>
  <si>
    <t>额外包(纸塑袋)</t>
  </si>
  <si>
    <t>剪刀大-1/z1029</t>
  </si>
  <si>
    <t>枪状镊-5/保/z1029</t>
  </si>
  <si>
    <t>吸引器头-6/z1029</t>
  </si>
  <si>
    <t>额外包(无纺布)</t>
  </si>
  <si>
    <t>左右口异物钳-1/W6050</t>
  </si>
  <si>
    <t>耵聍钩-3/z7530</t>
  </si>
  <si>
    <t>吸引器头-5/z1029</t>
  </si>
  <si>
    <t>吸引器头-4/z1029</t>
  </si>
  <si>
    <t>上下口异物钳-1/W6050</t>
  </si>
  <si>
    <t>敷料包(纸塑袋)</t>
  </si>
  <si>
    <t>棉球/Z2032</t>
  </si>
  <si>
    <t>吸引器头-1/z7530</t>
  </si>
  <si>
    <t>耵聍钩-5/z7530</t>
  </si>
  <si>
    <t>耵聍钩-4/z7534</t>
  </si>
  <si>
    <t>吸引器头-3/z7530</t>
  </si>
  <si>
    <t>耵聍钩-2/z7534</t>
  </si>
  <si>
    <t>吸引器头-2/z7530</t>
  </si>
  <si>
    <t>剪刀-1/z1029</t>
  </si>
  <si>
    <t>剪刀小-1(保护)</t>
  </si>
  <si>
    <t>直角压舌板-1/Z1526</t>
  </si>
  <si>
    <t>缝合包-5件/W6050</t>
  </si>
  <si>
    <t>单包装包</t>
  </si>
  <si>
    <t>分娩-持物缸包-2/钳子放外边z2044</t>
  </si>
  <si>
    <t>穿刺针（带芯）-1/z7526</t>
  </si>
  <si>
    <t>手刷-1/z1029</t>
  </si>
  <si>
    <t>弯盘-1/Z2032</t>
  </si>
  <si>
    <t>洗耳球-1/Z1526</t>
  </si>
  <si>
    <t>额外包(低温等离子)</t>
  </si>
  <si>
    <t>电切环-1/z1045</t>
  </si>
  <si>
    <t>胎吸-1/z2045</t>
  </si>
  <si>
    <t>新生儿面罩-1/Z1526</t>
  </si>
  <si>
    <t>剪刀1止血钳1/z1530</t>
  </si>
  <si>
    <t>产包(6件)</t>
  </si>
  <si>
    <t>分娩-消毒巾/Z3044</t>
  </si>
  <si>
    <t>纱布/Z1526</t>
  </si>
  <si>
    <t>卵圆钳-1/z1535</t>
  </si>
  <si>
    <t>镊子-1/z7534</t>
  </si>
  <si>
    <t>取环钩-1/保z7537</t>
  </si>
  <si>
    <t>吸头（8号）-1/z7537</t>
  </si>
  <si>
    <t>止血钳-1/z1029</t>
  </si>
  <si>
    <t>吸头（5号）-1/Z7526</t>
  </si>
  <si>
    <t>妇门-取环钳-1/z1535</t>
  </si>
  <si>
    <t>宫颈钳-1/z1535</t>
  </si>
  <si>
    <t>妇门-换药缸-1/z2530</t>
  </si>
  <si>
    <t>妇门-凹凸钳-1/z1535</t>
  </si>
  <si>
    <t>肛肠-换药缸</t>
  </si>
  <si>
    <t>纱条/Z2530</t>
  </si>
  <si>
    <t>拆线剪-1/z1029</t>
  </si>
  <si>
    <t>持针器（高温）-1/z1035</t>
  </si>
  <si>
    <t>刷手服/W15050</t>
  </si>
  <si>
    <t>中单/W9050</t>
  </si>
  <si>
    <t>手敷/W15050</t>
  </si>
  <si>
    <t>外敷1/W15050</t>
  </si>
  <si>
    <t>外敷2/W15050</t>
  </si>
  <si>
    <t>汗巾/W6050</t>
  </si>
  <si>
    <t>额外包(仅消毒)</t>
  </si>
  <si>
    <t>市二院外来一套192件（只消毒）</t>
  </si>
  <si>
    <t>市二院外来133（只消毒）</t>
  </si>
  <si>
    <t>市二院外来-84件（只消毒）</t>
  </si>
  <si>
    <t>市二院外来-62件（只消毒）</t>
  </si>
  <si>
    <t>市二院外来82（只消毒）</t>
  </si>
  <si>
    <t>市二院外来-63件（只消毒）</t>
  </si>
  <si>
    <t>市二院外来47（只消毒）</t>
  </si>
  <si>
    <t>市二院外来5件（只消毒）</t>
  </si>
  <si>
    <t>市二院外来-80（只消毒）</t>
  </si>
  <si>
    <t>市二院外来一套314件（只消毒）</t>
  </si>
  <si>
    <t>市二院外来107（只消毒）</t>
  </si>
  <si>
    <t>市二院外来-53（只消毒）</t>
  </si>
  <si>
    <t>急诊-缝合包(6件)</t>
  </si>
  <si>
    <t>小剪刀-1/z7526</t>
  </si>
  <si>
    <t>棉球/Z3032</t>
  </si>
  <si>
    <t>拉钩-1/z1026</t>
  </si>
  <si>
    <t>眼科缝合包（6件）</t>
  </si>
  <si>
    <t>急诊-换药缸-1/z2032</t>
  </si>
  <si>
    <t>010177-手机/z7526</t>
  </si>
  <si>
    <t>根扩针-5/不同色一包/保/z7520</t>
  </si>
  <si>
    <t>光敏刀充填器-5/保z7530</t>
  </si>
  <si>
    <t>口内-507477/z7526</t>
  </si>
  <si>
    <t>口内-C8200208/z7526</t>
  </si>
  <si>
    <t>口内-车针-5件/z7520</t>
  </si>
  <si>
    <t>手机-010171/Z7526</t>
  </si>
  <si>
    <t>手机-010175/z7526</t>
  </si>
  <si>
    <t>手机0270/z7526</t>
  </si>
  <si>
    <t>手机-7468/z7526</t>
  </si>
  <si>
    <t>测压器 根扩针-5 /保z7520</t>
  </si>
  <si>
    <t>成型片1豆瓣4/Z7520</t>
  </si>
  <si>
    <t>调刀-1/保z7530</t>
  </si>
  <si>
    <t>洁牙尖（保护）1 毛刷1/z7520</t>
  </si>
  <si>
    <t>口内-35179/z7526</t>
  </si>
  <si>
    <t>口内-C5456453/z7526</t>
  </si>
  <si>
    <t>口内-C5562283/z7526</t>
  </si>
  <si>
    <t>口内-C8200274/z7526</t>
  </si>
  <si>
    <t>口内-C8200276/z7526</t>
  </si>
  <si>
    <t>口内-玻璃板-1/z1526</t>
  </si>
  <si>
    <t>手机-010172/z7526</t>
  </si>
  <si>
    <t>手机-010174/z7526</t>
  </si>
  <si>
    <t>手机-010178/z7526</t>
  </si>
  <si>
    <t>手机16060317/z7526</t>
  </si>
  <si>
    <t>成型夹-1/z7520</t>
  </si>
  <si>
    <t>口内-8200266/z7526</t>
  </si>
  <si>
    <t>口内-C5456792/z7526</t>
  </si>
  <si>
    <t>口内-C5456810/z7526</t>
  </si>
  <si>
    <t>口内-C5562242/z7526</t>
  </si>
  <si>
    <t>口内-C8200271/z7526</t>
  </si>
  <si>
    <t>口内-C8200281/z7526</t>
  </si>
  <si>
    <t>口内-拔髓针5件/保z7520</t>
  </si>
  <si>
    <t>口内-成型片-5/z7520</t>
  </si>
  <si>
    <t>手机-0273/z7526</t>
  </si>
  <si>
    <t>手机-2915/z7526</t>
  </si>
  <si>
    <t>手机-5456451/z7526</t>
  </si>
  <si>
    <t>挖勺-5/保z7530</t>
  </si>
  <si>
    <t>口内-C8200193/z1526</t>
  </si>
  <si>
    <t>洁牙机尖-2/保z7520</t>
  </si>
  <si>
    <t>口内-C5456811/z7526</t>
  </si>
  <si>
    <t>口内-C5456813/z7526</t>
  </si>
  <si>
    <t>手机-010167/Z7526</t>
  </si>
  <si>
    <t>手机-18072055/z7526</t>
  </si>
  <si>
    <t>成型片1窦瓣4/z7520</t>
  </si>
  <si>
    <t>手机WE512021/z7526</t>
  </si>
  <si>
    <t>手机-270/z7526</t>
  </si>
  <si>
    <t>楔子-2/7520</t>
  </si>
  <si>
    <t>手机-x17032915/z7526</t>
  </si>
  <si>
    <t>成型片2窦瓣3/z7520</t>
  </si>
  <si>
    <t>洁牙尖（保护） 抛光头-2件/z7520</t>
  </si>
  <si>
    <t>口内-针柄-1/z7526</t>
  </si>
  <si>
    <t>豆瓣2成型片3/Z7520</t>
  </si>
  <si>
    <t>口内-挖匙-5/保z7530</t>
  </si>
  <si>
    <t>手机-12021/z7526</t>
  </si>
  <si>
    <t>口外-换药缸-1/Z2530</t>
  </si>
  <si>
    <t>拔牙钳-1/z1029</t>
  </si>
  <si>
    <t>拔牙挺-1/保z7526</t>
  </si>
  <si>
    <t>手机C9070121/z7526</t>
  </si>
  <si>
    <t>挖勺大-1 /保z7530</t>
  </si>
  <si>
    <t>牙龈刀-1/保/z7530</t>
  </si>
  <si>
    <t>棉球/Z3040</t>
  </si>
  <si>
    <t>口外-T16060314/z7526</t>
  </si>
  <si>
    <t>口外-换药包-6</t>
  </si>
  <si>
    <t>车针-5/z7520</t>
  </si>
  <si>
    <t>手机-70124/z7526</t>
  </si>
  <si>
    <t>剥离质-1/保/z7530</t>
  </si>
  <si>
    <t>手机-17032916/z7526</t>
  </si>
  <si>
    <t>手机-3638/z7526</t>
  </si>
  <si>
    <t>手机-3633/z7526</t>
  </si>
  <si>
    <t>螺丝起子盒-8件（盒1）/w6050</t>
  </si>
  <si>
    <t>光敏刀-1/保z7530</t>
  </si>
  <si>
    <t>排龈器-1/保z7530</t>
  </si>
  <si>
    <t>手机5456814/z7526</t>
  </si>
  <si>
    <t>手机-C9070860/z7526</t>
  </si>
  <si>
    <t>车针-6件/z7520</t>
  </si>
  <si>
    <t>手机-35147/z7526</t>
  </si>
  <si>
    <t>手机-C8401771/z7526</t>
  </si>
  <si>
    <t>C5562020/z7526</t>
  </si>
  <si>
    <t>手机10173-1/Z7526</t>
  </si>
  <si>
    <t>手机-1008063/z7526</t>
  </si>
  <si>
    <t>手机-3641/z7526</t>
  </si>
  <si>
    <t>手机-C5562217/z7526</t>
  </si>
  <si>
    <t>门手-孔巾/W9050</t>
  </si>
  <si>
    <t>医美器械</t>
  </si>
  <si>
    <t>持物钳罐-2/钳子放外边z2044</t>
  </si>
  <si>
    <t>门手-弯盘-1/w6050</t>
  </si>
  <si>
    <t>刀柄-1/z7526</t>
  </si>
  <si>
    <t>钩镊-1/z7526</t>
  </si>
  <si>
    <t>黑柄剪刀-1/z1035</t>
  </si>
  <si>
    <t>肌钩-2/z1026</t>
  </si>
  <si>
    <t>剪刀1 持针器1 镊子1/z1526</t>
  </si>
  <si>
    <t>皮肤钻孔器-9件/保/z1026</t>
  </si>
  <si>
    <t>微创钩镊-1/z7526</t>
  </si>
  <si>
    <t>蚊式-3/z1530</t>
  </si>
  <si>
    <t>刮匙-1/z7530</t>
  </si>
  <si>
    <t>门手-弯钳-3/Z1526</t>
  </si>
  <si>
    <t>霰粒肿大（5件）</t>
  </si>
  <si>
    <t>眼科显微器械-5件（门手）</t>
  </si>
  <si>
    <t>骨科-3件/z1526</t>
  </si>
  <si>
    <t>眼剪持针器-2/z1526</t>
  </si>
  <si>
    <t>低温组件-2/z1530</t>
  </si>
  <si>
    <t>眼睑拉钩-1/z7526</t>
  </si>
  <si>
    <t>医美器械(刮勺1 拉钩2)-3件/z1026</t>
  </si>
  <si>
    <t>缝合包（6件）</t>
  </si>
  <si>
    <t>霰粒肿小（5件）</t>
  </si>
  <si>
    <t>睑板夹-1/z7526</t>
  </si>
  <si>
    <t>散粒肿夹-1/z7526</t>
  </si>
  <si>
    <t>棉球/Z1526</t>
  </si>
  <si>
    <t>泌尿-探子-1/z7537</t>
  </si>
  <si>
    <t>电切内窥镜-9件盒1</t>
  </si>
  <si>
    <t>电切内窥镜-10件盒1</t>
  </si>
  <si>
    <t>器械包</t>
  </si>
  <si>
    <t>手术室-探查包一(2/2)</t>
  </si>
  <si>
    <t>探查包1/1</t>
  </si>
  <si>
    <t>持物钳罐(钳子放外边)-2/W6050</t>
  </si>
  <si>
    <t>盆-1/W7050</t>
  </si>
  <si>
    <t>手术室-小S拉钩-2/W6050</t>
  </si>
  <si>
    <t>碗盘-2/W6050</t>
  </si>
  <si>
    <t>手术室-微克夹钳-1/双z2060</t>
  </si>
  <si>
    <t>器械包-47件</t>
  </si>
  <si>
    <t>缝合包</t>
  </si>
  <si>
    <t>锤子-1/W6050</t>
  </si>
  <si>
    <t>骨电钻-4件（盒1）/W705060</t>
  </si>
  <si>
    <t>刮宫包（10件）</t>
  </si>
  <si>
    <t>开胸包</t>
  </si>
  <si>
    <t>手术室-骨科包</t>
  </si>
  <si>
    <t>手术室-脑科包</t>
  </si>
  <si>
    <t>痔疮包</t>
  </si>
  <si>
    <t>6号吸头-1/z7537</t>
  </si>
  <si>
    <t>ZF1193T环形有齿枪状镊-1/z7537</t>
  </si>
  <si>
    <t>ZF1208RN匙形枪状镊-1/z7537</t>
  </si>
  <si>
    <t>ZF937RG脑吸引管（芯）/z(保)7537</t>
  </si>
  <si>
    <t>ZF938RG脑吸引管（芯）--1/z(保)7537</t>
  </si>
  <si>
    <t>带螺纹内热针（1.1*80）-20件/z7530</t>
  </si>
  <si>
    <t>钢丝-1/z1526</t>
  </si>
  <si>
    <t>角膜标记环（10号）-1/z7526</t>
  </si>
  <si>
    <t>晶体植入镊-1/Z7526</t>
  </si>
  <si>
    <t>脑科剥离子-1件/（保）z7530</t>
  </si>
  <si>
    <t>脑科螺丝刀-1/z7526</t>
  </si>
  <si>
    <t>脑科探针-1/z7530</t>
  </si>
  <si>
    <t>脑科吸引器-1（带芯）/z7537</t>
  </si>
  <si>
    <t>脑压板（钛）-1/z7534</t>
  </si>
  <si>
    <t>脑压板（窄）-1/z7534</t>
  </si>
  <si>
    <t>神经肌钩-2/Z1026</t>
  </si>
  <si>
    <t>手术室-驱血带（高温）-1/z2032</t>
  </si>
  <si>
    <t>手术室-眼科剪子-1/z7526</t>
  </si>
  <si>
    <t>王老师精细钳-1/z1029</t>
  </si>
  <si>
    <t>系线镊-1/z7526</t>
  </si>
  <si>
    <t>显微持针器-1/z7530</t>
  </si>
  <si>
    <t>显微剪FD039R/z7537</t>
  </si>
  <si>
    <t>显微剪FD060R-1/z7537</t>
  </si>
  <si>
    <t>显微剪刀-1/z7537</t>
  </si>
  <si>
    <t>显微镊-1/z7530</t>
  </si>
  <si>
    <t>组织钳-1/z1029</t>
  </si>
  <si>
    <t>2.5内六角螺丝刀-1/保/W6050</t>
  </si>
  <si>
    <t>3.5内六角螺丝刀-1/保/W6050</t>
  </si>
  <si>
    <t>ZF1818RN精细取瘤钳-1/W6050</t>
  </si>
  <si>
    <t>ZF626R20取瘤钳-1/W6050</t>
  </si>
  <si>
    <t>冲洗器-2/W6050</t>
  </si>
  <si>
    <t>大S拉钩-1/W7050</t>
  </si>
  <si>
    <t>胆道刮匙包-3/W6050</t>
  </si>
  <si>
    <t>骨膜剥离质-1/保/W6050</t>
  </si>
  <si>
    <t>贺凯-3/W6050</t>
  </si>
  <si>
    <t>后颅凹拉钩(小)-1保W6050</t>
  </si>
  <si>
    <t>肌钩-2/W6050</t>
  </si>
  <si>
    <t>克氏钳-1/w6050</t>
  </si>
  <si>
    <t>扩棒-12/W6050</t>
  </si>
  <si>
    <t>脑电钻-5/W705060</t>
  </si>
  <si>
    <t>脑科鹰嘴咬骨钳-1/W6050</t>
  </si>
  <si>
    <t>上颌窦-4/W6050</t>
  </si>
  <si>
    <t>手术室-腹膜钳-3/W6050</t>
  </si>
  <si>
    <t>手术室-蚊式-4/W6050</t>
  </si>
  <si>
    <t>手术室-线锯-1/W6050</t>
  </si>
  <si>
    <t>小肌钩-2/W6050</t>
  </si>
  <si>
    <t>眼科显微镜套-4件/W6050</t>
  </si>
  <si>
    <t>咬骨钳-1/W6050</t>
  </si>
  <si>
    <t>钇嵩取出3件/W6050</t>
  </si>
  <si>
    <t>凿子（头宽15）-1/w6050</t>
  </si>
  <si>
    <t>凿子-4/W6050</t>
  </si>
  <si>
    <t>大弯钳-1/z2060</t>
  </si>
  <si>
    <t>胆道镜抓钳-1件/z2060</t>
  </si>
  <si>
    <t>气腹针-1/z1030</t>
  </si>
  <si>
    <t>手术室-关节镜打结器-1/z1045</t>
  </si>
  <si>
    <t>手术室-水管-1/w7050</t>
  </si>
  <si>
    <t>手术室-转换器-1/z1026</t>
  </si>
  <si>
    <t>直角钳（低温）-1/z2060</t>
  </si>
  <si>
    <t>单包装包(老肯低温)</t>
  </si>
  <si>
    <t>狼牌电切镜镜头-1/z2060</t>
  </si>
  <si>
    <t>狼牌电切镜组件-5/w12050</t>
  </si>
  <si>
    <t>额外包(ETO)</t>
  </si>
  <si>
    <t>眼科双极，导线-2件/z3032</t>
  </si>
  <si>
    <t>眼科双极线（EO）-1/z2530</t>
  </si>
  <si>
    <t>止血带-10（只消毒不灭菌）</t>
  </si>
  <si>
    <t>止血带-8（只消毒不灭菌）</t>
  </si>
  <si>
    <t>手术室-动静脉瘘包二</t>
  </si>
  <si>
    <t>手术室-腰椎包</t>
  </si>
  <si>
    <t>开睑器-1z1020</t>
  </si>
  <si>
    <t>劈核勾-1/z7530</t>
  </si>
  <si>
    <t>手术室-组织剪-1/z1035</t>
  </si>
  <si>
    <t>骨科租赁器械包-带植入物</t>
  </si>
  <si>
    <t>钇嵩指掌骨（31件  152钉 1导针）</t>
  </si>
  <si>
    <t>白内障显微器械-11件，盒1</t>
  </si>
  <si>
    <t>眼科超乳手术包</t>
  </si>
  <si>
    <t>眼科注药-4（带盒5）</t>
  </si>
  <si>
    <t>腹膜钳-1/W6050</t>
  </si>
  <si>
    <t>肛肠-3件/W6050</t>
  </si>
  <si>
    <t>眼科显微镜套-6件/W6050</t>
  </si>
  <si>
    <t>器械包(低温等离子)</t>
  </si>
  <si>
    <t>陈丽洁 -13件（低温）</t>
  </si>
  <si>
    <t>妇科检查镜头-3/z2060</t>
  </si>
  <si>
    <t>钢板-3/双z7526</t>
  </si>
  <si>
    <t>市二院止血带7个（只消毒）</t>
  </si>
  <si>
    <t>腹腔镜包</t>
  </si>
  <si>
    <t>器械包-62件</t>
  </si>
  <si>
    <t>针线盒（8根针）-1/z1026</t>
  </si>
  <si>
    <t>贺凯-2/W6050</t>
  </si>
  <si>
    <t>手科拉钩-2/W6050</t>
  </si>
  <si>
    <t>30度镜-10mm（沈大）/z2060</t>
  </si>
  <si>
    <t>国纳可吸收施夹器（J20）-1/双/Z2060</t>
  </si>
  <si>
    <t>手术室-分离钳-1/z2060</t>
  </si>
  <si>
    <t>手术室-剪刀（低温）-1/z2060</t>
  </si>
  <si>
    <t>手术室-无损伤钳-1/z2060</t>
  </si>
  <si>
    <t>手术室-吸引器-1/双/保/z1550</t>
  </si>
  <si>
    <t>显微器械-12件，盒1（袋）</t>
  </si>
  <si>
    <t>镜头10mm-30度（STORZ）/贵重z2060</t>
  </si>
  <si>
    <t>腹膜钳-2/W6050</t>
  </si>
  <si>
    <t>钢丝结扎钳-2/W6050</t>
  </si>
  <si>
    <t>双头乳腺拉钩-2件/w7050</t>
  </si>
  <si>
    <t>田老师注药-3件/W6050</t>
  </si>
  <si>
    <t>游离钳-2/W6050</t>
  </si>
  <si>
    <t>宫腔镜剪刀-1/z1560</t>
  </si>
  <si>
    <t>手术室-低温剪刀-1/z2060</t>
  </si>
  <si>
    <t>手术室-电凝钩导线-2/z2060</t>
  </si>
  <si>
    <t>沈大10MM30度镜头-1/z2060</t>
  </si>
  <si>
    <t>可吸收康基施夹器-1件/双/z2060</t>
  </si>
  <si>
    <t>手术室-阑尾钳-1/z2060</t>
  </si>
  <si>
    <t>戳卡4（3芯），转换器1/双z2030</t>
  </si>
  <si>
    <t>戳卡4，转换器1/双z2030</t>
  </si>
  <si>
    <t>器械包-43件</t>
  </si>
  <si>
    <t>手术室-探查包一（1/2）</t>
  </si>
  <si>
    <t>大隐静脉包</t>
  </si>
  <si>
    <t>5mm戳卡-1/z1530</t>
  </si>
  <si>
    <t>戳卡4（2芯），转换器1/双z2030</t>
  </si>
  <si>
    <t>手术室-持针器-1/双/z1560</t>
  </si>
  <si>
    <t>迈瑞10毫米30度镜头-1/z2060</t>
  </si>
  <si>
    <t>空骨电钻-5件1盒/w905060</t>
  </si>
  <si>
    <t>钢板-4/双z7526</t>
  </si>
  <si>
    <t>止血带-16（只消毒不灭菌）</t>
  </si>
  <si>
    <t>骨电钻-3/W705060</t>
  </si>
  <si>
    <t>骨科刮勺-1/W6050</t>
  </si>
  <si>
    <t>手术室-钢丝剪-1/W6050</t>
  </si>
  <si>
    <t>骨电钻-4/W705060</t>
  </si>
  <si>
    <t>止血带-6（只消毒不灭菌）</t>
  </si>
  <si>
    <t>双极电凝1 双极导线1/z2060</t>
  </si>
  <si>
    <t>Unintech脊柱内窥镜（一）减压26件</t>
  </si>
  <si>
    <t>Unintech 动力线-1(高温)/w9050</t>
  </si>
  <si>
    <t>带螺纹内热针（1.1*100）-20件/z7530</t>
  </si>
  <si>
    <t>开口器-1件/W6050</t>
  </si>
  <si>
    <t>开口器-6/W6050</t>
  </si>
  <si>
    <t>支撑喉镜器械（高温）-6/W6050</t>
  </si>
  <si>
    <t>孙老师器械-1件/Z1040</t>
  </si>
  <si>
    <t>支撑喉镜架（低温）-5/w9050</t>
  </si>
  <si>
    <t>Unintech 镜头-1/w9050</t>
  </si>
  <si>
    <t>骨电钻-4件（盒1）/W905060</t>
  </si>
  <si>
    <t>手术室-绷带/Z1026</t>
  </si>
  <si>
    <t>神经剥离子-1/z7530</t>
  </si>
  <si>
    <t>手术室-肠钳包</t>
  </si>
  <si>
    <t>止血带-11（只消毒不灭菌）</t>
  </si>
  <si>
    <t>大号可吸收施夹器（蓝绿）-1/双Z2060</t>
  </si>
  <si>
    <t>钢板-5/双z7526</t>
  </si>
  <si>
    <t>国纳可吸收施夹器（J16）-1/双/Z2060</t>
  </si>
  <si>
    <t>骨盆复位器械-3/W6050</t>
  </si>
  <si>
    <t>手刷-2/z1526</t>
  </si>
  <si>
    <t>骨科急诊包</t>
  </si>
  <si>
    <t>手术室-电切包</t>
  </si>
  <si>
    <t>3.0克氏针-1/(保)z7537</t>
  </si>
  <si>
    <t>克氏针0.8-1/(保)z7537</t>
  </si>
  <si>
    <t>克氏针2.0 -1件/(保)z7537</t>
  </si>
  <si>
    <t>克氏针3.5-1件/(保)z7537</t>
  </si>
  <si>
    <t>克氏针4.0-1件/(保)z7537</t>
  </si>
  <si>
    <t>手术室-眼缝合包</t>
  </si>
  <si>
    <t>钇嵩上肢-2/W6050</t>
  </si>
  <si>
    <t>止血带-9（只消毒不灭菌）</t>
  </si>
  <si>
    <t>喉镜柄-1/Z1030</t>
  </si>
  <si>
    <t>喉镜片-1/Z1026</t>
  </si>
  <si>
    <t>呼吸气囊-1/z3060</t>
  </si>
  <si>
    <t>康基连发施夹钳（绿）-1/保/Z2060</t>
  </si>
  <si>
    <t>抢救器械-1/z1526</t>
  </si>
  <si>
    <t>胆道镜取石网篮-1/Z3040</t>
  </si>
  <si>
    <t>胆道镜组件-5件/双3095</t>
  </si>
  <si>
    <t>泌尿-12度镜/Z2060</t>
  </si>
  <si>
    <t>组件-1（EO）/1550</t>
  </si>
  <si>
    <t>囊膜剪-1/z1029</t>
  </si>
  <si>
    <t>超乳手术包-9件/W9050</t>
  </si>
  <si>
    <t>狼牌电切镜(无转换帽)-1/z2060</t>
  </si>
  <si>
    <t>手术室-取石钳-1/双/z2060</t>
  </si>
  <si>
    <t>手术室-卵圆钳-3/W6050</t>
  </si>
  <si>
    <t>手术室-鞍钩-1/W6050</t>
  </si>
  <si>
    <t>灯罩-1/z2040</t>
  </si>
  <si>
    <t>奥林巴斯胆道镜1，配件8/双3095</t>
  </si>
  <si>
    <t>奥林巴斯胆道镜1，配件9/双3095</t>
  </si>
  <si>
    <t>手科剥离子-1/保z7530</t>
  </si>
  <si>
    <t>康基施夹器-1件/双，保/z2060</t>
  </si>
  <si>
    <t>吕德宇-13件（低温）</t>
  </si>
  <si>
    <t>扩棒-4/z1029</t>
  </si>
  <si>
    <t>妇科扩棒-8/w6050</t>
  </si>
  <si>
    <t>妇科自备扩棒-9/w6050</t>
  </si>
  <si>
    <t>开口器-1/z1029</t>
  </si>
  <si>
    <t>敷布-4/W9050</t>
  </si>
  <si>
    <t>胃镜室-敷布/W9050</t>
  </si>
  <si>
    <t>食道电极-1/Z3040</t>
  </si>
  <si>
    <t>血液透析室</t>
  </si>
  <si>
    <t>睑板腺囊肿镊-扁头-1/保z7526</t>
  </si>
  <si>
    <t>睑板腺囊肿镊-圆头-1/保z7526</t>
  </si>
  <si>
    <t>开睑器-1/z1020</t>
  </si>
  <si>
    <t>泪道探针-1/z7526</t>
  </si>
  <si>
    <t>眼科-平镊-1/z7526</t>
  </si>
  <si>
    <t>霰粒肿换药包大（5件）</t>
  </si>
  <si>
    <t>眼科换药包</t>
  </si>
  <si>
    <t>眼科-拆线包2/大保护套z1026</t>
  </si>
  <si>
    <t>持针器1剪刀1镊子1/z1535</t>
  </si>
  <si>
    <t>刮勺-1/z7530</t>
  </si>
  <si>
    <t>剪刀（小）-1/z7526</t>
  </si>
  <si>
    <t>精细镊子-1件/（保护套）z7526</t>
  </si>
  <si>
    <t>眼科镊-1/z7526</t>
  </si>
  <si>
    <t>剪刀1镊子1止血钳1/z1535</t>
  </si>
  <si>
    <t>七件套/W6050</t>
  </si>
  <si>
    <t>大博医疗科技有限公司</t>
  </si>
  <si>
    <t>市二院外来器械  骨一</t>
  </si>
  <si>
    <t>骨科租赁器械包-不带植入物</t>
  </si>
  <si>
    <t>谢汝君-股骨头缺血性坏死1/7</t>
  </si>
  <si>
    <t>谢汝君-股骨头缺血性坏死2/7</t>
  </si>
  <si>
    <t>谢汝君-股骨头缺血性坏死3/7</t>
  </si>
  <si>
    <t>谢汝君-股骨头缺血性坏死4/7</t>
  </si>
  <si>
    <t>谢汝君-股骨头缺血性坏死5/7</t>
  </si>
  <si>
    <t>谢汝君-股骨头缺血性坏死6/7</t>
  </si>
  <si>
    <t>谢汝君-股骨头缺血性坏死7/7</t>
  </si>
  <si>
    <t>高维甫-股骨头无菌性坏死1/7</t>
  </si>
  <si>
    <t>高维甫-股骨头无菌性坏死2/7</t>
  </si>
  <si>
    <t>高维甫-股骨头无菌性坏死3/7</t>
  </si>
  <si>
    <t>高维甫-股骨头无菌性坏死4/7</t>
  </si>
  <si>
    <t>高维甫-股骨头无菌性坏死5/7</t>
  </si>
  <si>
    <t>高维甫-股骨头无菌性坏死6/7</t>
  </si>
  <si>
    <t>高维甫-股骨头无菌性坏死7/7</t>
  </si>
  <si>
    <t>哈尔滨星檀商贸有限公司</t>
  </si>
  <si>
    <t>王淑云-股骨骨折 右1/1</t>
  </si>
  <si>
    <t>哈尔滨市第二医院2026年2月22日外来器械加急物流费150元。</t>
  </si>
  <si>
    <t>黑龙江钇嵩医疗器械有限公司</t>
  </si>
  <si>
    <t>于松水-腰椎骨折  1/4</t>
  </si>
  <si>
    <t>刘建华-右侧股骨颈骨折  1/2</t>
  </si>
  <si>
    <t>刘建华-右侧股骨颈骨折  2/2</t>
  </si>
  <si>
    <t>于松水-腰椎骨折  2/4</t>
  </si>
  <si>
    <t>于松水-腰椎骨折  3/4</t>
  </si>
  <si>
    <t>于松水-腰椎骨折  4/4</t>
  </si>
  <si>
    <t>彦宪伟-尺桡骨干骨折（左)1/1</t>
  </si>
  <si>
    <t>周亚芹-股骨粗隆间骨折  3/3</t>
  </si>
  <si>
    <t>孙春华-右股骨颈骨折  1/3</t>
  </si>
  <si>
    <t>孙春华-右股骨颈骨折  2/3</t>
  </si>
  <si>
    <t>孙春华-右股骨颈骨折  3/3</t>
  </si>
  <si>
    <t>周亚芹-股骨粗隆间骨折  1/3</t>
  </si>
  <si>
    <t>周亚芹-股骨粗隆间骨折  2/3</t>
  </si>
  <si>
    <t>赵淑兰-股骨粗隆间骨折1/2</t>
  </si>
  <si>
    <t>赵淑兰-股骨粗隆间骨折2/2</t>
  </si>
  <si>
    <t>刘桂雁-跟骨骨折  1/1</t>
  </si>
  <si>
    <t>于明立-复发性髋关节脱位1/5</t>
  </si>
  <si>
    <t>于明立-复发性髋关节脱位2/5</t>
  </si>
  <si>
    <t>于明立-复发性髋关节脱位3/5</t>
  </si>
  <si>
    <t>于明立-复发性髋关节脱位4/5</t>
  </si>
  <si>
    <t>于明立-复发性髋关节脱位5/5</t>
  </si>
  <si>
    <t>李玉俊-左侧股骨颈骨折2/2</t>
  </si>
  <si>
    <t>外来器械-带植入物</t>
  </si>
  <si>
    <t>李玉俊-左侧股骨颈骨折1/2</t>
  </si>
  <si>
    <t>李寿荣-右股骨颈骨折1/2</t>
  </si>
  <si>
    <t>李寿荣-右股骨颈骨折2/2</t>
  </si>
  <si>
    <t>郑喜奎-左侧股骨粗隆间骨折  3/3</t>
  </si>
  <si>
    <t>郑喜奎-左侧股骨粗隆间骨折  1/3</t>
  </si>
  <si>
    <t>郑喜奎-左侧股骨粗隆间骨折  2/3</t>
  </si>
  <si>
    <t>哈尔滨市第二医院2026年2月6日外来器械加急物流费150元。</t>
  </si>
  <si>
    <t>于小凤-左髌骨骨折  1/1</t>
  </si>
  <si>
    <t>哈尔滨市第二医院2026年2月8日外来器械加急物流费150元。</t>
  </si>
  <si>
    <t>沙喜芹-股骨颈骨折（左）1/2</t>
  </si>
  <si>
    <t>沙喜芹-股骨颈骨折（左）2/2</t>
  </si>
  <si>
    <t>王淑云-股骨骨折（右）1/2</t>
  </si>
  <si>
    <t>王淑云-股骨骨折（右）2/2</t>
  </si>
  <si>
    <t>哈尔滨市第二医院2026年2月21日外来器械加急物流费150元。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</si>
</sst>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0.00_ "/>
  </numFmts>
  <fonts count="33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8"/>
      <name val="Microsoft YaHei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2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808080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</cellStyleXfs>
  <cellXfs count="67">
    <xf numFmtId="0" fontId="0" fillId="0" borderId="0" xfId="0" applyFont="1" applyFill="1" applyBorder="1" applyAlignment="1"/>
    <xf numFmtId="0" fontId="1" fillId="0" borderId="1" xfId="49" applyNumberFormat="1" applyFont="1" applyFill="1" applyBorder="1" applyAlignment="1">
      <alignment horizontal="center" vertical="top" wrapText="1" readingOrder="1"/>
    </xf>
    <xf numFmtId="0" fontId="2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3" fillId="2" borderId="2" xfId="49" applyNumberFormat="1" applyFont="1" applyFill="1" applyBorder="1" applyAlignment="1">
      <alignment horizontal="center" vertical="top" wrapText="1" readingOrder="1"/>
    </xf>
    <xf numFmtId="176" fontId="3" fillId="2" borderId="2" xfId="49" applyNumberFormat="1" applyFont="1" applyFill="1" applyBorder="1" applyAlignment="1">
      <alignment horizontal="center" vertical="top" wrapText="1" readingOrder="1"/>
    </xf>
    <xf numFmtId="0" fontId="1" fillId="0" borderId="4" xfId="49" applyNumberFormat="1" applyFont="1" applyFill="1" applyBorder="1" applyAlignment="1">
      <alignment horizontal="center" vertical="top" wrapText="1" readingOrder="1"/>
    </xf>
    <xf numFmtId="0" fontId="4" fillId="3" borderId="2" xfId="49" applyNumberFormat="1" applyFont="1" applyFill="1" applyBorder="1" applyAlignment="1">
      <alignment vertical="top" wrapText="1" readingOrder="1"/>
    </xf>
    <xf numFmtId="0" fontId="4" fillId="3" borderId="2" xfId="49" applyNumberFormat="1" applyFont="1" applyFill="1" applyBorder="1" applyAlignment="1">
      <alignment horizontal="center" vertical="top" wrapText="1" readingOrder="1"/>
    </xf>
    <xf numFmtId="176" fontId="4" fillId="3" borderId="2" xfId="49" applyNumberFormat="1" applyFont="1" applyFill="1" applyBorder="1" applyAlignment="1">
      <alignment horizontal="center" vertical="top" wrapText="1" readingOrder="1"/>
    </xf>
    <xf numFmtId="177" fontId="1" fillId="0" borderId="5" xfId="49" applyNumberFormat="1" applyFont="1" applyFill="1" applyBorder="1" applyAlignment="1">
      <alignment vertical="top" wrapText="1" readingOrder="1"/>
    </xf>
    <xf numFmtId="0" fontId="1" fillId="0" borderId="5" xfId="49" applyNumberFormat="1" applyFont="1" applyFill="1" applyBorder="1" applyAlignment="1">
      <alignment vertical="top" wrapText="1" readingOrder="1"/>
    </xf>
    <xf numFmtId="0" fontId="1" fillId="0" borderId="5" xfId="49" applyNumberFormat="1" applyFont="1" applyFill="1" applyBorder="1" applyAlignment="1">
      <alignment horizontal="center" vertical="top" wrapText="1" readingOrder="1"/>
    </xf>
    <xf numFmtId="176" fontId="1" fillId="0" borderId="5" xfId="49" applyNumberFormat="1" applyFont="1" applyFill="1" applyBorder="1" applyAlignment="1">
      <alignment horizontal="center" vertical="top" wrapText="1" readingOrder="1"/>
    </xf>
    <xf numFmtId="177" fontId="1" fillId="0" borderId="6" xfId="49" applyNumberFormat="1" applyFont="1" applyFill="1" applyBorder="1" applyAlignment="1">
      <alignment vertical="top" wrapText="1" readingOrder="1"/>
    </xf>
    <xf numFmtId="0" fontId="1" fillId="0" borderId="6" xfId="49" applyNumberFormat="1" applyFont="1" applyFill="1" applyBorder="1" applyAlignment="1">
      <alignment vertical="top" wrapText="1" readingOrder="1"/>
    </xf>
    <xf numFmtId="0" fontId="1" fillId="0" borderId="6" xfId="49" applyNumberFormat="1" applyFont="1" applyFill="1" applyBorder="1" applyAlignment="1">
      <alignment horizontal="center" vertical="top" wrapText="1" readingOrder="1"/>
    </xf>
    <xf numFmtId="176" fontId="1" fillId="0" borderId="6" xfId="49" applyNumberFormat="1" applyFont="1" applyFill="1" applyBorder="1" applyAlignment="1">
      <alignment horizontal="center" vertical="top" wrapText="1" readingOrder="1"/>
    </xf>
    <xf numFmtId="0" fontId="0" fillId="0" borderId="6" xfId="49" applyFont="1" applyFill="1" applyBorder="1" applyAlignment="1">
      <alignment horizontal="center"/>
    </xf>
    <xf numFmtId="177" fontId="1" fillId="0" borderId="0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176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7" xfId="49" applyNumberFormat="1" applyFont="1" applyFill="1" applyBorder="1" applyAlignment="1">
      <alignment horizontal="center" vertical="top" wrapText="1" readingOrder="1"/>
    </xf>
    <xf numFmtId="0" fontId="1" fillId="0" borderId="2" xfId="49" applyNumberFormat="1" applyFont="1" applyFill="1" applyBorder="1" applyAlignment="1">
      <alignment horizontal="center" vertical="top" wrapText="1" readingOrder="1"/>
    </xf>
    <xf numFmtId="177" fontId="1" fillId="0" borderId="8" xfId="49" applyNumberFormat="1" applyFont="1" applyFill="1" applyBorder="1" applyAlignment="1">
      <alignment vertical="top" wrapText="1" readingOrder="1"/>
    </xf>
    <xf numFmtId="0" fontId="1" fillId="0" borderId="8" xfId="49" applyNumberFormat="1" applyFont="1" applyFill="1" applyBorder="1" applyAlignment="1">
      <alignment vertical="top" wrapText="1" readingOrder="1"/>
    </xf>
    <xf numFmtId="0" fontId="1" fillId="0" borderId="8" xfId="49" applyNumberFormat="1" applyFont="1" applyFill="1" applyBorder="1" applyAlignment="1">
      <alignment horizontal="center" vertical="top" wrapText="1" readingOrder="1"/>
    </xf>
    <xf numFmtId="0" fontId="0" fillId="0" borderId="9" xfId="49" applyNumberFormat="1" applyFont="1" applyFill="1" applyBorder="1" applyAlignment="1">
      <alignment vertical="top" wrapText="1"/>
    </xf>
    <xf numFmtId="176" fontId="1" fillId="0" borderId="8" xfId="49" applyNumberFormat="1" applyFont="1" applyFill="1" applyBorder="1" applyAlignment="1">
      <alignment horizontal="center" vertical="top" wrapText="1" readingOrder="1"/>
    </xf>
    <xf numFmtId="0" fontId="3" fillId="2" borderId="2" xfId="49" applyNumberFormat="1" applyFont="1" applyFill="1" applyBorder="1" applyAlignment="1">
      <alignment vertical="top" wrapText="1" readingOrder="1"/>
    </xf>
    <xf numFmtId="177" fontId="1" fillId="0" borderId="2" xfId="49" applyNumberFormat="1" applyFont="1" applyFill="1" applyBorder="1" applyAlignment="1">
      <alignment vertical="top" wrapText="1" readingOrder="1"/>
    </xf>
    <xf numFmtId="0" fontId="1" fillId="0" borderId="2" xfId="49" applyNumberFormat="1" applyFont="1" applyFill="1" applyBorder="1" applyAlignment="1">
      <alignment vertical="top" wrapText="1" readingOrder="1"/>
    </xf>
    <xf numFmtId="176" fontId="1" fillId="0" borderId="2" xfId="49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0" fillId="0" borderId="10" xfId="0" applyNumberFormat="1" applyFont="1" applyFill="1" applyBorder="1" applyAlignment="1">
      <alignment vertical="top" wrapText="1"/>
    </xf>
    <xf numFmtId="0" fontId="1" fillId="0" borderId="10" xfId="0" applyNumberFormat="1" applyFont="1" applyFill="1" applyBorder="1" applyAlignment="1">
      <alignment vertical="top" wrapText="1" readingOrder="1"/>
    </xf>
    <xf numFmtId="0" fontId="1" fillId="0" borderId="11" xfId="0" applyNumberFormat="1" applyFont="1" applyFill="1" applyBorder="1" applyAlignment="1">
      <alignment horizontal="center"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horizontal="center" vertical="top" wrapText="1" readingOrder="1"/>
    </xf>
    <xf numFmtId="176" fontId="4" fillId="3" borderId="2" xfId="0" applyNumberFormat="1" applyFont="1" applyFill="1" applyBorder="1" applyAlignment="1">
      <alignment horizontal="center" vertical="top" wrapText="1" readingOrder="1"/>
    </xf>
    <xf numFmtId="177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horizontal="center" vertical="top" wrapText="1" readingOrder="1"/>
    </xf>
    <xf numFmtId="176" fontId="1" fillId="0" borderId="2" xfId="0" applyNumberFormat="1" applyFont="1" applyFill="1" applyBorder="1" applyAlignment="1">
      <alignment horizontal="center" vertical="top" wrapText="1" readingOrder="1"/>
    </xf>
    <xf numFmtId="0" fontId="3" fillId="2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horizontal="center" vertical="top" wrapText="1" readingOrder="1"/>
    </xf>
    <xf numFmtId="176" fontId="3" fillId="2" borderId="2" xfId="0" applyNumberFormat="1" applyFont="1" applyFill="1" applyBorder="1" applyAlignment="1">
      <alignment horizontal="center" vertical="top" wrapText="1" readingOrder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0" fontId="10" fillId="0" borderId="6" xfId="0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 readingOrder="1"/>
    </xf>
    <xf numFmtId="176" fontId="11" fillId="0" borderId="6" xfId="49" applyNumberFormat="1" applyFont="1" applyFill="1" applyBorder="1" applyAlignment="1">
      <alignment horizontal="center" vertical="center" wrapText="1" readingOrder="1"/>
    </xf>
    <xf numFmtId="176" fontId="4" fillId="0" borderId="6" xfId="49" applyNumberFormat="1" applyFont="1" applyFill="1" applyBorder="1" applyAlignment="1">
      <alignment horizontal="center" vertical="center" wrapText="1" readingOrder="1"/>
    </xf>
    <xf numFmtId="0" fontId="0" fillId="0" borderId="6" xfId="0" applyFont="1" applyFill="1" applyBorder="1" applyAlignment="1"/>
    <xf numFmtId="178" fontId="9" fillId="0" borderId="6" xfId="0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H8" sqref="H8"/>
    </sheetView>
  </sheetViews>
  <sheetFormatPr defaultColWidth="9" defaultRowHeight="35" customHeight="1"/>
  <cols>
    <col min="1" max="1" width="23.675" customWidth="1"/>
    <col min="2" max="2" width="15.0083333333333" customWidth="1"/>
    <col min="3" max="3" width="19.0083333333333" customWidth="1"/>
    <col min="4" max="4" width="25.5083333333333" customWidth="1"/>
    <col min="5" max="5" width="15.0083333333333" customWidth="1"/>
    <col min="6" max="6" width="19.0083333333333" customWidth="1"/>
  </cols>
  <sheetData>
    <row r="1" customFormat="1" customHeight="1" spans="1:9">
      <c r="A1" s="51" t="s">
        <v>0</v>
      </c>
      <c r="B1" s="52"/>
      <c r="C1" s="52"/>
      <c r="D1" s="52"/>
      <c r="E1" s="52"/>
      <c r="F1" s="53"/>
    </row>
    <row r="2" customFormat="1" customHeight="1" spans="1:9">
      <c r="A2" s="54" t="s">
        <v>1</v>
      </c>
      <c r="B2" s="54" t="s">
        <v>2</v>
      </c>
      <c r="C2" s="54" t="s">
        <v>3</v>
      </c>
      <c r="D2" s="54" t="s">
        <v>1</v>
      </c>
      <c r="E2" s="54" t="s">
        <v>2</v>
      </c>
      <c r="F2" s="54" t="s">
        <v>3</v>
      </c>
    </row>
    <row r="3" customFormat="1" customHeight="1" spans="1:9">
      <c r="A3" s="55" t="s">
        <v>4</v>
      </c>
      <c r="B3" s="56">
        <v>1033</v>
      </c>
      <c r="C3" s="55"/>
      <c r="D3" s="55" t="s">
        <v>5</v>
      </c>
      <c r="E3" s="56">
        <v>1163</v>
      </c>
      <c r="F3" s="55"/>
    </row>
    <row r="4" customFormat="1" customHeight="1" spans="1:9">
      <c r="A4" s="55" t="s">
        <v>6</v>
      </c>
      <c r="B4" s="56">
        <v>364</v>
      </c>
      <c r="C4" s="55"/>
      <c r="D4" s="55" t="s">
        <v>7</v>
      </c>
      <c r="E4" s="56">
        <v>394.5</v>
      </c>
      <c r="F4" s="55"/>
    </row>
    <row r="5" customFormat="1" customHeight="1" spans="1:9">
      <c r="A5" s="55" t="s">
        <v>8</v>
      </c>
      <c r="B5" s="56">
        <v>127.5</v>
      </c>
      <c r="C5" s="55"/>
      <c r="D5" s="55" t="s">
        <v>9</v>
      </c>
      <c r="E5" s="56">
        <v>272</v>
      </c>
      <c r="F5" s="55"/>
    </row>
    <row r="6" customFormat="1" customHeight="1" spans="1:9">
      <c r="A6" s="55" t="s">
        <v>10</v>
      </c>
      <c r="B6" s="56">
        <v>1429</v>
      </c>
      <c r="C6" s="55"/>
      <c r="D6" s="55" t="s">
        <v>11</v>
      </c>
      <c r="E6" s="56">
        <v>460.5</v>
      </c>
      <c r="F6" s="55"/>
    </row>
    <row r="7" customFormat="1" customHeight="1" spans="1:9">
      <c r="A7" s="55" t="s">
        <v>12</v>
      </c>
      <c r="B7" s="56">
        <v>1379</v>
      </c>
      <c r="C7" s="55"/>
      <c r="D7" s="55" t="s">
        <v>13</v>
      </c>
      <c r="E7" s="56">
        <v>410</v>
      </c>
      <c r="F7" s="55"/>
    </row>
    <row r="8" customFormat="1" customHeight="1" spans="1:9">
      <c r="A8" s="55" t="s">
        <v>14</v>
      </c>
      <c r="B8" s="56">
        <v>122.5</v>
      </c>
      <c r="C8" s="55"/>
      <c r="D8" s="55" t="s">
        <v>15</v>
      </c>
      <c r="E8" s="56">
        <v>80</v>
      </c>
      <c r="F8" s="57"/>
    </row>
    <row r="9" customFormat="1" customHeight="1" spans="1:9">
      <c r="A9" s="55" t="s">
        <v>16</v>
      </c>
      <c r="B9" s="56">
        <v>3412</v>
      </c>
      <c r="C9" s="55"/>
      <c r="D9" s="55" t="s">
        <v>17</v>
      </c>
      <c r="E9" s="56">
        <v>8502.5</v>
      </c>
      <c r="F9" s="55"/>
    </row>
    <row r="10" customFormat="1" customHeight="1" spans="1:9">
      <c r="A10" s="55" t="s">
        <v>18</v>
      </c>
      <c r="B10" s="56">
        <v>215.5</v>
      </c>
      <c r="C10" s="55"/>
      <c r="D10" s="55" t="s">
        <v>19</v>
      </c>
      <c r="E10" s="56">
        <v>40</v>
      </c>
      <c r="F10" s="55"/>
    </row>
    <row r="11" customFormat="1" customHeight="1" spans="1:9">
      <c r="A11" s="55" t="s">
        <v>20</v>
      </c>
      <c r="B11" s="58">
        <v>46685</v>
      </c>
      <c r="C11" s="55"/>
      <c r="D11" s="55" t="s">
        <v>21</v>
      </c>
      <c r="E11" s="56">
        <v>570</v>
      </c>
      <c r="F11" s="55"/>
    </row>
    <row r="12" customFormat="1" customHeight="1" spans="1:9">
      <c r="A12" s="55" t="s">
        <v>22</v>
      </c>
      <c r="B12" s="56">
        <v>2345</v>
      </c>
      <c r="C12" s="55"/>
      <c r="D12" s="55" t="s">
        <v>23</v>
      </c>
      <c r="E12" s="56">
        <v>35</v>
      </c>
      <c r="F12" s="55"/>
    </row>
    <row r="13" customFormat="1" customHeight="1" spans="1:9">
      <c r="A13" s="55" t="s">
        <v>24</v>
      </c>
      <c r="B13" s="56">
        <v>786</v>
      </c>
      <c r="C13" s="55"/>
      <c r="D13" s="55" t="s">
        <v>25</v>
      </c>
      <c r="E13" s="56">
        <v>5</v>
      </c>
      <c r="F13" s="55"/>
      <c r="I13">
        <v>72348.5</v>
      </c>
    </row>
    <row r="14" customFormat="1" customHeight="1" spans="1:9">
      <c r="A14" s="55" t="s">
        <v>26</v>
      </c>
      <c r="B14" s="56">
        <v>14050</v>
      </c>
      <c r="C14" s="55"/>
      <c r="D14" s="55" t="s">
        <v>27</v>
      </c>
      <c r="E14" s="56">
        <v>443.5</v>
      </c>
      <c r="F14" s="55"/>
      <c r="I14">
        <v>15876</v>
      </c>
    </row>
    <row r="15" customFormat="1" customHeight="1" spans="1:9">
      <c r="A15" s="55" t="s">
        <v>28</v>
      </c>
      <c r="B15" s="56">
        <v>400</v>
      </c>
      <c r="C15" s="55"/>
      <c r="D15" s="55" t="s">
        <v>29</v>
      </c>
      <c r="E15" s="59">
        <v>3500</v>
      </c>
      <c r="F15" s="55"/>
      <c r="I15">
        <f>I13+I14</f>
        <v>88224.5</v>
      </c>
    </row>
    <row r="16" customFormat="1" hidden="1" customHeight="1" spans="1:9">
      <c r="B16" s="56"/>
      <c r="C16" s="55"/>
      <c r="D16" s="55"/>
      <c r="E16" s="60"/>
      <c r="F16" s="61"/>
    </row>
    <row r="17" customFormat="1" hidden="1" customHeight="1" spans="1:6">
      <c r="A17" s="61"/>
      <c r="B17" s="55"/>
      <c r="C17" s="55"/>
      <c r="D17" s="61"/>
      <c r="E17" s="62"/>
      <c r="F17" s="55"/>
    </row>
    <row r="18" customFormat="1" hidden="1" customHeight="1" spans="1:6">
      <c r="A18" s="61"/>
      <c r="B18" s="62"/>
      <c r="C18" s="55"/>
      <c r="D18" s="55"/>
      <c r="E18" s="55"/>
      <c r="F18" s="55"/>
    </row>
    <row r="19" customFormat="1" customHeight="1" spans="1:6">
      <c r="A19" s="55" t="s">
        <v>30</v>
      </c>
      <c r="B19" s="62">
        <v>88224.5</v>
      </c>
      <c r="C19" s="55"/>
      <c r="D19" s="63" t="s">
        <v>31</v>
      </c>
      <c r="E19" s="64"/>
      <c r="F19" s="65"/>
    </row>
    <row r="20" customFormat="1" customHeight="1" spans="1:6">
      <c r="A20" s="66" t="s">
        <v>32</v>
      </c>
      <c r="B20" s="66"/>
      <c r="C20" s="66"/>
      <c r="D20" s="66"/>
      <c r="E20" s="66"/>
      <c r="F20" s="66"/>
    </row>
  </sheetData>
  <mergeCells count="3">
    <mergeCell ref="A1:F1"/>
    <mergeCell ref="D19:F19"/>
    <mergeCell ref="A20:F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2:15">
      <c r="C1" s="34" t="s">
        <v>33</v>
      </c>
    </row>
    <row r="2" ht="23.05" customHeight="1"/>
    <row r="3" ht="2" customHeight="1"/>
    <row r="4" ht="15.2" customHeight="1" spans="2:15">
      <c r="B4" s="35" t="s">
        <v>34</v>
      </c>
    </row>
    <row r="6" ht="2.95" customHeight="1"/>
    <row r="7" ht="3.95" customHeight="1" spans="2:15">
      <c r="B7" s="37" t="s">
        <v>35</v>
      </c>
      <c r="C7" s="37" t="s">
        <v>35</v>
      </c>
      <c r="D7" s="37" t="s">
        <v>35</v>
      </c>
      <c r="E7" s="37" t="s">
        <v>35</v>
      </c>
      <c r="F7" s="37" t="s">
        <v>35</v>
      </c>
      <c r="G7" s="37" t="s">
        <v>35</v>
      </c>
      <c r="H7" s="37" t="s">
        <v>35</v>
      </c>
      <c r="I7" s="37" t="s">
        <v>35</v>
      </c>
      <c r="J7" s="37" t="s">
        <v>35</v>
      </c>
      <c r="K7" s="37" t="s">
        <v>35</v>
      </c>
    </row>
    <row r="8" ht="15" spans="2:15">
      <c r="C8" s="36" t="s">
        <v>35</v>
      </c>
      <c r="D8" s="48" t="s">
        <v>36</v>
      </c>
      <c r="E8" s="41" t="s">
        <v>35</v>
      </c>
      <c r="F8" s="41" t="s">
        <v>35</v>
      </c>
      <c r="G8" s="41" t="s">
        <v>35</v>
      </c>
      <c r="H8" s="41" t="s">
        <v>35</v>
      </c>
      <c r="I8" s="49"/>
      <c r="J8" s="50"/>
      <c r="K8" s="50"/>
    </row>
    <row r="9" spans="2:15">
      <c r="C9" s="36" t="s">
        <v>35</v>
      </c>
      <c r="D9" s="46" t="s">
        <v>37</v>
      </c>
      <c r="E9" s="46" t="s">
        <v>38</v>
      </c>
      <c r="F9" s="46" t="s">
        <v>39</v>
      </c>
      <c r="G9" s="46" t="s">
        <v>40</v>
      </c>
      <c r="H9" s="46" t="s">
        <v>41</v>
      </c>
      <c r="I9" s="46" t="s">
        <v>42</v>
      </c>
      <c r="J9" s="46" t="s">
        <v>43</v>
      </c>
      <c r="K9" s="46" t="s">
        <v>44</v>
      </c>
    </row>
    <row r="10" ht="14.25" spans="2:15">
      <c r="D10" s="40" t="s">
        <v>4</v>
      </c>
      <c r="E10" s="41" t="s">
        <v>35</v>
      </c>
      <c r="F10" s="41" t="s">
        <v>35</v>
      </c>
      <c r="G10" s="41" t="s">
        <v>35</v>
      </c>
      <c r="H10" s="41" t="s">
        <v>35</v>
      </c>
      <c r="I10" s="42">
        <v>28</v>
      </c>
      <c r="J10" s="43"/>
      <c r="K10" s="43">
        <v>1033</v>
      </c>
    </row>
    <row r="11" spans="2:15">
      <c r="D11" s="44">
        <v>46055</v>
      </c>
      <c r="E11" s="45">
        <v>1575556</v>
      </c>
      <c r="F11" s="45" t="s">
        <v>45</v>
      </c>
      <c r="G11" s="46">
        <v>20010275</v>
      </c>
      <c r="H11" s="45" t="s">
        <v>46</v>
      </c>
      <c r="I11" s="46">
        <v>1</v>
      </c>
      <c r="J11" s="47">
        <v>35</v>
      </c>
      <c r="K11" s="47">
        <v>35</v>
      </c>
    </row>
    <row r="12" spans="2:15">
      <c r="D12" s="44">
        <v>46056</v>
      </c>
      <c r="E12" s="45">
        <v>1575997</v>
      </c>
      <c r="F12" s="45" t="s">
        <v>45</v>
      </c>
      <c r="G12" s="46">
        <v>20010275</v>
      </c>
      <c r="H12" s="45" t="s">
        <v>46</v>
      </c>
      <c r="I12" s="46">
        <v>2</v>
      </c>
      <c r="J12" s="47">
        <v>35</v>
      </c>
      <c r="K12" s="47">
        <v>70</v>
      </c>
    </row>
    <row r="13" spans="2:15">
      <c r="D13" s="44">
        <v>46057</v>
      </c>
      <c r="E13" s="45">
        <v>1576258</v>
      </c>
      <c r="F13" s="45" t="s">
        <v>45</v>
      </c>
      <c r="G13" s="46">
        <v>20010275</v>
      </c>
      <c r="H13" s="45" t="s">
        <v>46</v>
      </c>
      <c r="I13" s="46">
        <v>2</v>
      </c>
      <c r="J13" s="47">
        <v>35</v>
      </c>
      <c r="K13" s="47">
        <v>70</v>
      </c>
      <c r="O13">
        <f>K10+耳鼻喉门诊!K8+妇产科病房!K8+妇产科门诊!K8+肛肠科!K8+'供应室（手术室）'!K8+急诊!K8+甲乳外科!K8+康复中心D区!K8+'口腔科(内)'!K8+'口腔科(外)'!K8+'口腔科（正）'!K8+口腔修复诊室!K8+门诊手术室!K8+泌尿外科!K8+皮肤科!K8+手术室!K8+胃肠肝胆外科!K8+'胃镜室（消化内科）'!K8+心内二!K8+血液透析室!K8+眼科!K8+医疗美容!K8+大博!I2+星檀!I2+钇嵩!H2</f>
        <v>88224.5</v>
      </c>
    </row>
    <row r="14" spans="2:15">
      <c r="D14" s="44">
        <v>46058</v>
      </c>
      <c r="E14" s="45">
        <v>1576676</v>
      </c>
      <c r="F14" s="45" t="s">
        <v>45</v>
      </c>
      <c r="G14" s="46">
        <v>20010275</v>
      </c>
      <c r="H14" s="45" t="s">
        <v>46</v>
      </c>
      <c r="I14" s="46">
        <v>1</v>
      </c>
      <c r="J14" s="47">
        <v>35</v>
      </c>
      <c r="K14" s="47">
        <v>35</v>
      </c>
    </row>
    <row r="15" spans="2:15">
      <c r="D15" s="44">
        <v>46059</v>
      </c>
      <c r="E15" s="45">
        <v>1576934</v>
      </c>
      <c r="F15" s="45" t="s">
        <v>45</v>
      </c>
      <c r="G15" s="46">
        <v>20010275</v>
      </c>
      <c r="H15" s="45" t="s">
        <v>46</v>
      </c>
      <c r="I15" s="46">
        <v>1</v>
      </c>
      <c r="J15" s="47">
        <v>35</v>
      </c>
      <c r="K15" s="47">
        <v>35</v>
      </c>
    </row>
    <row r="16" spans="2:15">
      <c r="D16" s="44">
        <v>46062</v>
      </c>
      <c r="E16" s="45">
        <v>1577427</v>
      </c>
      <c r="F16" s="45" t="s">
        <v>45</v>
      </c>
      <c r="G16" s="46">
        <v>20010275</v>
      </c>
      <c r="H16" s="45" t="s">
        <v>46</v>
      </c>
      <c r="I16" s="46">
        <v>2</v>
      </c>
      <c r="J16" s="47">
        <v>35</v>
      </c>
      <c r="K16" s="47">
        <v>70</v>
      </c>
    </row>
    <row r="17" spans="4:11">
      <c r="D17" s="44">
        <v>46063</v>
      </c>
      <c r="E17" s="45">
        <v>1577762</v>
      </c>
      <c r="F17" s="45" t="s">
        <v>45</v>
      </c>
      <c r="G17" s="46">
        <v>20010275</v>
      </c>
      <c r="H17" s="45" t="s">
        <v>46</v>
      </c>
      <c r="I17" s="46">
        <v>2</v>
      </c>
      <c r="J17" s="47">
        <v>35</v>
      </c>
      <c r="K17" s="47">
        <v>70</v>
      </c>
    </row>
    <row r="18" spans="4:11">
      <c r="D18" s="44">
        <v>46064</v>
      </c>
      <c r="E18" s="45">
        <v>1578135</v>
      </c>
      <c r="F18" s="45" t="s">
        <v>45</v>
      </c>
      <c r="G18" s="46">
        <v>20010275</v>
      </c>
      <c r="H18" s="45" t="s">
        <v>46</v>
      </c>
      <c r="I18" s="46">
        <v>1</v>
      </c>
      <c r="J18" s="47">
        <v>35</v>
      </c>
      <c r="K18" s="47">
        <v>35</v>
      </c>
    </row>
    <row r="19" spans="4:11">
      <c r="D19" s="44">
        <v>46065</v>
      </c>
      <c r="E19" s="45">
        <v>1578412</v>
      </c>
      <c r="F19" s="45" t="s">
        <v>45</v>
      </c>
      <c r="G19" s="46">
        <v>20010275</v>
      </c>
      <c r="H19" s="45" t="s">
        <v>46</v>
      </c>
      <c r="I19" s="46">
        <v>2</v>
      </c>
      <c r="J19" s="47">
        <v>35</v>
      </c>
      <c r="K19" s="47">
        <v>70</v>
      </c>
    </row>
    <row r="20" spans="4:11">
      <c r="D20" s="44">
        <v>46066</v>
      </c>
      <c r="E20" s="45">
        <v>1578761</v>
      </c>
      <c r="F20" s="45" t="s">
        <v>45</v>
      </c>
      <c r="G20" s="46">
        <v>20010275</v>
      </c>
      <c r="H20" s="45" t="s">
        <v>46</v>
      </c>
      <c r="I20" s="46">
        <v>1</v>
      </c>
      <c r="J20" s="47">
        <v>35</v>
      </c>
      <c r="K20" s="47">
        <v>35</v>
      </c>
    </row>
    <row r="21" spans="4:11">
      <c r="D21" s="44">
        <v>46067</v>
      </c>
      <c r="E21" s="45">
        <v>1578938</v>
      </c>
      <c r="F21" s="45" t="s">
        <v>45</v>
      </c>
      <c r="G21" s="46">
        <v>20010275</v>
      </c>
      <c r="H21" s="45" t="s">
        <v>46</v>
      </c>
      <c r="I21" s="46">
        <v>1</v>
      </c>
      <c r="J21" s="47">
        <v>35</v>
      </c>
      <c r="K21" s="47">
        <v>35</v>
      </c>
    </row>
    <row r="22" spans="4:11">
      <c r="D22" s="44">
        <v>46074</v>
      </c>
      <c r="E22" s="45">
        <v>1579392</v>
      </c>
      <c r="F22" s="45" t="s">
        <v>45</v>
      </c>
      <c r="G22" s="46">
        <v>20010275</v>
      </c>
      <c r="H22" s="45" t="s">
        <v>46</v>
      </c>
      <c r="I22" s="46">
        <v>1</v>
      </c>
      <c r="J22" s="47">
        <v>35</v>
      </c>
      <c r="K22" s="47">
        <v>35</v>
      </c>
    </row>
    <row r="23" spans="4:11">
      <c r="D23" s="44">
        <v>46077</v>
      </c>
      <c r="E23" s="45">
        <v>1579741</v>
      </c>
      <c r="F23" s="45" t="s">
        <v>45</v>
      </c>
      <c r="G23" s="46">
        <v>20010275</v>
      </c>
      <c r="H23" s="45" t="s">
        <v>46</v>
      </c>
      <c r="I23" s="46">
        <v>4</v>
      </c>
      <c r="J23" s="47">
        <v>35</v>
      </c>
      <c r="K23" s="47">
        <v>140</v>
      </c>
    </row>
    <row r="24" spans="4:11">
      <c r="D24" s="44">
        <v>46077</v>
      </c>
      <c r="E24" s="45">
        <v>1579825</v>
      </c>
      <c r="F24" s="45" t="s">
        <v>47</v>
      </c>
      <c r="G24" s="46">
        <v>20009906</v>
      </c>
      <c r="H24" s="45" t="s">
        <v>48</v>
      </c>
      <c r="I24" s="46">
        <v>1</v>
      </c>
      <c r="J24" s="47">
        <v>88</v>
      </c>
      <c r="K24" s="47">
        <v>88</v>
      </c>
    </row>
    <row r="25" spans="4:11">
      <c r="D25" s="44">
        <v>46078</v>
      </c>
      <c r="E25" s="45">
        <v>1580116</v>
      </c>
      <c r="F25" s="45" t="s">
        <v>45</v>
      </c>
      <c r="G25" s="46">
        <v>20010275</v>
      </c>
      <c r="H25" s="45" t="s">
        <v>46</v>
      </c>
      <c r="I25" s="46">
        <v>3</v>
      </c>
      <c r="J25" s="47">
        <v>35</v>
      </c>
      <c r="K25" s="47">
        <v>105</v>
      </c>
    </row>
    <row r="26" spans="4:11">
      <c r="D26" s="44">
        <v>46079</v>
      </c>
      <c r="E26" s="45">
        <v>1580398</v>
      </c>
      <c r="F26" s="45" t="s">
        <v>45</v>
      </c>
      <c r="G26" s="46">
        <v>20010275</v>
      </c>
      <c r="H26" s="45" t="s">
        <v>46</v>
      </c>
      <c r="I26" s="46">
        <v>1</v>
      </c>
      <c r="J26" s="47">
        <v>35</v>
      </c>
      <c r="K26" s="47">
        <v>35</v>
      </c>
    </row>
    <row r="27" spans="4:11">
      <c r="D27" s="44">
        <v>46080</v>
      </c>
      <c r="E27" s="45">
        <v>1580790</v>
      </c>
      <c r="F27" s="45" t="s">
        <v>45</v>
      </c>
      <c r="G27" s="46">
        <v>20010275</v>
      </c>
      <c r="H27" s="45" t="s">
        <v>46</v>
      </c>
      <c r="I27" s="46">
        <v>1</v>
      </c>
      <c r="J27" s="47">
        <v>35</v>
      </c>
      <c r="K27" s="47">
        <v>35</v>
      </c>
    </row>
    <row r="28" spans="4:11">
      <c r="D28" s="44">
        <v>46081</v>
      </c>
      <c r="E28" s="45">
        <v>1581084</v>
      </c>
      <c r="F28" s="45" t="s">
        <v>45</v>
      </c>
      <c r="G28" s="46">
        <v>20010275</v>
      </c>
      <c r="H28" s="45" t="s">
        <v>46</v>
      </c>
      <c r="I28" s="46">
        <v>1</v>
      </c>
      <c r="J28" s="47">
        <v>35</v>
      </c>
      <c r="K28" s="47">
        <v>35</v>
      </c>
    </row>
    <row r="29" ht="0.05" customHeight="1"/>
  </sheetData>
  <mergeCells count="6">
    <mergeCell ref="D8:H8"/>
    <mergeCell ref="D10:H10"/>
    <mergeCell ref="C9:C28"/>
    <mergeCell ref="B4:H5"/>
    <mergeCell ref="C1:H2"/>
    <mergeCell ref="A8:B2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L16" sqref="L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5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55</v>
      </c>
      <c r="J8" s="43"/>
      <c r="K8" s="43">
        <v>1163</v>
      </c>
    </row>
    <row r="9" spans="1:11">
      <c r="D9" s="44">
        <v>46056</v>
      </c>
      <c r="E9" s="45">
        <v>1575645</v>
      </c>
      <c r="F9" s="45" t="s">
        <v>49</v>
      </c>
      <c r="G9" s="46">
        <v>20009921</v>
      </c>
      <c r="H9" s="45" t="s">
        <v>50</v>
      </c>
      <c r="I9" s="46">
        <v>1</v>
      </c>
      <c r="J9" s="47">
        <v>8</v>
      </c>
      <c r="K9" s="47">
        <v>8</v>
      </c>
    </row>
    <row r="10" spans="1:11">
      <c r="D10" s="44">
        <v>46056</v>
      </c>
      <c r="E10" s="45">
        <v>1575645</v>
      </c>
      <c r="F10" s="45" t="s">
        <v>49</v>
      </c>
      <c r="G10" s="46">
        <v>20320892</v>
      </c>
      <c r="H10" s="45" t="s">
        <v>51</v>
      </c>
      <c r="I10" s="46">
        <v>3</v>
      </c>
      <c r="J10" s="47">
        <v>27.5</v>
      </c>
      <c r="K10" s="47">
        <v>82.5</v>
      </c>
    </row>
    <row r="11" spans="1:11">
      <c r="D11" s="44">
        <v>46056</v>
      </c>
      <c r="E11" s="45">
        <v>1575645</v>
      </c>
      <c r="F11" s="45" t="s">
        <v>49</v>
      </c>
      <c r="G11" s="46">
        <v>20315079</v>
      </c>
      <c r="H11" s="45" t="s">
        <v>52</v>
      </c>
      <c r="I11" s="46">
        <v>1</v>
      </c>
      <c r="J11" s="47">
        <v>33</v>
      </c>
      <c r="K11" s="47">
        <v>33</v>
      </c>
    </row>
    <row r="12" spans="1:11">
      <c r="D12" s="44">
        <v>46056</v>
      </c>
      <c r="E12" s="45">
        <v>1575645</v>
      </c>
      <c r="F12" s="45" t="s">
        <v>53</v>
      </c>
      <c r="G12" s="46">
        <v>20394084</v>
      </c>
      <c r="H12" s="45" t="s">
        <v>54</v>
      </c>
      <c r="I12" s="46">
        <v>1</v>
      </c>
      <c r="J12" s="47">
        <v>16.5</v>
      </c>
      <c r="K12" s="47">
        <v>16.5</v>
      </c>
    </row>
    <row r="13" spans="1:11">
      <c r="D13" s="44">
        <v>46057</v>
      </c>
      <c r="E13" s="45">
        <v>1576319</v>
      </c>
      <c r="F13" s="45" t="s">
        <v>49</v>
      </c>
      <c r="G13" s="46">
        <v>20013270</v>
      </c>
      <c r="H13" s="45" t="s">
        <v>55</v>
      </c>
      <c r="I13" s="46">
        <v>1</v>
      </c>
      <c r="J13" s="47">
        <v>16.5</v>
      </c>
      <c r="K13" s="47">
        <v>16.5</v>
      </c>
    </row>
    <row r="14" spans="1:11">
      <c r="D14" s="44">
        <v>46057</v>
      </c>
      <c r="E14" s="45">
        <v>1576319</v>
      </c>
      <c r="F14" s="45" t="s">
        <v>49</v>
      </c>
      <c r="G14" s="46">
        <v>20320892</v>
      </c>
      <c r="H14" s="45" t="s">
        <v>51</v>
      </c>
      <c r="I14" s="46">
        <v>2</v>
      </c>
      <c r="J14" s="47">
        <v>27.5</v>
      </c>
      <c r="K14" s="47">
        <v>55</v>
      </c>
    </row>
    <row r="15" spans="1:11">
      <c r="D15" s="44">
        <v>46057</v>
      </c>
      <c r="E15" s="45">
        <v>1576319</v>
      </c>
      <c r="F15" s="45" t="s">
        <v>49</v>
      </c>
      <c r="G15" s="46">
        <v>20313708</v>
      </c>
      <c r="H15" s="45" t="s">
        <v>56</v>
      </c>
      <c r="I15" s="46">
        <v>1</v>
      </c>
      <c r="J15" s="47">
        <v>27.5</v>
      </c>
      <c r="K15" s="47">
        <v>27.5</v>
      </c>
    </row>
    <row r="16" spans="1:11">
      <c r="D16" s="44">
        <v>46060</v>
      </c>
      <c r="E16" s="45">
        <v>1577007</v>
      </c>
      <c r="F16" s="45" t="s">
        <v>49</v>
      </c>
      <c r="G16" s="46">
        <v>20320892</v>
      </c>
      <c r="H16" s="45" t="s">
        <v>51</v>
      </c>
      <c r="I16" s="46">
        <v>1</v>
      </c>
      <c r="J16" s="47">
        <v>27.5</v>
      </c>
      <c r="K16" s="47">
        <v>27.5</v>
      </c>
    </row>
    <row r="17" spans="4:11">
      <c r="D17" s="44">
        <v>46060</v>
      </c>
      <c r="E17" s="45">
        <v>1577007</v>
      </c>
      <c r="F17" s="45" t="s">
        <v>49</v>
      </c>
      <c r="G17" s="46">
        <v>20313287</v>
      </c>
      <c r="H17" s="45" t="s">
        <v>57</v>
      </c>
      <c r="I17" s="46">
        <v>1</v>
      </c>
      <c r="J17" s="47">
        <v>22</v>
      </c>
      <c r="K17" s="47">
        <v>22</v>
      </c>
    </row>
    <row r="18" spans="4:11">
      <c r="D18" s="44">
        <v>46062</v>
      </c>
      <c r="E18" s="45">
        <v>1577508</v>
      </c>
      <c r="F18" s="45" t="s">
        <v>49</v>
      </c>
      <c r="G18" s="46">
        <v>20320892</v>
      </c>
      <c r="H18" s="45" t="s">
        <v>51</v>
      </c>
      <c r="I18" s="46">
        <v>2</v>
      </c>
      <c r="J18" s="47">
        <v>27.5</v>
      </c>
      <c r="K18" s="47">
        <v>55</v>
      </c>
    </row>
    <row r="19" spans="4:11">
      <c r="D19" s="44">
        <v>46062</v>
      </c>
      <c r="E19" s="45">
        <v>1577508</v>
      </c>
      <c r="F19" s="45" t="s">
        <v>49</v>
      </c>
      <c r="G19" s="46">
        <v>20313708</v>
      </c>
      <c r="H19" s="45" t="s">
        <v>56</v>
      </c>
      <c r="I19" s="46">
        <v>1</v>
      </c>
      <c r="J19" s="47">
        <v>27.5</v>
      </c>
      <c r="K19" s="47">
        <v>27.5</v>
      </c>
    </row>
    <row r="20" spans="4:11">
      <c r="D20" s="44">
        <v>46062</v>
      </c>
      <c r="E20" s="45">
        <v>1577508</v>
      </c>
      <c r="F20" s="45" t="s">
        <v>53</v>
      </c>
      <c r="G20" s="46">
        <v>20394085</v>
      </c>
      <c r="H20" s="45" t="s">
        <v>58</v>
      </c>
      <c r="I20" s="46">
        <v>1</v>
      </c>
      <c r="J20" s="47">
        <v>16.5</v>
      </c>
      <c r="K20" s="47">
        <v>16.5</v>
      </c>
    </row>
    <row r="21" spans="4:11">
      <c r="D21" s="44">
        <v>46064</v>
      </c>
      <c r="E21" s="45">
        <v>1578136</v>
      </c>
      <c r="F21" s="45" t="s">
        <v>49</v>
      </c>
      <c r="G21" s="46">
        <v>20320892</v>
      </c>
      <c r="H21" s="45" t="s">
        <v>51</v>
      </c>
      <c r="I21" s="46">
        <v>1</v>
      </c>
      <c r="J21" s="47">
        <v>27.5</v>
      </c>
      <c r="K21" s="47">
        <v>27.5</v>
      </c>
    </row>
    <row r="22" spans="4:11">
      <c r="D22" s="44">
        <v>46064</v>
      </c>
      <c r="E22" s="45">
        <v>1578136</v>
      </c>
      <c r="F22" s="45" t="s">
        <v>49</v>
      </c>
      <c r="G22" s="46">
        <v>20313287</v>
      </c>
      <c r="H22" s="45" t="s">
        <v>57</v>
      </c>
      <c r="I22" s="46">
        <v>1</v>
      </c>
      <c r="J22" s="47">
        <v>22</v>
      </c>
      <c r="K22" s="47">
        <v>22</v>
      </c>
    </row>
    <row r="23" spans="4:11">
      <c r="D23" s="44">
        <v>46064</v>
      </c>
      <c r="E23" s="45">
        <v>1578136</v>
      </c>
      <c r="F23" s="45" t="s">
        <v>53</v>
      </c>
      <c r="G23" s="46">
        <v>20394084</v>
      </c>
      <c r="H23" s="45" t="s">
        <v>54</v>
      </c>
      <c r="I23" s="46">
        <v>2</v>
      </c>
      <c r="J23" s="47">
        <v>16.5</v>
      </c>
      <c r="K23" s="47">
        <v>33</v>
      </c>
    </row>
    <row r="24" spans="4:11">
      <c r="D24" s="44">
        <v>46064</v>
      </c>
      <c r="E24" s="45">
        <v>1578136</v>
      </c>
      <c r="F24" s="45" t="s">
        <v>59</v>
      </c>
      <c r="G24" s="46">
        <v>20011224</v>
      </c>
      <c r="H24" s="45" t="s">
        <v>60</v>
      </c>
      <c r="I24" s="46">
        <v>1</v>
      </c>
      <c r="J24" s="47">
        <v>4</v>
      </c>
      <c r="K24" s="47">
        <v>4</v>
      </c>
    </row>
    <row r="25" spans="4:11">
      <c r="D25" s="44">
        <v>46067</v>
      </c>
      <c r="E25" s="45">
        <v>1578988</v>
      </c>
      <c r="F25" s="45" t="s">
        <v>49</v>
      </c>
      <c r="G25" s="46">
        <v>20013270</v>
      </c>
      <c r="H25" s="45" t="s">
        <v>55</v>
      </c>
      <c r="I25" s="46">
        <v>1</v>
      </c>
      <c r="J25" s="47">
        <v>16.5</v>
      </c>
      <c r="K25" s="47">
        <v>16.5</v>
      </c>
    </row>
    <row r="26" spans="4:11">
      <c r="D26" s="44">
        <v>46067</v>
      </c>
      <c r="E26" s="45">
        <v>1578988</v>
      </c>
      <c r="F26" s="45" t="s">
        <v>49</v>
      </c>
      <c r="G26" s="46">
        <v>20320892</v>
      </c>
      <c r="H26" s="45" t="s">
        <v>51</v>
      </c>
      <c r="I26" s="46">
        <v>2</v>
      </c>
      <c r="J26" s="47">
        <v>27.5</v>
      </c>
      <c r="K26" s="47">
        <v>55</v>
      </c>
    </row>
    <row r="27" spans="4:11">
      <c r="D27" s="44">
        <v>46067</v>
      </c>
      <c r="E27" s="45">
        <v>1578988</v>
      </c>
      <c r="F27" s="45" t="s">
        <v>49</v>
      </c>
      <c r="G27" s="46">
        <v>20014144</v>
      </c>
      <c r="H27" s="45" t="s">
        <v>61</v>
      </c>
      <c r="I27" s="46">
        <v>1</v>
      </c>
      <c r="J27" s="47">
        <v>8</v>
      </c>
      <c r="K27" s="47">
        <v>8</v>
      </c>
    </row>
    <row r="28" spans="4:11">
      <c r="D28" s="44">
        <v>46067</v>
      </c>
      <c r="E28" s="45">
        <v>1578988</v>
      </c>
      <c r="F28" s="45" t="s">
        <v>53</v>
      </c>
      <c r="G28" s="46">
        <v>20394084</v>
      </c>
      <c r="H28" s="45" t="s">
        <v>54</v>
      </c>
      <c r="I28" s="46">
        <v>1</v>
      </c>
      <c r="J28" s="47">
        <v>16.5</v>
      </c>
      <c r="K28" s="47">
        <v>16.5</v>
      </c>
    </row>
    <row r="29" spans="4:11">
      <c r="D29" s="44">
        <v>46070</v>
      </c>
      <c r="E29" s="45">
        <v>1579137</v>
      </c>
      <c r="F29" s="45" t="s">
        <v>49</v>
      </c>
      <c r="G29" s="46">
        <v>20315613</v>
      </c>
      <c r="H29" s="45" t="s">
        <v>62</v>
      </c>
      <c r="I29" s="46">
        <v>1</v>
      </c>
      <c r="J29" s="47">
        <v>27.5</v>
      </c>
      <c r="K29" s="47">
        <v>27.5</v>
      </c>
    </row>
    <row r="30" spans="4:11">
      <c r="D30" s="44">
        <v>46070</v>
      </c>
      <c r="E30" s="45">
        <v>1579137</v>
      </c>
      <c r="F30" s="45" t="s">
        <v>49</v>
      </c>
      <c r="G30" s="46">
        <v>20320892</v>
      </c>
      <c r="H30" s="45" t="s">
        <v>51</v>
      </c>
      <c r="I30" s="46">
        <v>1</v>
      </c>
      <c r="J30" s="47">
        <v>27.5</v>
      </c>
      <c r="K30" s="47">
        <v>27.5</v>
      </c>
    </row>
    <row r="31" spans="4:11">
      <c r="D31" s="44">
        <v>46070</v>
      </c>
      <c r="E31" s="45">
        <v>1579137</v>
      </c>
      <c r="F31" s="45" t="s">
        <v>49</v>
      </c>
      <c r="G31" s="46">
        <v>20313287</v>
      </c>
      <c r="H31" s="45" t="s">
        <v>57</v>
      </c>
      <c r="I31" s="46">
        <v>1</v>
      </c>
      <c r="J31" s="47">
        <v>22</v>
      </c>
      <c r="K31" s="47">
        <v>22</v>
      </c>
    </row>
    <row r="32" spans="4:11">
      <c r="D32" s="44">
        <v>46074</v>
      </c>
      <c r="E32" s="45">
        <v>1579393</v>
      </c>
      <c r="F32" s="45" t="s">
        <v>49</v>
      </c>
      <c r="G32" s="46">
        <v>20320892</v>
      </c>
      <c r="H32" s="45" t="s">
        <v>51</v>
      </c>
      <c r="I32" s="46">
        <v>3</v>
      </c>
      <c r="J32" s="47">
        <v>27.5</v>
      </c>
      <c r="K32" s="47">
        <v>82.5</v>
      </c>
    </row>
    <row r="33" spans="4:11">
      <c r="D33" s="44">
        <v>46074</v>
      </c>
      <c r="E33" s="45">
        <v>1579393</v>
      </c>
      <c r="F33" s="45" t="s">
        <v>49</v>
      </c>
      <c r="G33" s="46">
        <v>20313708</v>
      </c>
      <c r="H33" s="45" t="s">
        <v>56</v>
      </c>
      <c r="I33" s="46">
        <v>1</v>
      </c>
      <c r="J33" s="47">
        <v>27.5</v>
      </c>
      <c r="K33" s="47">
        <v>27.5</v>
      </c>
    </row>
    <row r="34" spans="4:11">
      <c r="D34" s="44">
        <v>46074</v>
      </c>
      <c r="E34" s="45">
        <v>1579393</v>
      </c>
      <c r="F34" s="45" t="s">
        <v>53</v>
      </c>
      <c r="G34" s="46">
        <v>20394084</v>
      </c>
      <c r="H34" s="45" t="s">
        <v>54</v>
      </c>
      <c r="I34" s="46">
        <v>3</v>
      </c>
      <c r="J34" s="47">
        <v>16.5</v>
      </c>
      <c r="K34" s="47">
        <v>49.5</v>
      </c>
    </row>
    <row r="35" spans="4:11">
      <c r="D35" s="44">
        <v>46078</v>
      </c>
      <c r="E35" s="45">
        <v>1580117</v>
      </c>
      <c r="F35" s="45" t="s">
        <v>49</v>
      </c>
      <c r="G35" s="46">
        <v>20013270</v>
      </c>
      <c r="H35" s="45" t="s">
        <v>55</v>
      </c>
      <c r="I35" s="46">
        <v>1</v>
      </c>
      <c r="J35" s="47">
        <v>16.5</v>
      </c>
      <c r="K35" s="47">
        <v>16.5</v>
      </c>
    </row>
    <row r="36" spans="4:11">
      <c r="D36" s="44">
        <v>46078</v>
      </c>
      <c r="E36" s="45">
        <v>1580117</v>
      </c>
      <c r="F36" s="45" t="s">
        <v>49</v>
      </c>
      <c r="G36" s="46">
        <v>20014734</v>
      </c>
      <c r="H36" s="45" t="s">
        <v>63</v>
      </c>
      <c r="I36" s="46">
        <v>1</v>
      </c>
      <c r="J36" s="47">
        <v>22</v>
      </c>
      <c r="K36" s="47">
        <v>22</v>
      </c>
    </row>
    <row r="37" spans="4:11">
      <c r="D37" s="44">
        <v>46078</v>
      </c>
      <c r="E37" s="45">
        <v>1580117</v>
      </c>
      <c r="F37" s="45" t="s">
        <v>49</v>
      </c>
      <c r="G37" s="46">
        <v>20320892</v>
      </c>
      <c r="H37" s="45" t="s">
        <v>51</v>
      </c>
      <c r="I37" s="46">
        <v>3</v>
      </c>
      <c r="J37" s="47">
        <v>27.5</v>
      </c>
      <c r="K37" s="47">
        <v>82.5</v>
      </c>
    </row>
    <row r="38" spans="4:11">
      <c r="D38" s="44">
        <v>46078</v>
      </c>
      <c r="E38" s="45">
        <v>1580117</v>
      </c>
      <c r="F38" s="45" t="s">
        <v>49</v>
      </c>
      <c r="G38" s="46">
        <v>20014845</v>
      </c>
      <c r="H38" s="45" t="s">
        <v>64</v>
      </c>
      <c r="I38" s="46">
        <v>2</v>
      </c>
      <c r="J38" s="47">
        <v>16.5</v>
      </c>
      <c r="K38" s="47">
        <v>33</v>
      </c>
    </row>
    <row r="39" spans="4:11">
      <c r="D39" s="44">
        <v>46078</v>
      </c>
      <c r="E39" s="45">
        <v>1580117</v>
      </c>
      <c r="F39" s="45" t="s">
        <v>53</v>
      </c>
      <c r="G39" s="46">
        <v>20394084</v>
      </c>
      <c r="H39" s="45" t="s">
        <v>54</v>
      </c>
      <c r="I39" s="46">
        <v>1</v>
      </c>
      <c r="J39" s="47">
        <v>16.5</v>
      </c>
      <c r="K39" s="47">
        <v>16.5</v>
      </c>
    </row>
    <row r="40" spans="4:11">
      <c r="D40" s="44">
        <v>46080</v>
      </c>
      <c r="E40" s="45">
        <v>1580849</v>
      </c>
      <c r="F40" s="45" t="s">
        <v>49</v>
      </c>
      <c r="G40" s="46">
        <v>20013130</v>
      </c>
      <c r="H40" s="45" t="s">
        <v>65</v>
      </c>
      <c r="I40" s="46">
        <v>1</v>
      </c>
      <c r="J40" s="47">
        <v>13.5</v>
      </c>
      <c r="K40" s="47">
        <v>13.5</v>
      </c>
    </row>
    <row r="41" spans="4:11">
      <c r="D41" s="44">
        <v>46080</v>
      </c>
      <c r="E41" s="45">
        <v>1580849</v>
      </c>
      <c r="F41" s="45" t="s">
        <v>49</v>
      </c>
      <c r="G41" s="46">
        <v>20320892</v>
      </c>
      <c r="H41" s="45" t="s">
        <v>51</v>
      </c>
      <c r="I41" s="46">
        <v>1</v>
      </c>
      <c r="J41" s="47">
        <v>27.5</v>
      </c>
      <c r="K41" s="47">
        <v>27.5</v>
      </c>
    </row>
    <row r="42" spans="4:11">
      <c r="D42" s="44">
        <v>46080</v>
      </c>
      <c r="E42" s="45">
        <v>1580849</v>
      </c>
      <c r="F42" s="45" t="s">
        <v>49</v>
      </c>
      <c r="G42" s="46">
        <v>20010520</v>
      </c>
      <c r="H42" s="45" t="s">
        <v>66</v>
      </c>
      <c r="I42" s="46">
        <v>1</v>
      </c>
      <c r="J42" s="47">
        <v>13.5</v>
      </c>
      <c r="K42" s="47">
        <v>13.5</v>
      </c>
    </row>
    <row r="43" spans="4:11">
      <c r="D43" s="44">
        <v>46080</v>
      </c>
      <c r="E43" s="45">
        <v>1580849</v>
      </c>
      <c r="F43" s="45" t="s">
        <v>53</v>
      </c>
      <c r="G43" s="46">
        <v>20394085</v>
      </c>
      <c r="H43" s="45" t="s">
        <v>58</v>
      </c>
      <c r="I43" s="46">
        <v>1</v>
      </c>
      <c r="J43" s="47">
        <v>16.5</v>
      </c>
      <c r="K43" s="47">
        <v>16.5</v>
      </c>
    </row>
    <row r="44" spans="4:11">
      <c r="D44" s="44">
        <v>46080</v>
      </c>
      <c r="E44" s="45">
        <v>1580849</v>
      </c>
      <c r="F44" s="45" t="s">
        <v>53</v>
      </c>
      <c r="G44" s="46">
        <v>20394084</v>
      </c>
      <c r="H44" s="45" t="s">
        <v>54</v>
      </c>
      <c r="I44" s="46">
        <v>1</v>
      </c>
      <c r="J44" s="47">
        <v>16.5</v>
      </c>
      <c r="K44" s="47">
        <v>16.5</v>
      </c>
    </row>
    <row r="45" spans="4:11">
      <c r="D45" s="44">
        <v>46081</v>
      </c>
      <c r="E45" s="45">
        <v>1581161</v>
      </c>
      <c r="F45" s="45" t="s">
        <v>49</v>
      </c>
      <c r="G45" s="46">
        <v>20012723</v>
      </c>
      <c r="H45" s="45" t="s">
        <v>67</v>
      </c>
      <c r="I45" s="46">
        <v>1</v>
      </c>
      <c r="J45" s="47">
        <v>8</v>
      </c>
      <c r="K45" s="47">
        <v>8</v>
      </c>
    </row>
    <row r="46" spans="4:11">
      <c r="D46" s="44">
        <v>46081</v>
      </c>
      <c r="E46" s="45">
        <v>1581161</v>
      </c>
      <c r="F46" s="45" t="s">
        <v>49</v>
      </c>
      <c r="G46" s="46">
        <v>20009961</v>
      </c>
      <c r="H46" s="45" t="s">
        <v>68</v>
      </c>
      <c r="I46" s="46">
        <v>1</v>
      </c>
      <c r="J46" s="47">
        <v>8</v>
      </c>
      <c r="K46" s="47">
        <v>8</v>
      </c>
    </row>
    <row r="47" spans="4:11">
      <c r="D47" s="44">
        <v>46081</v>
      </c>
      <c r="E47" s="45">
        <v>1581161</v>
      </c>
      <c r="F47" s="45" t="s">
        <v>49</v>
      </c>
      <c r="G47" s="46">
        <v>20320892</v>
      </c>
      <c r="H47" s="45" t="s">
        <v>51</v>
      </c>
      <c r="I47" s="46">
        <v>1</v>
      </c>
      <c r="J47" s="47">
        <v>27.5</v>
      </c>
      <c r="K47" s="47">
        <v>27.5</v>
      </c>
    </row>
    <row r="48" spans="4:11">
      <c r="D48" s="44">
        <v>46081</v>
      </c>
      <c r="E48" s="45">
        <v>1581161</v>
      </c>
      <c r="F48" s="45" t="s">
        <v>49</v>
      </c>
      <c r="G48" s="46">
        <v>20365371</v>
      </c>
      <c r="H48" s="45" t="s">
        <v>69</v>
      </c>
      <c r="I48" s="46">
        <v>1</v>
      </c>
      <c r="J48" s="47">
        <v>11</v>
      </c>
      <c r="K48" s="47">
        <v>11</v>
      </c>
    </row>
    <row r="49" spans="4:11">
      <c r="D49" s="44">
        <v>46081</v>
      </c>
      <c r="E49" s="45">
        <v>1581161</v>
      </c>
      <c r="F49" s="45" t="s">
        <v>53</v>
      </c>
      <c r="G49" s="46">
        <v>20010398</v>
      </c>
      <c r="H49" s="45" t="s">
        <v>70</v>
      </c>
      <c r="I49" s="46">
        <v>1</v>
      </c>
      <c r="J49" s="47">
        <v>27.5</v>
      </c>
      <c r="K49" s="47">
        <v>27.5</v>
      </c>
    </row>
    <row r="50" spans="4:11">
      <c r="D50" s="44">
        <v>46081</v>
      </c>
      <c r="E50" s="45">
        <v>1581161</v>
      </c>
      <c r="F50" s="45" t="s">
        <v>53</v>
      </c>
      <c r="G50" s="46">
        <v>20394085</v>
      </c>
      <c r="H50" s="45" t="s">
        <v>58</v>
      </c>
      <c r="I50" s="46">
        <v>1</v>
      </c>
      <c r="J50" s="47">
        <v>16.5</v>
      </c>
      <c r="K50" s="47">
        <v>16.5</v>
      </c>
    </row>
  </sheetData>
  <autoFilter xmlns:etc="http://www.wps.cn/officeDocument/2017/etCustomData" ref="A7:K50" etc:filterBottomFollowUsedRange="0">
    <extLst/>
  </autoFilter>
  <mergeCells count="5">
    <mergeCell ref="D8:H8"/>
    <mergeCell ref="C7:C50"/>
    <mergeCell ref="B4:H5"/>
    <mergeCell ref="A7:B5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" customWidth="1"/>
    <col min="7" max="7" width="9.36666666666667" customWidth="1"/>
    <col min="8" max="8" width="24.8166666666667" customWidth="1"/>
    <col min="9" max="9" width="6.475" customWidth="1"/>
    <col min="10" max="10" width="10.125" customWidth="1"/>
    <col min="11" max="11" width="11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7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23</v>
      </c>
      <c r="J8" s="43"/>
      <c r="K8" s="43">
        <v>394.5</v>
      </c>
    </row>
    <row r="9" ht="25.5" spans="1:11">
      <c r="D9" s="44">
        <v>46056</v>
      </c>
      <c r="E9" s="45">
        <v>1575998</v>
      </c>
      <c r="F9" s="45" t="s">
        <v>71</v>
      </c>
      <c r="G9" s="46">
        <v>20010654</v>
      </c>
      <c r="H9" s="45" t="s">
        <v>72</v>
      </c>
      <c r="I9" s="46">
        <v>1</v>
      </c>
      <c r="J9" s="47">
        <v>16.5</v>
      </c>
      <c r="K9" s="47">
        <v>16.5</v>
      </c>
    </row>
    <row r="10" spans="1:11">
      <c r="D10" s="44">
        <v>46056</v>
      </c>
      <c r="E10" s="45">
        <v>1575998</v>
      </c>
      <c r="F10" s="45" t="s">
        <v>49</v>
      </c>
      <c r="G10" s="46">
        <v>20010521</v>
      </c>
      <c r="H10" s="45" t="s">
        <v>73</v>
      </c>
      <c r="I10" s="46">
        <v>1</v>
      </c>
      <c r="J10" s="47">
        <v>8</v>
      </c>
      <c r="K10" s="47">
        <v>8</v>
      </c>
    </row>
    <row r="11" spans="1:11">
      <c r="D11" s="44">
        <v>46056</v>
      </c>
      <c r="E11" s="45">
        <v>1575998</v>
      </c>
      <c r="F11" s="45" t="s">
        <v>49</v>
      </c>
      <c r="G11" s="46">
        <v>20344525</v>
      </c>
      <c r="H11" s="45" t="s">
        <v>74</v>
      </c>
      <c r="I11" s="46">
        <v>2</v>
      </c>
      <c r="J11" s="47">
        <v>8</v>
      </c>
      <c r="K11" s="47">
        <v>16</v>
      </c>
    </row>
    <row r="12" spans="1:11">
      <c r="D12" s="44">
        <v>46056</v>
      </c>
      <c r="E12" s="45">
        <v>1575998</v>
      </c>
      <c r="F12" s="45" t="s">
        <v>49</v>
      </c>
      <c r="G12" s="46">
        <v>20310138</v>
      </c>
      <c r="H12" s="45" t="s">
        <v>75</v>
      </c>
      <c r="I12" s="46">
        <v>2</v>
      </c>
      <c r="J12" s="47">
        <v>13</v>
      </c>
      <c r="K12" s="47">
        <v>26</v>
      </c>
    </row>
    <row r="13" spans="1:11">
      <c r="D13" s="44">
        <v>46056</v>
      </c>
      <c r="E13" s="45">
        <v>1575998</v>
      </c>
      <c r="F13" s="45" t="s">
        <v>49</v>
      </c>
      <c r="G13" s="46">
        <v>20010003</v>
      </c>
      <c r="H13" s="45" t="s">
        <v>76</v>
      </c>
      <c r="I13" s="46">
        <v>2</v>
      </c>
      <c r="J13" s="47">
        <v>11</v>
      </c>
      <c r="K13" s="47">
        <v>22</v>
      </c>
    </row>
    <row r="14" spans="1:11">
      <c r="D14" s="44">
        <v>46057</v>
      </c>
      <c r="E14" s="45">
        <v>1576028</v>
      </c>
      <c r="F14" s="45" t="s">
        <v>77</v>
      </c>
      <c r="G14" s="46">
        <v>20311269</v>
      </c>
      <c r="H14" s="45" t="s">
        <v>78</v>
      </c>
      <c r="I14" s="46">
        <v>2</v>
      </c>
      <c r="J14" s="47">
        <v>22</v>
      </c>
      <c r="K14" s="47">
        <v>44</v>
      </c>
    </row>
    <row r="15" spans="1:11">
      <c r="D15" s="44">
        <v>46057</v>
      </c>
      <c r="E15" s="45">
        <v>1576028</v>
      </c>
      <c r="F15" s="45" t="s">
        <v>77</v>
      </c>
      <c r="G15" s="46">
        <v>20010733</v>
      </c>
      <c r="H15" s="45" t="s">
        <v>79</v>
      </c>
      <c r="I15" s="46">
        <v>1</v>
      </c>
      <c r="J15" s="47">
        <v>28</v>
      </c>
      <c r="K15" s="47">
        <v>28</v>
      </c>
    </row>
    <row r="16" spans="1:11">
      <c r="D16" s="44">
        <v>46057</v>
      </c>
      <c r="E16" s="45">
        <v>1576028</v>
      </c>
      <c r="F16" s="45" t="s">
        <v>77</v>
      </c>
      <c r="G16" s="46">
        <v>20327871</v>
      </c>
      <c r="H16" s="45" t="s">
        <v>80</v>
      </c>
      <c r="I16" s="46">
        <v>5</v>
      </c>
      <c r="J16" s="47">
        <v>25</v>
      </c>
      <c r="K16" s="47">
        <v>125</v>
      </c>
    </row>
    <row r="17" spans="4:11">
      <c r="D17" s="44">
        <v>46064</v>
      </c>
      <c r="E17" s="45">
        <v>1578137</v>
      </c>
      <c r="F17" s="45" t="s">
        <v>49</v>
      </c>
      <c r="G17" s="46">
        <v>20009817</v>
      </c>
      <c r="H17" s="45" t="s">
        <v>81</v>
      </c>
      <c r="I17" s="46">
        <v>1</v>
      </c>
      <c r="J17" s="47">
        <v>16.5</v>
      </c>
      <c r="K17" s="47">
        <v>16.5</v>
      </c>
    </row>
    <row r="18" spans="4:11">
      <c r="D18" s="44">
        <v>46064</v>
      </c>
      <c r="E18" s="45">
        <v>1578137</v>
      </c>
      <c r="F18" s="45" t="s">
        <v>49</v>
      </c>
      <c r="G18" s="46">
        <v>20010003</v>
      </c>
      <c r="H18" s="45" t="s">
        <v>76</v>
      </c>
      <c r="I18" s="46">
        <v>1</v>
      </c>
      <c r="J18" s="47">
        <v>11</v>
      </c>
      <c r="K18" s="47">
        <v>11</v>
      </c>
    </row>
    <row r="19" spans="4:11">
      <c r="D19" s="44">
        <v>46064</v>
      </c>
      <c r="E19" s="45">
        <v>1578137</v>
      </c>
      <c r="F19" s="45" t="s">
        <v>47</v>
      </c>
      <c r="G19" s="46">
        <v>20010048</v>
      </c>
      <c r="H19" s="45" t="s">
        <v>82</v>
      </c>
      <c r="I19" s="46">
        <v>1</v>
      </c>
      <c r="J19" s="47">
        <v>46.5</v>
      </c>
      <c r="K19" s="47">
        <v>46.5</v>
      </c>
    </row>
    <row r="20" spans="4:11">
      <c r="D20" s="44">
        <v>46064</v>
      </c>
      <c r="E20" s="45">
        <v>1578137</v>
      </c>
      <c r="F20" s="45" t="s">
        <v>59</v>
      </c>
      <c r="G20" s="46">
        <v>20010491</v>
      </c>
      <c r="H20" s="45" t="s">
        <v>83</v>
      </c>
      <c r="I20" s="46">
        <v>2</v>
      </c>
      <c r="J20" s="47">
        <v>15</v>
      </c>
      <c r="K20" s="47">
        <v>30</v>
      </c>
    </row>
    <row r="21" spans="4:11">
      <c r="D21" s="44">
        <v>46064</v>
      </c>
      <c r="E21" s="45">
        <v>1578137</v>
      </c>
      <c r="F21" s="45" t="s">
        <v>59</v>
      </c>
      <c r="G21" s="46">
        <v>20011222</v>
      </c>
      <c r="H21" s="45" t="s">
        <v>84</v>
      </c>
      <c r="I21" s="46">
        <v>2</v>
      </c>
      <c r="J21" s="47">
        <v>2.5</v>
      </c>
      <c r="K21" s="47">
        <v>5</v>
      </c>
    </row>
    <row r="22" ht="0.05" customHeight="1"/>
  </sheetData>
  <autoFilter xmlns:etc="http://www.wps.cn/officeDocument/2017/etCustomData" ref="A7:K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6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37</v>
      </c>
      <c r="J8" s="43"/>
      <c r="K8" s="43">
        <v>364</v>
      </c>
    </row>
    <row r="9" spans="1:11">
      <c r="D9" s="44">
        <v>46056</v>
      </c>
      <c r="E9" s="45">
        <v>1575646</v>
      </c>
      <c r="F9" s="45" t="s">
        <v>49</v>
      </c>
      <c r="G9" s="46">
        <v>20010630</v>
      </c>
      <c r="H9" s="45" t="s">
        <v>85</v>
      </c>
      <c r="I9" s="46">
        <v>1</v>
      </c>
      <c r="J9" s="47">
        <v>11</v>
      </c>
      <c r="K9" s="47">
        <v>11</v>
      </c>
    </row>
    <row r="10" spans="1:11">
      <c r="D10" s="44">
        <v>46056</v>
      </c>
      <c r="E10" s="45">
        <v>1575646</v>
      </c>
      <c r="F10" s="45" t="s">
        <v>49</v>
      </c>
      <c r="G10" s="46">
        <v>20010645</v>
      </c>
      <c r="H10" s="45" t="s">
        <v>86</v>
      </c>
      <c r="I10" s="46">
        <v>2</v>
      </c>
      <c r="J10" s="47">
        <v>8</v>
      </c>
      <c r="K10" s="47">
        <v>16</v>
      </c>
    </row>
    <row r="11" spans="1:11">
      <c r="D11" s="44">
        <v>46056</v>
      </c>
      <c r="E11" s="45">
        <v>1575646</v>
      </c>
      <c r="F11" s="45" t="s">
        <v>49</v>
      </c>
      <c r="G11" s="46">
        <v>20010345</v>
      </c>
      <c r="H11" s="45" t="s">
        <v>87</v>
      </c>
      <c r="I11" s="46">
        <v>2</v>
      </c>
      <c r="J11" s="47">
        <v>8</v>
      </c>
      <c r="K11" s="47">
        <v>16</v>
      </c>
    </row>
    <row r="12" spans="1:11">
      <c r="D12" s="44">
        <v>46056</v>
      </c>
      <c r="E12" s="45">
        <v>1575646</v>
      </c>
      <c r="F12" s="45" t="s">
        <v>49</v>
      </c>
      <c r="G12" s="46">
        <v>20015055</v>
      </c>
      <c r="H12" s="45" t="s">
        <v>88</v>
      </c>
      <c r="I12" s="46">
        <v>2</v>
      </c>
      <c r="J12" s="47">
        <v>8</v>
      </c>
      <c r="K12" s="47">
        <v>16</v>
      </c>
    </row>
    <row r="13" spans="1:11">
      <c r="D13" s="44">
        <v>46056</v>
      </c>
      <c r="E13" s="45">
        <v>1575646</v>
      </c>
      <c r="F13" s="45" t="s">
        <v>49</v>
      </c>
      <c r="G13" s="46">
        <v>20010429</v>
      </c>
      <c r="H13" s="45" t="s">
        <v>89</v>
      </c>
      <c r="I13" s="46">
        <v>2</v>
      </c>
      <c r="J13" s="47">
        <v>8</v>
      </c>
      <c r="K13" s="47">
        <v>16</v>
      </c>
    </row>
    <row r="14" spans="1:11">
      <c r="D14" s="44">
        <v>46057</v>
      </c>
      <c r="E14" s="45">
        <v>1576320</v>
      </c>
      <c r="F14" s="45" t="s">
        <v>49</v>
      </c>
      <c r="G14" s="46">
        <v>20010630</v>
      </c>
      <c r="H14" s="45" t="s">
        <v>85</v>
      </c>
      <c r="I14" s="46">
        <v>1</v>
      </c>
      <c r="J14" s="47">
        <v>11</v>
      </c>
      <c r="K14" s="47">
        <v>11</v>
      </c>
    </row>
    <row r="15" spans="1:11">
      <c r="D15" s="44">
        <v>46057</v>
      </c>
      <c r="E15" s="45">
        <v>1576320</v>
      </c>
      <c r="F15" s="45" t="s">
        <v>49</v>
      </c>
      <c r="G15" s="46">
        <v>20301293</v>
      </c>
      <c r="H15" s="45" t="s">
        <v>90</v>
      </c>
      <c r="I15" s="46">
        <v>1</v>
      </c>
      <c r="J15" s="47">
        <v>8</v>
      </c>
      <c r="K15" s="47">
        <v>8</v>
      </c>
    </row>
    <row r="16" spans="1:11">
      <c r="D16" s="44">
        <v>46064</v>
      </c>
      <c r="E16" s="45">
        <v>1578138</v>
      </c>
      <c r="F16" s="45" t="s">
        <v>49</v>
      </c>
      <c r="G16" s="46">
        <v>20010009</v>
      </c>
      <c r="H16" s="45" t="s">
        <v>91</v>
      </c>
      <c r="I16" s="46">
        <v>2</v>
      </c>
      <c r="J16" s="47">
        <v>11</v>
      </c>
      <c r="K16" s="47">
        <v>22</v>
      </c>
    </row>
    <row r="17" spans="4:11">
      <c r="D17" s="44">
        <v>46064</v>
      </c>
      <c r="E17" s="45">
        <v>1578138</v>
      </c>
      <c r="F17" s="45" t="s">
        <v>49</v>
      </c>
      <c r="G17" s="46">
        <v>20014123</v>
      </c>
      <c r="H17" s="45" t="s">
        <v>92</v>
      </c>
      <c r="I17" s="46">
        <v>1</v>
      </c>
      <c r="J17" s="47">
        <v>11</v>
      </c>
      <c r="K17" s="47">
        <v>11</v>
      </c>
    </row>
    <row r="18" spans="4:11">
      <c r="D18" s="44">
        <v>46064</v>
      </c>
      <c r="E18" s="45">
        <v>1578138</v>
      </c>
      <c r="F18" s="45" t="s">
        <v>49</v>
      </c>
      <c r="G18" s="46">
        <v>20012723</v>
      </c>
      <c r="H18" s="45" t="s">
        <v>67</v>
      </c>
      <c r="I18" s="46">
        <v>1</v>
      </c>
      <c r="J18" s="47">
        <v>8</v>
      </c>
      <c r="K18" s="47">
        <v>8</v>
      </c>
    </row>
    <row r="19" spans="4:11">
      <c r="D19" s="44">
        <v>46064</v>
      </c>
      <c r="E19" s="45">
        <v>1578138</v>
      </c>
      <c r="F19" s="45" t="s">
        <v>49</v>
      </c>
      <c r="G19" s="46">
        <v>20010630</v>
      </c>
      <c r="H19" s="45" t="s">
        <v>85</v>
      </c>
      <c r="I19" s="46">
        <v>1</v>
      </c>
      <c r="J19" s="47">
        <v>11</v>
      </c>
      <c r="K19" s="47">
        <v>11</v>
      </c>
    </row>
    <row r="20" spans="4:11">
      <c r="D20" s="44">
        <v>46064</v>
      </c>
      <c r="E20" s="45">
        <v>1578138</v>
      </c>
      <c r="F20" s="45" t="s">
        <v>49</v>
      </c>
      <c r="G20" s="46">
        <v>20010645</v>
      </c>
      <c r="H20" s="45" t="s">
        <v>86</v>
      </c>
      <c r="I20" s="46">
        <v>2</v>
      </c>
      <c r="J20" s="47">
        <v>8</v>
      </c>
      <c r="K20" s="47">
        <v>16</v>
      </c>
    </row>
    <row r="21" spans="4:11">
      <c r="D21" s="44">
        <v>46064</v>
      </c>
      <c r="E21" s="45">
        <v>1578138</v>
      </c>
      <c r="F21" s="45" t="s">
        <v>49</v>
      </c>
      <c r="G21" s="46">
        <v>20010345</v>
      </c>
      <c r="H21" s="45" t="s">
        <v>87</v>
      </c>
      <c r="I21" s="46">
        <v>1</v>
      </c>
      <c r="J21" s="47">
        <v>8</v>
      </c>
      <c r="K21" s="47">
        <v>8</v>
      </c>
    </row>
    <row r="22" spans="4:11">
      <c r="D22" s="44">
        <v>46065</v>
      </c>
      <c r="E22" s="45">
        <v>1578491</v>
      </c>
      <c r="F22" s="45" t="s">
        <v>71</v>
      </c>
      <c r="G22" s="46">
        <v>20009890</v>
      </c>
      <c r="H22" s="45" t="s">
        <v>93</v>
      </c>
      <c r="I22" s="46">
        <v>4</v>
      </c>
      <c r="J22" s="47">
        <v>16</v>
      </c>
      <c r="K22" s="47">
        <v>64</v>
      </c>
    </row>
    <row r="23" spans="4:11">
      <c r="D23" s="44">
        <v>46066</v>
      </c>
      <c r="E23" s="45">
        <v>1578762</v>
      </c>
      <c r="F23" s="45" t="s">
        <v>49</v>
      </c>
      <c r="G23" s="46">
        <v>20009891</v>
      </c>
      <c r="H23" s="45" t="s">
        <v>94</v>
      </c>
      <c r="I23" s="46">
        <v>1</v>
      </c>
      <c r="J23" s="47">
        <v>11</v>
      </c>
      <c r="K23" s="47">
        <v>11</v>
      </c>
    </row>
    <row r="24" spans="4:11">
      <c r="D24" s="44">
        <v>46066</v>
      </c>
      <c r="E24" s="45">
        <v>1578762</v>
      </c>
      <c r="F24" s="45" t="s">
        <v>49</v>
      </c>
      <c r="G24" s="46">
        <v>20010009</v>
      </c>
      <c r="H24" s="45" t="s">
        <v>91</v>
      </c>
      <c r="I24" s="46">
        <v>1</v>
      </c>
      <c r="J24" s="47">
        <v>11</v>
      </c>
      <c r="K24" s="47">
        <v>11</v>
      </c>
    </row>
    <row r="25" spans="4:11">
      <c r="D25" s="44">
        <v>46066</v>
      </c>
      <c r="E25" s="45">
        <v>1578762</v>
      </c>
      <c r="F25" s="45" t="s">
        <v>49</v>
      </c>
      <c r="G25" s="46">
        <v>20014123</v>
      </c>
      <c r="H25" s="45" t="s">
        <v>92</v>
      </c>
      <c r="I25" s="46">
        <v>1</v>
      </c>
      <c r="J25" s="47">
        <v>11</v>
      </c>
      <c r="K25" s="47">
        <v>11</v>
      </c>
    </row>
    <row r="26" spans="4:11">
      <c r="D26" s="44">
        <v>46066</v>
      </c>
      <c r="E26" s="45">
        <v>1578762</v>
      </c>
      <c r="F26" s="45" t="s">
        <v>49</v>
      </c>
      <c r="G26" s="46">
        <v>20010345</v>
      </c>
      <c r="H26" s="45" t="s">
        <v>87</v>
      </c>
      <c r="I26" s="46">
        <v>1</v>
      </c>
      <c r="J26" s="47">
        <v>8</v>
      </c>
      <c r="K26" s="47">
        <v>8</v>
      </c>
    </row>
    <row r="27" spans="4:11">
      <c r="D27" s="44">
        <v>46066</v>
      </c>
      <c r="E27" s="45">
        <v>1578762</v>
      </c>
      <c r="F27" s="45" t="s">
        <v>49</v>
      </c>
      <c r="G27" s="46">
        <v>20010429</v>
      </c>
      <c r="H27" s="45" t="s">
        <v>89</v>
      </c>
      <c r="I27" s="46">
        <v>2</v>
      </c>
      <c r="J27" s="47">
        <v>8</v>
      </c>
      <c r="K27" s="47">
        <v>16</v>
      </c>
    </row>
    <row r="28" spans="4:11">
      <c r="D28" s="44">
        <v>46067</v>
      </c>
      <c r="E28" s="45">
        <v>1578989</v>
      </c>
      <c r="F28" s="45" t="s">
        <v>49</v>
      </c>
      <c r="G28" s="46">
        <v>20014123</v>
      </c>
      <c r="H28" s="45" t="s">
        <v>92</v>
      </c>
      <c r="I28" s="46">
        <v>1</v>
      </c>
      <c r="J28" s="47">
        <v>11</v>
      </c>
      <c r="K28" s="47">
        <v>11</v>
      </c>
    </row>
    <row r="29" spans="4:11">
      <c r="D29" s="44">
        <v>46067</v>
      </c>
      <c r="E29" s="45">
        <v>1578989</v>
      </c>
      <c r="F29" s="45" t="s">
        <v>49</v>
      </c>
      <c r="G29" s="46">
        <v>20010345</v>
      </c>
      <c r="H29" s="45" t="s">
        <v>87</v>
      </c>
      <c r="I29" s="46">
        <v>1</v>
      </c>
      <c r="J29" s="47">
        <v>8</v>
      </c>
      <c r="K29" s="47">
        <v>8</v>
      </c>
    </row>
    <row r="30" spans="4:11">
      <c r="D30" s="44">
        <v>46077</v>
      </c>
      <c r="E30" s="45">
        <v>1579826</v>
      </c>
      <c r="F30" s="45" t="s">
        <v>49</v>
      </c>
      <c r="G30" s="46">
        <v>20010009</v>
      </c>
      <c r="H30" s="45" t="s">
        <v>91</v>
      </c>
      <c r="I30" s="46">
        <v>1</v>
      </c>
      <c r="J30" s="47">
        <v>11</v>
      </c>
      <c r="K30" s="47">
        <v>11</v>
      </c>
    </row>
    <row r="31" spans="4:11">
      <c r="D31" s="44">
        <v>46077</v>
      </c>
      <c r="E31" s="45">
        <v>1579826</v>
      </c>
      <c r="F31" s="45" t="s">
        <v>49</v>
      </c>
      <c r="G31" s="46">
        <v>20014123</v>
      </c>
      <c r="H31" s="45" t="s">
        <v>92</v>
      </c>
      <c r="I31" s="46">
        <v>1</v>
      </c>
      <c r="J31" s="47">
        <v>11</v>
      </c>
      <c r="K31" s="47">
        <v>11</v>
      </c>
    </row>
    <row r="32" spans="4:11">
      <c r="D32" s="44">
        <v>46077</v>
      </c>
      <c r="E32" s="45">
        <v>1579826</v>
      </c>
      <c r="F32" s="45" t="s">
        <v>49</v>
      </c>
      <c r="G32" s="46">
        <v>20010345</v>
      </c>
      <c r="H32" s="45" t="s">
        <v>87</v>
      </c>
      <c r="I32" s="46">
        <v>1</v>
      </c>
      <c r="J32" s="47">
        <v>8</v>
      </c>
      <c r="K32" s="47">
        <v>8</v>
      </c>
    </row>
    <row r="33" spans="4:11">
      <c r="D33" s="44">
        <v>46077</v>
      </c>
      <c r="E33" s="45">
        <v>1579826</v>
      </c>
      <c r="F33" s="45" t="s">
        <v>49</v>
      </c>
      <c r="G33" s="46">
        <v>20010429</v>
      </c>
      <c r="H33" s="45" t="s">
        <v>89</v>
      </c>
      <c r="I33" s="46">
        <v>1</v>
      </c>
      <c r="J33" s="47">
        <v>8</v>
      </c>
      <c r="K33" s="47">
        <v>8</v>
      </c>
    </row>
    <row r="34" spans="4:11">
      <c r="D34" s="44">
        <v>46080</v>
      </c>
      <c r="E34" s="45">
        <v>1580850</v>
      </c>
      <c r="F34" s="45" t="s">
        <v>49</v>
      </c>
      <c r="G34" s="46">
        <v>20010345</v>
      </c>
      <c r="H34" s="45" t="s">
        <v>87</v>
      </c>
      <c r="I34" s="46">
        <v>2</v>
      </c>
      <c r="J34" s="47">
        <v>8</v>
      </c>
      <c r="K34" s="47">
        <v>16</v>
      </c>
    </row>
  </sheetData>
  <autoFilter xmlns:etc="http://www.wps.cn/officeDocument/2017/etCustomData" ref="A7:K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5" customWidth="1"/>
    <col min="11" max="11" width="10.7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9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35</v>
      </c>
      <c r="J8" s="43"/>
      <c r="K8" s="43">
        <v>272</v>
      </c>
    </row>
    <row r="9" spans="1:11">
      <c r="D9" s="44">
        <v>46056</v>
      </c>
      <c r="E9" s="45">
        <v>1575647</v>
      </c>
      <c r="F9" s="45" t="s">
        <v>49</v>
      </c>
      <c r="G9" s="46">
        <v>20012723</v>
      </c>
      <c r="H9" s="45" t="s">
        <v>67</v>
      </c>
      <c r="I9" s="46">
        <v>6</v>
      </c>
      <c r="J9" s="47">
        <v>8</v>
      </c>
      <c r="K9" s="47">
        <v>48</v>
      </c>
    </row>
    <row r="10" spans="1:11">
      <c r="D10" s="44">
        <v>46056</v>
      </c>
      <c r="E10" s="45">
        <v>1575647</v>
      </c>
      <c r="F10" s="45" t="s">
        <v>49</v>
      </c>
      <c r="G10" s="46">
        <v>20010429</v>
      </c>
      <c r="H10" s="45" t="s">
        <v>89</v>
      </c>
      <c r="I10" s="46">
        <v>1</v>
      </c>
      <c r="J10" s="47">
        <v>8</v>
      </c>
      <c r="K10" s="47">
        <v>8</v>
      </c>
    </row>
    <row r="11" spans="1:11">
      <c r="D11" s="44">
        <v>46057</v>
      </c>
      <c r="E11" s="45">
        <v>1576321</v>
      </c>
      <c r="F11" s="45" t="s">
        <v>71</v>
      </c>
      <c r="G11" s="46">
        <v>20009998</v>
      </c>
      <c r="H11" s="45" t="s">
        <v>95</v>
      </c>
      <c r="I11" s="46">
        <v>1</v>
      </c>
      <c r="J11" s="47">
        <v>16</v>
      </c>
      <c r="K11" s="47">
        <v>16</v>
      </c>
    </row>
    <row r="12" spans="1:11">
      <c r="D12" s="44">
        <v>46057</v>
      </c>
      <c r="E12" s="45">
        <v>1576321</v>
      </c>
      <c r="F12" s="45" t="s">
        <v>49</v>
      </c>
      <c r="G12" s="46">
        <v>20012723</v>
      </c>
      <c r="H12" s="45" t="s">
        <v>67</v>
      </c>
      <c r="I12" s="46">
        <v>3</v>
      </c>
      <c r="J12" s="47">
        <v>8</v>
      </c>
      <c r="K12" s="47">
        <v>24</v>
      </c>
    </row>
    <row r="13" spans="1:11">
      <c r="D13" s="44">
        <v>46057</v>
      </c>
      <c r="E13" s="45">
        <v>1576321</v>
      </c>
      <c r="F13" s="45" t="s">
        <v>49</v>
      </c>
      <c r="G13" s="46">
        <v>20010429</v>
      </c>
      <c r="H13" s="45" t="s">
        <v>89</v>
      </c>
      <c r="I13" s="46">
        <v>1</v>
      </c>
      <c r="J13" s="47">
        <v>8</v>
      </c>
      <c r="K13" s="47">
        <v>8</v>
      </c>
    </row>
    <row r="14" spans="1:11">
      <c r="D14" s="44">
        <v>46062</v>
      </c>
      <c r="E14" s="45">
        <v>1577509</v>
      </c>
      <c r="F14" s="45" t="s">
        <v>49</v>
      </c>
      <c r="G14" s="46">
        <v>20012723</v>
      </c>
      <c r="H14" s="45" t="s">
        <v>67</v>
      </c>
      <c r="I14" s="46">
        <v>3</v>
      </c>
      <c r="J14" s="47">
        <v>8</v>
      </c>
      <c r="K14" s="47">
        <v>24</v>
      </c>
    </row>
    <row r="15" spans="1:11">
      <c r="D15" s="44">
        <v>46062</v>
      </c>
      <c r="E15" s="45">
        <v>1577509</v>
      </c>
      <c r="F15" s="45" t="s">
        <v>59</v>
      </c>
      <c r="G15" s="46">
        <v>20358341</v>
      </c>
      <c r="H15" s="45" t="s">
        <v>96</v>
      </c>
      <c r="I15" s="46">
        <v>4</v>
      </c>
      <c r="J15" s="47">
        <v>4</v>
      </c>
      <c r="K15" s="47">
        <v>16</v>
      </c>
    </row>
    <row r="16" spans="1:11">
      <c r="D16" s="44">
        <v>46066</v>
      </c>
      <c r="E16" s="45">
        <v>1578763</v>
      </c>
      <c r="F16" s="45" t="s">
        <v>49</v>
      </c>
      <c r="G16" s="46">
        <v>20010116</v>
      </c>
      <c r="H16" s="45" t="s">
        <v>97</v>
      </c>
      <c r="I16" s="46">
        <v>1</v>
      </c>
      <c r="J16" s="47">
        <v>8</v>
      </c>
      <c r="K16" s="47">
        <v>8</v>
      </c>
    </row>
    <row r="17" spans="4:11">
      <c r="D17" s="44">
        <v>46066</v>
      </c>
      <c r="E17" s="45">
        <v>1578763</v>
      </c>
      <c r="F17" s="45" t="s">
        <v>49</v>
      </c>
      <c r="G17" s="46">
        <v>20012723</v>
      </c>
      <c r="H17" s="45" t="s">
        <v>67</v>
      </c>
      <c r="I17" s="46">
        <v>2</v>
      </c>
      <c r="J17" s="47">
        <v>8</v>
      </c>
      <c r="K17" s="47">
        <v>16</v>
      </c>
    </row>
    <row r="18" spans="4:11">
      <c r="D18" s="44">
        <v>46066</v>
      </c>
      <c r="E18" s="45">
        <v>1578763</v>
      </c>
      <c r="F18" s="45" t="s">
        <v>49</v>
      </c>
      <c r="G18" s="46">
        <v>20010429</v>
      </c>
      <c r="H18" s="45" t="s">
        <v>89</v>
      </c>
      <c r="I18" s="46">
        <v>4</v>
      </c>
      <c r="J18" s="47">
        <v>8</v>
      </c>
      <c r="K18" s="47">
        <v>32</v>
      </c>
    </row>
    <row r="19" spans="4:11">
      <c r="D19" s="44">
        <v>46074</v>
      </c>
      <c r="E19" s="45">
        <v>1579394</v>
      </c>
      <c r="F19" s="45" t="s">
        <v>49</v>
      </c>
      <c r="G19" s="46">
        <v>20015226</v>
      </c>
      <c r="H19" s="45" t="s">
        <v>98</v>
      </c>
      <c r="I19" s="46">
        <v>1</v>
      </c>
      <c r="J19" s="47">
        <v>8</v>
      </c>
      <c r="K19" s="47">
        <v>8</v>
      </c>
    </row>
    <row r="20" spans="4:11">
      <c r="D20" s="44">
        <v>46074</v>
      </c>
      <c r="E20" s="45">
        <v>1579394</v>
      </c>
      <c r="F20" s="45" t="s">
        <v>49</v>
      </c>
      <c r="G20" s="46">
        <v>20010429</v>
      </c>
      <c r="H20" s="45" t="s">
        <v>89</v>
      </c>
      <c r="I20" s="46">
        <v>4</v>
      </c>
      <c r="J20" s="47">
        <v>8</v>
      </c>
      <c r="K20" s="47">
        <v>32</v>
      </c>
    </row>
    <row r="21" spans="4:11">
      <c r="D21" s="44">
        <v>46080</v>
      </c>
      <c r="E21" s="45">
        <v>1580851</v>
      </c>
      <c r="F21" s="45" t="s">
        <v>49</v>
      </c>
      <c r="G21" s="46">
        <v>20012723</v>
      </c>
      <c r="H21" s="45" t="s">
        <v>67</v>
      </c>
      <c r="I21" s="46">
        <v>2</v>
      </c>
      <c r="J21" s="47">
        <v>8</v>
      </c>
      <c r="K21" s="47">
        <v>16</v>
      </c>
    </row>
    <row r="22" spans="4:11">
      <c r="D22" s="44">
        <v>46080</v>
      </c>
      <c r="E22" s="45">
        <v>1580851</v>
      </c>
      <c r="F22" s="45" t="s">
        <v>49</v>
      </c>
      <c r="G22" s="46">
        <v>20010429</v>
      </c>
      <c r="H22" s="45" t="s">
        <v>89</v>
      </c>
      <c r="I22" s="46">
        <v>2</v>
      </c>
      <c r="J22" s="47">
        <v>8</v>
      </c>
      <c r="K22" s="47">
        <v>16</v>
      </c>
    </row>
  </sheetData>
  <autoFilter xmlns:etc="http://www.wps.cn/officeDocument/2017/etCustomData" ref="A7:K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showGridLines="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4.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22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90</v>
      </c>
      <c r="J8" s="43"/>
      <c r="K8" s="43">
        <v>2345</v>
      </c>
    </row>
    <row r="9" spans="1:11">
      <c r="D9" s="44">
        <v>46055</v>
      </c>
      <c r="E9" s="45">
        <v>1575557</v>
      </c>
      <c r="F9" s="45" t="s">
        <v>45</v>
      </c>
      <c r="G9" s="46">
        <v>20012829</v>
      </c>
      <c r="H9" s="45" t="s">
        <v>99</v>
      </c>
      <c r="I9" s="46">
        <v>1</v>
      </c>
      <c r="J9" s="47">
        <v>35</v>
      </c>
      <c r="K9" s="47">
        <v>35</v>
      </c>
    </row>
    <row r="10" spans="1:11">
      <c r="D10" s="44">
        <v>46055</v>
      </c>
      <c r="E10" s="45">
        <v>1575564</v>
      </c>
      <c r="F10" s="45" t="s">
        <v>45</v>
      </c>
      <c r="G10" s="46">
        <v>20012836</v>
      </c>
      <c r="H10" s="45" t="s">
        <v>100</v>
      </c>
      <c r="I10" s="46">
        <v>10</v>
      </c>
      <c r="J10" s="47">
        <v>30</v>
      </c>
      <c r="K10" s="47">
        <v>300</v>
      </c>
    </row>
    <row r="11" spans="1:11">
      <c r="D11" s="44">
        <v>46056</v>
      </c>
      <c r="E11" s="45">
        <v>1575999</v>
      </c>
      <c r="F11" s="45" t="s">
        <v>45</v>
      </c>
      <c r="G11" s="46">
        <v>20012829</v>
      </c>
      <c r="H11" s="45" t="s">
        <v>99</v>
      </c>
      <c r="I11" s="46">
        <v>2</v>
      </c>
      <c r="J11" s="47">
        <v>35</v>
      </c>
      <c r="K11" s="47">
        <v>70</v>
      </c>
    </row>
    <row r="12" spans="1:11">
      <c r="D12" s="44">
        <v>46057</v>
      </c>
      <c r="E12" s="45">
        <v>1576259</v>
      </c>
      <c r="F12" s="45" t="s">
        <v>45</v>
      </c>
      <c r="G12" s="46">
        <v>20012829</v>
      </c>
      <c r="H12" s="45" t="s">
        <v>99</v>
      </c>
      <c r="I12" s="46">
        <v>2</v>
      </c>
      <c r="J12" s="47">
        <v>35</v>
      </c>
      <c r="K12" s="47">
        <v>70</v>
      </c>
    </row>
    <row r="13" spans="1:11">
      <c r="D13" s="44">
        <v>46058</v>
      </c>
      <c r="E13" s="45">
        <v>1576428</v>
      </c>
      <c r="F13" s="45" t="s">
        <v>45</v>
      </c>
      <c r="G13" s="46">
        <v>20012833</v>
      </c>
      <c r="H13" s="45" t="s">
        <v>101</v>
      </c>
      <c r="I13" s="46">
        <v>4</v>
      </c>
      <c r="J13" s="47">
        <v>35</v>
      </c>
      <c r="K13" s="47">
        <v>140</v>
      </c>
    </row>
    <row r="14" spans="1:11">
      <c r="D14" s="44">
        <v>46058</v>
      </c>
      <c r="E14" s="45">
        <v>1576428</v>
      </c>
      <c r="F14" s="45" t="s">
        <v>45</v>
      </c>
      <c r="G14" s="46">
        <v>20012834</v>
      </c>
      <c r="H14" s="45" t="s">
        <v>102</v>
      </c>
      <c r="I14" s="46">
        <v>4</v>
      </c>
      <c r="J14" s="47">
        <v>35</v>
      </c>
      <c r="K14" s="47">
        <v>140</v>
      </c>
    </row>
    <row r="15" spans="1:11">
      <c r="D15" s="44">
        <v>46058</v>
      </c>
      <c r="E15" s="45">
        <v>1576428</v>
      </c>
      <c r="F15" s="45" t="s">
        <v>45</v>
      </c>
      <c r="G15" s="46">
        <v>20012835</v>
      </c>
      <c r="H15" s="45" t="s">
        <v>103</v>
      </c>
      <c r="I15" s="46">
        <v>6</v>
      </c>
      <c r="J15" s="47">
        <v>35</v>
      </c>
      <c r="K15" s="47">
        <v>210</v>
      </c>
    </row>
    <row r="16" spans="1:11">
      <c r="D16" s="44">
        <v>46058</v>
      </c>
      <c r="E16" s="45">
        <v>1576677</v>
      </c>
      <c r="F16" s="45" t="s">
        <v>45</v>
      </c>
      <c r="G16" s="46">
        <v>20012829</v>
      </c>
      <c r="H16" s="45" t="s">
        <v>99</v>
      </c>
      <c r="I16" s="46">
        <v>1</v>
      </c>
      <c r="J16" s="47">
        <v>35</v>
      </c>
      <c r="K16" s="47">
        <v>35</v>
      </c>
    </row>
    <row r="17" spans="4:11">
      <c r="D17" s="44">
        <v>46059</v>
      </c>
      <c r="E17" s="45">
        <v>1576935</v>
      </c>
      <c r="F17" s="45" t="s">
        <v>45</v>
      </c>
      <c r="G17" s="46">
        <v>20012829</v>
      </c>
      <c r="H17" s="45" t="s">
        <v>99</v>
      </c>
      <c r="I17" s="46">
        <v>1</v>
      </c>
      <c r="J17" s="47">
        <v>35</v>
      </c>
      <c r="K17" s="47">
        <v>35</v>
      </c>
    </row>
    <row r="18" spans="4:11">
      <c r="D18" s="44">
        <v>46062</v>
      </c>
      <c r="E18" s="45">
        <v>1577428</v>
      </c>
      <c r="F18" s="45" t="s">
        <v>45</v>
      </c>
      <c r="G18" s="46">
        <v>20012829</v>
      </c>
      <c r="H18" s="45" t="s">
        <v>99</v>
      </c>
      <c r="I18" s="46">
        <v>2</v>
      </c>
      <c r="J18" s="47">
        <v>35</v>
      </c>
      <c r="K18" s="47">
        <v>70</v>
      </c>
    </row>
    <row r="19" spans="4:11">
      <c r="D19" s="44">
        <v>46063</v>
      </c>
      <c r="E19" s="45">
        <v>1577763</v>
      </c>
      <c r="F19" s="45" t="s">
        <v>45</v>
      </c>
      <c r="G19" s="46">
        <v>20012829</v>
      </c>
      <c r="H19" s="45" t="s">
        <v>99</v>
      </c>
      <c r="I19" s="46">
        <v>1</v>
      </c>
      <c r="J19" s="47">
        <v>35</v>
      </c>
      <c r="K19" s="47">
        <v>35</v>
      </c>
    </row>
    <row r="20" spans="4:11">
      <c r="D20" s="44">
        <v>46064</v>
      </c>
      <c r="E20" s="45">
        <v>1578139</v>
      </c>
      <c r="F20" s="45" t="s">
        <v>45</v>
      </c>
      <c r="G20" s="46">
        <v>20012829</v>
      </c>
      <c r="H20" s="45" t="s">
        <v>99</v>
      </c>
      <c r="I20" s="46">
        <v>1</v>
      </c>
      <c r="J20" s="47">
        <v>35</v>
      </c>
      <c r="K20" s="47">
        <v>35</v>
      </c>
    </row>
    <row r="21" spans="4:11">
      <c r="D21" s="44">
        <v>46065</v>
      </c>
      <c r="E21" s="45">
        <v>1578234</v>
      </c>
      <c r="F21" s="45" t="s">
        <v>45</v>
      </c>
      <c r="G21" s="46">
        <v>20012832</v>
      </c>
      <c r="H21" s="45" t="s">
        <v>104</v>
      </c>
      <c r="I21" s="46">
        <v>30</v>
      </c>
      <c r="J21" s="47">
        <v>25</v>
      </c>
      <c r="K21" s="47">
        <v>750</v>
      </c>
    </row>
    <row r="22" spans="4:11">
      <c r="D22" s="44">
        <v>46065</v>
      </c>
      <c r="E22" s="45">
        <v>1578413</v>
      </c>
      <c r="F22" s="45" t="s">
        <v>45</v>
      </c>
      <c r="G22" s="46">
        <v>20012829</v>
      </c>
      <c r="H22" s="45" t="s">
        <v>99</v>
      </c>
      <c r="I22" s="46">
        <v>2</v>
      </c>
      <c r="J22" s="47">
        <v>35</v>
      </c>
      <c r="K22" s="47">
        <v>70</v>
      </c>
    </row>
    <row r="23" spans="4:11">
      <c r="D23" s="44">
        <v>46066</v>
      </c>
      <c r="E23" s="45">
        <v>1578764</v>
      </c>
      <c r="F23" s="45" t="s">
        <v>45</v>
      </c>
      <c r="G23" s="46">
        <v>20012829</v>
      </c>
      <c r="H23" s="45" t="s">
        <v>99</v>
      </c>
      <c r="I23" s="46">
        <v>1</v>
      </c>
      <c r="J23" s="47">
        <v>35</v>
      </c>
      <c r="K23" s="47">
        <v>35</v>
      </c>
    </row>
    <row r="24" spans="4:11">
      <c r="D24" s="44">
        <v>46067</v>
      </c>
      <c r="E24" s="45">
        <v>1578939</v>
      </c>
      <c r="F24" s="45" t="s">
        <v>45</v>
      </c>
      <c r="G24" s="46">
        <v>20012829</v>
      </c>
      <c r="H24" s="45" t="s">
        <v>99</v>
      </c>
      <c r="I24" s="46">
        <v>1</v>
      </c>
      <c r="J24" s="47">
        <v>35</v>
      </c>
      <c r="K24" s="47">
        <v>35</v>
      </c>
    </row>
    <row r="25" spans="4:11">
      <c r="D25" s="44">
        <v>46074</v>
      </c>
      <c r="E25" s="45">
        <v>1579395</v>
      </c>
      <c r="F25" s="45" t="s">
        <v>45</v>
      </c>
      <c r="G25" s="46">
        <v>20012829</v>
      </c>
      <c r="H25" s="45" t="s">
        <v>99</v>
      </c>
      <c r="I25" s="46">
        <v>1</v>
      </c>
      <c r="J25" s="47">
        <v>35</v>
      </c>
      <c r="K25" s="47">
        <v>35</v>
      </c>
    </row>
    <row r="26" spans="4:11">
      <c r="D26" s="44">
        <v>46077</v>
      </c>
      <c r="E26" s="45">
        <v>1579676</v>
      </c>
      <c r="F26" s="45" t="s">
        <v>45</v>
      </c>
      <c r="G26" s="46">
        <v>20012829</v>
      </c>
      <c r="H26" s="45" t="s">
        <v>99</v>
      </c>
      <c r="I26" s="46">
        <v>2</v>
      </c>
      <c r="J26" s="47">
        <v>35</v>
      </c>
      <c r="K26" s="47">
        <v>70</v>
      </c>
    </row>
    <row r="27" spans="4:11">
      <c r="D27" s="44">
        <v>46078</v>
      </c>
      <c r="E27" s="45">
        <v>1580118</v>
      </c>
      <c r="F27" s="45" t="s">
        <v>45</v>
      </c>
      <c r="G27" s="46">
        <v>20012829</v>
      </c>
      <c r="H27" s="45" t="s">
        <v>99</v>
      </c>
      <c r="I27" s="46">
        <v>2</v>
      </c>
      <c r="J27" s="47">
        <v>35</v>
      </c>
      <c r="K27" s="47">
        <v>70</v>
      </c>
    </row>
    <row r="28" spans="4:11">
      <c r="D28" s="44">
        <v>46079</v>
      </c>
      <c r="E28" s="45">
        <v>1580399</v>
      </c>
      <c r="F28" s="45" t="s">
        <v>45</v>
      </c>
      <c r="G28" s="46">
        <v>20012829</v>
      </c>
      <c r="H28" s="45" t="s">
        <v>99</v>
      </c>
      <c r="I28" s="46">
        <v>1</v>
      </c>
      <c r="J28" s="47">
        <v>35</v>
      </c>
      <c r="K28" s="47">
        <v>35</v>
      </c>
    </row>
    <row r="29" spans="4:11">
      <c r="D29" s="44">
        <v>46080</v>
      </c>
      <c r="E29" s="45">
        <v>1580791</v>
      </c>
      <c r="F29" s="45" t="s">
        <v>45</v>
      </c>
      <c r="G29" s="46">
        <v>20012829</v>
      </c>
      <c r="H29" s="45" t="s">
        <v>99</v>
      </c>
      <c r="I29" s="46">
        <v>1</v>
      </c>
      <c r="J29" s="47">
        <v>35</v>
      </c>
      <c r="K29" s="47">
        <v>35</v>
      </c>
    </row>
    <row r="30" spans="4:11">
      <c r="D30" s="44">
        <v>46081</v>
      </c>
      <c r="E30" s="45">
        <v>1581085</v>
      </c>
      <c r="F30" s="45" t="s">
        <v>45</v>
      </c>
      <c r="G30" s="46">
        <v>20012829</v>
      </c>
      <c r="H30" s="45" t="s">
        <v>99</v>
      </c>
      <c r="I30" s="46">
        <v>1</v>
      </c>
      <c r="J30" s="47">
        <v>35</v>
      </c>
      <c r="K30" s="47">
        <v>35</v>
      </c>
    </row>
    <row r="31" spans="4:11">
      <c r="D31" s="44">
        <v>46057</v>
      </c>
      <c r="E31" s="45">
        <v>1576043</v>
      </c>
      <c r="F31" s="45" t="s">
        <v>105</v>
      </c>
      <c r="G31" s="46">
        <v>20362401</v>
      </c>
      <c r="H31" s="45" t="s">
        <v>106</v>
      </c>
      <c r="I31" s="46">
        <v>1</v>
      </c>
      <c r="J31" s="47">
        <v>0</v>
      </c>
      <c r="K31" s="47">
        <v>0</v>
      </c>
    </row>
    <row r="32" spans="4:11">
      <c r="D32" s="44">
        <v>46058</v>
      </c>
      <c r="E32" s="45">
        <v>1576336</v>
      </c>
      <c r="F32" s="45" t="s">
        <v>105</v>
      </c>
      <c r="G32" s="46">
        <v>20374520</v>
      </c>
      <c r="H32" s="45" t="s">
        <v>107</v>
      </c>
      <c r="I32" s="46">
        <v>1</v>
      </c>
      <c r="J32" s="47">
        <v>0</v>
      </c>
      <c r="K32" s="47">
        <v>0</v>
      </c>
    </row>
    <row r="33" spans="4:11">
      <c r="D33" s="44">
        <v>46058</v>
      </c>
      <c r="E33" s="45">
        <v>1576336</v>
      </c>
      <c r="F33" s="45" t="s">
        <v>105</v>
      </c>
      <c r="G33" s="46">
        <v>20374523</v>
      </c>
      <c r="H33" s="45" t="s">
        <v>108</v>
      </c>
      <c r="I33" s="46">
        <v>1</v>
      </c>
      <c r="J33" s="47">
        <v>0</v>
      </c>
      <c r="K33" s="47">
        <v>0</v>
      </c>
    </row>
    <row r="34" spans="4:11">
      <c r="D34" s="44">
        <v>46061</v>
      </c>
      <c r="E34" s="45">
        <v>1577198</v>
      </c>
      <c r="F34" s="45" t="s">
        <v>105</v>
      </c>
      <c r="G34" s="46">
        <v>20374523</v>
      </c>
      <c r="H34" s="45" t="s">
        <v>109</v>
      </c>
      <c r="I34" s="46">
        <v>1</v>
      </c>
      <c r="J34" s="47">
        <v>0</v>
      </c>
      <c r="K34" s="47">
        <v>0</v>
      </c>
    </row>
    <row r="35" spans="4:11">
      <c r="D35" s="44">
        <v>46063</v>
      </c>
      <c r="E35" s="45">
        <v>1577844</v>
      </c>
      <c r="F35" s="45" t="s">
        <v>105</v>
      </c>
      <c r="G35" s="46">
        <v>20374523</v>
      </c>
      <c r="H35" s="45" t="s">
        <v>109</v>
      </c>
      <c r="I35" s="46">
        <v>1</v>
      </c>
      <c r="J35" s="47">
        <v>0</v>
      </c>
      <c r="K35" s="47">
        <v>0</v>
      </c>
    </row>
    <row r="36" spans="4:11">
      <c r="D36" s="44">
        <v>46063</v>
      </c>
      <c r="E36" s="45">
        <v>1577844</v>
      </c>
      <c r="F36" s="45" t="s">
        <v>105</v>
      </c>
      <c r="G36" s="46">
        <v>20374522</v>
      </c>
      <c r="H36" s="45" t="s">
        <v>110</v>
      </c>
      <c r="I36" s="46">
        <v>1</v>
      </c>
      <c r="J36" s="47">
        <v>0</v>
      </c>
      <c r="K36" s="47">
        <v>0</v>
      </c>
    </row>
    <row r="37" spans="4:11">
      <c r="D37" s="44">
        <v>46065</v>
      </c>
      <c r="E37" s="45">
        <v>1578542</v>
      </c>
      <c r="F37" s="45" t="s">
        <v>105</v>
      </c>
      <c r="G37" s="46">
        <v>20374523</v>
      </c>
      <c r="H37" s="45" t="s">
        <v>111</v>
      </c>
      <c r="I37" s="46">
        <v>1</v>
      </c>
      <c r="J37" s="47">
        <v>0</v>
      </c>
      <c r="K37" s="47">
        <v>0</v>
      </c>
    </row>
    <row r="38" spans="4:11">
      <c r="D38" s="44">
        <v>46077</v>
      </c>
      <c r="E38" s="45">
        <v>1579586</v>
      </c>
      <c r="F38" s="45" t="s">
        <v>105</v>
      </c>
      <c r="G38" s="46">
        <v>20374522</v>
      </c>
      <c r="H38" s="45" t="s">
        <v>112</v>
      </c>
      <c r="I38" s="46">
        <v>1</v>
      </c>
      <c r="J38" s="47">
        <v>0</v>
      </c>
      <c r="K38" s="47">
        <v>0</v>
      </c>
    </row>
    <row r="39" spans="4:11">
      <c r="D39" s="44">
        <v>46077</v>
      </c>
      <c r="E39" s="45">
        <v>1579586</v>
      </c>
      <c r="F39" s="45" t="s">
        <v>105</v>
      </c>
      <c r="G39" s="46">
        <v>20374521</v>
      </c>
      <c r="H39" s="45" t="s">
        <v>113</v>
      </c>
      <c r="I39" s="46">
        <v>1</v>
      </c>
      <c r="J39" s="47">
        <v>0</v>
      </c>
      <c r="K39" s="47">
        <v>0</v>
      </c>
    </row>
    <row r="40" spans="4:11">
      <c r="D40" s="44">
        <v>46077</v>
      </c>
      <c r="E40" s="45">
        <v>1579586</v>
      </c>
      <c r="F40" s="45" t="s">
        <v>105</v>
      </c>
      <c r="G40" s="46">
        <v>20010635</v>
      </c>
      <c r="H40" s="45" t="s">
        <v>114</v>
      </c>
      <c r="I40" s="46">
        <v>1</v>
      </c>
      <c r="J40" s="47">
        <v>0</v>
      </c>
      <c r="K40" s="47">
        <v>0</v>
      </c>
    </row>
    <row r="41" spans="4:11">
      <c r="D41" s="44">
        <v>46077</v>
      </c>
      <c r="E41" s="45">
        <v>1579586</v>
      </c>
      <c r="F41" s="45" t="s">
        <v>105</v>
      </c>
      <c r="G41" s="46">
        <v>20362401</v>
      </c>
      <c r="H41" s="45" t="s">
        <v>115</v>
      </c>
      <c r="I41" s="46">
        <v>1</v>
      </c>
      <c r="J41" s="47">
        <v>0</v>
      </c>
      <c r="K41" s="47">
        <v>0</v>
      </c>
    </row>
    <row r="42" spans="4:11">
      <c r="D42" s="44">
        <v>46079</v>
      </c>
      <c r="E42" s="45">
        <v>1580498</v>
      </c>
      <c r="F42" s="45" t="s">
        <v>105</v>
      </c>
      <c r="G42" s="46">
        <v>20374520</v>
      </c>
      <c r="H42" s="45" t="s">
        <v>116</v>
      </c>
      <c r="I42" s="46">
        <v>1</v>
      </c>
      <c r="J42" s="47">
        <v>0</v>
      </c>
      <c r="K42" s="47">
        <v>0</v>
      </c>
    </row>
    <row r="43" spans="4:11">
      <c r="D43" s="44">
        <v>46081</v>
      </c>
      <c r="E43" s="45">
        <v>1580900</v>
      </c>
      <c r="F43" s="45" t="s">
        <v>105</v>
      </c>
      <c r="G43" s="46">
        <v>20010635</v>
      </c>
      <c r="H43" s="45" t="s">
        <v>117</v>
      </c>
      <c r="I43" s="46">
        <v>1</v>
      </c>
      <c r="J43" s="47">
        <v>0</v>
      </c>
      <c r="K43" s="47">
        <v>0</v>
      </c>
    </row>
  </sheetData>
  <mergeCells count="5">
    <mergeCell ref="D8:H8"/>
    <mergeCell ref="C7:C30"/>
    <mergeCell ref="B4:H5"/>
    <mergeCell ref="A7:B30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10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111</v>
      </c>
      <c r="J8" s="43"/>
      <c r="K8" s="43">
        <v>1429</v>
      </c>
    </row>
    <row r="9" spans="1:11">
      <c r="D9" s="44">
        <v>46054</v>
      </c>
      <c r="E9" s="45">
        <v>1575342</v>
      </c>
      <c r="F9" s="45" t="s">
        <v>49</v>
      </c>
      <c r="G9" s="46">
        <v>20009921</v>
      </c>
      <c r="H9" s="45" t="s">
        <v>50</v>
      </c>
      <c r="I9" s="46">
        <v>1</v>
      </c>
      <c r="J9" s="47">
        <v>8</v>
      </c>
      <c r="K9" s="47">
        <v>8</v>
      </c>
    </row>
    <row r="10" spans="1:11">
      <c r="D10" s="44">
        <v>46054</v>
      </c>
      <c r="E10" s="45">
        <v>1575342</v>
      </c>
      <c r="F10" s="45" t="s">
        <v>49</v>
      </c>
      <c r="G10" s="46">
        <v>20012553</v>
      </c>
      <c r="H10" s="45" t="s">
        <v>86</v>
      </c>
      <c r="I10" s="46">
        <v>1</v>
      </c>
      <c r="J10" s="47">
        <v>8</v>
      </c>
      <c r="K10" s="47">
        <v>8</v>
      </c>
    </row>
    <row r="11" spans="1:11">
      <c r="D11" s="44">
        <v>46054</v>
      </c>
      <c r="E11" s="45">
        <v>1575342</v>
      </c>
      <c r="F11" s="45" t="s">
        <v>49</v>
      </c>
      <c r="G11" s="46">
        <v>20010253</v>
      </c>
      <c r="H11" s="45" t="s">
        <v>89</v>
      </c>
      <c r="I11" s="46">
        <v>1</v>
      </c>
      <c r="J11" s="47">
        <v>8</v>
      </c>
      <c r="K11" s="47">
        <v>8</v>
      </c>
    </row>
    <row r="12" spans="1:11">
      <c r="D12" s="44">
        <v>46054</v>
      </c>
      <c r="E12" s="45">
        <v>1575342</v>
      </c>
      <c r="F12" s="45" t="s">
        <v>47</v>
      </c>
      <c r="G12" s="46">
        <v>20010014</v>
      </c>
      <c r="H12" s="45" t="s">
        <v>118</v>
      </c>
      <c r="I12" s="46">
        <v>3</v>
      </c>
      <c r="J12" s="47">
        <v>33</v>
      </c>
      <c r="K12" s="47">
        <v>99</v>
      </c>
    </row>
    <row r="13" spans="1:11">
      <c r="D13" s="44">
        <v>46057</v>
      </c>
      <c r="E13" s="45">
        <v>1576322</v>
      </c>
      <c r="F13" s="45" t="s">
        <v>49</v>
      </c>
      <c r="G13" s="46">
        <v>20009921</v>
      </c>
      <c r="H13" s="45" t="s">
        <v>50</v>
      </c>
      <c r="I13" s="46">
        <v>1</v>
      </c>
      <c r="J13" s="47">
        <v>8</v>
      </c>
      <c r="K13" s="47">
        <v>8</v>
      </c>
    </row>
    <row r="14" spans="1:11">
      <c r="D14" s="44">
        <v>46057</v>
      </c>
      <c r="E14" s="45">
        <v>1576322</v>
      </c>
      <c r="F14" s="45" t="s">
        <v>49</v>
      </c>
      <c r="G14" s="46">
        <v>20012553</v>
      </c>
      <c r="H14" s="45" t="s">
        <v>86</v>
      </c>
      <c r="I14" s="46">
        <v>2</v>
      </c>
      <c r="J14" s="47">
        <v>8</v>
      </c>
      <c r="K14" s="47">
        <v>16</v>
      </c>
    </row>
    <row r="15" spans="1:11">
      <c r="D15" s="44">
        <v>46057</v>
      </c>
      <c r="E15" s="45">
        <v>1576322</v>
      </c>
      <c r="F15" s="45" t="s">
        <v>49</v>
      </c>
      <c r="G15" s="46">
        <v>20010429</v>
      </c>
      <c r="H15" s="45" t="s">
        <v>89</v>
      </c>
      <c r="I15" s="46">
        <v>2</v>
      </c>
      <c r="J15" s="47">
        <v>8</v>
      </c>
      <c r="K15" s="47">
        <v>16</v>
      </c>
    </row>
    <row r="16" spans="1:11">
      <c r="D16" s="44">
        <v>46057</v>
      </c>
      <c r="E16" s="45">
        <v>1576322</v>
      </c>
      <c r="F16" s="45" t="s">
        <v>47</v>
      </c>
      <c r="G16" s="46">
        <v>20010014</v>
      </c>
      <c r="H16" s="45" t="s">
        <v>118</v>
      </c>
      <c r="I16" s="46">
        <v>2</v>
      </c>
      <c r="J16" s="47">
        <v>33</v>
      </c>
      <c r="K16" s="47">
        <v>66</v>
      </c>
    </row>
    <row r="17" spans="4:11">
      <c r="D17" s="44">
        <v>46060</v>
      </c>
      <c r="E17" s="45">
        <v>1577008</v>
      </c>
      <c r="F17" s="45" t="s">
        <v>49</v>
      </c>
      <c r="G17" s="46">
        <v>20010645</v>
      </c>
      <c r="H17" s="45" t="s">
        <v>86</v>
      </c>
      <c r="I17" s="46">
        <v>1</v>
      </c>
      <c r="J17" s="47">
        <v>8</v>
      </c>
      <c r="K17" s="47">
        <v>8</v>
      </c>
    </row>
    <row r="18" spans="4:11">
      <c r="D18" s="44">
        <v>46060</v>
      </c>
      <c r="E18" s="45">
        <v>1577008</v>
      </c>
      <c r="F18" s="45" t="s">
        <v>49</v>
      </c>
      <c r="G18" s="46">
        <v>20010429</v>
      </c>
      <c r="H18" s="45" t="s">
        <v>89</v>
      </c>
      <c r="I18" s="46">
        <v>1</v>
      </c>
      <c r="J18" s="47">
        <v>8</v>
      </c>
      <c r="K18" s="47">
        <v>8</v>
      </c>
    </row>
    <row r="19" spans="4:11">
      <c r="D19" s="44">
        <v>46060</v>
      </c>
      <c r="E19" s="45">
        <v>1577008</v>
      </c>
      <c r="F19" s="45" t="s">
        <v>47</v>
      </c>
      <c r="G19" s="46">
        <v>20010014</v>
      </c>
      <c r="H19" s="45" t="s">
        <v>118</v>
      </c>
      <c r="I19" s="46">
        <v>4</v>
      </c>
      <c r="J19" s="47">
        <v>33</v>
      </c>
      <c r="K19" s="47">
        <v>132</v>
      </c>
    </row>
    <row r="20" spans="4:11">
      <c r="D20" s="44">
        <v>46061</v>
      </c>
      <c r="E20" s="45">
        <v>1577191</v>
      </c>
      <c r="F20" s="45" t="s">
        <v>49</v>
      </c>
      <c r="G20" s="46">
        <v>20010645</v>
      </c>
      <c r="H20" s="45" t="s">
        <v>86</v>
      </c>
      <c r="I20" s="46">
        <v>5</v>
      </c>
      <c r="J20" s="47">
        <v>8</v>
      </c>
      <c r="K20" s="47">
        <v>40</v>
      </c>
    </row>
    <row r="21" spans="4:11">
      <c r="D21" s="44">
        <v>46061</v>
      </c>
      <c r="E21" s="45">
        <v>1577191</v>
      </c>
      <c r="F21" s="45" t="s">
        <v>49</v>
      </c>
      <c r="G21" s="46">
        <v>20010506</v>
      </c>
      <c r="H21" s="45" t="s">
        <v>119</v>
      </c>
      <c r="I21" s="46">
        <v>1</v>
      </c>
      <c r="J21" s="47">
        <v>8</v>
      </c>
      <c r="K21" s="47">
        <v>8</v>
      </c>
    </row>
    <row r="22" spans="4:11">
      <c r="D22" s="44">
        <v>46061</v>
      </c>
      <c r="E22" s="45">
        <v>1577191</v>
      </c>
      <c r="F22" s="45" t="s">
        <v>49</v>
      </c>
      <c r="G22" s="46">
        <v>20010429</v>
      </c>
      <c r="H22" s="45" t="s">
        <v>89</v>
      </c>
      <c r="I22" s="46">
        <v>6</v>
      </c>
      <c r="J22" s="47">
        <v>8</v>
      </c>
      <c r="K22" s="47">
        <v>48</v>
      </c>
    </row>
    <row r="23" spans="4:11">
      <c r="D23" s="44">
        <v>46061</v>
      </c>
      <c r="E23" s="45">
        <v>1577191</v>
      </c>
      <c r="F23" s="45" t="s">
        <v>47</v>
      </c>
      <c r="G23" s="46">
        <v>20010014</v>
      </c>
      <c r="H23" s="45" t="s">
        <v>118</v>
      </c>
      <c r="I23" s="46">
        <v>1</v>
      </c>
      <c r="J23" s="47">
        <v>33</v>
      </c>
      <c r="K23" s="47">
        <v>33</v>
      </c>
    </row>
    <row r="24" spans="4:11">
      <c r="D24" s="44">
        <v>46062</v>
      </c>
      <c r="E24" s="45">
        <v>1577510</v>
      </c>
      <c r="F24" s="45" t="s">
        <v>59</v>
      </c>
      <c r="G24" s="46">
        <v>20010552</v>
      </c>
      <c r="H24" s="45" t="s">
        <v>120</v>
      </c>
      <c r="I24" s="46">
        <v>6</v>
      </c>
      <c r="J24" s="47">
        <v>4</v>
      </c>
      <c r="K24" s="47">
        <v>24</v>
      </c>
    </row>
    <row r="25" spans="4:11">
      <c r="D25" s="44">
        <v>46063</v>
      </c>
      <c r="E25" s="45">
        <v>1577764</v>
      </c>
      <c r="F25" s="45" t="s">
        <v>49</v>
      </c>
      <c r="G25" s="46">
        <v>20362919</v>
      </c>
      <c r="H25" s="45" t="s">
        <v>121</v>
      </c>
      <c r="I25" s="46">
        <v>2</v>
      </c>
      <c r="J25" s="47">
        <v>8</v>
      </c>
      <c r="K25" s="47">
        <v>16</v>
      </c>
    </row>
    <row r="26" spans="4:11">
      <c r="D26" s="44">
        <v>46063</v>
      </c>
      <c r="E26" s="45">
        <v>1577764</v>
      </c>
      <c r="F26" s="45" t="s">
        <v>49</v>
      </c>
      <c r="G26" s="46">
        <v>20010645</v>
      </c>
      <c r="H26" s="45" t="s">
        <v>86</v>
      </c>
      <c r="I26" s="46">
        <v>2</v>
      </c>
      <c r="J26" s="47">
        <v>8</v>
      </c>
      <c r="K26" s="47">
        <v>16</v>
      </c>
    </row>
    <row r="27" spans="4:11">
      <c r="D27" s="44">
        <v>46063</v>
      </c>
      <c r="E27" s="45">
        <v>1577764</v>
      </c>
      <c r="F27" s="45" t="s">
        <v>49</v>
      </c>
      <c r="G27" s="46">
        <v>20010429</v>
      </c>
      <c r="H27" s="45" t="s">
        <v>89</v>
      </c>
      <c r="I27" s="46">
        <v>2</v>
      </c>
      <c r="J27" s="47">
        <v>8</v>
      </c>
      <c r="K27" s="47">
        <v>16</v>
      </c>
    </row>
    <row r="28" spans="4:11">
      <c r="D28" s="44">
        <v>46063</v>
      </c>
      <c r="E28" s="45">
        <v>1577764</v>
      </c>
      <c r="F28" s="45" t="s">
        <v>47</v>
      </c>
      <c r="G28" s="46">
        <v>20010014</v>
      </c>
      <c r="H28" s="45" t="s">
        <v>118</v>
      </c>
      <c r="I28" s="46">
        <v>2</v>
      </c>
      <c r="J28" s="47">
        <v>33</v>
      </c>
      <c r="K28" s="47">
        <v>66</v>
      </c>
    </row>
    <row r="29" spans="4:11">
      <c r="D29" s="44">
        <v>46063</v>
      </c>
      <c r="E29" s="45">
        <v>1577764</v>
      </c>
      <c r="F29" s="45" t="s">
        <v>47</v>
      </c>
      <c r="G29" s="46">
        <v>20010026</v>
      </c>
      <c r="H29" s="45" t="s">
        <v>122</v>
      </c>
      <c r="I29" s="46">
        <v>1</v>
      </c>
      <c r="J29" s="47">
        <v>33</v>
      </c>
      <c r="K29" s="47">
        <v>33</v>
      </c>
    </row>
    <row r="30" spans="4:11">
      <c r="D30" s="44">
        <v>46066</v>
      </c>
      <c r="E30" s="45">
        <v>1578765</v>
      </c>
      <c r="F30" s="45" t="s">
        <v>71</v>
      </c>
      <c r="G30" s="46">
        <v>20010001</v>
      </c>
      <c r="H30" s="45" t="s">
        <v>123</v>
      </c>
      <c r="I30" s="46">
        <v>9</v>
      </c>
      <c r="J30" s="47">
        <v>13</v>
      </c>
      <c r="K30" s="47">
        <v>117</v>
      </c>
    </row>
    <row r="31" spans="4:11">
      <c r="D31" s="44">
        <v>46066</v>
      </c>
      <c r="E31" s="45">
        <v>1578765</v>
      </c>
      <c r="F31" s="45" t="s">
        <v>49</v>
      </c>
      <c r="G31" s="46">
        <v>20362919</v>
      </c>
      <c r="H31" s="45" t="s">
        <v>121</v>
      </c>
      <c r="I31" s="46">
        <v>1</v>
      </c>
      <c r="J31" s="47">
        <v>8</v>
      </c>
      <c r="K31" s="47">
        <v>8</v>
      </c>
    </row>
    <row r="32" spans="4:11">
      <c r="D32" s="44">
        <v>46066</v>
      </c>
      <c r="E32" s="45">
        <v>1578765</v>
      </c>
      <c r="F32" s="45" t="s">
        <v>49</v>
      </c>
      <c r="G32" s="46">
        <v>20010645</v>
      </c>
      <c r="H32" s="45" t="s">
        <v>86</v>
      </c>
      <c r="I32" s="46">
        <v>1</v>
      </c>
      <c r="J32" s="47">
        <v>8</v>
      </c>
      <c r="K32" s="47">
        <v>8</v>
      </c>
    </row>
    <row r="33" spans="4:11">
      <c r="D33" s="44">
        <v>46066</v>
      </c>
      <c r="E33" s="45">
        <v>1578765</v>
      </c>
      <c r="F33" s="45" t="s">
        <v>49</v>
      </c>
      <c r="G33" s="46">
        <v>20010429</v>
      </c>
      <c r="H33" s="45" t="s">
        <v>89</v>
      </c>
      <c r="I33" s="46">
        <v>3</v>
      </c>
      <c r="J33" s="47">
        <v>8</v>
      </c>
      <c r="K33" s="47">
        <v>24</v>
      </c>
    </row>
    <row r="34" spans="4:11">
      <c r="D34" s="44">
        <v>46067</v>
      </c>
      <c r="E34" s="45">
        <v>1578990</v>
      </c>
      <c r="F34" s="45" t="s">
        <v>49</v>
      </c>
      <c r="G34" s="46">
        <v>20009921</v>
      </c>
      <c r="H34" s="45" t="s">
        <v>50</v>
      </c>
      <c r="I34" s="46">
        <v>1</v>
      </c>
      <c r="J34" s="47">
        <v>8</v>
      </c>
      <c r="K34" s="47">
        <v>8</v>
      </c>
    </row>
    <row r="35" spans="4:11">
      <c r="D35" s="44">
        <v>46067</v>
      </c>
      <c r="E35" s="45">
        <v>1578990</v>
      </c>
      <c r="F35" s="45" t="s">
        <v>49</v>
      </c>
      <c r="G35" s="46">
        <v>20010645</v>
      </c>
      <c r="H35" s="45" t="s">
        <v>86</v>
      </c>
      <c r="I35" s="46">
        <v>4</v>
      </c>
      <c r="J35" s="47">
        <v>8</v>
      </c>
      <c r="K35" s="47">
        <v>32</v>
      </c>
    </row>
    <row r="36" spans="4:11">
      <c r="D36" s="44">
        <v>46067</v>
      </c>
      <c r="E36" s="45">
        <v>1578990</v>
      </c>
      <c r="F36" s="45" t="s">
        <v>49</v>
      </c>
      <c r="G36" s="46">
        <v>20010429</v>
      </c>
      <c r="H36" s="45" t="s">
        <v>89</v>
      </c>
      <c r="I36" s="46">
        <v>3</v>
      </c>
      <c r="J36" s="47">
        <v>8</v>
      </c>
      <c r="K36" s="47">
        <v>24</v>
      </c>
    </row>
    <row r="37" spans="4:11">
      <c r="D37" s="44">
        <v>46067</v>
      </c>
      <c r="E37" s="45">
        <v>1578990</v>
      </c>
      <c r="F37" s="45" t="s">
        <v>47</v>
      </c>
      <c r="G37" s="46">
        <v>20010014</v>
      </c>
      <c r="H37" s="45" t="s">
        <v>118</v>
      </c>
      <c r="I37" s="46">
        <v>1</v>
      </c>
      <c r="J37" s="47">
        <v>33</v>
      </c>
      <c r="K37" s="47">
        <v>33</v>
      </c>
    </row>
    <row r="38" spans="4:11">
      <c r="D38" s="44">
        <v>46070</v>
      </c>
      <c r="E38" s="45">
        <v>1579138</v>
      </c>
      <c r="F38" s="45" t="s">
        <v>49</v>
      </c>
      <c r="G38" s="46">
        <v>20009921</v>
      </c>
      <c r="H38" s="45" t="s">
        <v>50</v>
      </c>
      <c r="I38" s="46">
        <v>1</v>
      </c>
      <c r="J38" s="47">
        <v>8</v>
      </c>
      <c r="K38" s="47">
        <v>8</v>
      </c>
    </row>
    <row r="39" spans="4:11">
      <c r="D39" s="44">
        <v>46070</v>
      </c>
      <c r="E39" s="45">
        <v>1579138</v>
      </c>
      <c r="F39" s="45" t="s">
        <v>49</v>
      </c>
      <c r="G39" s="46">
        <v>20010645</v>
      </c>
      <c r="H39" s="45" t="s">
        <v>86</v>
      </c>
      <c r="I39" s="46">
        <v>2</v>
      </c>
      <c r="J39" s="47">
        <v>8</v>
      </c>
      <c r="K39" s="47">
        <v>16</v>
      </c>
    </row>
    <row r="40" spans="4:11">
      <c r="D40" s="44">
        <v>46070</v>
      </c>
      <c r="E40" s="45">
        <v>1579138</v>
      </c>
      <c r="F40" s="45" t="s">
        <v>49</v>
      </c>
      <c r="G40" s="46">
        <v>20010253</v>
      </c>
      <c r="H40" s="45" t="s">
        <v>89</v>
      </c>
      <c r="I40" s="46">
        <v>5</v>
      </c>
      <c r="J40" s="47">
        <v>8</v>
      </c>
      <c r="K40" s="47">
        <v>40</v>
      </c>
    </row>
    <row r="41" spans="4:11">
      <c r="D41" s="44">
        <v>46072</v>
      </c>
      <c r="E41" s="45">
        <v>1579251</v>
      </c>
      <c r="F41" s="45" t="s">
        <v>49</v>
      </c>
      <c r="G41" s="46">
        <v>20009921</v>
      </c>
      <c r="H41" s="45" t="s">
        <v>50</v>
      </c>
      <c r="I41" s="46">
        <v>1</v>
      </c>
      <c r="J41" s="47">
        <v>8</v>
      </c>
      <c r="K41" s="47">
        <v>8</v>
      </c>
    </row>
    <row r="42" spans="4:11">
      <c r="D42" s="44">
        <v>46072</v>
      </c>
      <c r="E42" s="45">
        <v>1579251</v>
      </c>
      <c r="F42" s="45" t="s">
        <v>49</v>
      </c>
      <c r="G42" s="46">
        <v>20010645</v>
      </c>
      <c r="H42" s="45" t="s">
        <v>86</v>
      </c>
      <c r="I42" s="46">
        <v>1</v>
      </c>
      <c r="J42" s="47">
        <v>8</v>
      </c>
      <c r="K42" s="47">
        <v>8</v>
      </c>
    </row>
    <row r="43" spans="4:11">
      <c r="D43" s="44">
        <v>46072</v>
      </c>
      <c r="E43" s="45">
        <v>1579251</v>
      </c>
      <c r="F43" s="45" t="s">
        <v>49</v>
      </c>
      <c r="G43" s="46">
        <v>20010429</v>
      </c>
      <c r="H43" s="45" t="s">
        <v>89</v>
      </c>
      <c r="I43" s="46">
        <v>1</v>
      </c>
      <c r="J43" s="47">
        <v>8</v>
      </c>
      <c r="K43" s="47">
        <v>8</v>
      </c>
    </row>
    <row r="44" spans="4:11">
      <c r="D44" s="44">
        <v>46076</v>
      </c>
      <c r="E44" s="45">
        <v>1579537</v>
      </c>
      <c r="F44" s="45" t="s">
        <v>49</v>
      </c>
      <c r="G44" s="46">
        <v>20009921</v>
      </c>
      <c r="H44" s="45" t="s">
        <v>50</v>
      </c>
      <c r="I44" s="46">
        <v>3</v>
      </c>
      <c r="J44" s="47">
        <v>8</v>
      </c>
      <c r="K44" s="47">
        <v>24</v>
      </c>
    </row>
    <row r="45" spans="4:11">
      <c r="D45" s="44">
        <v>46076</v>
      </c>
      <c r="E45" s="45">
        <v>1579537</v>
      </c>
      <c r="F45" s="45" t="s">
        <v>49</v>
      </c>
      <c r="G45" s="46">
        <v>20012553</v>
      </c>
      <c r="H45" s="45" t="s">
        <v>86</v>
      </c>
      <c r="I45" s="46">
        <v>1</v>
      </c>
      <c r="J45" s="47">
        <v>8</v>
      </c>
      <c r="K45" s="47">
        <v>8</v>
      </c>
    </row>
    <row r="46" spans="4:11">
      <c r="D46" s="44">
        <v>46076</v>
      </c>
      <c r="E46" s="45">
        <v>1579537</v>
      </c>
      <c r="F46" s="45" t="s">
        <v>49</v>
      </c>
      <c r="G46" s="46">
        <v>20010429</v>
      </c>
      <c r="H46" s="45" t="s">
        <v>89</v>
      </c>
      <c r="I46" s="46">
        <v>5</v>
      </c>
      <c r="J46" s="47">
        <v>8</v>
      </c>
      <c r="K46" s="47">
        <v>40</v>
      </c>
    </row>
    <row r="47" spans="4:11">
      <c r="D47" s="44">
        <v>46076</v>
      </c>
      <c r="E47" s="45">
        <v>1579537</v>
      </c>
      <c r="F47" s="45" t="s">
        <v>47</v>
      </c>
      <c r="G47" s="46">
        <v>20010014</v>
      </c>
      <c r="H47" s="45" t="s">
        <v>118</v>
      </c>
      <c r="I47" s="46">
        <v>4</v>
      </c>
      <c r="J47" s="47">
        <v>33</v>
      </c>
      <c r="K47" s="47">
        <v>132</v>
      </c>
    </row>
    <row r="48" spans="4:11">
      <c r="D48" s="44">
        <v>46077</v>
      </c>
      <c r="E48" s="45">
        <v>1579827</v>
      </c>
      <c r="F48" s="45" t="s">
        <v>49</v>
      </c>
      <c r="G48" s="46">
        <v>20009921</v>
      </c>
      <c r="H48" s="45" t="s">
        <v>50</v>
      </c>
      <c r="I48" s="46">
        <v>1</v>
      </c>
      <c r="J48" s="47">
        <v>8</v>
      </c>
      <c r="K48" s="47">
        <v>8</v>
      </c>
    </row>
    <row r="49" spans="4:11">
      <c r="D49" s="44">
        <v>46077</v>
      </c>
      <c r="E49" s="45">
        <v>1579827</v>
      </c>
      <c r="F49" s="45" t="s">
        <v>49</v>
      </c>
      <c r="G49" s="46">
        <v>20010645</v>
      </c>
      <c r="H49" s="45" t="s">
        <v>86</v>
      </c>
      <c r="I49" s="46">
        <v>2</v>
      </c>
      <c r="J49" s="47">
        <v>8</v>
      </c>
      <c r="K49" s="47">
        <v>16</v>
      </c>
    </row>
    <row r="50" spans="4:11">
      <c r="D50" s="44">
        <v>46077</v>
      </c>
      <c r="E50" s="45">
        <v>1579827</v>
      </c>
      <c r="F50" s="45" t="s">
        <v>49</v>
      </c>
      <c r="G50" s="46">
        <v>20010429</v>
      </c>
      <c r="H50" s="45" t="s">
        <v>89</v>
      </c>
      <c r="I50" s="46">
        <v>1</v>
      </c>
      <c r="J50" s="47">
        <v>8</v>
      </c>
      <c r="K50" s="47">
        <v>8</v>
      </c>
    </row>
    <row r="51" spans="4:11">
      <c r="D51" s="44">
        <v>46077</v>
      </c>
      <c r="E51" s="45">
        <v>1579827</v>
      </c>
      <c r="F51" s="45" t="s">
        <v>47</v>
      </c>
      <c r="G51" s="46">
        <v>20010014</v>
      </c>
      <c r="H51" s="45" t="s">
        <v>118</v>
      </c>
      <c r="I51" s="46">
        <v>1</v>
      </c>
      <c r="J51" s="47">
        <v>33</v>
      </c>
      <c r="K51" s="47">
        <v>33</v>
      </c>
    </row>
    <row r="52" spans="4:11">
      <c r="D52" s="44">
        <v>46078</v>
      </c>
      <c r="E52" s="45">
        <v>1580119</v>
      </c>
      <c r="F52" s="45" t="s">
        <v>71</v>
      </c>
      <c r="G52" s="46">
        <v>20010001</v>
      </c>
      <c r="H52" s="45" t="s">
        <v>123</v>
      </c>
      <c r="I52" s="46">
        <v>9</v>
      </c>
      <c r="J52" s="47">
        <v>13</v>
      </c>
      <c r="K52" s="47">
        <v>117</v>
      </c>
    </row>
    <row r="53" spans="4:11">
      <c r="D53" s="44">
        <v>46078</v>
      </c>
      <c r="E53" s="45">
        <v>1580119</v>
      </c>
      <c r="F53" s="45" t="s">
        <v>49</v>
      </c>
      <c r="G53" s="46">
        <v>20009921</v>
      </c>
      <c r="H53" s="45" t="s">
        <v>50</v>
      </c>
      <c r="I53" s="46">
        <v>1</v>
      </c>
      <c r="J53" s="47">
        <v>8</v>
      </c>
      <c r="K53" s="47">
        <v>8</v>
      </c>
    </row>
    <row r="54" spans="4:11">
      <c r="D54" s="44">
        <v>46078</v>
      </c>
      <c r="E54" s="45">
        <v>1580119</v>
      </c>
      <c r="F54" s="45" t="s">
        <v>49</v>
      </c>
      <c r="G54" s="46">
        <v>20362919</v>
      </c>
      <c r="H54" s="45" t="s">
        <v>121</v>
      </c>
      <c r="I54" s="46">
        <v>1</v>
      </c>
      <c r="J54" s="47">
        <v>8</v>
      </c>
      <c r="K54" s="47">
        <v>8</v>
      </c>
    </row>
    <row r="55" spans="4:11">
      <c r="D55" s="44">
        <v>46078</v>
      </c>
      <c r="E55" s="45">
        <v>1580119</v>
      </c>
      <c r="F55" s="45" t="s">
        <v>49</v>
      </c>
      <c r="G55" s="46">
        <v>20010645</v>
      </c>
      <c r="H55" s="45" t="s">
        <v>86</v>
      </c>
      <c r="I55" s="46">
        <v>1</v>
      </c>
      <c r="J55" s="47">
        <v>8</v>
      </c>
      <c r="K55" s="47">
        <v>8</v>
      </c>
    </row>
    <row r="56" ht="0.05" customHeight="1"/>
  </sheetData>
  <autoFilter xmlns:etc="http://www.wps.cn/officeDocument/2017/etCustomData" ref="A7:K55" etc:filterBottomFollowUsedRange="0">
    <extLst/>
  </autoFilter>
  <mergeCells count="5">
    <mergeCell ref="D8:H8"/>
    <mergeCell ref="C7:C55"/>
    <mergeCell ref="B4:H5"/>
    <mergeCell ref="A7:B5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8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18</v>
      </c>
      <c r="J8" s="43"/>
      <c r="K8" s="43">
        <v>127.5</v>
      </c>
    </row>
    <row r="9" spans="1:11">
      <c r="D9" s="44">
        <v>46055</v>
      </c>
      <c r="E9" s="45">
        <v>1575565</v>
      </c>
      <c r="F9" s="45" t="s">
        <v>49</v>
      </c>
      <c r="G9" s="46">
        <v>20012723</v>
      </c>
      <c r="H9" s="45" t="s">
        <v>67</v>
      </c>
      <c r="I9" s="46">
        <v>2</v>
      </c>
      <c r="J9" s="47">
        <v>8</v>
      </c>
      <c r="K9" s="47">
        <v>16</v>
      </c>
    </row>
    <row r="10" spans="1:11">
      <c r="D10" s="44">
        <v>46055</v>
      </c>
      <c r="E10" s="45">
        <v>1575565</v>
      </c>
      <c r="F10" s="45" t="s">
        <v>49</v>
      </c>
      <c r="G10" s="46">
        <v>20010429</v>
      </c>
      <c r="H10" s="45" t="s">
        <v>89</v>
      </c>
      <c r="I10" s="46">
        <v>3</v>
      </c>
      <c r="J10" s="47">
        <v>8</v>
      </c>
      <c r="K10" s="47">
        <v>24</v>
      </c>
    </row>
    <row r="11" spans="1:11">
      <c r="D11" s="44">
        <v>46060</v>
      </c>
      <c r="E11" s="45">
        <v>1577009</v>
      </c>
      <c r="F11" s="45" t="s">
        <v>49</v>
      </c>
      <c r="G11" s="46">
        <v>20010116</v>
      </c>
      <c r="H11" s="45" t="s">
        <v>97</v>
      </c>
      <c r="I11" s="46">
        <v>3</v>
      </c>
      <c r="J11" s="47">
        <v>8</v>
      </c>
      <c r="K11" s="47">
        <v>24</v>
      </c>
    </row>
    <row r="12" spans="1:11">
      <c r="D12" s="44">
        <v>46060</v>
      </c>
      <c r="E12" s="45">
        <v>1577009</v>
      </c>
      <c r="F12" s="45" t="s">
        <v>49</v>
      </c>
      <c r="G12" s="46">
        <v>20010429</v>
      </c>
      <c r="H12" s="45" t="s">
        <v>89</v>
      </c>
      <c r="I12" s="46">
        <v>4</v>
      </c>
      <c r="J12" s="47">
        <v>8</v>
      </c>
      <c r="K12" s="47">
        <v>32</v>
      </c>
    </row>
    <row r="13" spans="1:11">
      <c r="D13" s="44">
        <v>46062</v>
      </c>
      <c r="E13" s="45">
        <v>1577511</v>
      </c>
      <c r="F13" s="45" t="s">
        <v>59</v>
      </c>
      <c r="G13" s="46">
        <v>20010280</v>
      </c>
      <c r="H13" s="45" t="s">
        <v>84</v>
      </c>
      <c r="I13" s="46">
        <v>3</v>
      </c>
      <c r="J13" s="47">
        <v>2.5</v>
      </c>
      <c r="K13" s="47">
        <v>7.5</v>
      </c>
    </row>
    <row r="14" spans="1:11">
      <c r="D14" s="44">
        <v>46081</v>
      </c>
      <c r="E14" s="45">
        <v>1581162</v>
      </c>
      <c r="F14" s="45" t="s">
        <v>49</v>
      </c>
      <c r="G14" s="46">
        <v>20010116</v>
      </c>
      <c r="H14" s="45" t="s">
        <v>97</v>
      </c>
      <c r="I14" s="46">
        <v>2</v>
      </c>
      <c r="J14" s="47">
        <v>8</v>
      </c>
      <c r="K14" s="47">
        <v>16</v>
      </c>
    </row>
    <row r="15" spans="1:11">
      <c r="D15" s="44">
        <v>46081</v>
      </c>
      <c r="E15" s="45">
        <v>1581162</v>
      </c>
      <c r="F15" s="45" t="s">
        <v>49</v>
      </c>
      <c r="G15" s="46">
        <v>20010429</v>
      </c>
      <c r="H15" s="45" t="s">
        <v>89</v>
      </c>
      <c r="I15" s="46">
        <v>1</v>
      </c>
      <c r="J15" s="47">
        <v>8</v>
      </c>
      <c r="K15" s="47">
        <v>8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25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2</v>
      </c>
      <c r="J8" s="43"/>
      <c r="K8" s="43">
        <v>5</v>
      </c>
    </row>
    <row r="9" spans="1:11">
      <c r="D9" s="44">
        <v>46062</v>
      </c>
      <c r="E9" s="45">
        <v>1577512</v>
      </c>
      <c r="F9" s="45" t="s">
        <v>59</v>
      </c>
      <c r="G9" s="46">
        <v>20011222</v>
      </c>
      <c r="H9" s="45" t="s">
        <v>84</v>
      </c>
      <c r="I9" s="46">
        <v>2</v>
      </c>
      <c r="J9" s="47">
        <v>2.5</v>
      </c>
      <c r="K9" s="47">
        <v>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7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16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448</v>
      </c>
      <c r="J8" s="43"/>
      <c r="K8" s="43">
        <v>3412</v>
      </c>
    </row>
    <row r="9" spans="1:11">
      <c r="D9" s="44">
        <v>46054</v>
      </c>
      <c r="E9" s="45">
        <v>1575343</v>
      </c>
      <c r="F9" s="45" t="s">
        <v>49</v>
      </c>
      <c r="G9" s="46">
        <v>20403242</v>
      </c>
      <c r="H9" s="45" t="s">
        <v>124</v>
      </c>
      <c r="I9" s="46">
        <v>1</v>
      </c>
      <c r="J9" s="47">
        <v>5.5</v>
      </c>
      <c r="K9" s="47">
        <v>5.5</v>
      </c>
    </row>
    <row r="10" spans="1:11">
      <c r="D10" s="44">
        <v>46054</v>
      </c>
      <c r="E10" s="45">
        <v>1575343</v>
      </c>
      <c r="F10" s="45" t="s">
        <v>49</v>
      </c>
      <c r="G10" s="46">
        <v>20010272</v>
      </c>
      <c r="H10" s="45" t="s">
        <v>125</v>
      </c>
      <c r="I10" s="46">
        <v>1</v>
      </c>
      <c r="J10" s="47">
        <v>5.5</v>
      </c>
      <c r="K10" s="47">
        <v>5.5</v>
      </c>
    </row>
    <row r="11" spans="1:11">
      <c r="D11" s="44">
        <v>46054</v>
      </c>
      <c r="E11" s="45">
        <v>1575343</v>
      </c>
      <c r="F11" s="45" t="s">
        <v>49</v>
      </c>
      <c r="G11" s="46">
        <v>20013598</v>
      </c>
      <c r="H11" s="45" t="s">
        <v>126</v>
      </c>
      <c r="I11" s="46">
        <v>1</v>
      </c>
      <c r="J11" s="47">
        <v>27.5</v>
      </c>
      <c r="K11" s="47">
        <v>27.5</v>
      </c>
    </row>
    <row r="12" spans="1:11">
      <c r="D12" s="44">
        <v>46054</v>
      </c>
      <c r="E12" s="45">
        <v>1575343</v>
      </c>
      <c r="F12" s="45" t="s">
        <v>49</v>
      </c>
      <c r="G12" s="46">
        <v>20010074</v>
      </c>
      <c r="H12" s="45" t="s">
        <v>127</v>
      </c>
      <c r="I12" s="46">
        <v>1</v>
      </c>
      <c r="J12" s="47">
        <v>5.5</v>
      </c>
      <c r="K12" s="47">
        <v>5.5</v>
      </c>
    </row>
    <row r="13" spans="1:11">
      <c r="D13" s="44">
        <v>46054</v>
      </c>
      <c r="E13" s="45">
        <v>1575343</v>
      </c>
      <c r="F13" s="45" t="s">
        <v>49</v>
      </c>
      <c r="G13" s="46">
        <v>20010080</v>
      </c>
      <c r="H13" s="45" t="s">
        <v>128</v>
      </c>
      <c r="I13" s="46">
        <v>1</v>
      </c>
      <c r="J13" s="47">
        <v>5.5</v>
      </c>
      <c r="K13" s="47">
        <v>5.5</v>
      </c>
    </row>
    <row r="14" spans="1:11">
      <c r="D14" s="44">
        <v>46054</v>
      </c>
      <c r="E14" s="45">
        <v>1575343</v>
      </c>
      <c r="F14" s="45" t="s">
        <v>49</v>
      </c>
      <c r="G14" s="46">
        <v>20010273</v>
      </c>
      <c r="H14" s="45" t="s">
        <v>129</v>
      </c>
      <c r="I14" s="46">
        <v>3</v>
      </c>
      <c r="J14" s="47">
        <v>5.5</v>
      </c>
      <c r="K14" s="47">
        <v>16.5</v>
      </c>
    </row>
    <row r="15" spans="1:11">
      <c r="D15" s="44">
        <v>46054</v>
      </c>
      <c r="E15" s="45">
        <v>1575343</v>
      </c>
      <c r="F15" s="45" t="s">
        <v>49</v>
      </c>
      <c r="G15" s="46">
        <v>20402907</v>
      </c>
      <c r="H15" s="45" t="s">
        <v>130</v>
      </c>
      <c r="I15" s="46">
        <v>1</v>
      </c>
      <c r="J15" s="47">
        <v>5.5</v>
      </c>
      <c r="K15" s="47">
        <v>5.5</v>
      </c>
    </row>
    <row r="16" spans="1:11">
      <c r="D16" s="44">
        <v>46054</v>
      </c>
      <c r="E16" s="45">
        <v>1575343</v>
      </c>
      <c r="F16" s="45" t="s">
        <v>49</v>
      </c>
      <c r="G16" s="46">
        <v>20403093</v>
      </c>
      <c r="H16" s="45" t="s">
        <v>131</v>
      </c>
      <c r="I16" s="46">
        <v>1</v>
      </c>
      <c r="J16" s="47">
        <v>5.5</v>
      </c>
      <c r="K16" s="47">
        <v>5.5</v>
      </c>
    </row>
    <row r="17" spans="4:11">
      <c r="D17" s="44">
        <v>46054</v>
      </c>
      <c r="E17" s="45">
        <v>1575343</v>
      </c>
      <c r="F17" s="45" t="s">
        <v>49</v>
      </c>
      <c r="G17" s="46">
        <v>20314731</v>
      </c>
      <c r="H17" s="45" t="s">
        <v>132</v>
      </c>
      <c r="I17" s="46">
        <v>1</v>
      </c>
      <c r="J17" s="47">
        <v>5.5</v>
      </c>
      <c r="K17" s="47">
        <v>5.5</v>
      </c>
    </row>
    <row r="18" spans="4:11">
      <c r="D18" s="44">
        <v>46054</v>
      </c>
      <c r="E18" s="45">
        <v>1575343</v>
      </c>
      <c r="F18" s="45" t="s">
        <v>49</v>
      </c>
      <c r="G18" s="46">
        <v>20010534</v>
      </c>
      <c r="H18" s="45" t="s">
        <v>133</v>
      </c>
      <c r="I18" s="46">
        <v>1</v>
      </c>
      <c r="J18" s="47">
        <v>5.5</v>
      </c>
      <c r="K18" s="47">
        <v>5.5</v>
      </c>
    </row>
    <row r="19" spans="4:11">
      <c r="D19" s="44">
        <v>46056</v>
      </c>
      <c r="E19" s="45">
        <v>1575648</v>
      </c>
      <c r="F19" s="45" t="s">
        <v>49</v>
      </c>
      <c r="G19" s="46">
        <v>20010825</v>
      </c>
      <c r="H19" s="45" t="s">
        <v>134</v>
      </c>
      <c r="I19" s="46">
        <v>2</v>
      </c>
      <c r="J19" s="47">
        <v>5.5</v>
      </c>
      <c r="K19" s="47">
        <v>11</v>
      </c>
    </row>
    <row r="20" spans="4:11">
      <c r="D20" s="44">
        <v>46056</v>
      </c>
      <c r="E20" s="45">
        <v>1575648</v>
      </c>
      <c r="F20" s="45" t="s">
        <v>49</v>
      </c>
      <c r="G20" s="46">
        <v>20383007</v>
      </c>
      <c r="H20" s="45" t="s">
        <v>135</v>
      </c>
      <c r="I20" s="46">
        <v>1</v>
      </c>
      <c r="J20" s="47">
        <v>5.5</v>
      </c>
      <c r="K20" s="47">
        <v>5.5</v>
      </c>
    </row>
    <row r="21" spans="4:11">
      <c r="D21" s="44">
        <v>46056</v>
      </c>
      <c r="E21" s="45">
        <v>1575648</v>
      </c>
      <c r="F21" s="45" t="s">
        <v>49</v>
      </c>
      <c r="G21" s="46">
        <v>20009971</v>
      </c>
      <c r="H21" s="45" t="s">
        <v>136</v>
      </c>
      <c r="I21" s="46">
        <v>2</v>
      </c>
      <c r="J21" s="47">
        <v>5.5</v>
      </c>
      <c r="K21" s="47">
        <v>11</v>
      </c>
    </row>
    <row r="22" spans="4:11">
      <c r="D22" s="44">
        <v>46056</v>
      </c>
      <c r="E22" s="45">
        <v>1575648</v>
      </c>
      <c r="F22" s="45" t="s">
        <v>49</v>
      </c>
      <c r="G22" s="46">
        <v>20013598</v>
      </c>
      <c r="H22" s="45" t="s">
        <v>126</v>
      </c>
      <c r="I22" s="46">
        <v>1</v>
      </c>
      <c r="J22" s="47">
        <v>27.5</v>
      </c>
      <c r="K22" s="47">
        <v>27.5</v>
      </c>
    </row>
    <row r="23" spans="4:11">
      <c r="D23" s="44">
        <v>46056</v>
      </c>
      <c r="E23" s="45">
        <v>1575648</v>
      </c>
      <c r="F23" s="45" t="s">
        <v>49</v>
      </c>
      <c r="G23" s="46">
        <v>20318308</v>
      </c>
      <c r="H23" s="45" t="s">
        <v>137</v>
      </c>
      <c r="I23" s="46">
        <v>1</v>
      </c>
      <c r="J23" s="47">
        <v>8</v>
      </c>
      <c r="K23" s="47">
        <v>8</v>
      </c>
    </row>
    <row r="24" spans="4:11">
      <c r="D24" s="44">
        <v>46056</v>
      </c>
      <c r="E24" s="45">
        <v>1575648</v>
      </c>
      <c r="F24" s="45" t="s">
        <v>49</v>
      </c>
      <c r="G24" s="46">
        <v>20010076</v>
      </c>
      <c r="H24" s="45" t="s">
        <v>138</v>
      </c>
      <c r="I24" s="46">
        <v>1</v>
      </c>
      <c r="J24" s="47">
        <v>5.5</v>
      </c>
      <c r="K24" s="47">
        <v>5.5</v>
      </c>
    </row>
    <row r="25" spans="4:11">
      <c r="D25" s="44">
        <v>46056</v>
      </c>
      <c r="E25" s="45">
        <v>1575648</v>
      </c>
      <c r="F25" s="45" t="s">
        <v>49</v>
      </c>
      <c r="G25" s="46">
        <v>20010072</v>
      </c>
      <c r="H25" s="45" t="s">
        <v>139</v>
      </c>
      <c r="I25" s="46">
        <v>1</v>
      </c>
      <c r="J25" s="47">
        <v>5.5</v>
      </c>
      <c r="K25" s="47">
        <v>5.5</v>
      </c>
    </row>
    <row r="26" spans="4:11">
      <c r="D26" s="44">
        <v>46056</v>
      </c>
      <c r="E26" s="45">
        <v>1575648</v>
      </c>
      <c r="F26" s="45" t="s">
        <v>49</v>
      </c>
      <c r="G26" s="46">
        <v>20010056</v>
      </c>
      <c r="H26" s="45" t="s">
        <v>140</v>
      </c>
      <c r="I26" s="46">
        <v>1</v>
      </c>
      <c r="J26" s="47">
        <v>5.5</v>
      </c>
      <c r="K26" s="47">
        <v>5.5</v>
      </c>
    </row>
    <row r="27" spans="4:11">
      <c r="D27" s="44">
        <v>46056</v>
      </c>
      <c r="E27" s="45">
        <v>1575648</v>
      </c>
      <c r="F27" s="45" t="s">
        <v>49</v>
      </c>
      <c r="G27" s="46">
        <v>20010078</v>
      </c>
      <c r="H27" s="45" t="s">
        <v>141</v>
      </c>
      <c r="I27" s="46">
        <v>1</v>
      </c>
      <c r="J27" s="47">
        <v>5.5</v>
      </c>
      <c r="K27" s="47">
        <v>5.5</v>
      </c>
    </row>
    <row r="28" spans="4:11">
      <c r="D28" s="44">
        <v>46056</v>
      </c>
      <c r="E28" s="45">
        <v>1575648</v>
      </c>
      <c r="F28" s="45" t="s">
        <v>49</v>
      </c>
      <c r="G28" s="46">
        <v>20010069</v>
      </c>
      <c r="H28" s="45" t="s">
        <v>142</v>
      </c>
      <c r="I28" s="46">
        <v>1</v>
      </c>
      <c r="J28" s="47">
        <v>5.5</v>
      </c>
      <c r="K28" s="47">
        <v>5.5</v>
      </c>
    </row>
    <row r="29" spans="4:11">
      <c r="D29" s="44">
        <v>46056</v>
      </c>
      <c r="E29" s="45">
        <v>1575648</v>
      </c>
      <c r="F29" s="45" t="s">
        <v>49</v>
      </c>
      <c r="G29" s="46">
        <v>20010576</v>
      </c>
      <c r="H29" s="45" t="s">
        <v>143</v>
      </c>
      <c r="I29" s="46">
        <v>2</v>
      </c>
      <c r="J29" s="47">
        <v>11</v>
      </c>
      <c r="K29" s="47">
        <v>22</v>
      </c>
    </row>
    <row r="30" spans="4:11">
      <c r="D30" s="44">
        <v>46056</v>
      </c>
      <c r="E30" s="45">
        <v>1575648</v>
      </c>
      <c r="F30" s="45" t="s">
        <v>49</v>
      </c>
      <c r="G30" s="46">
        <v>20010273</v>
      </c>
      <c r="H30" s="45" t="s">
        <v>129</v>
      </c>
      <c r="I30" s="46">
        <v>4</v>
      </c>
      <c r="J30" s="47">
        <v>5.5</v>
      </c>
      <c r="K30" s="47">
        <v>22</v>
      </c>
    </row>
    <row r="31" spans="4:11">
      <c r="D31" s="44">
        <v>46056</v>
      </c>
      <c r="E31" s="45">
        <v>1575648</v>
      </c>
      <c r="F31" s="45" t="s">
        <v>49</v>
      </c>
      <c r="G31" s="46">
        <v>20403091</v>
      </c>
      <c r="H31" s="45" t="s">
        <v>144</v>
      </c>
      <c r="I31" s="46">
        <v>1</v>
      </c>
      <c r="J31" s="47">
        <v>5.5</v>
      </c>
      <c r="K31" s="47">
        <v>5.5</v>
      </c>
    </row>
    <row r="32" spans="4:11">
      <c r="D32" s="44">
        <v>46056</v>
      </c>
      <c r="E32" s="45">
        <v>1575648</v>
      </c>
      <c r="F32" s="45" t="s">
        <v>49</v>
      </c>
      <c r="G32" s="46">
        <v>20403089</v>
      </c>
      <c r="H32" s="45" t="s">
        <v>145</v>
      </c>
      <c r="I32" s="46">
        <v>1</v>
      </c>
      <c r="J32" s="47">
        <v>5.5</v>
      </c>
      <c r="K32" s="47">
        <v>5.5</v>
      </c>
    </row>
    <row r="33" spans="4:11">
      <c r="D33" s="44">
        <v>46056</v>
      </c>
      <c r="E33" s="45">
        <v>1575648</v>
      </c>
      <c r="F33" s="45" t="s">
        <v>49</v>
      </c>
      <c r="G33" s="46">
        <v>20403093</v>
      </c>
      <c r="H33" s="45" t="s">
        <v>131</v>
      </c>
      <c r="I33" s="46">
        <v>1</v>
      </c>
      <c r="J33" s="47">
        <v>5.5</v>
      </c>
      <c r="K33" s="47">
        <v>5.5</v>
      </c>
    </row>
    <row r="34" spans="4:11">
      <c r="D34" s="44">
        <v>46056</v>
      </c>
      <c r="E34" s="45">
        <v>1575648</v>
      </c>
      <c r="F34" s="45" t="s">
        <v>49</v>
      </c>
      <c r="G34" s="46">
        <v>20403090</v>
      </c>
      <c r="H34" s="45" t="s">
        <v>146</v>
      </c>
      <c r="I34" s="46">
        <v>1</v>
      </c>
      <c r="J34" s="47">
        <v>5.5</v>
      </c>
      <c r="K34" s="47">
        <v>5.5</v>
      </c>
    </row>
    <row r="35" spans="4:11">
      <c r="D35" s="44">
        <v>46056</v>
      </c>
      <c r="E35" s="45">
        <v>1575648</v>
      </c>
      <c r="F35" s="45" t="s">
        <v>49</v>
      </c>
      <c r="G35" s="46">
        <v>20325059</v>
      </c>
      <c r="H35" s="45" t="s">
        <v>147</v>
      </c>
      <c r="I35" s="46">
        <v>1</v>
      </c>
      <c r="J35" s="47">
        <v>5.5</v>
      </c>
      <c r="K35" s="47">
        <v>5.5</v>
      </c>
    </row>
    <row r="36" spans="4:11">
      <c r="D36" s="44">
        <v>46056</v>
      </c>
      <c r="E36" s="45">
        <v>1576000</v>
      </c>
      <c r="F36" s="45" t="s">
        <v>49</v>
      </c>
      <c r="G36" s="46">
        <v>20010825</v>
      </c>
      <c r="H36" s="45" t="s">
        <v>134</v>
      </c>
      <c r="I36" s="46">
        <v>1</v>
      </c>
      <c r="J36" s="47">
        <v>5.5</v>
      </c>
      <c r="K36" s="47">
        <v>5.5</v>
      </c>
    </row>
    <row r="37" spans="4:11">
      <c r="D37" s="44">
        <v>46056</v>
      </c>
      <c r="E37" s="45">
        <v>1576000</v>
      </c>
      <c r="F37" s="45" t="s">
        <v>49</v>
      </c>
      <c r="G37" s="46">
        <v>20315617</v>
      </c>
      <c r="H37" s="45" t="s">
        <v>148</v>
      </c>
      <c r="I37" s="46">
        <v>1</v>
      </c>
      <c r="J37" s="47">
        <v>8</v>
      </c>
      <c r="K37" s="47">
        <v>8</v>
      </c>
    </row>
    <row r="38" spans="4:11">
      <c r="D38" s="44">
        <v>46056</v>
      </c>
      <c r="E38" s="45">
        <v>1576000</v>
      </c>
      <c r="F38" s="45" t="s">
        <v>49</v>
      </c>
      <c r="G38" s="46">
        <v>20009971</v>
      </c>
      <c r="H38" s="45" t="s">
        <v>136</v>
      </c>
      <c r="I38" s="46">
        <v>2</v>
      </c>
      <c r="J38" s="47">
        <v>5.5</v>
      </c>
      <c r="K38" s="47">
        <v>11</v>
      </c>
    </row>
    <row r="39" spans="4:11">
      <c r="D39" s="44">
        <v>46056</v>
      </c>
      <c r="E39" s="45">
        <v>1576000</v>
      </c>
      <c r="F39" s="45" t="s">
        <v>49</v>
      </c>
      <c r="G39" s="46">
        <v>20010272</v>
      </c>
      <c r="H39" s="45" t="s">
        <v>125</v>
      </c>
      <c r="I39" s="46">
        <v>1</v>
      </c>
      <c r="J39" s="47">
        <v>5.5</v>
      </c>
      <c r="K39" s="47">
        <v>5.5</v>
      </c>
    </row>
    <row r="40" spans="4:11">
      <c r="D40" s="44">
        <v>46056</v>
      </c>
      <c r="E40" s="45">
        <v>1576000</v>
      </c>
      <c r="F40" s="45" t="s">
        <v>49</v>
      </c>
      <c r="G40" s="46">
        <v>20013598</v>
      </c>
      <c r="H40" s="45" t="s">
        <v>126</v>
      </c>
      <c r="I40" s="46">
        <v>2</v>
      </c>
      <c r="J40" s="47">
        <v>27.5</v>
      </c>
      <c r="K40" s="47">
        <v>55</v>
      </c>
    </row>
    <row r="41" spans="4:11">
      <c r="D41" s="44">
        <v>46056</v>
      </c>
      <c r="E41" s="45">
        <v>1576000</v>
      </c>
      <c r="F41" s="45" t="s">
        <v>49</v>
      </c>
      <c r="G41" s="46">
        <v>20010074</v>
      </c>
      <c r="H41" s="45" t="s">
        <v>127</v>
      </c>
      <c r="I41" s="46">
        <v>1</v>
      </c>
      <c r="J41" s="47">
        <v>5.5</v>
      </c>
      <c r="K41" s="47">
        <v>5.5</v>
      </c>
    </row>
    <row r="42" spans="4:11">
      <c r="D42" s="44">
        <v>46056</v>
      </c>
      <c r="E42" s="45">
        <v>1576000</v>
      </c>
      <c r="F42" s="45" t="s">
        <v>49</v>
      </c>
      <c r="G42" s="46">
        <v>20010075</v>
      </c>
      <c r="H42" s="45" t="s">
        <v>149</v>
      </c>
      <c r="I42" s="46">
        <v>1</v>
      </c>
      <c r="J42" s="47">
        <v>5.5</v>
      </c>
      <c r="K42" s="47">
        <v>5.5</v>
      </c>
    </row>
    <row r="43" spans="4:11">
      <c r="D43" s="44">
        <v>46056</v>
      </c>
      <c r="E43" s="45">
        <v>1576000</v>
      </c>
      <c r="F43" s="45" t="s">
        <v>49</v>
      </c>
      <c r="G43" s="46">
        <v>20010053</v>
      </c>
      <c r="H43" s="45" t="s">
        <v>150</v>
      </c>
      <c r="I43" s="46">
        <v>1</v>
      </c>
      <c r="J43" s="47">
        <v>5.5</v>
      </c>
      <c r="K43" s="47">
        <v>5.5</v>
      </c>
    </row>
    <row r="44" spans="4:11">
      <c r="D44" s="44">
        <v>46056</v>
      </c>
      <c r="E44" s="45">
        <v>1576000</v>
      </c>
      <c r="F44" s="45" t="s">
        <v>49</v>
      </c>
      <c r="G44" s="46">
        <v>20010070</v>
      </c>
      <c r="H44" s="45" t="s">
        <v>151</v>
      </c>
      <c r="I44" s="46">
        <v>1</v>
      </c>
      <c r="J44" s="47">
        <v>5.5</v>
      </c>
      <c r="K44" s="47">
        <v>5.5</v>
      </c>
    </row>
    <row r="45" spans="4:11">
      <c r="D45" s="44">
        <v>46056</v>
      </c>
      <c r="E45" s="45">
        <v>1576000</v>
      </c>
      <c r="F45" s="45" t="s">
        <v>49</v>
      </c>
      <c r="G45" s="46">
        <v>20010071</v>
      </c>
      <c r="H45" s="45" t="s">
        <v>152</v>
      </c>
      <c r="I45" s="46">
        <v>1</v>
      </c>
      <c r="J45" s="47">
        <v>5.5</v>
      </c>
      <c r="K45" s="47">
        <v>5.5</v>
      </c>
    </row>
    <row r="46" spans="4:11">
      <c r="D46" s="44">
        <v>46056</v>
      </c>
      <c r="E46" s="45">
        <v>1576000</v>
      </c>
      <c r="F46" s="45" t="s">
        <v>49</v>
      </c>
      <c r="G46" s="46">
        <v>20010080</v>
      </c>
      <c r="H46" s="45" t="s">
        <v>128</v>
      </c>
      <c r="I46" s="46">
        <v>1</v>
      </c>
      <c r="J46" s="47">
        <v>5.5</v>
      </c>
      <c r="K46" s="47">
        <v>5.5</v>
      </c>
    </row>
    <row r="47" spans="4:11">
      <c r="D47" s="44">
        <v>46056</v>
      </c>
      <c r="E47" s="45">
        <v>1576000</v>
      </c>
      <c r="F47" s="45" t="s">
        <v>49</v>
      </c>
      <c r="G47" s="46">
        <v>20010066</v>
      </c>
      <c r="H47" s="45" t="s">
        <v>153</v>
      </c>
      <c r="I47" s="46">
        <v>1</v>
      </c>
      <c r="J47" s="47">
        <v>5.5</v>
      </c>
      <c r="K47" s="47">
        <v>5.5</v>
      </c>
    </row>
    <row r="48" spans="4:11">
      <c r="D48" s="44">
        <v>46056</v>
      </c>
      <c r="E48" s="45">
        <v>1576000</v>
      </c>
      <c r="F48" s="45" t="s">
        <v>49</v>
      </c>
      <c r="G48" s="46">
        <v>20010067</v>
      </c>
      <c r="H48" s="45" t="s">
        <v>154</v>
      </c>
      <c r="I48" s="46">
        <v>1</v>
      </c>
      <c r="J48" s="47">
        <v>5.5</v>
      </c>
      <c r="K48" s="47">
        <v>5.5</v>
      </c>
    </row>
    <row r="49" spans="4:11">
      <c r="D49" s="44">
        <v>46056</v>
      </c>
      <c r="E49" s="45">
        <v>1576000</v>
      </c>
      <c r="F49" s="45" t="s">
        <v>49</v>
      </c>
      <c r="G49" s="46">
        <v>20010263</v>
      </c>
      <c r="H49" s="45" t="s">
        <v>155</v>
      </c>
      <c r="I49" s="46">
        <v>1</v>
      </c>
      <c r="J49" s="47">
        <v>5.5</v>
      </c>
      <c r="K49" s="47">
        <v>5.5</v>
      </c>
    </row>
    <row r="50" spans="4:11">
      <c r="D50" s="44">
        <v>46056</v>
      </c>
      <c r="E50" s="45">
        <v>1576000</v>
      </c>
      <c r="F50" s="45" t="s">
        <v>49</v>
      </c>
      <c r="G50" s="46">
        <v>20010576</v>
      </c>
      <c r="H50" s="45" t="s">
        <v>143</v>
      </c>
      <c r="I50" s="46">
        <v>2</v>
      </c>
      <c r="J50" s="47">
        <v>11</v>
      </c>
      <c r="K50" s="47">
        <v>22</v>
      </c>
    </row>
    <row r="51" spans="4:11">
      <c r="D51" s="44">
        <v>46056</v>
      </c>
      <c r="E51" s="45">
        <v>1576000</v>
      </c>
      <c r="F51" s="45" t="s">
        <v>49</v>
      </c>
      <c r="G51" s="46">
        <v>20010273</v>
      </c>
      <c r="H51" s="45" t="s">
        <v>129</v>
      </c>
      <c r="I51" s="46">
        <v>5</v>
      </c>
      <c r="J51" s="47">
        <v>5.5</v>
      </c>
      <c r="K51" s="47">
        <v>27.5</v>
      </c>
    </row>
    <row r="52" spans="4:11">
      <c r="D52" s="44">
        <v>46056</v>
      </c>
      <c r="E52" s="45">
        <v>1576000</v>
      </c>
      <c r="F52" s="45" t="s">
        <v>49</v>
      </c>
      <c r="G52" s="46">
        <v>20010264</v>
      </c>
      <c r="H52" s="45" t="s">
        <v>156</v>
      </c>
      <c r="I52" s="46">
        <v>1</v>
      </c>
      <c r="J52" s="47">
        <v>5.5</v>
      </c>
      <c r="K52" s="47">
        <v>5.5</v>
      </c>
    </row>
    <row r="53" spans="4:11">
      <c r="D53" s="44">
        <v>46056</v>
      </c>
      <c r="E53" s="45">
        <v>1576000</v>
      </c>
      <c r="F53" s="45" t="s">
        <v>49</v>
      </c>
      <c r="G53" s="46">
        <v>20403089</v>
      </c>
      <c r="H53" s="45" t="s">
        <v>145</v>
      </c>
      <c r="I53" s="46">
        <v>1</v>
      </c>
      <c r="J53" s="47">
        <v>5.5</v>
      </c>
      <c r="K53" s="47">
        <v>5.5</v>
      </c>
    </row>
    <row r="54" spans="4:11">
      <c r="D54" s="44">
        <v>46056</v>
      </c>
      <c r="E54" s="45">
        <v>1576000</v>
      </c>
      <c r="F54" s="45" t="s">
        <v>49</v>
      </c>
      <c r="G54" s="46">
        <v>20403093</v>
      </c>
      <c r="H54" s="45" t="s">
        <v>131</v>
      </c>
      <c r="I54" s="46">
        <v>1</v>
      </c>
      <c r="J54" s="47">
        <v>5.5</v>
      </c>
      <c r="K54" s="47">
        <v>5.5</v>
      </c>
    </row>
    <row r="55" spans="4:11">
      <c r="D55" s="44">
        <v>46056</v>
      </c>
      <c r="E55" s="45">
        <v>1576000</v>
      </c>
      <c r="F55" s="45" t="s">
        <v>49</v>
      </c>
      <c r="G55" s="46">
        <v>20383819</v>
      </c>
      <c r="H55" s="45" t="s">
        <v>157</v>
      </c>
      <c r="I55" s="46">
        <v>1</v>
      </c>
      <c r="J55" s="47">
        <v>5.5</v>
      </c>
      <c r="K55" s="47">
        <v>5.5</v>
      </c>
    </row>
    <row r="56" spans="4:11">
      <c r="D56" s="44">
        <v>46056</v>
      </c>
      <c r="E56" s="45">
        <v>1576000</v>
      </c>
      <c r="F56" s="45" t="s">
        <v>49</v>
      </c>
      <c r="G56" s="46">
        <v>20336407</v>
      </c>
      <c r="H56" s="45" t="s">
        <v>158</v>
      </c>
      <c r="I56" s="46">
        <v>1</v>
      </c>
      <c r="J56" s="47">
        <v>5.5</v>
      </c>
      <c r="K56" s="47">
        <v>5.5</v>
      </c>
    </row>
    <row r="57" spans="4:11">
      <c r="D57" s="44">
        <v>46056</v>
      </c>
      <c r="E57" s="45">
        <v>1576000</v>
      </c>
      <c r="F57" s="45" t="s">
        <v>49</v>
      </c>
      <c r="G57" s="46">
        <v>20010059</v>
      </c>
      <c r="H57" s="45" t="s">
        <v>159</v>
      </c>
      <c r="I57" s="46">
        <v>1</v>
      </c>
      <c r="J57" s="47">
        <v>5.5</v>
      </c>
      <c r="K57" s="47">
        <v>5.5</v>
      </c>
    </row>
    <row r="58" spans="4:11">
      <c r="D58" s="44">
        <v>46056</v>
      </c>
      <c r="E58" s="45">
        <v>1576000</v>
      </c>
      <c r="F58" s="45" t="s">
        <v>49</v>
      </c>
      <c r="G58" s="46">
        <v>20010534</v>
      </c>
      <c r="H58" s="45" t="s">
        <v>133</v>
      </c>
      <c r="I58" s="46">
        <v>1</v>
      </c>
      <c r="J58" s="47">
        <v>5.5</v>
      </c>
      <c r="K58" s="47">
        <v>5.5</v>
      </c>
    </row>
    <row r="59" spans="4:11">
      <c r="D59" s="44">
        <v>46056</v>
      </c>
      <c r="E59" s="45">
        <v>1576000</v>
      </c>
      <c r="F59" s="45" t="s">
        <v>49</v>
      </c>
      <c r="G59" s="46">
        <v>20013424</v>
      </c>
      <c r="H59" s="45" t="s">
        <v>160</v>
      </c>
      <c r="I59" s="46">
        <v>1</v>
      </c>
      <c r="J59" s="47">
        <v>27.5</v>
      </c>
      <c r="K59" s="47">
        <v>27.5</v>
      </c>
    </row>
    <row r="60" spans="4:11">
      <c r="D60" s="44">
        <v>46057</v>
      </c>
      <c r="E60" s="45">
        <v>1576323</v>
      </c>
      <c r="F60" s="45" t="s">
        <v>49</v>
      </c>
      <c r="G60" s="46">
        <v>20403242</v>
      </c>
      <c r="H60" s="45" t="s">
        <v>124</v>
      </c>
      <c r="I60" s="46">
        <v>1</v>
      </c>
      <c r="J60" s="47">
        <v>5.5</v>
      </c>
      <c r="K60" s="47">
        <v>5.5</v>
      </c>
    </row>
    <row r="61" spans="4:11">
      <c r="D61" s="44">
        <v>46057</v>
      </c>
      <c r="E61" s="45">
        <v>1576323</v>
      </c>
      <c r="F61" s="45" t="s">
        <v>49</v>
      </c>
      <c r="G61" s="46">
        <v>20010825</v>
      </c>
      <c r="H61" s="45" t="s">
        <v>134</v>
      </c>
      <c r="I61" s="46">
        <v>1</v>
      </c>
      <c r="J61" s="47">
        <v>5.5</v>
      </c>
      <c r="K61" s="47">
        <v>5.5</v>
      </c>
    </row>
    <row r="62" spans="4:11">
      <c r="D62" s="44">
        <v>46057</v>
      </c>
      <c r="E62" s="45">
        <v>1576323</v>
      </c>
      <c r="F62" s="45" t="s">
        <v>49</v>
      </c>
      <c r="G62" s="46">
        <v>20009971</v>
      </c>
      <c r="H62" s="45" t="s">
        <v>136</v>
      </c>
      <c r="I62" s="46">
        <v>1</v>
      </c>
      <c r="J62" s="47">
        <v>5.5</v>
      </c>
      <c r="K62" s="47">
        <v>5.5</v>
      </c>
    </row>
    <row r="63" spans="4:11">
      <c r="D63" s="44">
        <v>46057</v>
      </c>
      <c r="E63" s="45">
        <v>1576323</v>
      </c>
      <c r="F63" s="45" t="s">
        <v>49</v>
      </c>
      <c r="G63" s="46">
        <v>20010272</v>
      </c>
      <c r="H63" s="45" t="s">
        <v>125</v>
      </c>
      <c r="I63" s="46">
        <v>3</v>
      </c>
      <c r="J63" s="47">
        <v>5.5</v>
      </c>
      <c r="K63" s="47">
        <v>16.5</v>
      </c>
    </row>
    <row r="64" spans="4:11">
      <c r="D64" s="44">
        <v>46057</v>
      </c>
      <c r="E64" s="45">
        <v>1576323</v>
      </c>
      <c r="F64" s="45" t="s">
        <v>49</v>
      </c>
      <c r="G64" s="46">
        <v>20013598</v>
      </c>
      <c r="H64" s="45" t="s">
        <v>126</v>
      </c>
      <c r="I64" s="46">
        <v>2</v>
      </c>
      <c r="J64" s="47">
        <v>27.5</v>
      </c>
      <c r="K64" s="47">
        <v>55</v>
      </c>
    </row>
    <row r="65" spans="4:11">
      <c r="D65" s="44">
        <v>46057</v>
      </c>
      <c r="E65" s="45">
        <v>1576323</v>
      </c>
      <c r="F65" s="45" t="s">
        <v>49</v>
      </c>
      <c r="G65" s="46">
        <v>20010071</v>
      </c>
      <c r="H65" s="45" t="s">
        <v>152</v>
      </c>
      <c r="I65" s="46">
        <v>1</v>
      </c>
      <c r="J65" s="47">
        <v>5.5</v>
      </c>
      <c r="K65" s="47">
        <v>5.5</v>
      </c>
    </row>
    <row r="66" spans="4:11">
      <c r="D66" s="44">
        <v>46057</v>
      </c>
      <c r="E66" s="45">
        <v>1576323</v>
      </c>
      <c r="F66" s="45" t="s">
        <v>49</v>
      </c>
      <c r="G66" s="46">
        <v>20010056</v>
      </c>
      <c r="H66" s="45" t="s">
        <v>140</v>
      </c>
      <c r="I66" s="46">
        <v>1</v>
      </c>
      <c r="J66" s="47">
        <v>5.5</v>
      </c>
      <c r="K66" s="47">
        <v>5.5</v>
      </c>
    </row>
    <row r="67" spans="4:11">
      <c r="D67" s="44">
        <v>46057</v>
      </c>
      <c r="E67" s="45">
        <v>1576323</v>
      </c>
      <c r="F67" s="45" t="s">
        <v>49</v>
      </c>
      <c r="G67" s="46">
        <v>20010055</v>
      </c>
      <c r="H67" s="45" t="s">
        <v>161</v>
      </c>
      <c r="I67" s="46">
        <v>1</v>
      </c>
      <c r="J67" s="47">
        <v>5.5</v>
      </c>
      <c r="K67" s="47">
        <v>5.5</v>
      </c>
    </row>
    <row r="68" spans="4:11">
      <c r="D68" s="44">
        <v>46057</v>
      </c>
      <c r="E68" s="45">
        <v>1576323</v>
      </c>
      <c r="F68" s="45" t="s">
        <v>49</v>
      </c>
      <c r="G68" s="46">
        <v>20010078</v>
      </c>
      <c r="H68" s="45" t="s">
        <v>141</v>
      </c>
      <c r="I68" s="46">
        <v>1</v>
      </c>
      <c r="J68" s="47">
        <v>5.5</v>
      </c>
      <c r="K68" s="47">
        <v>5.5</v>
      </c>
    </row>
    <row r="69" spans="4:11">
      <c r="D69" s="44">
        <v>46057</v>
      </c>
      <c r="E69" s="45">
        <v>1576323</v>
      </c>
      <c r="F69" s="45" t="s">
        <v>49</v>
      </c>
      <c r="G69" s="46">
        <v>20010576</v>
      </c>
      <c r="H69" s="45" t="s">
        <v>143</v>
      </c>
      <c r="I69" s="46">
        <v>1</v>
      </c>
      <c r="J69" s="47">
        <v>11</v>
      </c>
      <c r="K69" s="47">
        <v>11</v>
      </c>
    </row>
    <row r="70" spans="4:11">
      <c r="D70" s="44">
        <v>46057</v>
      </c>
      <c r="E70" s="45">
        <v>1576323</v>
      </c>
      <c r="F70" s="45" t="s">
        <v>49</v>
      </c>
      <c r="G70" s="46">
        <v>20010273</v>
      </c>
      <c r="H70" s="45" t="s">
        <v>129</v>
      </c>
      <c r="I70" s="46">
        <v>3</v>
      </c>
      <c r="J70" s="47">
        <v>5.5</v>
      </c>
      <c r="K70" s="47">
        <v>16.5</v>
      </c>
    </row>
    <row r="71" spans="4:11">
      <c r="D71" s="44">
        <v>46057</v>
      </c>
      <c r="E71" s="45">
        <v>1576323</v>
      </c>
      <c r="F71" s="45" t="s">
        <v>49</v>
      </c>
      <c r="G71" s="46">
        <v>20403091</v>
      </c>
      <c r="H71" s="45" t="s">
        <v>144</v>
      </c>
      <c r="I71" s="46">
        <v>1</v>
      </c>
      <c r="J71" s="47">
        <v>5.5</v>
      </c>
      <c r="K71" s="47">
        <v>5.5</v>
      </c>
    </row>
    <row r="72" spans="4:11">
      <c r="D72" s="44">
        <v>46057</v>
      </c>
      <c r="E72" s="45">
        <v>1576323</v>
      </c>
      <c r="F72" s="45" t="s">
        <v>49</v>
      </c>
      <c r="G72" s="46">
        <v>20314731</v>
      </c>
      <c r="H72" s="45" t="s">
        <v>132</v>
      </c>
      <c r="I72" s="46">
        <v>1</v>
      </c>
      <c r="J72" s="47">
        <v>5.5</v>
      </c>
      <c r="K72" s="47">
        <v>5.5</v>
      </c>
    </row>
    <row r="73" spans="4:11">
      <c r="D73" s="44">
        <v>46057</v>
      </c>
      <c r="E73" s="45">
        <v>1576323</v>
      </c>
      <c r="F73" s="45" t="s">
        <v>49</v>
      </c>
      <c r="G73" s="46">
        <v>20325059</v>
      </c>
      <c r="H73" s="45" t="s">
        <v>147</v>
      </c>
      <c r="I73" s="46">
        <v>1</v>
      </c>
      <c r="J73" s="47">
        <v>5.5</v>
      </c>
      <c r="K73" s="47">
        <v>5.5</v>
      </c>
    </row>
    <row r="74" spans="4:11">
      <c r="D74" s="44">
        <v>46058</v>
      </c>
      <c r="E74" s="45">
        <v>1576678</v>
      </c>
      <c r="F74" s="45" t="s">
        <v>49</v>
      </c>
      <c r="G74" s="46">
        <v>20010825</v>
      </c>
      <c r="H74" s="45" t="s">
        <v>134</v>
      </c>
      <c r="I74" s="46">
        <v>2</v>
      </c>
      <c r="J74" s="47">
        <v>5.5</v>
      </c>
      <c r="K74" s="47">
        <v>11</v>
      </c>
    </row>
    <row r="75" spans="4:11">
      <c r="D75" s="44">
        <v>46058</v>
      </c>
      <c r="E75" s="45">
        <v>1576678</v>
      </c>
      <c r="F75" s="45" t="s">
        <v>49</v>
      </c>
      <c r="G75" s="46">
        <v>20315617</v>
      </c>
      <c r="H75" s="45" t="s">
        <v>148</v>
      </c>
      <c r="I75" s="46">
        <v>1</v>
      </c>
      <c r="J75" s="47">
        <v>8</v>
      </c>
      <c r="K75" s="47">
        <v>8</v>
      </c>
    </row>
    <row r="76" spans="4:11">
      <c r="D76" s="44">
        <v>46058</v>
      </c>
      <c r="E76" s="45">
        <v>1576678</v>
      </c>
      <c r="F76" s="45" t="s">
        <v>49</v>
      </c>
      <c r="G76" s="46">
        <v>20009971</v>
      </c>
      <c r="H76" s="45" t="s">
        <v>136</v>
      </c>
      <c r="I76" s="46">
        <v>1</v>
      </c>
      <c r="J76" s="47">
        <v>5.5</v>
      </c>
      <c r="K76" s="47">
        <v>5.5</v>
      </c>
    </row>
    <row r="77" spans="4:11">
      <c r="D77" s="44">
        <v>46058</v>
      </c>
      <c r="E77" s="45">
        <v>1576678</v>
      </c>
      <c r="F77" s="45" t="s">
        <v>49</v>
      </c>
      <c r="G77" s="46">
        <v>20010272</v>
      </c>
      <c r="H77" s="45" t="s">
        <v>125</v>
      </c>
      <c r="I77" s="46">
        <v>1</v>
      </c>
      <c r="J77" s="47">
        <v>5.5</v>
      </c>
      <c r="K77" s="47">
        <v>5.5</v>
      </c>
    </row>
    <row r="78" spans="4:11">
      <c r="D78" s="44">
        <v>46058</v>
      </c>
      <c r="E78" s="45">
        <v>1576678</v>
      </c>
      <c r="F78" s="45" t="s">
        <v>49</v>
      </c>
      <c r="G78" s="46">
        <v>20013598</v>
      </c>
      <c r="H78" s="45" t="s">
        <v>126</v>
      </c>
      <c r="I78" s="46">
        <v>1</v>
      </c>
      <c r="J78" s="47">
        <v>27.5</v>
      </c>
      <c r="K78" s="47">
        <v>27.5</v>
      </c>
    </row>
    <row r="79" spans="4:11">
      <c r="D79" s="44">
        <v>46058</v>
      </c>
      <c r="E79" s="45">
        <v>1576678</v>
      </c>
      <c r="F79" s="45" t="s">
        <v>49</v>
      </c>
      <c r="G79" s="46">
        <v>20312041</v>
      </c>
      <c r="H79" s="45" t="s">
        <v>162</v>
      </c>
      <c r="I79" s="46">
        <v>1</v>
      </c>
      <c r="J79" s="47">
        <v>8</v>
      </c>
      <c r="K79" s="47">
        <v>8</v>
      </c>
    </row>
    <row r="80" spans="4:11">
      <c r="D80" s="44">
        <v>46058</v>
      </c>
      <c r="E80" s="45">
        <v>1576678</v>
      </c>
      <c r="F80" s="45" t="s">
        <v>49</v>
      </c>
      <c r="G80" s="46">
        <v>20318308</v>
      </c>
      <c r="H80" s="45" t="s">
        <v>137</v>
      </c>
      <c r="I80" s="46">
        <v>1</v>
      </c>
      <c r="J80" s="47">
        <v>8</v>
      </c>
      <c r="K80" s="47">
        <v>8</v>
      </c>
    </row>
    <row r="81" spans="4:11">
      <c r="D81" s="44">
        <v>46058</v>
      </c>
      <c r="E81" s="45">
        <v>1576678</v>
      </c>
      <c r="F81" s="45" t="s">
        <v>49</v>
      </c>
      <c r="G81" s="46">
        <v>20010074</v>
      </c>
      <c r="H81" s="45" t="s">
        <v>127</v>
      </c>
      <c r="I81" s="46">
        <v>1</v>
      </c>
      <c r="J81" s="47">
        <v>5.5</v>
      </c>
      <c r="K81" s="47">
        <v>5.5</v>
      </c>
    </row>
    <row r="82" spans="4:11">
      <c r="D82" s="44">
        <v>46058</v>
      </c>
      <c r="E82" s="45">
        <v>1576678</v>
      </c>
      <c r="F82" s="45" t="s">
        <v>49</v>
      </c>
      <c r="G82" s="46">
        <v>20010053</v>
      </c>
      <c r="H82" s="45" t="s">
        <v>150</v>
      </c>
      <c r="I82" s="46">
        <v>1</v>
      </c>
      <c r="J82" s="47">
        <v>5.5</v>
      </c>
      <c r="K82" s="47">
        <v>5.5</v>
      </c>
    </row>
    <row r="83" spans="4:11">
      <c r="D83" s="44">
        <v>46058</v>
      </c>
      <c r="E83" s="45">
        <v>1576678</v>
      </c>
      <c r="F83" s="45" t="s">
        <v>49</v>
      </c>
      <c r="G83" s="46">
        <v>20010054</v>
      </c>
      <c r="H83" s="45" t="s">
        <v>163</v>
      </c>
      <c r="I83" s="46">
        <v>1</v>
      </c>
      <c r="J83" s="47">
        <v>5.5</v>
      </c>
      <c r="K83" s="47">
        <v>5.5</v>
      </c>
    </row>
    <row r="84" spans="4:11">
      <c r="D84" s="44">
        <v>46058</v>
      </c>
      <c r="E84" s="45">
        <v>1576678</v>
      </c>
      <c r="F84" s="45" t="s">
        <v>49</v>
      </c>
      <c r="G84" s="46">
        <v>20010064</v>
      </c>
      <c r="H84" s="45" t="s">
        <v>164</v>
      </c>
      <c r="I84" s="46">
        <v>1</v>
      </c>
      <c r="J84" s="47">
        <v>5.5</v>
      </c>
      <c r="K84" s="47">
        <v>5.5</v>
      </c>
    </row>
    <row r="85" spans="4:11">
      <c r="D85" s="44">
        <v>46058</v>
      </c>
      <c r="E85" s="45">
        <v>1576678</v>
      </c>
      <c r="F85" s="45" t="s">
        <v>49</v>
      </c>
      <c r="G85" s="46">
        <v>20010066</v>
      </c>
      <c r="H85" s="45" t="s">
        <v>153</v>
      </c>
      <c r="I85" s="46">
        <v>1</v>
      </c>
      <c r="J85" s="47">
        <v>5.5</v>
      </c>
      <c r="K85" s="47">
        <v>5.5</v>
      </c>
    </row>
    <row r="86" spans="4:11">
      <c r="D86" s="44">
        <v>46058</v>
      </c>
      <c r="E86" s="45">
        <v>1576678</v>
      </c>
      <c r="F86" s="45" t="s">
        <v>49</v>
      </c>
      <c r="G86" s="46">
        <v>20010263</v>
      </c>
      <c r="H86" s="45" t="s">
        <v>155</v>
      </c>
      <c r="I86" s="46">
        <v>1</v>
      </c>
      <c r="J86" s="47">
        <v>5.5</v>
      </c>
      <c r="K86" s="47">
        <v>5.5</v>
      </c>
    </row>
    <row r="87" spans="4:11">
      <c r="D87" s="44">
        <v>46058</v>
      </c>
      <c r="E87" s="45">
        <v>1576678</v>
      </c>
      <c r="F87" s="45" t="s">
        <v>49</v>
      </c>
      <c r="G87" s="46">
        <v>20010576</v>
      </c>
      <c r="H87" s="45" t="s">
        <v>143</v>
      </c>
      <c r="I87" s="46">
        <v>1</v>
      </c>
      <c r="J87" s="47">
        <v>11</v>
      </c>
      <c r="K87" s="47">
        <v>11</v>
      </c>
    </row>
    <row r="88" spans="4:11">
      <c r="D88" s="44">
        <v>46058</v>
      </c>
      <c r="E88" s="45">
        <v>1576678</v>
      </c>
      <c r="F88" s="45" t="s">
        <v>49</v>
      </c>
      <c r="G88" s="46">
        <v>20010273</v>
      </c>
      <c r="H88" s="45" t="s">
        <v>129</v>
      </c>
      <c r="I88" s="46">
        <v>4</v>
      </c>
      <c r="J88" s="47">
        <v>5.5</v>
      </c>
      <c r="K88" s="47">
        <v>22</v>
      </c>
    </row>
    <row r="89" spans="4:11">
      <c r="D89" s="44">
        <v>46058</v>
      </c>
      <c r="E89" s="45">
        <v>1576678</v>
      </c>
      <c r="F89" s="45" t="s">
        <v>49</v>
      </c>
      <c r="G89" s="46">
        <v>20010264</v>
      </c>
      <c r="H89" s="45" t="s">
        <v>156</v>
      </c>
      <c r="I89" s="46">
        <v>2</v>
      </c>
      <c r="J89" s="47">
        <v>5.5</v>
      </c>
      <c r="K89" s="47">
        <v>11</v>
      </c>
    </row>
    <row r="90" spans="4:11">
      <c r="D90" s="44">
        <v>46058</v>
      </c>
      <c r="E90" s="45">
        <v>1576678</v>
      </c>
      <c r="F90" s="45" t="s">
        <v>49</v>
      </c>
      <c r="G90" s="46">
        <v>20402906</v>
      </c>
      <c r="H90" s="45" t="s">
        <v>165</v>
      </c>
      <c r="I90" s="46">
        <v>1</v>
      </c>
      <c r="J90" s="47">
        <v>5.5</v>
      </c>
      <c r="K90" s="47">
        <v>5.5</v>
      </c>
    </row>
    <row r="91" spans="4:11">
      <c r="D91" s="44">
        <v>46058</v>
      </c>
      <c r="E91" s="45">
        <v>1576678</v>
      </c>
      <c r="F91" s="45" t="s">
        <v>49</v>
      </c>
      <c r="G91" s="46">
        <v>20403093</v>
      </c>
      <c r="H91" s="45" t="s">
        <v>131</v>
      </c>
      <c r="I91" s="46">
        <v>1</v>
      </c>
      <c r="J91" s="47">
        <v>5.5</v>
      </c>
      <c r="K91" s="47">
        <v>5.5</v>
      </c>
    </row>
    <row r="92" spans="4:11">
      <c r="D92" s="44">
        <v>46058</v>
      </c>
      <c r="E92" s="45">
        <v>1576678</v>
      </c>
      <c r="F92" s="45" t="s">
        <v>49</v>
      </c>
      <c r="G92" s="46">
        <v>20403090</v>
      </c>
      <c r="H92" s="45" t="s">
        <v>146</v>
      </c>
      <c r="I92" s="46">
        <v>1</v>
      </c>
      <c r="J92" s="47">
        <v>5.5</v>
      </c>
      <c r="K92" s="47">
        <v>5.5</v>
      </c>
    </row>
    <row r="93" spans="4:11">
      <c r="D93" s="44">
        <v>46058</v>
      </c>
      <c r="E93" s="45">
        <v>1576678</v>
      </c>
      <c r="F93" s="45" t="s">
        <v>49</v>
      </c>
      <c r="G93" s="46">
        <v>20383819</v>
      </c>
      <c r="H93" s="45" t="s">
        <v>157</v>
      </c>
      <c r="I93" s="46">
        <v>1</v>
      </c>
      <c r="J93" s="47">
        <v>5.5</v>
      </c>
      <c r="K93" s="47">
        <v>5.5</v>
      </c>
    </row>
    <row r="94" spans="4:11">
      <c r="D94" s="44">
        <v>46058</v>
      </c>
      <c r="E94" s="45">
        <v>1576678</v>
      </c>
      <c r="F94" s="45" t="s">
        <v>49</v>
      </c>
      <c r="G94" s="46">
        <v>20312467</v>
      </c>
      <c r="H94" s="45" t="s">
        <v>166</v>
      </c>
      <c r="I94" s="46">
        <v>1</v>
      </c>
      <c r="J94" s="47">
        <v>5.5</v>
      </c>
      <c r="K94" s="47">
        <v>5.5</v>
      </c>
    </row>
    <row r="95" spans="4:11">
      <c r="D95" s="44">
        <v>46058</v>
      </c>
      <c r="E95" s="45">
        <v>1576678</v>
      </c>
      <c r="F95" s="45" t="s">
        <v>49</v>
      </c>
      <c r="G95" s="46">
        <v>20336407</v>
      </c>
      <c r="H95" s="45" t="s">
        <v>158</v>
      </c>
      <c r="I95" s="46">
        <v>1</v>
      </c>
      <c r="J95" s="47">
        <v>5.5</v>
      </c>
      <c r="K95" s="47">
        <v>5.5</v>
      </c>
    </row>
    <row r="96" spans="4:11">
      <c r="D96" s="44">
        <v>46058</v>
      </c>
      <c r="E96" s="45">
        <v>1576678</v>
      </c>
      <c r="F96" s="45" t="s">
        <v>49</v>
      </c>
      <c r="G96" s="46">
        <v>20013424</v>
      </c>
      <c r="H96" s="45" t="s">
        <v>160</v>
      </c>
      <c r="I96" s="46">
        <v>1</v>
      </c>
      <c r="J96" s="47">
        <v>27.5</v>
      </c>
      <c r="K96" s="47">
        <v>27.5</v>
      </c>
    </row>
    <row r="97" spans="4:11">
      <c r="D97" s="44">
        <v>46060</v>
      </c>
      <c r="E97" s="45">
        <v>1577010</v>
      </c>
      <c r="F97" s="45" t="s">
        <v>49</v>
      </c>
      <c r="G97" s="46">
        <v>20010825</v>
      </c>
      <c r="H97" s="45" t="s">
        <v>134</v>
      </c>
      <c r="I97" s="46">
        <v>1</v>
      </c>
      <c r="J97" s="47">
        <v>5.5</v>
      </c>
      <c r="K97" s="47">
        <v>5.5</v>
      </c>
    </row>
    <row r="98" spans="4:11">
      <c r="D98" s="44">
        <v>46060</v>
      </c>
      <c r="E98" s="45">
        <v>1577010</v>
      </c>
      <c r="F98" s="45" t="s">
        <v>49</v>
      </c>
      <c r="G98" s="46">
        <v>20315617</v>
      </c>
      <c r="H98" s="45" t="s">
        <v>148</v>
      </c>
      <c r="I98" s="46">
        <v>1</v>
      </c>
      <c r="J98" s="47">
        <v>8</v>
      </c>
      <c r="K98" s="47">
        <v>8</v>
      </c>
    </row>
    <row r="99" spans="4:11">
      <c r="D99" s="44">
        <v>46060</v>
      </c>
      <c r="E99" s="45">
        <v>1577010</v>
      </c>
      <c r="F99" s="45" t="s">
        <v>49</v>
      </c>
      <c r="G99" s="46">
        <v>20010272</v>
      </c>
      <c r="H99" s="45" t="s">
        <v>125</v>
      </c>
      <c r="I99" s="46">
        <v>2</v>
      </c>
      <c r="J99" s="47">
        <v>5.5</v>
      </c>
      <c r="K99" s="47">
        <v>11</v>
      </c>
    </row>
    <row r="100" spans="4:11">
      <c r="D100" s="44">
        <v>46060</v>
      </c>
      <c r="E100" s="45">
        <v>1577010</v>
      </c>
      <c r="F100" s="45" t="s">
        <v>49</v>
      </c>
      <c r="G100" s="46">
        <v>20013598</v>
      </c>
      <c r="H100" s="45" t="s">
        <v>126</v>
      </c>
      <c r="I100" s="46">
        <v>2</v>
      </c>
      <c r="J100" s="47">
        <v>27.5</v>
      </c>
      <c r="K100" s="47">
        <v>55</v>
      </c>
    </row>
    <row r="101" spans="4:11">
      <c r="D101" s="44">
        <v>46060</v>
      </c>
      <c r="E101" s="45">
        <v>1577010</v>
      </c>
      <c r="F101" s="45" t="s">
        <v>49</v>
      </c>
      <c r="G101" s="46">
        <v>20010076</v>
      </c>
      <c r="H101" s="45" t="s">
        <v>138</v>
      </c>
      <c r="I101" s="46">
        <v>1</v>
      </c>
      <c r="J101" s="47">
        <v>5.5</v>
      </c>
      <c r="K101" s="47">
        <v>5.5</v>
      </c>
    </row>
    <row r="102" spans="4:11">
      <c r="D102" s="44">
        <v>46060</v>
      </c>
      <c r="E102" s="45">
        <v>1577010</v>
      </c>
      <c r="F102" s="45" t="s">
        <v>49</v>
      </c>
      <c r="G102" s="46">
        <v>20010072</v>
      </c>
      <c r="H102" s="45" t="s">
        <v>139</v>
      </c>
      <c r="I102" s="46">
        <v>1</v>
      </c>
      <c r="J102" s="47">
        <v>5.5</v>
      </c>
      <c r="K102" s="47">
        <v>5.5</v>
      </c>
    </row>
    <row r="103" spans="4:11">
      <c r="D103" s="44">
        <v>46060</v>
      </c>
      <c r="E103" s="45">
        <v>1577010</v>
      </c>
      <c r="F103" s="45" t="s">
        <v>49</v>
      </c>
      <c r="G103" s="46">
        <v>20010080</v>
      </c>
      <c r="H103" s="45" t="s">
        <v>128</v>
      </c>
      <c r="I103" s="46">
        <v>1</v>
      </c>
      <c r="J103" s="47">
        <v>5.5</v>
      </c>
      <c r="K103" s="47">
        <v>5.5</v>
      </c>
    </row>
    <row r="104" spans="4:11">
      <c r="D104" s="44">
        <v>46060</v>
      </c>
      <c r="E104" s="45">
        <v>1577010</v>
      </c>
      <c r="F104" s="45" t="s">
        <v>49</v>
      </c>
      <c r="G104" s="46">
        <v>20010069</v>
      </c>
      <c r="H104" s="45" t="s">
        <v>142</v>
      </c>
      <c r="I104" s="46">
        <v>1</v>
      </c>
      <c r="J104" s="47">
        <v>5.5</v>
      </c>
      <c r="K104" s="47">
        <v>5.5</v>
      </c>
    </row>
    <row r="105" spans="4:11">
      <c r="D105" s="44">
        <v>46060</v>
      </c>
      <c r="E105" s="45">
        <v>1577010</v>
      </c>
      <c r="F105" s="45" t="s">
        <v>49</v>
      </c>
      <c r="G105" s="46">
        <v>20010273</v>
      </c>
      <c r="H105" s="45" t="s">
        <v>129</v>
      </c>
      <c r="I105" s="46">
        <v>4</v>
      </c>
      <c r="J105" s="47">
        <v>5.5</v>
      </c>
      <c r="K105" s="47">
        <v>22</v>
      </c>
    </row>
    <row r="106" spans="4:11">
      <c r="D106" s="44">
        <v>46060</v>
      </c>
      <c r="E106" s="45">
        <v>1577010</v>
      </c>
      <c r="F106" s="45" t="s">
        <v>49</v>
      </c>
      <c r="G106" s="46">
        <v>20402907</v>
      </c>
      <c r="H106" s="45" t="s">
        <v>130</v>
      </c>
      <c r="I106" s="46">
        <v>1</v>
      </c>
      <c r="J106" s="47">
        <v>5.5</v>
      </c>
      <c r="K106" s="47">
        <v>5.5</v>
      </c>
    </row>
    <row r="107" spans="4:11">
      <c r="D107" s="44">
        <v>46060</v>
      </c>
      <c r="E107" s="45">
        <v>1577010</v>
      </c>
      <c r="F107" s="45" t="s">
        <v>49</v>
      </c>
      <c r="G107" s="46">
        <v>20403091</v>
      </c>
      <c r="H107" s="45" t="s">
        <v>144</v>
      </c>
      <c r="I107" s="46">
        <v>1</v>
      </c>
      <c r="J107" s="47">
        <v>5.5</v>
      </c>
      <c r="K107" s="47">
        <v>5.5</v>
      </c>
    </row>
    <row r="108" spans="4:11">
      <c r="D108" s="44">
        <v>46060</v>
      </c>
      <c r="E108" s="45">
        <v>1577010</v>
      </c>
      <c r="F108" s="45" t="s">
        <v>49</v>
      </c>
      <c r="G108" s="46">
        <v>20403089</v>
      </c>
      <c r="H108" s="45" t="s">
        <v>145</v>
      </c>
      <c r="I108" s="46">
        <v>1</v>
      </c>
      <c r="J108" s="47">
        <v>5.5</v>
      </c>
      <c r="K108" s="47">
        <v>5.5</v>
      </c>
    </row>
    <row r="109" spans="4:11">
      <c r="D109" s="44">
        <v>46060</v>
      </c>
      <c r="E109" s="45">
        <v>1577010</v>
      </c>
      <c r="F109" s="45" t="s">
        <v>49</v>
      </c>
      <c r="G109" s="46">
        <v>20403090</v>
      </c>
      <c r="H109" s="45" t="s">
        <v>146</v>
      </c>
      <c r="I109" s="46">
        <v>1</v>
      </c>
      <c r="J109" s="47">
        <v>5.5</v>
      </c>
      <c r="K109" s="47">
        <v>5.5</v>
      </c>
    </row>
    <row r="110" spans="4:11">
      <c r="D110" s="44">
        <v>46060</v>
      </c>
      <c r="E110" s="45">
        <v>1577010</v>
      </c>
      <c r="F110" s="45" t="s">
        <v>49</v>
      </c>
      <c r="G110" s="46">
        <v>20010059</v>
      </c>
      <c r="H110" s="45" t="s">
        <v>159</v>
      </c>
      <c r="I110" s="46">
        <v>1</v>
      </c>
      <c r="J110" s="47">
        <v>5.5</v>
      </c>
      <c r="K110" s="47">
        <v>5.5</v>
      </c>
    </row>
    <row r="111" spans="4:11">
      <c r="D111" s="44">
        <v>46060</v>
      </c>
      <c r="E111" s="45">
        <v>1577010</v>
      </c>
      <c r="F111" s="45" t="s">
        <v>49</v>
      </c>
      <c r="G111" s="46">
        <v>20013424</v>
      </c>
      <c r="H111" s="45" t="s">
        <v>160</v>
      </c>
      <c r="I111" s="46">
        <v>1</v>
      </c>
      <c r="J111" s="47">
        <v>27.5</v>
      </c>
      <c r="K111" s="47">
        <v>27.5</v>
      </c>
    </row>
    <row r="112" spans="4:11">
      <c r="D112" s="44">
        <v>46061</v>
      </c>
      <c r="E112" s="45">
        <v>1577192</v>
      </c>
      <c r="F112" s="45" t="s">
        <v>49</v>
      </c>
      <c r="G112" s="46">
        <v>20315617</v>
      </c>
      <c r="H112" s="45" t="s">
        <v>148</v>
      </c>
      <c r="I112" s="46">
        <v>2</v>
      </c>
      <c r="J112" s="47">
        <v>8</v>
      </c>
      <c r="K112" s="47">
        <v>16</v>
      </c>
    </row>
    <row r="113" spans="4:11">
      <c r="D113" s="44">
        <v>46061</v>
      </c>
      <c r="E113" s="45">
        <v>1577192</v>
      </c>
      <c r="F113" s="45" t="s">
        <v>49</v>
      </c>
      <c r="G113" s="46">
        <v>20322737</v>
      </c>
      <c r="H113" s="45" t="s">
        <v>167</v>
      </c>
      <c r="I113" s="46">
        <v>1</v>
      </c>
      <c r="J113" s="47">
        <v>5.5</v>
      </c>
      <c r="K113" s="47">
        <v>5.5</v>
      </c>
    </row>
    <row r="114" spans="4:11">
      <c r="D114" s="44">
        <v>46061</v>
      </c>
      <c r="E114" s="45">
        <v>1577192</v>
      </c>
      <c r="F114" s="45" t="s">
        <v>49</v>
      </c>
      <c r="G114" s="46">
        <v>20009971</v>
      </c>
      <c r="H114" s="45" t="s">
        <v>136</v>
      </c>
      <c r="I114" s="46">
        <v>1</v>
      </c>
      <c r="J114" s="47">
        <v>5.5</v>
      </c>
      <c r="K114" s="47">
        <v>5.5</v>
      </c>
    </row>
    <row r="115" spans="4:11">
      <c r="D115" s="44">
        <v>46061</v>
      </c>
      <c r="E115" s="45">
        <v>1577192</v>
      </c>
      <c r="F115" s="45" t="s">
        <v>49</v>
      </c>
      <c r="G115" s="46">
        <v>20013598</v>
      </c>
      <c r="H115" s="45" t="s">
        <v>126</v>
      </c>
      <c r="I115" s="46">
        <v>1</v>
      </c>
      <c r="J115" s="47">
        <v>27.5</v>
      </c>
      <c r="K115" s="47">
        <v>27.5</v>
      </c>
    </row>
    <row r="116" spans="4:11">
      <c r="D116" s="44">
        <v>46061</v>
      </c>
      <c r="E116" s="45">
        <v>1577192</v>
      </c>
      <c r="F116" s="45" t="s">
        <v>49</v>
      </c>
      <c r="G116" s="46">
        <v>20010070</v>
      </c>
      <c r="H116" s="45" t="s">
        <v>151</v>
      </c>
      <c r="I116" s="46">
        <v>1</v>
      </c>
      <c r="J116" s="47">
        <v>5.5</v>
      </c>
      <c r="K116" s="47">
        <v>5.5</v>
      </c>
    </row>
    <row r="117" spans="4:11">
      <c r="D117" s="44">
        <v>46061</v>
      </c>
      <c r="E117" s="45">
        <v>1577192</v>
      </c>
      <c r="F117" s="45" t="s">
        <v>49</v>
      </c>
      <c r="G117" s="46">
        <v>20010056</v>
      </c>
      <c r="H117" s="45" t="s">
        <v>140</v>
      </c>
      <c r="I117" s="46">
        <v>1</v>
      </c>
      <c r="J117" s="47">
        <v>5.5</v>
      </c>
      <c r="K117" s="47">
        <v>5.5</v>
      </c>
    </row>
    <row r="118" spans="4:11">
      <c r="D118" s="44">
        <v>46061</v>
      </c>
      <c r="E118" s="45">
        <v>1577192</v>
      </c>
      <c r="F118" s="45" t="s">
        <v>49</v>
      </c>
      <c r="G118" s="46">
        <v>20010055</v>
      </c>
      <c r="H118" s="45" t="s">
        <v>161</v>
      </c>
      <c r="I118" s="46">
        <v>1</v>
      </c>
      <c r="J118" s="47">
        <v>5.5</v>
      </c>
      <c r="K118" s="47">
        <v>5.5</v>
      </c>
    </row>
    <row r="119" spans="4:11">
      <c r="D119" s="44">
        <v>46061</v>
      </c>
      <c r="E119" s="45">
        <v>1577192</v>
      </c>
      <c r="F119" s="45" t="s">
        <v>49</v>
      </c>
      <c r="G119" s="46">
        <v>20010080</v>
      </c>
      <c r="H119" s="45" t="s">
        <v>128</v>
      </c>
      <c r="I119" s="46">
        <v>1</v>
      </c>
      <c r="J119" s="47">
        <v>5.5</v>
      </c>
      <c r="K119" s="47">
        <v>5.5</v>
      </c>
    </row>
    <row r="120" spans="4:11">
      <c r="D120" s="44">
        <v>46061</v>
      </c>
      <c r="E120" s="45">
        <v>1577192</v>
      </c>
      <c r="F120" s="45" t="s">
        <v>49</v>
      </c>
      <c r="G120" s="46">
        <v>20010078</v>
      </c>
      <c r="H120" s="45" t="s">
        <v>141</v>
      </c>
      <c r="I120" s="46">
        <v>1</v>
      </c>
      <c r="J120" s="47">
        <v>5.5</v>
      </c>
      <c r="K120" s="47">
        <v>5.5</v>
      </c>
    </row>
    <row r="121" spans="4:11">
      <c r="D121" s="44">
        <v>46061</v>
      </c>
      <c r="E121" s="45">
        <v>1577192</v>
      </c>
      <c r="F121" s="45" t="s">
        <v>49</v>
      </c>
      <c r="G121" s="46">
        <v>20010576</v>
      </c>
      <c r="H121" s="45" t="s">
        <v>143</v>
      </c>
      <c r="I121" s="46">
        <v>1</v>
      </c>
      <c r="J121" s="47">
        <v>11</v>
      </c>
      <c r="K121" s="47">
        <v>11</v>
      </c>
    </row>
    <row r="122" spans="4:11">
      <c r="D122" s="44">
        <v>46061</v>
      </c>
      <c r="E122" s="45">
        <v>1577192</v>
      </c>
      <c r="F122" s="45" t="s">
        <v>49</v>
      </c>
      <c r="G122" s="46">
        <v>20010273</v>
      </c>
      <c r="H122" s="45" t="s">
        <v>129</v>
      </c>
      <c r="I122" s="46">
        <v>3</v>
      </c>
      <c r="J122" s="47">
        <v>5.5</v>
      </c>
      <c r="K122" s="47">
        <v>16.5</v>
      </c>
    </row>
    <row r="123" spans="4:11">
      <c r="D123" s="44">
        <v>46061</v>
      </c>
      <c r="E123" s="45">
        <v>1577192</v>
      </c>
      <c r="F123" s="45" t="s">
        <v>49</v>
      </c>
      <c r="G123" s="46">
        <v>20010264</v>
      </c>
      <c r="H123" s="45" t="s">
        <v>156</v>
      </c>
      <c r="I123" s="46">
        <v>1</v>
      </c>
      <c r="J123" s="47">
        <v>5.5</v>
      </c>
      <c r="K123" s="47">
        <v>5.5</v>
      </c>
    </row>
    <row r="124" spans="4:11">
      <c r="D124" s="44">
        <v>46061</v>
      </c>
      <c r="E124" s="45">
        <v>1577192</v>
      </c>
      <c r="F124" s="45" t="s">
        <v>49</v>
      </c>
      <c r="G124" s="46">
        <v>20402906</v>
      </c>
      <c r="H124" s="45" t="s">
        <v>165</v>
      </c>
      <c r="I124" s="46">
        <v>1</v>
      </c>
      <c r="J124" s="47">
        <v>5.5</v>
      </c>
      <c r="K124" s="47">
        <v>5.5</v>
      </c>
    </row>
    <row r="125" spans="4:11">
      <c r="D125" s="44">
        <v>46061</v>
      </c>
      <c r="E125" s="45">
        <v>1577192</v>
      </c>
      <c r="F125" s="45" t="s">
        <v>49</v>
      </c>
      <c r="G125" s="46">
        <v>20403093</v>
      </c>
      <c r="H125" s="45" t="s">
        <v>131</v>
      </c>
      <c r="I125" s="46">
        <v>1</v>
      </c>
      <c r="J125" s="47">
        <v>5.5</v>
      </c>
      <c r="K125" s="47">
        <v>5.5</v>
      </c>
    </row>
    <row r="126" spans="4:11">
      <c r="D126" s="44">
        <v>46061</v>
      </c>
      <c r="E126" s="45">
        <v>1577192</v>
      </c>
      <c r="F126" s="45" t="s">
        <v>49</v>
      </c>
      <c r="G126" s="46">
        <v>20010859</v>
      </c>
      <c r="H126" s="45" t="s">
        <v>168</v>
      </c>
      <c r="I126" s="46">
        <v>1</v>
      </c>
      <c r="J126" s="47">
        <v>5.5</v>
      </c>
      <c r="K126" s="47">
        <v>5.5</v>
      </c>
    </row>
    <row r="127" spans="4:11">
      <c r="D127" s="44">
        <v>46062</v>
      </c>
      <c r="E127" s="45">
        <v>1577513</v>
      </c>
      <c r="F127" s="45" t="s">
        <v>49</v>
      </c>
      <c r="G127" s="46">
        <v>20010825</v>
      </c>
      <c r="H127" s="45" t="s">
        <v>134</v>
      </c>
      <c r="I127" s="46">
        <v>1</v>
      </c>
      <c r="J127" s="47">
        <v>5.5</v>
      </c>
      <c r="K127" s="47">
        <v>5.5</v>
      </c>
    </row>
    <row r="128" spans="4:11">
      <c r="D128" s="44">
        <v>46062</v>
      </c>
      <c r="E128" s="45">
        <v>1577513</v>
      </c>
      <c r="F128" s="45" t="s">
        <v>49</v>
      </c>
      <c r="G128" s="46">
        <v>20009971</v>
      </c>
      <c r="H128" s="45" t="s">
        <v>136</v>
      </c>
      <c r="I128" s="46">
        <v>1</v>
      </c>
      <c r="J128" s="47">
        <v>5.5</v>
      </c>
      <c r="K128" s="47">
        <v>5.5</v>
      </c>
    </row>
    <row r="129" spans="4:11">
      <c r="D129" s="44">
        <v>46062</v>
      </c>
      <c r="E129" s="45">
        <v>1577513</v>
      </c>
      <c r="F129" s="45" t="s">
        <v>49</v>
      </c>
      <c r="G129" s="46">
        <v>20010272</v>
      </c>
      <c r="H129" s="45" t="s">
        <v>125</v>
      </c>
      <c r="I129" s="46">
        <v>1</v>
      </c>
      <c r="J129" s="47">
        <v>5.5</v>
      </c>
      <c r="K129" s="47">
        <v>5.5</v>
      </c>
    </row>
    <row r="130" spans="4:11">
      <c r="D130" s="44">
        <v>46062</v>
      </c>
      <c r="E130" s="45">
        <v>1577513</v>
      </c>
      <c r="F130" s="45" t="s">
        <v>49</v>
      </c>
      <c r="G130" s="46">
        <v>20013598</v>
      </c>
      <c r="H130" s="45" t="s">
        <v>126</v>
      </c>
      <c r="I130" s="46">
        <v>1</v>
      </c>
      <c r="J130" s="47">
        <v>27.5</v>
      </c>
      <c r="K130" s="47">
        <v>27.5</v>
      </c>
    </row>
    <row r="131" spans="4:11">
      <c r="D131" s="44">
        <v>46062</v>
      </c>
      <c r="E131" s="45">
        <v>1577513</v>
      </c>
      <c r="F131" s="45" t="s">
        <v>49</v>
      </c>
      <c r="G131" s="46">
        <v>20318308</v>
      </c>
      <c r="H131" s="45" t="s">
        <v>137</v>
      </c>
      <c r="I131" s="46">
        <v>1</v>
      </c>
      <c r="J131" s="47">
        <v>8</v>
      </c>
      <c r="K131" s="47">
        <v>8</v>
      </c>
    </row>
    <row r="132" spans="4:11">
      <c r="D132" s="44">
        <v>46062</v>
      </c>
      <c r="E132" s="45">
        <v>1577513</v>
      </c>
      <c r="F132" s="45" t="s">
        <v>49</v>
      </c>
      <c r="G132" s="46">
        <v>20010053</v>
      </c>
      <c r="H132" s="45" t="s">
        <v>150</v>
      </c>
      <c r="I132" s="46">
        <v>1</v>
      </c>
      <c r="J132" s="47">
        <v>5.5</v>
      </c>
      <c r="K132" s="47">
        <v>5.5</v>
      </c>
    </row>
    <row r="133" spans="4:11">
      <c r="D133" s="44">
        <v>46062</v>
      </c>
      <c r="E133" s="45">
        <v>1577513</v>
      </c>
      <c r="F133" s="45" t="s">
        <v>49</v>
      </c>
      <c r="G133" s="46">
        <v>20010054</v>
      </c>
      <c r="H133" s="45" t="s">
        <v>163</v>
      </c>
      <c r="I133" s="46">
        <v>1</v>
      </c>
      <c r="J133" s="47">
        <v>5.5</v>
      </c>
      <c r="K133" s="47">
        <v>5.5</v>
      </c>
    </row>
    <row r="134" spans="4:11">
      <c r="D134" s="44">
        <v>46062</v>
      </c>
      <c r="E134" s="45">
        <v>1577513</v>
      </c>
      <c r="F134" s="45" t="s">
        <v>49</v>
      </c>
      <c r="G134" s="46">
        <v>20010071</v>
      </c>
      <c r="H134" s="45" t="s">
        <v>152</v>
      </c>
      <c r="I134" s="46">
        <v>1</v>
      </c>
      <c r="J134" s="47">
        <v>5.5</v>
      </c>
      <c r="K134" s="47">
        <v>5.5</v>
      </c>
    </row>
    <row r="135" spans="4:11">
      <c r="D135" s="44">
        <v>46062</v>
      </c>
      <c r="E135" s="45">
        <v>1577513</v>
      </c>
      <c r="F135" s="45" t="s">
        <v>49</v>
      </c>
      <c r="G135" s="46">
        <v>20010069</v>
      </c>
      <c r="H135" s="45" t="s">
        <v>142</v>
      </c>
      <c r="I135" s="46">
        <v>1</v>
      </c>
      <c r="J135" s="47">
        <v>5.5</v>
      </c>
      <c r="K135" s="47">
        <v>5.5</v>
      </c>
    </row>
    <row r="136" spans="4:11">
      <c r="D136" s="44">
        <v>46062</v>
      </c>
      <c r="E136" s="45">
        <v>1577513</v>
      </c>
      <c r="F136" s="45" t="s">
        <v>49</v>
      </c>
      <c r="G136" s="46">
        <v>20010067</v>
      </c>
      <c r="H136" s="45" t="s">
        <v>154</v>
      </c>
      <c r="I136" s="46">
        <v>1</v>
      </c>
      <c r="J136" s="47">
        <v>5.5</v>
      </c>
      <c r="K136" s="47">
        <v>5.5</v>
      </c>
    </row>
    <row r="137" spans="4:11">
      <c r="D137" s="44">
        <v>46062</v>
      </c>
      <c r="E137" s="45">
        <v>1577513</v>
      </c>
      <c r="F137" s="45" t="s">
        <v>49</v>
      </c>
      <c r="G137" s="46">
        <v>20010263</v>
      </c>
      <c r="H137" s="45" t="s">
        <v>155</v>
      </c>
      <c r="I137" s="46">
        <v>1</v>
      </c>
      <c r="J137" s="47">
        <v>5.5</v>
      </c>
      <c r="K137" s="47">
        <v>5.5</v>
      </c>
    </row>
    <row r="138" spans="4:11">
      <c r="D138" s="44">
        <v>46062</v>
      </c>
      <c r="E138" s="45">
        <v>1577513</v>
      </c>
      <c r="F138" s="45" t="s">
        <v>49</v>
      </c>
      <c r="G138" s="46">
        <v>20010576</v>
      </c>
      <c r="H138" s="45" t="s">
        <v>143</v>
      </c>
      <c r="I138" s="46">
        <v>1</v>
      </c>
      <c r="J138" s="47">
        <v>11</v>
      </c>
      <c r="K138" s="47">
        <v>11</v>
      </c>
    </row>
    <row r="139" spans="4:11">
      <c r="D139" s="44">
        <v>46062</v>
      </c>
      <c r="E139" s="45">
        <v>1577513</v>
      </c>
      <c r="F139" s="45" t="s">
        <v>49</v>
      </c>
      <c r="G139" s="46">
        <v>20010273</v>
      </c>
      <c r="H139" s="45" t="s">
        <v>129</v>
      </c>
      <c r="I139" s="46">
        <v>3</v>
      </c>
      <c r="J139" s="47">
        <v>5.5</v>
      </c>
      <c r="K139" s="47">
        <v>16.5</v>
      </c>
    </row>
    <row r="140" spans="4:11">
      <c r="D140" s="44">
        <v>46062</v>
      </c>
      <c r="E140" s="45">
        <v>1577513</v>
      </c>
      <c r="F140" s="45" t="s">
        <v>49</v>
      </c>
      <c r="G140" s="46">
        <v>20403091</v>
      </c>
      <c r="H140" s="45" t="s">
        <v>144</v>
      </c>
      <c r="I140" s="46">
        <v>1</v>
      </c>
      <c r="J140" s="47">
        <v>5.5</v>
      </c>
      <c r="K140" s="47">
        <v>5.5</v>
      </c>
    </row>
    <row r="141" spans="4:11">
      <c r="D141" s="44">
        <v>46062</v>
      </c>
      <c r="E141" s="45">
        <v>1577513</v>
      </c>
      <c r="F141" s="45" t="s">
        <v>49</v>
      </c>
      <c r="G141" s="46">
        <v>20325059</v>
      </c>
      <c r="H141" s="45" t="s">
        <v>147</v>
      </c>
      <c r="I141" s="46">
        <v>1</v>
      </c>
      <c r="J141" s="47">
        <v>5.5</v>
      </c>
      <c r="K141" s="47">
        <v>5.5</v>
      </c>
    </row>
    <row r="142" spans="4:11">
      <c r="D142" s="44">
        <v>46062</v>
      </c>
      <c r="E142" s="45">
        <v>1577513</v>
      </c>
      <c r="F142" s="45" t="s">
        <v>49</v>
      </c>
      <c r="G142" s="46">
        <v>20010065</v>
      </c>
      <c r="H142" s="45" t="s">
        <v>169</v>
      </c>
      <c r="I142" s="46">
        <v>1</v>
      </c>
      <c r="J142" s="47">
        <v>5.5</v>
      </c>
      <c r="K142" s="47">
        <v>5.5</v>
      </c>
    </row>
    <row r="143" spans="4:11">
      <c r="D143" s="44">
        <v>46062</v>
      </c>
      <c r="E143" s="45">
        <v>1577513</v>
      </c>
      <c r="F143" s="45" t="s">
        <v>49</v>
      </c>
      <c r="G143" s="46">
        <v>20010534</v>
      </c>
      <c r="H143" s="45" t="s">
        <v>133</v>
      </c>
      <c r="I143" s="46">
        <v>1</v>
      </c>
      <c r="J143" s="47">
        <v>5.5</v>
      </c>
      <c r="K143" s="47">
        <v>5.5</v>
      </c>
    </row>
    <row r="144" spans="4:11">
      <c r="D144" s="44">
        <v>46063</v>
      </c>
      <c r="E144" s="45">
        <v>1577807</v>
      </c>
      <c r="F144" s="45" t="s">
        <v>49</v>
      </c>
      <c r="G144" s="46">
        <v>20403242</v>
      </c>
      <c r="H144" s="45" t="s">
        <v>124</v>
      </c>
      <c r="I144" s="46">
        <v>1</v>
      </c>
      <c r="J144" s="47">
        <v>5.5</v>
      </c>
      <c r="K144" s="47">
        <v>5.5</v>
      </c>
    </row>
    <row r="145" spans="4:11">
      <c r="D145" s="44">
        <v>46063</v>
      </c>
      <c r="E145" s="45">
        <v>1577807</v>
      </c>
      <c r="F145" s="45" t="s">
        <v>49</v>
      </c>
      <c r="G145" s="46">
        <v>20010825</v>
      </c>
      <c r="H145" s="45" t="s">
        <v>134</v>
      </c>
      <c r="I145" s="46">
        <v>1</v>
      </c>
      <c r="J145" s="47">
        <v>5.5</v>
      </c>
      <c r="K145" s="47">
        <v>5.5</v>
      </c>
    </row>
    <row r="146" spans="4:11">
      <c r="D146" s="44">
        <v>46063</v>
      </c>
      <c r="E146" s="45">
        <v>1577807</v>
      </c>
      <c r="F146" s="45" t="s">
        <v>49</v>
      </c>
      <c r="G146" s="46">
        <v>20009971</v>
      </c>
      <c r="H146" s="45" t="s">
        <v>136</v>
      </c>
      <c r="I146" s="46">
        <v>1</v>
      </c>
      <c r="J146" s="47">
        <v>5.5</v>
      </c>
      <c r="K146" s="47">
        <v>5.5</v>
      </c>
    </row>
    <row r="147" spans="4:11">
      <c r="D147" s="44">
        <v>46063</v>
      </c>
      <c r="E147" s="45">
        <v>1577807</v>
      </c>
      <c r="F147" s="45" t="s">
        <v>49</v>
      </c>
      <c r="G147" s="46">
        <v>20010272</v>
      </c>
      <c r="H147" s="45" t="s">
        <v>125</v>
      </c>
      <c r="I147" s="46">
        <v>2</v>
      </c>
      <c r="J147" s="47">
        <v>5.5</v>
      </c>
      <c r="K147" s="47">
        <v>11</v>
      </c>
    </row>
    <row r="148" spans="4:11">
      <c r="D148" s="44">
        <v>46063</v>
      </c>
      <c r="E148" s="45">
        <v>1577807</v>
      </c>
      <c r="F148" s="45" t="s">
        <v>49</v>
      </c>
      <c r="G148" s="46">
        <v>20010076</v>
      </c>
      <c r="H148" s="45" t="s">
        <v>138</v>
      </c>
      <c r="I148" s="46">
        <v>1</v>
      </c>
      <c r="J148" s="47">
        <v>5.5</v>
      </c>
      <c r="K148" s="47">
        <v>5.5</v>
      </c>
    </row>
    <row r="149" spans="4:11">
      <c r="D149" s="44">
        <v>46063</v>
      </c>
      <c r="E149" s="45">
        <v>1577807</v>
      </c>
      <c r="F149" s="45" t="s">
        <v>49</v>
      </c>
      <c r="G149" s="46">
        <v>20010080</v>
      </c>
      <c r="H149" s="45" t="s">
        <v>128</v>
      </c>
      <c r="I149" s="46">
        <v>1</v>
      </c>
      <c r="J149" s="47">
        <v>5.5</v>
      </c>
      <c r="K149" s="47">
        <v>5.5</v>
      </c>
    </row>
    <row r="150" spans="4:11">
      <c r="D150" s="44">
        <v>46063</v>
      </c>
      <c r="E150" s="45">
        <v>1577807</v>
      </c>
      <c r="F150" s="45" t="s">
        <v>49</v>
      </c>
      <c r="G150" s="46">
        <v>20010576</v>
      </c>
      <c r="H150" s="45" t="s">
        <v>143</v>
      </c>
      <c r="I150" s="46">
        <v>1</v>
      </c>
      <c r="J150" s="47">
        <v>11</v>
      </c>
      <c r="K150" s="47">
        <v>11</v>
      </c>
    </row>
    <row r="151" spans="4:11">
      <c r="D151" s="44">
        <v>46063</v>
      </c>
      <c r="E151" s="45">
        <v>1577807</v>
      </c>
      <c r="F151" s="45" t="s">
        <v>49</v>
      </c>
      <c r="G151" s="46">
        <v>20010273</v>
      </c>
      <c r="H151" s="45" t="s">
        <v>129</v>
      </c>
      <c r="I151" s="46">
        <v>1</v>
      </c>
      <c r="J151" s="47">
        <v>5.5</v>
      </c>
      <c r="K151" s="47">
        <v>5.5</v>
      </c>
    </row>
    <row r="152" spans="4:11">
      <c r="D152" s="44">
        <v>46063</v>
      </c>
      <c r="E152" s="45">
        <v>1577807</v>
      </c>
      <c r="F152" s="45" t="s">
        <v>49</v>
      </c>
      <c r="G152" s="46">
        <v>20402906</v>
      </c>
      <c r="H152" s="45" t="s">
        <v>165</v>
      </c>
      <c r="I152" s="46">
        <v>1</v>
      </c>
      <c r="J152" s="47">
        <v>5.5</v>
      </c>
      <c r="K152" s="47">
        <v>5.5</v>
      </c>
    </row>
    <row r="153" spans="4:11">
      <c r="D153" s="44">
        <v>46063</v>
      </c>
      <c r="E153" s="45">
        <v>1577807</v>
      </c>
      <c r="F153" s="45" t="s">
        <v>49</v>
      </c>
      <c r="G153" s="46">
        <v>20403089</v>
      </c>
      <c r="H153" s="45" t="s">
        <v>145</v>
      </c>
      <c r="I153" s="46">
        <v>1</v>
      </c>
      <c r="J153" s="47">
        <v>5.5</v>
      </c>
      <c r="K153" s="47">
        <v>5.5</v>
      </c>
    </row>
    <row r="154" spans="4:11">
      <c r="D154" s="44">
        <v>46063</v>
      </c>
      <c r="E154" s="45">
        <v>1577807</v>
      </c>
      <c r="F154" s="45" t="s">
        <v>49</v>
      </c>
      <c r="G154" s="46">
        <v>20383819</v>
      </c>
      <c r="H154" s="45" t="s">
        <v>157</v>
      </c>
      <c r="I154" s="46">
        <v>1</v>
      </c>
      <c r="J154" s="47">
        <v>5.5</v>
      </c>
      <c r="K154" s="47">
        <v>5.5</v>
      </c>
    </row>
    <row r="155" spans="4:11">
      <c r="D155" s="44">
        <v>46063</v>
      </c>
      <c r="E155" s="45">
        <v>1577807</v>
      </c>
      <c r="F155" s="45" t="s">
        <v>49</v>
      </c>
      <c r="G155" s="46">
        <v>20010059</v>
      </c>
      <c r="H155" s="45" t="s">
        <v>159</v>
      </c>
      <c r="I155" s="46">
        <v>1</v>
      </c>
      <c r="J155" s="47">
        <v>5.5</v>
      </c>
      <c r="K155" s="47">
        <v>5.5</v>
      </c>
    </row>
    <row r="156" spans="4:11">
      <c r="D156" s="44">
        <v>46064</v>
      </c>
      <c r="E156" s="45">
        <v>1577877</v>
      </c>
      <c r="F156" s="45" t="s">
        <v>77</v>
      </c>
      <c r="G156" s="46">
        <v>20412360</v>
      </c>
      <c r="H156" s="45" t="s">
        <v>170</v>
      </c>
      <c r="I156" s="46">
        <v>1</v>
      </c>
      <c r="J156" s="47">
        <v>44</v>
      </c>
      <c r="K156" s="47">
        <v>44</v>
      </c>
    </row>
    <row r="157" spans="4:11">
      <c r="D157" s="44">
        <v>46064</v>
      </c>
      <c r="E157" s="45">
        <v>1578140</v>
      </c>
      <c r="F157" s="45" t="s">
        <v>49</v>
      </c>
      <c r="G157" s="46">
        <v>20010825</v>
      </c>
      <c r="H157" s="45" t="s">
        <v>134</v>
      </c>
      <c r="I157" s="46">
        <v>2</v>
      </c>
      <c r="J157" s="47">
        <v>5.5</v>
      </c>
      <c r="K157" s="47">
        <v>11</v>
      </c>
    </row>
    <row r="158" spans="4:11">
      <c r="D158" s="44">
        <v>46064</v>
      </c>
      <c r="E158" s="45">
        <v>1578140</v>
      </c>
      <c r="F158" s="45" t="s">
        <v>49</v>
      </c>
      <c r="G158" s="46">
        <v>20009971</v>
      </c>
      <c r="H158" s="45" t="s">
        <v>136</v>
      </c>
      <c r="I158" s="46">
        <v>2</v>
      </c>
      <c r="J158" s="47">
        <v>5.5</v>
      </c>
      <c r="K158" s="47">
        <v>11</v>
      </c>
    </row>
    <row r="159" spans="4:11">
      <c r="D159" s="44">
        <v>46064</v>
      </c>
      <c r="E159" s="45">
        <v>1578140</v>
      </c>
      <c r="F159" s="45" t="s">
        <v>49</v>
      </c>
      <c r="G159" s="46">
        <v>20010272</v>
      </c>
      <c r="H159" s="45" t="s">
        <v>125</v>
      </c>
      <c r="I159" s="46">
        <v>5</v>
      </c>
      <c r="J159" s="47">
        <v>5.5</v>
      </c>
      <c r="K159" s="47">
        <v>27.5</v>
      </c>
    </row>
    <row r="160" spans="4:11">
      <c r="D160" s="44">
        <v>46064</v>
      </c>
      <c r="E160" s="45">
        <v>1578140</v>
      </c>
      <c r="F160" s="45" t="s">
        <v>49</v>
      </c>
      <c r="G160" s="46">
        <v>20013598</v>
      </c>
      <c r="H160" s="45" t="s">
        <v>126</v>
      </c>
      <c r="I160" s="46">
        <v>1</v>
      </c>
      <c r="J160" s="47">
        <v>27.5</v>
      </c>
      <c r="K160" s="47">
        <v>27.5</v>
      </c>
    </row>
    <row r="161" spans="4:11">
      <c r="D161" s="44">
        <v>46064</v>
      </c>
      <c r="E161" s="45">
        <v>1578140</v>
      </c>
      <c r="F161" s="45" t="s">
        <v>49</v>
      </c>
      <c r="G161" s="46">
        <v>20010074</v>
      </c>
      <c r="H161" s="45" t="s">
        <v>127</v>
      </c>
      <c r="I161" s="46">
        <v>1</v>
      </c>
      <c r="J161" s="47">
        <v>5.5</v>
      </c>
      <c r="K161" s="47">
        <v>5.5</v>
      </c>
    </row>
    <row r="162" spans="4:11">
      <c r="D162" s="44">
        <v>46064</v>
      </c>
      <c r="E162" s="45">
        <v>1578140</v>
      </c>
      <c r="F162" s="45" t="s">
        <v>49</v>
      </c>
      <c r="G162" s="46">
        <v>20010072</v>
      </c>
      <c r="H162" s="45" t="s">
        <v>139</v>
      </c>
      <c r="I162" s="46">
        <v>1</v>
      </c>
      <c r="J162" s="47">
        <v>5.5</v>
      </c>
      <c r="K162" s="47">
        <v>5.5</v>
      </c>
    </row>
    <row r="163" spans="4:11">
      <c r="D163" s="44">
        <v>46064</v>
      </c>
      <c r="E163" s="45">
        <v>1578140</v>
      </c>
      <c r="F163" s="45" t="s">
        <v>49</v>
      </c>
      <c r="G163" s="46">
        <v>20010070</v>
      </c>
      <c r="H163" s="45" t="s">
        <v>151</v>
      </c>
      <c r="I163" s="46">
        <v>1</v>
      </c>
      <c r="J163" s="47">
        <v>5.5</v>
      </c>
      <c r="K163" s="47">
        <v>5.5</v>
      </c>
    </row>
    <row r="164" spans="4:11">
      <c r="D164" s="44">
        <v>46064</v>
      </c>
      <c r="E164" s="45">
        <v>1578140</v>
      </c>
      <c r="F164" s="45" t="s">
        <v>49</v>
      </c>
      <c r="G164" s="46">
        <v>20010054</v>
      </c>
      <c r="H164" s="45" t="s">
        <v>163</v>
      </c>
      <c r="I164" s="46">
        <v>1</v>
      </c>
      <c r="J164" s="47">
        <v>5.5</v>
      </c>
      <c r="K164" s="47">
        <v>5.5</v>
      </c>
    </row>
    <row r="165" spans="4:11">
      <c r="D165" s="44">
        <v>46064</v>
      </c>
      <c r="E165" s="45">
        <v>1578140</v>
      </c>
      <c r="F165" s="45" t="s">
        <v>49</v>
      </c>
      <c r="G165" s="46">
        <v>20010055</v>
      </c>
      <c r="H165" s="45" t="s">
        <v>161</v>
      </c>
      <c r="I165" s="46">
        <v>1</v>
      </c>
      <c r="J165" s="47">
        <v>5.5</v>
      </c>
      <c r="K165" s="47">
        <v>5.5</v>
      </c>
    </row>
    <row r="166" spans="4:11">
      <c r="D166" s="44">
        <v>46064</v>
      </c>
      <c r="E166" s="45">
        <v>1578140</v>
      </c>
      <c r="F166" s="45" t="s">
        <v>49</v>
      </c>
      <c r="G166" s="46">
        <v>20010066</v>
      </c>
      <c r="H166" s="45" t="s">
        <v>153</v>
      </c>
      <c r="I166" s="46">
        <v>1</v>
      </c>
      <c r="J166" s="47">
        <v>5.5</v>
      </c>
      <c r="K166" s="47">
        <v>5.5</v>
      </c>
    </row>
    <row r="167" spans="4:11">
      <c r="D167" s="44">
        <v>46064</v>
      </c>
      <c r="E167" s="45">
        <v>1578140</v>
      </c>
      <c r="F167" s="45" t="s">
        <v>49</v>
      </c>
      <c r="G167" s="46">
        <v>20010069</v>
      </c>
      <c r="H167" s="45" t="s">
        <v>142</v>
      </c>
      <c r="I167" s="46">
        <v>1</v>
      </c>
      <c r="J167" s="47">
        <v>5.5</v>
      </c>
      <c r="K167" s="47">
        <v>5.5</v>
      </c>
    </row>
    <row r="168" spans="4:11">
      <c r="D168" s="44">
        <v>46064</v>
      </c>
      <c r="E168" s="45">
        <v>1578140</v>
      </c>
      <c r="F168" s="45" t="s">
        <v>49</v>
      </c>
      <c r="G168" s="46">
        <v>20010263</v>
      </c>
      <c r="H168" s="45" t="s">
        <v>155</v>
      </c>
      <c r="I168" s="46">
        <v>1</v>
      </c>
      <c r="J168" s="47">
        <v>5.5</v>
      </c>
      <c r="K168" s="47">
        <v>5.5</v>
      </c>
    </row>
    <row r="169" spans="4:11">
      <c r="D169" s="44">
        <v>46064</v>
      </c>
      <c r="E169" s="45">
        <v>1578140</v>
      </c>
      <c r="F169" s="45" t="s">
        <v>49</v>
      </c>
      <c r="G169" s="46">
        <v>20010576</v>
      </c>
      <c r="H169" s="45" t="s">
        <v>143</v>
      </c>
      <c r="I169" s="46">
        <v>2</v>
      </c>
      <c r="J169" s="47">
        <v>11</v>
      </c>
      <c r="K169" s="47">
        <v>22</v>
      </c>
    </row>
    <row r="170" spans="4:11">
      <c r="D170" s="44">
        <v>46064</v>
      </c>
      <c r="E170" s="45">
        <v>1578140</v>
      </c>
      <c r="F170" s="45" t="s">
        <v>49</v>
      </c>
      <c r="G170" s="46">
        <v>20010273</v>
      </c>
      <c r="H170" s="45" t="s">
        <v>129</v>
      </c>
      <c r="I170" s="46">
        <v>4</v>
      </c>
      <c r="J170" s="47">
        <v>5.5</v>
      </c>
      <c r="K170" s="47">
        <v>22</v>
      </c>
    </row>
    <row r="171" spans="4:11">
      <c r="D171" s="44">
        <v>46064</v>
      </c>
      <c r="E171" s="45">
        <v>1578140</v>
      </c>
      <c r="F171" s="45" t="s">
        <v>49</v>
      </c>
      <c r="G171" s="46">
        <v>20402907</v>
      </c>
      <c r="H171" s="45" t="s">
        <v>130</v>
      </c>
      <c r="I171" s="46">
        <v>1</v>
      </c>
      <c r="J171" s="47">
        <v>5.5</v>
      </c>
      <c r="K171" s="47">
        <v>5.5</v>
      </c>
    </row>
    <row r="172" spans="4:11">
      <c r="D172" s="44">
        <v>46064</v>
      </c>
      <c r="E172" s="45">
        <v>1578140</v>
      </c>
      <c r="F172" s="45" t="s">
        <v>49</v>
      </c>
      <c r="G172" s="46">
        <v>20403093</v>
      </c>
      <c r="H172" s="45" t="s">
        <v>131</v>
      </c>
      <c r="I172" s="46">
        <v>1</v>
      </c>
      <c r="J172" s="47">
        <v>5.5</v>
      </c>
      <c r="K172" s="47">
        <v>5.5</v>
      </c>
    </row>
    <row r="173" spans="4:11">
      <c r="D173" s="44">
        <v>46064</v>
      </c>
      <c r="E173" s="45">
        <v>1578140</v>
      </c>
      <c r="F173" s="45" t="s">
        <v>49</v>
      </c>
      <c r="G173" s="46">
        <v>20403090</v>
      </c>
      <c r="H173" s="45" t="s">
        <v>146</v>
      </c>
      <c r="I173" s="46">
        <v>1</v>
      </c>
      <c r="J173" s="47">
        <v>5.5</v>
      </c>
      <c r="K173" s="47">
        <v>5.5</v>
      </c>
    </row>
    <row r="174" spans="4:11">
      <c r="D174" s="44">
        <v>46064</v>
      </c>
      <c r="E174" s="45">
        <v>1578140</v>
      </c>
      <c r="F174" s="45" t="s">
        <v>49</v>
      </c>
      <c r="G174" s="46">
        <v>20314731</v>
      </c>
      <c r="H174" s="45" t="s">
        <v>132</v>
      </c>
      <c r="I174" s="46">
        <v>1</v>
      </c>
      <c r="J174" s="47">
        <v>5.5</v>
      </c>
      <c r="K174" s="47">
        <v>5.5</v>
      </c>
    </row>
    <row r="175" spans="4:11">
      <c r="D175" s="44">
        <v>46064</v>
      </c>
      <c r="E175" s="45">
        <v>1578140</v>
      </c>
      <c r="F175" s="45" t="s">
        <v>49</v>
      </c>
      <c r="G175" s="46">
        <v>20010534</v>
      </c>
      <c r="H175" s="45" t="s">
        <v>133</v>
      </c>
      <c r="I175" s="46">
        <v>1</v>
      </c>
      <c r="J175" s="47">
        <v>5.5</v>
      </c>
      <c r="K175" s="47">
        <v>5.5</v>
      </c>
    </row>
    <row r="176" spans="4:11">
      <c r="D176" s="44">
        <v>46064</v>
      </c>
      <c r="E176" s="45">
        <v>1578140</v>
      </c>
      <c r="F176" s="45" t="s">
        <v>49</v>
      </c>
      <c r="G176" s="46">
        <v>20366423</v>
      </c>
      <c r="H176" s="45" t="s">
        <v>171</v>
      </c>
      <c r="I176" s="46">
        <v>1</v>
      </c>
      <c r="J176" s="47">
        <v>5.5</v>
      </c>
      <c r="K176" s="47">
        <v>5.5</v>
      </c>
    </row>
    <row r="177" spans="4:11">
      <c r="D177" s="44">
        <v>46064</v>
      </c>
      <c r="E177" s="45">
        <v>1578140</v>
      </c>
      <c r="F177" s="45" t="s">
        <v>49</v>
      </c>
      <c r="G177" s="46">
        <v>20013424</v>
      </c>
      <c r="H177" s="45" t="s">
        <v>160</v>
      </c>
      <c r="I177" s="46">
        <v>1</v>
      </c>
      <c r="J177" s="47">
        <v>27.5</v>
      </c>
      <c r="K177" s="47">
        <v>27.5</v>
      </c>
    </row>
    <row r="178" spans="4:11">
      <c r="D178" s="44">
        <v>46065</v>
      </c>
      <c r="E178" s="45">
        <v>1578492</v>
      </c>
      <c r="F178" s="45" t="s">
        <v>49</v>
      </c>
      <c r="G178" s="46">
        <v>20010825</v>
      </c>
      <c r="H178" s="45" t="s">
        <v>134</v>
      </c>
      <c r="I178" s="46">
        <v>1</v>
      </c>
      <c r="J178" s="47">
        <v>5.5</v>
      </c>
      <c r="K178" s="47">
        <v>5.5</v>
      </c>
    </row>
    <row r="179" spans="4:11">
      <c r="D179" s="44">
        <v>46065</v>
      </c>
      <c r="E179" s="45">
        <v>1578492</v>
      </c>
      <c r="F179" s="45" t="s">
        <v>49</v>
      </c>
      <c r="G179" s="46">
        <v>20315617</v>
      </c>
      <c r="H179" s="45" t="s">
        <v>148</v>
      </c>
      <c r="I179" s="46">
        <v>1</v>
      </c>
      <c r="J179" s="47">
        <v>8</v>
      </c>
      <c r="K179" s="47">
        <v>8</v>
      </c>
    </row>
    <row r="180" spans="4:11">
      <c r="D180" s="44">
        <v>46065</v>
      </c>
      <c r="E180" s="45">
        <v>1578492</v>
      </c>
      <c r="F180" s="45" t="s">
        <v>49</v>
      </c>
      <c r="G180" s="46">
        <v>20367836</v>
      </c>
      <c r="H180" s="45" t="s">
        <v>172</v>
      </c>
      <c r="I180" s="46">
        <v>1</v>
      </c>
      <c r="J180" s="47">
        <v>5.5</v>
      </c>
      <c r="K180" s="47">
        <v>5.5</v>
      </c>
    </row>
    <row r="181" spans="4:11">
      <c r="D181" s="44">
        <v>46065</v>
      </c>
      <c r="E181" s="45">
        <v>1578492</v>
      </c>
      <c r="F181" s="45" t="s">
        <v>49</v>
      </c>
      <c r="G181" s="46">
        <v>20009971</v>
      </c>
      <c r="H181" s="45" t="s">
        <v>136</v>
      </c>
      <c r="I181" s="46">
        <v>1</v>
      </c>
      <c r="J181" s="47">
        <v>5.5</v>
      </c>
      <c r="K181" s="47">
        <v>5.5</v>
      </c>
    </row>
    <row r="182" spans="4:11">
      <c r="D182" s="44">
        <v>46065</v>
      </c>
      <c r="E182" s="45">
        <v>1578492</v>
      </c>
      <c r="F182" s="45" t="s">
        <v>49</v>
      </c>
      <c r="G182" s="46">
        <v>20010272</v>
      </c>
      <c r="H182" s="45" t="s">
        <v>125</v>
      </c>
      <c r="I182" s="46">
        <v>2</v>
      </c>
      <c r="J182" s="47">
        <v>5.5</v>
      </c>
      <c r="K182" s="47">
        <v>11</v>
      </c>
    </row>
    <row r="183" spans="4:11">
      <c r="D183" s="44">
        <v>46065</v>
      </c>
      <c r="E183" s="45">
        <v>1578492</v>
      </c>
      <c r="F183" s="45" t="s">
        <v>49</v>
      </c>
      <c r="G183" s="46">
        <v>20013598</v>
      </c>
      <c r="H183" s="45" t="s">
        <v>126</v>
      </c>
      <c r="I183" s="46">
        <v>1</v>
      </c>
      <c r="J183" s="47">
        <v>27.5</v>
      </c>
      <c r="K183" s="47">
        <v>27.5</v>
      </c>
    </row>
    <row r="184" spans="4:11">
      <c r="D184" s="44">
        <v>46065</v>
      </c>
      <c r="E184" s="45">
        <v>1578492</v>
      </c>
      <c r="F184" s="45" t="s">
        <v>49</v>
      </c>
      <c r="G184" s="46">
        <v>20010053</v>
      </c>
      <c r="H184" s="45" t="s">
        <v>150</v>
      </c>
      <c r="I184" s="46">
        <v>1</v>
      </c>
      <c r="J184" s="47">
        <v>5.5</v>
      </c>
      <c r="K184" s="47">
        <v>5.5</v>
      </c>
    </row>
    <row r="185" spans="4:11">
      <c r="D185" s="44">
        <v>46065</v>
      </c>
      <c r="E185" s="45">
        <v>1578492</v>
      </c>
      <c r="F185" s="45" t="s">
        <v>49</v>
      </c>
      <c r="G185" s="46">
        <v>20010064</v>
      </c>
      <c r="H185" s="45" t="s">
        <v>164</v>
      </c>
      <c r="I185" s="46">
        <v>1</v>
      </c>
      <c r="J185" s="47">
        <v>5.5</v>
      </c>
      <c r="K185" s="47">
        <v>5.5</v>
      </c>
    </row>
    <row r="186" spans="4:11">
      <c r="D186" s="44">
        <v>46065</v>
      </c>
      <c r="E186" s="45">
        <v>1578492</v>
      </c>
      <c r="F186" s="45" t="s">
        <v>49</v>
      </c>
      <c r="G186" s="46">
        <v>20010071</v>
      </c>
      <c r="H186" s="45" t="s">
        <v>152</v>
      </c>
      <c r="I186" s="46">
        <v>1</v>
      </c>
      <c r="J186" s="47">
        <v>5.5</v>
      </c>
      <c r="K186" s="47">
        <v>5.5</v>
      </c>
    </row>
    <row r="187" spans="4:11">
      <c r="D187" s="44">
        <v>46065</v>
      </c>
      <c r="E187" s="45">
        <v>1578492</v>
      </c>
      <c r="F187" s="45" t="s">
        <v>49</v>
      </c>
      <c r="G187" s="46">
        <v>20010056</v>
      </c>
      <c r="H187" s="45" t="s">
        <v>140</v>
      </c>
      <c r="I187" s="46">
        <v>1</v>
      </c>
      <c r="J187" s="47">
        <v>5.5</v>
      </c>
      <c r="K187" s="47">
        <v>5.5</v>
      </c>
    </row>
    <row r="188" spans="4:11">
      <c r="D188" s="44">
        <v>46065</v>
      </c>
      <c r="E188" s="45">
        <v>1578492</v>
      </c>
      <c r="F188" s="45" t="s">
        <v>49</v>
      </c>
      <c r="G188" s="46">
        <v>20010078</v>
      </c>
      <c r="H188" s="45" t="s">
        <v>141</v>
      </c>
      <c r="I188" s="46">
        <v>1</v>
      </c>
      <c r="J188" s="47">
        <v>5.5</v>
      </c>
      <c r="K188" s="47">
        <v>5.5</v>
      </c>
    </row>
    <row r="189" spans="4:11">
      <c r="D189" s="44">
        <v>46065</v>
      </c>
      <c r="E189" s="45">
        <v>1578492</v>
      </c>
      <c r="F189" s="45" t="s">
        <v>49</v>
      </c>
      <c r="G189" s="46">
        <v>20010067</v>
      </c>
      <c r="H189" s="45" t="s">
        <v>154</v>
      </c>
      <c r="I189" s="46">
        <v>1</v>
      </c>
      <c r="J189" s="47">
        <v>5.5</v>
      </c>
      <c r="K189" s="47">
        <v>5.5</v>
      </c>
    </row>
    <row r="190" spans="4:11">
      <c r="D190" s="44">
        <v>46065</v>
      </c>
      <c r="E190" s="45">
        <v>1578492</v>
      </c>
      <c r="F190" s="45" t="s">
        <v>49</v>
      </c>
      <c r="G190" s="46">
        <v>20010263</v>
      </c>
      <c r="H190" s="45" t="s">
        <v>155</v>
      </c>
      <c r="I190" s="46">
        <v>1</v>
      </c>
      <c r="J190" s="47">
        <v>5.5</v>
      </c>
      <c r="K190" s="47">
        <v>5.5</v>
      </c>
    </row>
    <row r="191" spans="4:11">
      <c r="D191" s="44">
        <v>46065</v>
      </c>
      <c r="E191" s="45">
        <v>1578492</v>
      </c>
      <c r="F191" s="45" t="s">
        <v>49</v>
      </c>
      <c r="G191" s="46">
        <v>20010576</v>
      </c>
      <c r="H191" s="45" t="s">
        <v>143</v>
      </c>
      <c r="I191" s="46">
        <v>1</v>
      </c>
      <c r="J191" s="47">
        <v>11</v>
      </c>
      <c r="K191" s="47">
        <v>11</v>
      </c>
    </row>
    <row r="192" spans="4:11">
      <c r="D192" s="44">
        <v>46065</v>
      </c>
      <c r="E192" s="45">
        <v>1578492</v>
      </c>
      <c r="F192" s="45" t="s">
        <v>49</v>
      </c>
      <c r="G192" s="46">
        <v>20010273</v>
      </c>
      <c r="H192" s="45" t="s">
        <v>129</v>
      </c>
      <c r="I192" s="46">
        <v>3</v>
      </c>
      <c r="J192" s="47">
        <v>5.5</v>
      </c>
      <c r="K192" s="47">
        <v>16.5</v>
      </c>
    </row>
    <row r="193" spans="4:11">
      <c r="D193" s="44">
        <v>46065</v>
      </c>
      <c r="E193" s="45">
        <v>1578492</v>
      </c>
      <c r="F193" s="45" t="s">
        <v>49</v>
      </c>
      <c r="G193" s="46">
        <v>20402906</v>
      </c>
      <c r="H193" s="45" t="s">
        <v>165</v>
      </c>
      <c r="I193" s="46">
        <v>1</v>
      </c>
      <c r="J193" s="47">
        <v>5.5</v>
      </c>
      <c r="K193" s="47">
        <v>5.5</v>
      </c>
    </row>
    <row r="194" spans="4:11">
      <c r="D194" s="44">
        <v>46065</v>
      </c>
      <c r="E194" s="45">
        <v>1578492</v>
      </c>
      <c r="F194" s="45" t="s">
        <v>49</v>
      </c>
      <c r="G194" s="46">
        <v>20403091</v>
      </c>
      <c r="H194" s="45" t="s">
        <v>144</v>
      </c>
      <c r="I194" s="46">
        <v>1</v>
      </c>
      <c r="J194" s="47">
        <v>5.5</v>
      </c>
      <c r="K194" s="47">
        <v>5.5</v>
      </c>
    </row>
    <row r="195" spans="4:11">
      <c r="D195" s="44">
        <v>46065</v>
      </c>
      <c r="E195" s="45">
        <v>1578492</v>
      </c>
      <c r="F195" s="45" t="s">
        <v>49</v>
      </c>
      <c r="G195" s="46">
        <v>20325059</v>
      </c>
      <c r="H195" s="45" t="s">
        <v>147</v>
      </c>
      <c r="I195" s="46">
        <v>1</v>
      </c>
      <c r="J195" s="47">
        <v>5.5</v>
      </c>
      <c r="K195" s="47">
        <v>5.5</v>
      </c>
    </row>
    <row r="196" spans="4:11">
      <c r="D196" s="44">
        <v>46066</v>
      </c>
      <c r="E196" s="45">
        <v>1578766</v>
      </c>
      <c r="F196" s="45" t="s">
        <v>49</v>
      </c>
      <c r="G196" s="46">
        <v>20010825</v>
      </c>
      <c r="H196" s="45" t="s">
        <v>134</v>
      </c>
      <c r="I196" s="46">
        <v>1</v>
      </c>
      <c r="J196" s="47">
        <v>5.5</v>
      </c>
      <c r="K196" s="47">
        <v>5.5</v>
      </c>
    </row>
    <row r="197" spans="4:11">
      <c r="D197" s="44">
        <v>46066</v>
      </c>
      <c r="E197" s="45">
        <v>1578766</v>
      </c>
      <c r="F197" s="45" t="s">
        <v>49</v>
      </c>
      <c r="G197" s="46">
        <v>20009971</v>
      </c>
      <c r="H197" s="45" t="s">
        <v>136</v>
      </c>
      <c r="I197" s="46">
        <v>1</v>
      </c>
      <c r="J197" s="47">
        <v>5.5</v>
      </c>
      <c r="K197" s="47">
        <v>5.5</v>
      </c>
    </row>
    <row r="198" spans="4:11">
      <c r="D198" s="44">
        <v>46066</v>
      </c>
      <c r="E198" s="45">
        <v>1578766</v>
      </c>
      <c r="F198" s="45" t="s">
        <v>49</v>
      </c>
      <c r="G198" s="46">
        <v>20312041</v>
      </c>
      <c r="H198" s="45" t="s">
        <v>162</v>
      </c>
      <c r="I198" s="46">
        <v>1</v>
      </c>
      <c r="J198" s="47">
        <v>8</v>
      </c>
      <c r="K198" s="47">
        <v>8</v>
      </c>
    </row>
    <row r="199" ht="25.5" spans="4:11">
      <c r="D199" s="44">
        <v>46066</v>
      </c>
      <c r="E199" s="45">
        <v>1578766</v>
      </c>
      <c r="F199" s="45" t="s">
        <v>49</v>
      </c>
      <c r="G199" s="46">
        <v>20010803</v>
      </c>
      <c r="H199" s="45" t="s">
        <v>173</v>
      </c>
      <c r="I199" s="46">
        <v>1</v>
      </c>
      <c r="J199" s="47">
        <v>8</v>
      </c>
      <c r="K199" s="47">
        <v>8</v>
      </c>
    </row>
    <row r="200" spans="4:11">
      <c r="D200" s="44">
        <v>46066</v>
      </c>
      <c r="E200" s="45">
        <v>1578766</v>
      </c>
      <c r="F200" s="45" t="s">
        <v>49</v>
      </c>
      <c r="G200" s="46">
        <v>20010054</v>
      </c>
      <c r="H200" s="45" t="s">
        <v>163</v>
      </c>
      <c r="I200" s="46">
        <v>1</v>
      </c>
      <c r="J200" s="47">
        <v>5.5</v>
      </c>
      <c r="K200" s="47">
        <v>5.5</v>
      </c>
    </row>
    <row r="201" spans="4:11">
      <c r="D201" s="44">
        <v>46066</v>
      </c>
      <c r="E201" s="45">
        <v>1578766</v>
      </c>
      <c r="F201" s="45" t="s">
        <v>49</v>
      </c>
      <c r="G201" s="46">
        <v>20010064</v>
      </c>
      <c r="H201" s="45" t="s">
        <v>164</v>
      </c>
      <c r="I201" s="46">
        <v>1</v>
      </c>
      <c r="J201" s="47">
        <v>5.5</v>
      </c>
      <c r="K201" s="47">
        <v>5.5</v>
      </c>
    </row>
    <row r="202" spans="4:11">
      <c r="D202" s="44">
        <v>46066</v>
      </c>
      <c r="E202" s="45">
        <v>1578766</v>
      </c>
      <c r="F202" s="45" t="s">
        <v>49</v>
      </c>
      <c r="G202" s="46">
        <v>20010066</v>
      </c>
      <c r="H202" s="45" t="s">
        <v>153</v>
      </c>
      <c r="I202" s="46">
        <v>1</v>
      </c>
      <c r="J202" s="47">
        <v>5.5</v>
      </c>
      <c r="K202" s="47">
        <v>5.5</v>
      </c>
    </row>
    <row r="203" spans="4:11">
      <c r="D203" s="44">
        <v>46066</v>
      </c>
      <c r="E203" s="45">
        <v>1578766</v>
      </c>
      <c r="F203" s="45" t="s">
        <v>49</v>
      </c>
      <c r="G203" s="46">
        <v>20010576</v>
      </c>
      <c r="H203" s="45" t="s">
        <v>143</v>
      </c>
      <c r="I203" s="46">
        <v>1</v>
      </c>
      <c r="J203" s="47">
        <v>11</v>
      </c>
      <c r="K203" s="47">
        <v>11</v>
      </c>
    </row>
    <row r="204" spans="4:11">
      <c r="D204" s="44">
        <v>46066</v>
      </c>
      <c r="E204" s="45">
        <v>1578766</v>
      </c>
      <c r="F204" s="45" t="s">
        <v>49</v>
      </c>
      <c r="G204" s="46">
        <v>20010273</v>
      </c>
      <c r="H204" s="45" t="s">
        <v>129</v>
      </c>
      <c r="I204" s="46">
        <v>2</v>
      </c>
      <c r="J204" s="47">
        <v>5.5</v>
      </c>
      <c r="K204" s="47">
        <v>11</v>
      </c>
    </row>
    <row r="205" spans="4:11">
      <c r="D205" s="44">
        <v>46066</v>
      </c>
      <c r="E205" s="45">
        <v>1578766</v>
      </c>
      <c r="F205" s="45" t="s">
        <v>49</v>
      </c>
      <c r="G205" s="46">
        <v>20009928</v>
      </c>
      <c r="H205" s="45" t="s">
        <v>174</v>
      </c>
      <c r="I205" s="46">
        <v>2</v>
      </c>
      <c r="J205" s="47">
        <v>8</v>
      </c>
      <c r="K205" s="47">
        <v>16</v>
      </c>
    </row>
    <row r="206" spans="4:11">
      <c r="D206" s="44">
        <v>46066</v>
      </c>
      <c r="E206" s="45">
        <v>1578766</v>
      </c>
      <c r="F206" s="45" t="s">
        <v>49</v>
      </c>
      <c r="G206" s="46">
        <v>20403089</v>
      </c>
      <c r="H206" s="45" t="s">
        <v>145</v>
      </c>
      <c r="I206" s="46">
        <v>1</v>
      </c>
      <c r="J206" s="47">
        <v>5.5</v>
      </c>
      <c r="K206" s="47">
        <v>5.5</v>
      </c>
    </row>
    <row r="207" spans="4:11">
      <c r="D207" s="44">
        <v>46066</v>
      </c>
      <c r="E207" s="45">
        <v>1578766</v>
      </c>
      <c r="F207" s="45" t="s">
        <v>49</v>
      </c>
      <c r="G207" s="46">
        <v>20383819</v>
      </c>
      <c r="H207" s="45" t="s">
        <v>157</v>
      </c>
      <c r="I207" s="46">
        <v>1</v>
      </c>
      <c r="J207" s="47">
        <v>5.5</v>
      </c>
      <c r="K207" s="47">
        <v>5.5</v>
      </c>
    </row>
    <row r="208" spans="4:11">
      <c r="D208" s="44">
        <v>46066</v>
      </c>
      <c r="E208" s="45">
        <v>1578766</v>
      </c>
      <c r="F208" s="45" t="s">
        <v>49</v>
      </c>
      <c r="G208" s="46">
        <v>20325059</v>
      </c>
      <c r="H208" s="45" t="s">
        <v>147</v>
      </c>
      <c r="I208" s="46">
        <v>1</v>
      </c>
      <c r="J208" s="47">
        <v>5.5</v>
      </c>
      <c r="K208" s="47">
        <v>5.5</v>
      </c>
    </row>
    <row r="209" spans="4:11">
      <c r="D209" s="44">
        <v>46066</v>
      </c>
      <c r="E209" s="45">
        <v>1578766</v>
      </c>
      <c r="F209" s="45" t="s">
        <v>49</v>
      </c>
      <c r="G209" s="46">
        <v>20312467</v>
      </c>
      <c r="H209" s="45" t="s">
        <v>166</v>
      </c>
      <c r="I209" s="46">
        <v>1</v>
      </c>
      <c r="J209" s="47">
        <v>5.5</v>
      </c>
      <c r="K209" s="47">
        <v>5.5</v>
      </c>
    </row>
    <row r="210" spans="4:11">
      <c r="D210" s="44">
        <v>46066</v>
      </c>
      <c r="E210" s="45">
        <v>1578766</v>
      </c>
      <c r="F210" s="45" t="s">
        <v>49</v>
      </c>
      <c r="G210" s="46">
        <v>20010059</v>
      </c>
      <c r="H210" s="45" t="s">
        <v>159</v>
      </c>
      <c r="I210" s="46">
        <v>1</v>
      </c>
      <c r="J210" s="47">
        <v>5.5</v>
      </c>
      <c r="K210" s="47">
        <v>5.5</v>
      </c>
    </row>
    <row r="211" spans="4:11">
      <c r="D211" s="44">
        <v>46067</v>
      </c>
      <c r="E211" s="45">
        <v>1579020</v>
      </c>
      <c r="F211" s="45" t="s">
        <v>49</v>
      </c>
      <c r="G211" s="46">
        <v>20403242</v>
      </c>
      <c r="H211" s="45" t="s">
        <v>124</v>
      </c>
      <c r="I211" s="46">
        <v>1</v>
      </c>
      <c r="J211" s="47">
        <v>5.5</v>
      </c>
      <c r="K211" s="47">
        <v>5.5</v>
      </c>
    </row>
    <row r="212" spans="4:11">
      <c r="D212" s="44">
        <v>46067</v>
      </c>
      <c r="E212" s="45">
        <v>1579020</v>
      </c>
      <c r="F212" s="45" t="s">
        <v>49</v>
      </c>
      <c r="G212" s="46">
        <v>20010825</v>
      </c>
      <c r="H212" s="45" t="s">
        <v>134</v>
      </c>
      <c r="I212" s="46">
        <v>1</v>
      </c>
      <c r="J212" s="47">
        <v>5.5</v>
      </c>
      <c r="K212" s="47">
        <v>5.5</v>
      </c>
    </row>
    <row r="213" spans="4:11">
      <c r="D213" s="44">
        <v>46067</v>
      </c>
      <c r="E213" s="45">
        <v>1579020</v>
      </c>
      <c r="F213" s="45" t="s">
        <v>49</v>
      </c>
      <c r="G213" s="46">
        <v>20010272</v>
      </c>
      <c r="H213" s="45" t="s">
        <v>125</v>
      </c>
      <c r="I213" s="46">
        <v>1</v>
      </c>
      <c r="J213" s="47">
        <v>5.5</v>
      </c>
      <c r="K213" s="47">
        <v>5.5</v>
      </c>
    </row>
    <row r="214" spans="4:11">
      <c r="D214" s="44">
        <v>46067</v>
      </c>
      <c r="E214" s="45">
        <v>1579020</v>
      </c>
      <c r="F214" s="45" t="s">
        <v>49</v>
      </c>
      <c r="G214" s="46">
        <v>20013598</v>
      </c>
      <c r="H214" s="45" t="s">
        <v>126</v>
      </c>
      <c r="I214" s="46">
        <v>1</v>
      </c>
      <c r="J214" s="47">
        <v>27.5</v>
      </c>
      <c r="K214" s="47">
        <v>27.5</v>
      </c>
    </row>
    <row r="215" spans="4:11">
      <c r="D215" s="44">
        <v>46067</v>
      </c>
      <c r="E215" s="45">
        <v>1579020</v>
      </c>
      <c r="F215" s="45" t="s">
        <v>49</v>
      </c>
      <c r="G215" s="46">
        <v>20010273</v>
      </c>
      <c r="H215" s="45" t="s">
        <v>129</v>
      </c>
      <c r="I215" s="46">
        <v>1</v>
      </c>
      <c r="J215" s="47">
        <v>5.5</v>
      </c>
      <c r="K215" s="47">
        <v>5.5</v>
      </c>
    </row>
    <row r="216" spans="4:11">
      <c r="D216" s="44">
        <v>46067</v>
      </c>
      <c r="E216" s="45">
        <v>1579020</v>
      </c>
      <c r="F216" s="45" t="s">
        <v>49</v>
      </c>
      <c r="G216" s="46">
        <v>20009928</v>
      </c>
      <c r="H216" s="45" t="s">
        <v>174</v>
      </c>
      <c r="I216" s="46">
        <v>1</v>
      </c>
      <c r="J216" s="47">
        <v>8</v>
      </c>
      <c r="K216" s="47">
        <v>8</v>
      </c>
    </row>
    <row r="217" spans="4:11">
      <c r="D217" s="44">
        <v>46067</v>
      </c>
      <c r="E217" s="45">
        <v>1579020</v>
      </c>
      <c r="F217" s="45" t="s">
        <v>49</v>
      </c>
      <c r="G217" s="46">
        <v>20402907</v>
      </c>
      <c r="H217" s="45" t="s">
        <v>130</v>
      </c>
      <c r="I217" s="46">
        <v>1</v>
      </c>
      <c r="J217" s="47">
        <v>5.5</v>
      </c>
      <c r="K217" s="47">
        <v>5.5</v>
      </c>
    </row>
    <row r="218" spans="4:11">
      <c r="D218" s="44">
        <v>46067</v>
      </c>
      <c r="E218" s="45">
        <v>1579020</v>
      </c>
      <c r="F218" s="45" t="s">
        <v>49</v>
      </c>
      <c r="G218" s="46">
        <v>20403091</v>
      </c>
      <c r="H218" s="45" t="s">
        <v>144</v>
      </c>
      <c r="I218" s="46">
        <v>1</v>
      </c>
      <c r="J218" s="47">
        <v>5.5</v>
      </c>
      <c r="K218" s="47">
        <v>5.5</v>
      </c>
    </row>
    <row r="219" spans="4:11">
      <c r="D219" s="44">
        <v>46067</v>
      </c>
      <c r="E219" s="45">
        <v>1579020</v>
      </c>
      <c r="F219" s="45" t="s">
        <v>49</v>
      </c>
      <c r="G219" s="46">
        <v>20403090</v>
      </c>
      <c r="H219" s="45" t="s">
        <v>146</v>
      </c>
      <c r="I219" s="46">
        <v>1</v>
      </c>
      <c r="J219" s="47">
        <v>5.5</v>
      </c>
      <c r="K219" s="47">
        <v>5.5</v>
      </c>
    </row>
    <row r="220" spans="4:11">
      <c r="D220" s="44">
        <v>46067</v>
      </c>
      <c r="E220" s="45">
        <v>1579020</v>
      </c>
      <c r="F220" s="45" t="s">
        <v>49</v>
      </c>
      <c r="G220" s="46">
        <v>20366423</v>
      </c>
      <c r="H220" s="45" t="s">
        <v>171</v>
      </c>
      <c r="I220" s="46">
        <v>1</v>
      </c>
      <c r="J220" s="47">
        <v>5.5</v>
      </c>
      <c r="K220" s="47">
        <v>5.5</v>
      </c>
    </row>
    <row r="221" spans="4:11">
      <c r="D221" s="44">
        <v>46067</v>
      </c>
      <c r="E221" s="45">
        <v>1579020</v>
      </c>
      <c r="F221" s="45" t="s">
        <v>49</v>
      </c>
      <c r="G221" s="46">
        <v>20013424</v>
      </c>
      <c r="H221" s="45" t="s">
        <v>160</v>
      </c>
      <c r="I221" s="46">
        <v>1</v>
      </c>
      <c r="J221" s="47">
        <v>27.5</v>
      </c>
      <c r="K221" s="47">
        <v>27.5</v>
      </c>
    </row>
    <row r="222" spans="4:11">
      <c r="D222" s="44">
        <v>46070</v>
      </c>
      <c r="E222" s="45">
        <v>1579139</v>
      </c>
      <c r="F222" s="45" t="s">
        <v>49</v>
      </c>
      <c r="G222" s="46">
        <v>20403242</v>
      </c>
      <c r="H222" s="45" t="s">
        <v>124</v>
      </c>
      <c r="I222" s="46">
        <v>1</v>
      </c>
      <c r="J222" s="47">
        <v>5.5</v>
      </c>
      <c r="K222" s="47">
        <v>5.5</v>
      </c>
    </row>
    <row r="223" spans="4:11">
      <c r="D223" s="44">
        <v>46070</v>
      </c>
      <c r="E223" s="45">
        <v>1579139</v>
      </c>
      <c r="F223" s="45" t="s">
        <v>49</v>
      </c>
      <c r="G223" s="46">
        <v>20010825</v>
      </c>
      <c r="H223" s="45" t="s">
        <v>134</v>
      </c>
      <c r="I223" s="46">
        <v>1</v>
      </c>
      <c r="J223" s="47">
        <v>5.5</v>
      </c>
      <c r="K223" s="47">
        <v>5.5</v>
      </c>
    </row>
    <row r="224" spans="4:11">
      <c r="D224" s="44">
        <v>46070</v>
      </c>
      <c r="E224" s="45">
        <v>1579139</v>
      </c>
      <c r="F224" s="45" t="s">
        <v>49</v>
      </c>
      <c r="G224" s="46">
        <v>20315617</v>
      </c>
      <c r="H224" s="45" t="s">
        <v>148</v>
      </c>
      <c r="I224" s="46">
        <v>3</v>
      </c>
      <c r="J224" s="47">
        <v>8</v>
      </c>
      <c r="K224" s="47">
        <v>24</v>
      </c>
    </row>
    <row r="225" spans="4:11">
      <c r="D225" s="44">
        <v>46070</v>
      </c>
      <c r="E225" s="45">
        <v>1579139</v>
      </c>
      <c r="F225" s="45" t="s">
        <v>49</v>
      </c>
      <c r="G225" s="46">
        <v>20009971</v>
      </c>
      <c r="H225" s="45" t="s">
        <v>136</v>
      </c>
      <c r="I225" s="46">
        <v>1</v>
      </c>
      <c r="J225" s="47">
        <v>5.5</v>
      </c>
      <c r="K225" s="47">
        <v>5.5</v>
      </c>
    </row>
    <row r="226" spans="4:11">
      <c r="D226" s="44">
        <v>46070</v>
      </c>
      <c r="E226" s="45">
        <v>1579139</v>
      </c>
      <c r="F226" s="45" t="s">
        <v>49</v>
      </c>
      <c r="G226" s="46">
        <v>20010272</v>
      </c>
      <c r="H226" s="45" t="s">
        <v>125</v>
      </c>
      <c r="I226" s="46">
        <v>1</v>
      </c>
      <c r="J226" s="47">
        <v>5.5</v>
      </c>
      <c r="K226" s="47">
        <v>5.5</v>
      </c>
    </row>
    <row r="227" spans="4:11">
      <c r="D227" s="44">
        <v>46070</v>
      </c>
      <c r="E227" s="45">
        <v>1579139</v>
      </c>
      <c r="F227" s="45" t="s">
        <v>49</v>
      </c>
      <c r="G227" s="46">
        <v>20013598</v>
      </c>
      <c r="H227" s="45" t="s">
        <v>126</v>
      </c>
      <c r="I227" s="46">
        <v>1</v>
      </c>
      <c r="J227" s="47">
        <v>27.5</v>
      </c>
      <c r="K227" s="47">
        <v>27.5</v>
      </c>
    </row>
    <row r="228" spans="4:11">
      <c r="D228" s="44">
        <v>46070</v>
      </c>
      <c r="E228" s="45">
        <v>1579139</v>
      </c>
      <c r="F228" s="45" t="s">
        <v>49</v>
      </c>
      <c r="G228" s="46">
        <v>20010076</v>
      </c>
      <c r="H228" s="45" t="s">
        <v>138</v>
      </c>
      <c r="I228" s="46">
        <v>1</v>
      </c>
      <c r="J228" s="47">
        <v>5.5</v>
      </c>
      <c r="K228" s="47">
        <v>5.5</v>
      </c>
    </row>
    <row r="229" spans="4:11">
      <c r="D229" s="44">
        <v>46070</v>
      </c>
      <c r="E229" s="45">
        <v>1579139</v>
      </c>
      <c r="F229" s="45" t="s">
        <v>49</v>
      </c>
      <c r="G229" s="46">
        <v>20010070</v>
      </c>
      <c r="H229" s="45" t="s">
        <v>151</v>
      </c>
      <c r="I229" s="46">
        <v>1</v>
      </c>
      <c r="J229" s="47">
        <v>5.5</v>
      </c>
      <c r="K229" s="47">
        <v>5.5</v>
      </c>
    </row>
    <row r="230" spans="4:11">
      <c r="D230" s="44">
        <v>46070</v>
      </c>
      <c r="E230" s="45">
        <v>1579139</v>
      </c>
      <c r="F230" s="45" t="s">
        <v>49</v>
      </c>
      <c r="G230" s="46">
        <v>20010054</v>
      </c>
      <c r="H230" s="45" t="s">
        <v>163</v>
      </c>
      <c r="I230" s="46">
        <v>1</v>
      </c>
      <c r="J230" s="47">
        <v>5.5</v>
      </c>
      <c r="K230" s="47">
        <v>5.5</v>
      </c>
    </row>
    <row r="231" spans="4:11">
      <c r="D231" s="44">
        <v>46070</v>
      </c>
      <c r="E231" s="45">
        <v>1579139</v>
      </c>
      <c r="F231" s="45" t="s">
        <v>49</v>
      </c>
      <c r="G231" s="46">
        <v>20010576</v>
      </c>
      <c r="H231" s="45" t="s">
        <v>143</v>
      </c>
      <c r="I231" s="46">
        <v>1</v>
      </c>
      <c r="J231" s="47">
        <v>11</v>
      </c>
      <c r="K231" s="47">
        <v>11</v>
      </c>
    </row>
    <row r="232" spans="4:11">
      <c r="D232" s="44">
        <v>46070</v>
      </c>
      <c r="E232" s="45">
        <v>1579139</v>
      </c>
      <c r="F232" s="45" t="s">
        <v>49</v>
      </c>
      <c r="G232" s="46">
        <v>20010273</v>
      </c>
      <c r="H232" s="45" t="s">
        <v>129</v>
      </c>
      <c r="I232" s="46">
        <v>4</v>
      </c>
      <c r="J232" s="47">
        <v>5.5</v>
      </c>
      <c r="K232" s="47">
        <v>22</v>
      </c>
    </row>
    <row r="233" spans="4:11">
      <c r="D233" s="44">
        <v>46070</v>
      </c>
      <c r="E233" s="45">
        <v>1579139</v>
      </c>
      <c r="F233" s="45" t="s">
        <v>49</v>
      </c>
      <c r="G233" s="46">
        <v>20010264</v>
      </c>
      <c r="H233" s="45" t="s">
        <v>156</v>
      </c>
      <c r="I233" s="46">
        <v>1</v>
      </c>
      <c r="J233" s="47">
        <v>5.5</v>
      </c>
      <c r="K233" s="47">
        <v>5.5</v>
      </c>
    </row>
    <row r="234" spans="4:11">
      <c r="D234" s="44">
        <v>46070</v>
      </c>
      <c r="E234" s="45">
        <v>1579139</v>
      </c>
      <c r="F234" s="45" t="s">
        <v>49</v>
      </c>
      <c r="G234" s="46">
        <v>20402906</v>
      </c>
      <c r="H234" s="45" t="s">
        <v>165</v>
      </c>
      <c r="I234" s="46">
        <v>1</v>
      </c>
      <c r="J234" s="47">
        <v>5.5</v>
      </c>
      <c r="K234" s="47">
        <v>5.5</v>
      </c>
    </row>
    <row r="235" spans="4:11">
      <c r="D235" s="44">
        <v>46070</v>
      </c>
      <c r="E235" s="45">
        <v>1579139</v>
      </c>
      <c r="F235" s="45" t="s">
        <v>49</v>
      </c>
      <c r="G235" s="46">
        <v>20403091</v>
      </c>
      <c r="H235" s="45" t="s">
        <v>144</v>
      </c>
      <c r="I235" s="46">
        <v>1</v>
      </c>
      <c r="J235" s="47">
        <v>5.5</v>
      </c>
      <c r="K235" s="47">
        <v>5.5</v>
      </c>
    </row>
    <row r="236" spans="4:11">
      <c r="D236" s="44">
        <v>46070</v>
      </c>
      <c r="E236" s="45">
        <v>1579139</v>
      </c>
      <c r="F236" s="45" t="s">
        <v>49</v>
      </c>
      <c r="G236" s="46">
        <v>20403089</v>
      </c>
      <c r="H236" s="45" t="s">
        <v>145</v>
      </c>
      <c r="I236" s="46">
        <v>1</v>
      </c>
      <c r="J236" s="47">
        <v>5.5</v>
      </c>
      <c r="K236" s="47">
        <v>5.5</v>
      </c>
    </row>
    <row r="237" spans="4:11">
      <c r="D237" s="44">
        <v>46070</v>
      </c>
      <c r="E237" s="45">
        <v>1579139</v>
      </c>
      <c r="F237" s="45" t="s">
        <v>49</v>
      </c>
      <c r="G237" s="46">
        <v>20403093</v>
      </c>
      <c r="H237" s="45" t="s">
        <v>131</v>
      </c>
      <c r="I237" s="46">
        <v>1</v>
      </c>
      <c r="J237" s="47">
        <v>5.5</v>
      </c>
      <c r="K237" s="47">
        <v>5.5</v>
      </c>
    </row>
    <row r="238" spans="4:11">
      <c r="D238" s="44">
        <v>46070</v>
      </c>
      <c r="E238" s="45">
        <v>1579139</v>
      </c>
      <c r="F238" s="45" t="s">
        <v>49</v>
      </c>
      <c r="G238" s="46">
        <v>20403090</v>
      </c>
      <c r="H238" s="45" t="s">
        <v>146</v>
      </c>
      <c r="I238" s="46">
        <v>1</v>
      </c>
      <c r="J238" s="47">
        <v>5.5</v>
      </c>
      <c r="K238" s="47">
        <v>5.5</v>
      </c>
    </row>
    <row r="239" spans="4:11">
      <c r="D239" s="44">
        <v>46070</v>
      </c>
      <c r="E239" s="45">
        <v>1579139</v>
      </c>
      <c r="F239" s="45" t="s">
        <v>49</v>
      </c>
      <c r="G239" s="46">
        <v>20010059</v>
      </c>
      <c r="H239" s="45" t="s">
        <v>159</v>
      </c>
      <c r="I239" s="46">
        <v>1</v>
      </c>
      <c r="J239" s="47">
        <v>5.5</v>
      </c>
      <c r="K239" s="47">
        <v>5.5</v>
      </c>
    </row>
    <row r="240" spans="4:11">
      <c r="D240" s="44">
        <v>46072</v>
      </c>
      <c r="E240" s="45">
        <v>1579252</v>
      </c>
      <c r="F240" s="45" t="s">
        <v>49</v>
      </c>
      <c r="G240" s="46">
        <v>20315617</v>
      </c>
      <c r="H240" s="45" t="s">
        <v>148</v>
      </c>
      <c r="I240" s="46">
        <v>1</v>
      </c>
      <c r="J240" s="47">
        <v>8</v>
      </c>
      <c r="K240" s="47">
        <v>8</v>
      </c>
    </row>
    <row r="241" spans="4:11">
      <c r="D241" s="44">
        <v>46072</v>
      </c>
      <c r="E241" s="45">
        <v>1579252</v>
      </c>
      <c r="F241" s="45" t="s">
        <v>49</v>
      </c>
      <c r="G241" s="46">
        <v>20010272</v>
      </c>
      <c r="H241" s="45" t="s">
        <v>125</v>
      </c>
      <c r="I241" s="46">
        <v>1</v>
      </c>
      <c r="J241" s="47">
        <v>5.5</v>
      </c>
      <c r="K241" s="47">
        <v>5.5</v>
      </c>
    </row>
    <row r="242" spans="4:11">
      <c r="D242" s="44">
        <v>46072</v>
      </c>
      <c r="E242" s="45">
        <v>1579252</v>
      </c>
      <c r="F242" s="45" t="s">
        <v>49</v>
      </c>
      <c r="G242" s="46">
        <v>20013598</v>
      </c>
      <c r="H242" s="45" t="s">
        <v>126</v>
      </c>
      <c r="I242" s="46">
        <v>1</v>
      </c>
      <c r="J242" s="47">
        <v>27.5</v>
      </c>
      <c r="K242" s="47">
        <v>27.5</v>
      </c>
    </row>
    <row r="243" spans="4:11">
      <c r="D243" s="44">
        <v>46072</v>
      </c>
      <c r="E243" s="45">
        <v>1579252</v>
      </c>
      <c r="F243" s="45" t="s">
        <v>49</v>
      </c>
      <c r="G243" s="46">
        <v>20010072</v>
      </c>
      <c r="H243" s="45" t="s">
        <v>139</v>
      </c>
      <c r="I243" s="46">
        <v>1</v>
      </c>
      <c r="J243" s="47">
        <v>5.5</v>
      </c>
      <c r="K243" s="47">
        <v>5.5</v>
      </c>
    </row>
    <row r="244" spans="4:11">
      <c r="D244" s="44">
        <v>46072</v>
      </c>
      <c r="E244" s="45">
        <v>1579252</v>
      </c>
      <c r="F244" s="45" t="s">
        <v>49</v>
      </c>
      <c r="G244" s="46">
        <v>20010067</v>
      </c>
      <c r="H244" s="45" t="s">
        <v>154</v>
      </c>
      <c r="I244" s="46">
        <v>1</v>
      </c>
      <c r="J244" s="47">
        <v>5.5</v>
      </c>
      <c r="K244" s="47">
        <v>5.5</v>
      </c>
    </row>
    <row r="245" spans="4:11">
      <c r="D245" s="44">
        <v>46072</v>
      </c>
      <c r="E245" s="45">
        <v>1579252</v>
      </c>
      <c r="F245" s="45" t="s">
        <v>49</v>
      </c>
      <c r="G245" s="46">
        <v>20010273</v>
      </c>
      <c r="H245" s="45" t="s">
        <v>129</v>
      </c>
      <c r="I245" s="46">
        <v>2</v>
      </c>
      <c r="J245" s="47">
        <v>5.5</v>
      </c>
      <c r="K245" s="47">
        <v>11</v>
      </c>
    </row>
    <row r="246" spans="4:11">
      <c r="D246" s="44">
        <v>46072</v>
      </c>
      <c r="E246" s="45">
        <v>1579252</v>
      </c>
      <c r="F246" s="45" t="s">
        <v>49</v>
      </c>
      <c r="G246" s="46">
        <v>20010264</v>
      </c>
      <c r="H246" s="45" t="s">
        <v>156</v>
      </c>
      <c r="I246" s="46">
        <v>1</v>
      </c>
      <c r="J246" s="47">
        <v>5.5</v>
      </c>
      <c r="K246" s="47">
        <v>5.5</v>
      </c>
    </row>
    <row r="247" spans="4:11">
      <c r="D247" s="44">
        <v>46072</v>
      </c>
      <c r="E247" s="45">
        <v>1579252</v>
      </c>
      <c r="F247" s="45" t="s">
        <v>49</v>
      </c>
      <c r="G247" s="46">
        <v>20325059</v>
      </c>
      <c r="H247" s="45" t="s">
        <v>147</v>
      </c>
      <c r="I247" s="46">
        <v>1</v>
      </c>
      <c r="J247" s="47">
        <v>5.5</v>
      </c>
      <c r="K247" s="47">
        <v>5.5</v>
      </c>
    </row>
    <row r="248" spans="4:11">
      <c r="D248" s="44">
        <v>46072</v>
      </c>
      <c r="E248" s="45">
        <v>1579252</v>
      </c>
      <c r="F248" s="45" t="s">
        <v>49</v>
      </c>
      <c r="G248" s="46">
        <v>20336407</v>
      </c>
      <c r="H248" s="45" t="s">
        <v>158</v>
      </c>
      <c r="I248" s="46">
        <v>1</v>
      </c>
      <c r="J248" s="47">
        <v>5.5</v>
      </c>
      <c r="K248" s="47">
        <v>5.5</v>
      </c>
    </row>
    <row r="249" spans="4:11">
      <c r="D249" s="44">
        <v>46072</v>
      </c>
      <c r="E249" s="45">
        <v>1579252</v>
      </c>
      <c r="F249" s="45" t="s">
        <v>49</v>
      </c>
      <c r="G249" s="46">
        <v>20010534</v>
      </c>
      <c r="H249" s="45" t="s">
        <v>133</v>
      </c>
      <c r="I249" s="46">
        <v>1</v>
      </c>
      <c r="J249" s="47">
        <v>5.5</v>
      </c>
      <c r="K249" s="47">
        <v>5.5</v>
      </c>
    </row>
    <row r="250" spans="4:11">
      <c r="D250" s="44">
        <v>46074</v>
      </c>
      <c r="E250" s="45">
        <v>1579396</v>
      </c>
      <c r="F250" s="45" t="s">
        <v>49</v>
      </c>
      <c r="G250" s="46">
        <v>20403242</v>
      </c>
      <c r="H250" s="45" t="s">
        <v>124</v>
      </c>
      <c r="I250" s="46">
        <v>1</v>
      </c>
      <c r="J250" s="47">
        <v>5.5</v>
      </c>
      <c r="K250" s="47">
        <v>5.5</v>
      </c>
    </row>
    <row r="251" spans="4:11">
      <c r="D251" s="44">
        <v>46074</v>
      </c>
      <c r="E251" s="45">
        <v>1579396</v>
      </c>
      <c r="F251" s="45" t="s">
        <v>49</v>
      </c>
      <c r="G251" s="46">
        <v>20010825</v>
      </c>
      <c r="H251" s="45" t="s">
        <v>134</v>
      </c>
      <c r="I251" s="46">
        <v>1</v>
      </c>
      <c r="J251" s="47">
        <v>5.5</v>
      </c>
      <c r="K251" s="47">
        <v>5.5</v>
      </c>
    </row>
    <row r="252" spans="4:11">
      <c r="D252" s="44">
        <v>46074</v>
      </c>
      <c r="E252" s="45">
        <v>1579396</v>
      </c>
      <c r="F252" s="45" t="s">
        <v>49</v>
      </c>
      <c r="G252" s="46">
        <v>20009971</v>
      </c>
      <c r="H252" s="45" t="s">
        <v>136</v>
      </c>
      <c r="I252" s="46">
        <v>1</v>
      </c>
      <c r="J252" s="47">
        <v>5.5</v>
      </c>
      <c r="K252" s="47">
        <v>5.5</v>
      </c>
    </row>
    <row r="253" spans="4:11">
      <c r="D253" s="44">
        <v>46074</v>
      </c>
      <c r="E253" s="45">
        <v>1579396</v>
      </c>
      <c r="F253" s="45" t="s">
        <v>49</v>
      </c>
      <c r="G253" s="46">
        <v>20010272</v>
      </c>
      <c r="H253" s="45" t="s">
        <v>125</v>
      </c>
      <c r="I253" s="46">
        <v>1</v>
      </c>
      <c r="J253" s="47">
        <v>5.5</v>
      </c>
      <c r="K253" s="47">
        <v>5.5</v>
      </c>
    </row>
    <row r="254" spans="4:11">
      <c r="D254" s="44">
        <v>46074</v>
      </c>
      <c r="E254" s="45">
        <v>1579396</v>
      </c>
      <c r="F254" s="45" t="s">
        <v>49</v>
      </c>
      <c r="G254" s="46">
        <v>20013598</v>
      </c>
      <c r="H254" s="45" t="s">
        <v>126</v>
      </c>
      <c r="I254" s="46">
        <v>1</v>
      </c>
      <c r="J254" s="47">
        <v>27.5</v>
      </c>
      <c r="K254" s="47">
        <v>27.5</v>
      </c>
    </row>
    <row r="255" spans="4:11">
      <c r="D255" s="44">
        <v>46074</v>
      </c>
      <c r="E255" s="45">
        <v>1579396</v>
      </c>
      <c r="F255" s="45" t="s">
        <v>49</v>
      </c>
      <c r="G255" s="46">
        <v>20010074</v>
      </c>
      <c r="H255" s="45" t="s">
        <v>127</v>
      </c>
      <c r="I255" s="46">
        <v>1</v>
      </c>
      <c r="J255" s="47">
        <v>5.5</v>
      </c>
      <c r="K255" s="47">
        <v>5.5</v>
      </c>
    </row>
    <row r="256" spans="4:11">
      <c r="D256" s="44">
        <v>46074</v>
      </c>
      <c r="E256" s="45">
        <v>1579396</v>
      </c>
      <c r="F256" s="45" t="s">
        <v>49</v>
      </c>
      <c r="G256" s="46">
        <v>20010056</v>
      </c>
      <c r="H256" s="45" t="s">
        <v>140</v>
      </c>
      <c r="I256" s="46">
        <v>1</v>
      </c>
      <c r="J256" s="47">
        <v>5.5</v>
      </c>
      <c r="K256" s="47">
        <v>5.5</v>
      </c>
    </row>
    <row r="257" spans="4:11">
      <c r="D257" s="44">
        <v>46074</v>
      </c>
      <c r="E257" s="45">
        <v>1579396</v>
      </c>
      <c r="F257" s="45" t="s">
        <v>49</v>
      </c>
      <c r="G257" s="46">
        <v>20010066</v>
      </c>
      <c r="H257" s="45" t="s">
        <v>153</v>
      </c>
      <c r="I257" s="46">
        <v>1</v>
      </c>
      <c r="J257" s="47">
        <v>5.5</v>
      </c>
      <c r="K257" s="47">
        <v>5.5</v>
      </c>
    </row>
    <row r="258" spans="4:11">
      <c r="D258" s="44">
        <v>46074</v>
      </c>
      <c r="E258" s="45">
        <v>1579396</v>
      </c>
      <c r="F258" s="45" t="s">
        <v>49</v>
      </c>
      <c r="G258" s="46">
        <v>20010576</v>
      </c>
      <c r="H258" s="45" t="s">
        <v>143</v>
      </c>
      <c r="I258" s="46">
        <v>1</v>
      </c>
      <c r="J258" s="47">
        <v>11</v>
      </c>
      <c r="K258" s="47">
        <v>11</v>
      </c>
    </row>
    <row r="259" spans="4:11">
      <c r="D259" s="44">
        <v>46074</v>
      </c>
      <c r="E259" s="45">
        <v>1579396</v>
      </c>
      <c r="F259" s="45" t="s">
        <v>49</v>
      </c>
      <c r="G259" s="46">
        <v>20010273</v>
      </c>
      <c r="H259" s="45" t="s">
        <v>129</v>
      </c>
      <c r="I259" s="46">
        <v>3</v>
      </c>
      <c r="J259" s="47">
        <v>5.5</v>
      </c>
      <c r="K259" s="47">
        <v>16.5</v>
      </c>
    </row>
    <row r="260" spans="4:11">
      <c r="D260" s="44">
        <v>46074</v>
      </c>
      <c r="E260" s="45">
        <v>1579396</v>
      </c>
      <c r="F260" s="45" t="s">
        <v>49</v>
      </c>
      <c r="G260" s="46">
        <v>20403089</v>
      </c>
      <c r="H260" s="45" t="s">
        <v>145</v>
      </c>
      <c r="I260" s="46">
        <v>1</v>
      </c>
      <c r="J260" s="47">
        <v>5.5</v>
      </c>
      <c r="K260" s="47">
        <v>5.5</v>
      </c>
    </row>
    <row r="261" spans="4:11">
      <c r="D261" s="44">
        <v>46074</v>
      </c>
      <c r="E261" s="45">
        <v>1579396</v>
      </c>
      <c r="F261" s="45" t="s">
        <v>49</v>
      </c>
      <c r="G261" s="46">
        <v>20403090</v>
      </c>
      <c r="H261" s="45" t="s">
        <v>146</v>
      </c>
      <c r="I261" s="46">
        <v>1</v>
      </c>
      <c r="J261" s="47">
        <v>5.5</v>
      </c>
      <c r="K261" s="47">
        <v>5.5</v>
      </c>
    </row>
    <row r="262" spans="4:11">
      <c r="D262" s="44">
        <v>46074</v>
      </c>
      <c r="E262" s="45">
        <v>1579396</v>
      </c>
      <c r="F262" s="45" t="s">
        <v>49</v>
      </c>
      <c r="G262" s="46">
        <v>20010059</v>
      </c>
      <c r="H262" s="45" t="s">
        <v>159</v>
      </c>
      <c r="I262" s="46">
        <v>1</v>
      </c>
      <c r="J262" s="47">
        <v>5.5</v>
      </c>
      <c r="K262" s="47">
        <v>5.5</v>
      </c>
    </row>
    <row r="263" spans="4:11">
      <c r="D263" s="44">
        <v>46074</v>
      </c>
      <c r="E263" s="45">
        <v>1579396</v>
      </c>
      <c r="F263" s="45" t="s">
        <v>49</v>
      </c>
      <c r="G263" s="46">
        <v>20013424</v>
      </c>
      <c r="H263" s="45" t="s">
        <v>160</v>
      </c>
      <c r="I263" s="46">
        <v>1</v>
      </c>
      <c r="J263" s="47">
        <v>27.5</v>
      </c>
      <c r="K263" s="47">
        <v>27.5</v>
      </c>
    </row>
    <row r="264" spans="4:11">
      <c r="D264" s="44">
        <v>46076</v>
      </c>
      <c r="E264" s="45">
        <v>1579538</v>
      </c>
      <c r="F264" s="45" t="s">
        <v>49</v>
      </c>
      <c r="G264" s="46">
        <v>20315617</v>
      </c>
      <c r="H264" s="45" t="s">
        <v>148</v>
      </c>
      <c r="I264" s="46">
        <v>1</v>
      </c>
      <c r="J264" s="47">
        <v>8</v>
      </c>
      <c r="K264" s="47">
        <v>8</v>
      </c>
    </row>
    <row r="265" spans="4:11">
      <c r="D265" s="44">
        <v>46076</v>
      </c>
      <c r="E265" s="45">
        <v>1579538</v>
      </c>
      <c r="F265" s="45" t="s">
        <v>49</v>
      </c>
      <c r="G265" s="46">
        <v>20368215</v>
      </c>
      <c r="H265" s="45" t="s">
        <v>175</v>
      </c>
      <c r="I265" s="46">
        <v>1</v>
      </c>
      <c r="J265" s="47">
        <v>5.5</v>
      </c>
      <c r="K265" s="47">
        <v>5.5</v>
      </c>
    </row>
    <row r="266" spans="4:11">
      <c r="D266" s="44">
        <v>46076</v>
      </c>
      <c r="E266" s="45">
        <v>1579538</v>
      </c>
      <c r="F266" s="45" t="s">
        <v>49</v>
      </c>
      <c r="G266" s="46">
        <v>20010272</v>
      </c>
      <c r="H266" s="45" t="s">
        <v>125</v>
      </c>
      <c r="I266" s="46">
        <v>2</v>
      </c>
      <c r="J266" s="47">
        <v>5.5</v>
      </c>
      <c r="K266" s="47">
        <v>11</v>
      </c>
    </row>
    <row r="267" spans="4:11">
      <c r="D267" s="44">
        <v>46076</v>
      </c>
      <c r="E267" s="45">
        <v>1579538</v>
      </c>
      <c r="F267" s="45" t="s">
        <v>49</v>
      </c>
      <c r="G267" s="46">
        <v>20318308</v>
      </c>
      <c r="H267" s="45" t="s">
        <v>137</v>
      </c>
      <c r="I267" s="46">
        <v>1</v>
      </c>
      <c r="J267" s="47">
        <v>8</v>
      </c>
      <c r="K267" s="47">
        <v>8</v>
      </c>
    </row>
    <row r="268" spans="4:11">
      <c r="D268" s="44">
        <v>46076</v>
      </c>
      <c r="E268" s="45">
        <v>1579538</v>
      </c>
      <c r="F268" s="45" t="s">
        <v>49</v>
      </c>
      <c r="G268" s="46">
        <v>20010072</v>
      </c>
      <c r="H268" s="45" t="s">
        <v>139</v>
      </c>
      <c r="I268" s="46">
        <v>1</v>
      </c>
      <c r="J268" s="47">
        <v>5.5</v>
      </c>
      <c r="K268" s="47">
        <v>5.5</v>
      </c>
    </row>
    <row r="269" spans="4:11">
      <c r="D269" s="44">
        <v>46076</v>
      </c>
      <c r="E269" s="45">
        <v>1579538</v>
      </c>
      <c r="F269" s="45" t="s">
        <v>49</v>
      </c>
      <c r="G269" s="46">
        <v>20010067</v>
      </c>
      <c r="H269" s="45" t="s">
        <v>154</v>
      </c>
      <c r="I269" s="46">
        <v>1</v>
      </c>
      <c r="J269" s="47">
        <v>5.5</v>
      </c>
      <c r="K269" s="47">
        <v>5.5</v>
      </c>
    </row>
    <row r="270" spans="4:11">
      <c r="D270" s="44">
        <v>46076</v>
      </c>
      <c r="E270" s="45">
        <v>1579538</v>
      </c>
      <c r="F270" s="45" t="s">
        <v>49</v>
      </c>
      <c r="G270" s="46">
        <v>20010263</v>
      </c>
      <c r="H270" s="45" t="s">
        <v>155</v>
      </c>
      <c r="I270" s="46">
        <v>1</v>
      </c>
      <c r="J270" s="47">
        <v>5.5</v>
      </c>
      <c r="K270" s="47">
        <v>5.5</v>
      </c>
    </row>
    <row r="271" spans="4:11">
      <c r="D271" s="44">
        <v>46076</v>
      </c>
      <c r="E271" s="45">
        <v>1579538</v>
      </c>
      <c r="F271" s="45" t="s">
        <v>49</v>
      </c>
      <c r="G271" s="46">
        <v>20010273</v>
      </c>
      <c r="H271" s="45" t="s">
        <v>129</v>
      </c>
      <c r="I271" s="46">
        <v>2</v>
      </c>
      <c r="J271" s="47">
        <v>5.5</v>
      </c>
      <c r="K271" s="47">
        <v>11</v>
      </c>
    </row>
    <row r="272" spans="4:11">
      <c r="D272" s="44">
        <v>46076</v>
      </c>
      <c r="E272" s="45">
        <v>1579538</v>
      </c>
      <c r="F272" s="45" t="s">
        <v>49</v>
      </c>
      <c r="G272" s="46">
        <v>20402907</v>
      </c>
      <c r="H272" s="45" t="s">
        <v>130</v>
      </c>
      <c r="I272" s="46">
        <v>1</v>
      </c>
      <c r="J272" s="47">
        <v>5.5</v>
      </c>
      <c r="K272" s="47">
        <v>5.5</v>
      </c>
    </row>
    <row r="273" spans="4:11">
      <c r="D273" s="44">
        <v>46076</v>
      </c>
      <c r="E273" s="45">
        <v>1579538</v>
      </c>
      <c r="F273" s="45" t="s">
        <v>49</v>
      </c>
      <c r="G273" s="46">
        <v>20325059</v>
      </c>
      <c r="H273" s="45" t="s">
        <v>147</v>
      </c>
      <c r="I273" s="46">
        <v>1</v>
      </c>
      <c r="J273" s="47">
        <v>5.5</v>
      </c>
      <c r="K273" s="47">
        <v>5.5</v>
      </c>
    </row>
    <row r="274" spans="4:11">
      <c r="D274" s="44">
        <v>46076</v>
      </c>
      <c r="E274" s="45">
        <v>1579538</v>
      </c>
      <c r="F274" s="45" t="s">
        <v>49</v>
      </c>
      <c r="G274" s="46">
        <v>20312467</v>
      </c>
      <c r="H274" s="45" t="s">
        <v>166</v>
      </c>
      <c r="I274" s="46">
        <v>1</v>
      </c>
      <c r="J274" s="47">
        <v>5.5</v>
      </c>
      <c r="K274" s="47">
        <v>5.5</v>
      </c>
    </row>
    <row r="275" spans="4:11">
      <c r="D275" s="44">
        <v>46076</v>
      </c>
      <c r="E275" s="45">
        <v>1579538</v>
      </c>
      <c r="F275" s="45" t="s">
        <v>49</v>
      </c>
      <c r="G275" s="46">
        <v>20366423</v>
      </c>
      <c r="H275" s="45" t="s">
        <v>171</v>
      </c>
      <c r="I275" s="46">
        <v>1</v>
      </c>
      <c r="J275" s="47">
        <v>5.5</v>
      </c>
      <c r="K275" s="47">
        <v>5.5</v>
      </c>
    </row>
    <row r="276" spans="4:11">
      <c r="D276" s="44">
        <v>46077</v>
      </c>
      <c r="E276" s="45">
        <v>1579828</v>
      </c>
      <c r="F276" s="45" t="s">
        <v>49</v>
      </c>
      <c r="G276" s="46">
        <v>20010825</v>
      </c>
      <c r="H276" s="45" t="s">
        <v>134</v>
      </c>
      <c r="I276" s="46">
        <v>1</v>
      </c>
      <c r="J276" s="47">
        <v>5.5</v>
      </c>
      <c r="K276" s="47">
        <v>5.5</v>
      </c>
    </row>
    <row r="277" spans="4:11">
      <c r="D277" s="44">
        <v>46077</v>
      </c>
      <c r="E277" s="45">
        <v>1579828</v>
      </c>
      <c r="F277" s="45" t="s">
        <v>49</v>
      </c>
      <c r="G277" s="46">
        <v>20009971</v>
      </c>
      <c r="H277" s="45" t="s">
        <v>136</v>
      </c>
      <c r="I277" s="46">
        <v>1</v>
      </c>
      <c r="J277" s="47">
        <v>5.5</v>
      </c>
      <c r="K277" s="47">
        <v>5.5</v>
      </c>
    </row>
    <row r="278" spans="4:11">
      <c r="D278" s="44">
        <v>46077</v>
      </c>
      <c r="E278" s="45">
        <v>1579828</v>
      </c>
      <c r="F278" s="45" t="s">
        <v>49</v>
      </c>
      <c r="G278" s="46">
        <v>20010272</v>
      </c>
      <c r="H278" s="45" t="s">
        <v>125</v>
      </c>
      <c r="I278" s="46">
        <v>1</v>
      </c>
      <c r="J278" s="47">
        <v>5.5</v>
      </c>
      <c r="K278" s="47">
        <v>5.5</v>
      </c>
    </row>
    <row r="279" spans="4:11">
      <c r="D279" s="44">
        <v>46077</v>
      </c>
      <c r="E279" s="45">
        <v>1579828</v>
      </c>
      <c r="F279" s="45" t="s">
        <v>49</v>
      </c>
      <c r="G279" s="46">
        <v>20013598</v>
      </c>
      <c r="H279" s="45" t="s">
        <v>126</v>
      </c>
      <c r="I279" s="46">
        <v>2</v>
      </c>
      <c r="J279" s="47">
        <v>27.5</v>
      </c>
      <c r="K279" s="47">
        <v>55</v>
      </c>
    </row>
    <row r="280" spans="4:11">
      <c r="D280" s="44">
        <v>46077</v>
      </c>
      <c r="E280" s="45">
        <v>1579828</v>
      </c>
      <c r="F280" s="45" t="s">
        <v>49</v>
      </c>
      <c r="G280" s="46">
        <v>20312041</v>
      </c>
      <c r="H280" s="45" t="s">
        <v>162</v>
      </c>
      <c r="I280" s="46">
        <v>1</v>
      </c>
      <c r="J280" s="47">
        <v>8</v>
      </c>
      <c r="K280" s="47">
        <v>8</v>
      </c>
    </row>
    <row r="281" spans="4:11">
      <c r="D281" s="44">
        <v>46077</v>
      </c>
      <c r="E281" s="45">
        <v>1579828</v>
      </c>
      <c r="F281" s="45" t="s">
        <v>49</v>
      </c>
      <c r="G281" s="46">
        <v>20010053</v>
      </c>
      <c r="H281" s="45" t="s">
        <v>150</v>
      </c>
      <c r="I281" s="46">
        <v>1</v>
      </c>
      <c r="J281" s="47">
        <v>5.5</v>
      </c>
      <c r="K281" s="47">
        <v>5.5</v>
      </c>
    </row>
    <row r="282" spans="4:11">
      <c r="D282" s="44">
        <v>46077</v>
      </c>
      <c r="E282" s="45">
        <v>1579828</v>
      </c>
      <c r="F282" s="45" t="s">
        <v>49</v>
      </c>
      <c r="G282" s="46">
        <v>20010054</v>
      </c>
      <c r="H282" s="45" t="s">
        <v>163</v>
      </c>
      <c r="I282" s="46">
        <v>1</v>
      </c>
      <c r="J282" s="47">
        <v>5.5</v>
      </c>
      <c r="K282" s="47">
        <v>5.5</v>
      </c>
    </row>
    <row r="283" spans="4:11">
      <c r="D283" s="44">
        <v>46077</v>
      </c>
      <c r="E283" s="45">
        <v>1579828</v>
      </c>
      <c r="F283" s="45" t="s">
        <v>49</v>
      </c>
      <c r="G283" s="46">
        <v>20010078</v>
      </c>
      <c r="H283" s="45" t="s">
        <v>141</v>
      </c>
      <c r="I283" s="46">
        <v>1</v>
      </c>
      <c r="J283" s="47">
        <v>5.5</v>
      </c>
      <c r="K283" s="47">
        <v>5.5</v>
      </c>
    </row>
    <row r="284" spans="4:11">
      <c r="D284" s="44">
        <v>46077</v>
      </c>
      <c r="E284" s="45">
        <v>1579828</v>
      </c>
      <c r="F284" s="45" t="s">
        <v>49</v>
      </c>
      <c r="G284" s="46">
        <v>20010067</v>
      </c>
      <c r="H284" s="45" t="s">
        <v>154</v>
      </c>
      <c r="I284" s="46">
        <v>1</v>
      </c>
      <c r="J284" s="47">
        <v>5.5</v>
      </c>
      <c r="K284" s="47">
        <v>5.5</v>
      </c>
    </row>
    <row r="285" spans="4:11">
      <c r="D285" s="44">
        <v>46077</v>
      </c>
      <c r="E285" s="45">
        <v>1579828</v>
      </c>
      <c r="F285" s="45" t="s">
        <v>49</v>
      </c>
      <c r="G285" s="46">
        <v>20010576</v>
      </c>
      <c r="H285" s="45" t="s">
        <v>143</v>
      </c>
      <c r="I285" s="46">
        <v>1</v>
      </c>
      <c r="J285" s="47">
        <v>11</v>
      </c>
      <c r="K285" s="47">
        <v>11</v>
      </c>
    </row>
    <row r="286" spans="4:11">
      <c r="D286" s="44">
        <v>46077</v>
      </c>
      <c r="E286" s="45">
        <v>1579828</v>
      </c>
      <c r="F286" s="45" t="s">
        <v>49</v>
      </c>
      <c r="G286" s="46">
        <v>20010273</v>
      </c>
      <c r="H286" s="45" t="s">
        <v>129</v>
      </c>
      <c r="I286" s="46">
        <v>4</v>
      </c>
      <c r="J286" s="47">
        <v>5.5</v>
      </c>
      <c r="K286" s="47">
        <v>22</v>
      </c>
    </row>
    <row r="287" spans="4:11">
      <c r="D287" s="44">
        <v>46077</v>
      </c>
      <c r="E287" s="45">
        <v>1579828</v>
      </c>
      <c r="F287" s="45" t="s">
        <v>49</v>
      </c>
      <c r="G287" s="46">
        <v>20010756</v>
      </c>
      <c r="H287" s="45" t="s">
        <v>176</v>
      </c>
      <c r="I287" s="46">
        <v>1</v>
      </c>
      <c r="J287" s="47">
        <v>27.5</v>
      </c>
      <c r="K287" s="47">
        <v>27.5</v>
      </c>
    </row>
    <row r="288" spans="4:11">
      <c r="D288" s="44">
        <v>46077</v>
      </c>
      <c r="E288" s="45">
        <v>1579828</v>
      </c>
      <c r="F288" s="45" t="s">
        <v>49</v>
      </c>
      <c r="G288" s="46">
        <v>20402906</v>
      </c>
      <c r="H288" s="45" t="s">
        <v>165</v>
      </c>
      <c r="I288" s="46">
        <v>1</v>
      </c>
      <c r="J288" s="47">
        <v>5.5</v>
      </c>
      <c r="K288" s="47">
        <v>5.5</v>
      </c>
    </row>
    <row r="289" spans="4:11">
      <c r="D289" s="44">
        <v>46077</v>
      </c>
      <c r="E289" s="45">
        <v>1579828</v>
      </c>
      <c r="F289" s="45" t="s">
        <v>49</v>
      </c>
      <c r="G289" s="46">
        <v>20403089</v>
      </c>
      <c r="H289" s="45" t="s">
        <v>145</v>
      </c>
      <c r="I289" s="46">
        <v>1</v>
      </c>
      <c r="J289" s="47">
        <v>5.5</v>
      </c>
      <c r="K289" s="47">
        <v>5.5</v>
      </c>
    </row>
    <row r="290" spans="4:11">
      <c r="D290" s="44">
        <v>46077</v>
      </c>
      <c r="E290" s="45">
        <v>1579828</v>
      </c>
      <c r="F290" s="45" t="s">
        <v>49</v>
      </c>
      <c r="G290" s="46">
        <v>20403093</v>
      </c>
      <c r="H290" s="45" t="s">
        <v>131</v>
      </c>
      <c r="I290" s="46">
        <v>1</v>
      </c>
      <c r="J290" s="47">
        <v>5.5</v>
      </c>
      <c r="K290" s="47">
        <v>5.5</v>
      </c>
    </row>
    <row r="291" spans="4:11">
      <c r="D291" s="44">
        <v>46077</v>
      </c>
      <c r="E291" s="45">
        <v>1579828</v>
      </c>
      <c r="F291" s="45" t="s">
        <v>49</v>
      </c>
      <c r="G291" s="46">
        <v>20383819</v>
      </c>
      <c r="H291" s="45" t="s">
        <v>157</v>
      </c>
      <c r="I291" s="46">
        <v>1</v>
      </c>
      <c r="J291" s="47">
        <v>5.5</v>
      </c>
      <c r="K291" s="47">
        <v>5.5</v>
      </c>
    </row>
    <row r="292" spans="4:11">
      <c r="D292" s="44">
        <v>46077</v>
      </c>
      <c r="E292" s="45">
        <v>1579828</v>
      </c>
      <c r="F292" s="45" t="s">
        <v>49</v>
      </c>
      <c r="G292" s="46">
        <v>20325059</v>
      </c>
      <c r="H292" s="45" t="s">
        <v>147</v>
      </c>
      <c r="I292" s="46">
        <v>1</v>
      </c>
      <c r="J292" s="47">
        <v>5.5</v>
      </c>
      <c r="K292" s="47">
        <v>5.5</v>
      </c>
    </row>
    <row r="293" spans="4:11">
      <c r="D293" s="44">
        <v>46077</v>
      </c>
      <c r="E293" s="45">
        <v>1579828</v>
      </c>
      <c r="F293" s="45" t="s">
        <v>49</v>
      </c>
      <c r="G293" s="46">
        <v>20336407</v>
      </c>
      <c r="H293" s="45" t="s">
        <v>158</v>
      </c>
      <c r="I293" s="46">
        <v>1</v>
      </c>
      <c r="J293" s="47">
        <v>5.5</v>
      </c>
      <c r="K293" s="47">
        <v>5.5</v>
      </c>
    </row>
    <row r="294" spans="4:11">
      <c r="D294" s="44">
        <v>46077</v>
      </c>
      <c r="E294" s="45">
        <v>1579828</v>
      </c>
      <c r="F294" s="45" t="s">
        <v>49</v>
      </c>
      <c r="G294" s="46">
        <v>20010059</v>
      </c>
      <c r="H294" s="45" t="s">
        <v>159</v>
      </c>
      <c r="I294" s="46">
        <v>1</v>
      </c>
      <c r="J294" s="47">
        <v>5.5</v>
      </c>
      <c r="K294" s="47">
        <v>5.5</v>
      </c>
    </row>
    <row r="295" spans="4:11">
      <c r="D295" s="44">
        <v>46077</v>
      </c>
      <c r="E295" s="45">
        <v>1579828</v>
      </c>
      <c r="F295" s="45" t="s">
        <v>49</v>
      </c>
      <c r="G295" s="46">
        <v>20010534</v>
      </c>
      <c r="H295" s="45" t="s">
        <v>133</v>
      </c>
      <c r="I295" s="46">
        <v>1</v>
      </c>
      <c r="J295" s="47">
        <v>5.5</v>
      </c>
      <c r="K295" s="47">
        <v>5.5</v>
      </c>
    </row>
    <row r="296" spans="4:11">
      <c r="D296" s="44">
        <v>46078</v>
      </c>
      <c r="E296" s="45">
        <v>1580120</v>
      </c>
      <c r="F296" s="45" t="s">
        <v>49</v>
      </c>
      <c r="G296" s="46">
        <v>20403242</v>
      </c>
      <c r="H296" s="45" t="s">
        <v>124</v>
      </c>
      <c r="I296" s="46">
        <v>1</v>
      </c>
      <c r="J296" s="47">
        <v>5.5</v>
      </c>
      <c r="K296" s="47">
        <v>5.5</v>
      </c>
    </row>
    <row r="297" spans="4:11">
      <c r="D297" s="44">
        <v>46078</v>
      </c>
      <c r="E297" s="45">
        <v>1580120</v>
      </c>
      <c r="F297" s="45" t="s">
        <v>49</v>
      </c>
      <c r="G297" s="46">
        <v>20010825</v>
      </c>
      <c r="H297" s="45" t="s">
        <v>134</v>
      </c>
      <c r="I297" s="46">
        <v>2</v>
      </c>
      <c r="J297" s="47">
        <v>5.5</v>
      </c>
      <c r="K297" s="47">
        <v>11</v>
      </c>
    </row>
    <row r="298" spans="4:11">
      <c r="D298" s="44">
        <v>46078</v>
      </c>
      <c r="E298" s="45">
        <v>1580120</v>
      </c>
      <c r="F298" s="45" t="s">
        <v>49</v>
      </c>
      <c r="G298" s="46">
        <v>20315617</v>
      </c>
      <c r="H298" s="45" t="s">
        <v>148</v>
      </c>
      <c r="I298" s="46">
        <v>1</v>
      </c>
      <c r="J298" s="47">
        <v>8</v>
      </c>
      <c r="K298" s="47">
        <v>8</v>
      </c>
    </row>
    <row r="299" spans="4:11">
      <c r="D299" s="44">
        <v>46078</v>
      </c>
      <c r="E299" s="45">
        <v>1580120</v>
      </c>
      <c r="F299" s="45" t="s">
        <v>49</v>
      </c>
      <c r="G299" s="46">
        <v>20322737</v>
      </c>
      <c r="H299" s="45" t="s">
        <v>167</v>
      </c>
      <c r="I299" s="46">
        <v>1</v>
      </c>
      <c r="J299" s="47">
        <v>5.5</v>
      </c>
      <c r="K299" s="47">
        <v>5.5</v>
      </c>
    </row>
    <row r="300" spans="4:11">
      <c r="D300" s="44">
        <v>46078</v>
      </c>
      <c r="E300" s="45">
        <v>1580120</v>
      </c>
      <c r="F300" s="45" t="s">
        <v>49</v>
      </c>
      <c r="G300" s="46">
        <v>20009971</v>
      </c>
      <c r="H300" s="45" t="s">
        <v>136</v>
      </c>
      <c r="I300" s="46">
        <v>2</v>
      </c>
      <c r="J300" s="47">
        <v>5.5</v>
      </c>
      <c r="K300" s="47">
        <v>11</v>
      </c>
    </row>
    <row r="301" spans="4:11">
      <c r="D301" s="44">
        <v>46078</v>
      </c>
      <c r="E301" s="45">
        <v>1580120</v>
      </c>
      <c r="F301" s="45" t="s">
        <v>49</v>
      </c>
      <c r="G301" s="46">
        <v>20010272</v>
      </c>
      <c r="H301" s="45" t="s">
        <v>125</v>
      </c>
      <c r="I301" s="46">
        <v>2</v>
      </c>
      <c r="J301" s="47">
        <v>5.5</v>
      </c>
      <c r="K301" s="47">
        <v>11</v>
      </c>
    </row>
    <row r="302" spans="4:11">
      <c r="D302" s="44">
        <v>46078</v>
      </c>
      <c r="E302" s="45">
        <v>1580120</v>
      </c>
      <c r="F302" s="45" t="s">
        <v>49</v>
      </c>
      <c r="G302" s="46">
        <v>20013598</v>
      </c>
      <c r="H302" s="45" t="s">
        <v>126</v>
      </c>
      <c r="I302" s="46">
        <v>3</v>
      </c>
      <c r="J302" s="47">
        <v>27.5</v>
      </c>
      <c r="K302" s="47">
        <v>82.5</v>
      </c>
    </row>
    <row r="303" spans="4:11">
      <c r="D303" s="44">
        <v>46078</v>
      </c>
      <c r="E303" s="45">
        <v>1580120</v>
      </c>
      <c r="F303" s="45" t="s">
        <v>49</v>
      </c>
      <c r="G303" s="46">
        <v>20010076</v>
      </c>
      <c r="H303" s="45" t="s">
        <v>138</v>
      </c>
      <c r="I303" s="46">
        <v>1</v>
      </c>
      <c r="J303" s="47">
        <v>5.5</v>
      </c>
      <c r="K303" s="47">
        <v>5.5</v>
      </c>
    </row>
    <row r="304" spans="4:11">
      <c r="D304" s="44">
        <v>46078</v>
      </c>
      <c r="E304" s="45">
        <v>1580120</v>
      </c>
      <c r="F304" s="45" t="s">
        <v>49</v>
      </c>
      <c r="G304" s="46">
        <v>20010053</v>
      </c>
      <c r="H304" s="45" t="s">
        <v>150</v>
      </c>
      <c r="I304" s="46">
        <v>1</v>
      </c>
      <c r="J304" s="47">
        <v>5.5</v>
      </c>
      <c r="K304" s="47">
        <v>5.5</v>
      </c>
    </row>
    <row r="305" spans="4:11">
      <c r="D305" s="44">
        <v>46078</v>
      </c>
      <c r="E305" s="45">
        <v>1580120</v>
      </c>
      <c r="F305" s="45" t="s">
        <v>49</v>
      </c>
      <c r="G305" s="46">
        <v>20010070</v>
      </c>
      <c r="H305" s="45" t="s">
        <v>151</v>
      </c>
      <c r="I305" s="46">
        <v>1</v>
      </c>
      <c r="J305" s="47">
        <v>5.5</v>
      </c>
      <c r="K305" s="47">
        <v>5.5</v>
      </c>
    </row>
    <row r="306" spans="4:11">
      <c r="D306" s="44">
        <v>46078</v>
      </c>
      <c r="E306" s="45">
        <v>1580120</v>
      </c>
      <c r="F306" s="45" t="s">
        <v>49</v>
      </c>
      <c r="G306" s="46">
        <v>20010064</v>
      </c>
      <c r="H306" s="45" t="s">
        <v>164</v>
      </c>
      <c r="I306" s="46">
        <v>1</v>
      </c>
      <c r="J306" s="47">
        <v>5.5</v>
      </c>
      <c r="K306" s="47">
        <v>5.5</v>
      </c>
    </row>
    <row r="307" spans="4:11">
      <c r="D307" s="44">
        <v>46078</v>
      </c>
      <c r="E307" s="45">
        <v>1580120</v>
      </c>
      <c r="F307" s="45" t="s">
        <v>49</v>
      </c>
      <c r="G307" s="46">
        <v>20010071</v>
      </c>
      <c r="H307" s="45" t="s">
        <v>152</v>
      </c>
      <c r="I307" s="46">
        <v>1</v>
      </c>
      <c r="J307" s="47">
        <v>5.5</v>
      </c>
      <c r="K307" s="47">
        <v>5.5</v>
      </c>
    </row>
    <row r="308" spans="4:11">
      <c r="D308" s="44">
        <v>46078</v>
      </c>
      <c r="E308" s="45">
        <v>1580120</v>
      </c>
      <c r="F308" s="45" t="s">
        <v>49</v>
      </c>
      <c r="G308" s="46">
        <v>20010056</v>
      </c>
      <c r="H308" s="45" t="s">
        <v>140</v>
      </c>
      <c r="I308" s="46">
        <v>1</v>
      </c>
      <c r="J308" s="47">
        <v>5.5</v>
      </c>
      <c r="K308" s="47">
        <v>5.5</v>
      </c>
    </row>
    <row r="309" spans="4:11">
      <c r="D309" s="44">
        <v>46078</v>
      </c>
      <c r="E309" s="45">
        <v>1580120</v>
      </c>
      <c r="F309" s="45" t="s">
        <v>49</v>
      </c>
      <c r="G309" s="46">
        <v>20010055</v>
      </c>
      <c r="H309" s="45" t="s">
        <v>161</v>
      </c>
      <c r="I309" s="46">
        <v>1</v>
      </c>
      <c r="J309" s="47">
        <v>5.5</v>
      </c>
      <c r="K309" s="47">
        <v>5.5</v>
      </c>
    </row>
    <row r="310" spans="4:11">
      <c r="D310" s="44">
        <v>46078</v>
      </c>
      <c r="E310" s="45">
        <v>1580120</v>
      </c>
      <c r="F310" s="45" t="s">
        <v>49</v>
      </c>
      <c r="G310" s="46">
        <v>20010069</v>
      </c>
      <c r="H310" s="45" t="s">
        <v>142</v>
      </c>
      <c r="I310" s="46">
        <v>1</v>
      </c>
      <c r="J310" s="47">
        <v>5.5</v>
      </c>
      <c r="K310" s="47">
        <v>5.5</v>
      </c>
    </row>
    <row r="311" spans="4:11">
      <c r="D311" s="44">
        <v>46078</v>
      </c>
      <c r="E311" s="45">
        <v>1580120</v>
      </c>
      <c r="F311" s="45" t="s">
        <v>49</v>
      </c>
      <c r="G311" s="46">
        <v>20010576</v>
      </c>
      <c r="H311" s="45" t="s">
        <v>143</v>
      </c>
      <c r="I311" s="46">
        <v>2</v>
      </c>
      <c r="J311" s="47">
        <v>11</v>
      </c>
      <c r="K311" s="47">
        <v>22</v>
      </c>
    </row>
    <row r="312" spans="4:11">
      <c r="D312" s="44">
        <v>46078</v>
      </c>
      <c r="E312" s="45">
        <v>1580120</v>
      </c>
      <c r="F312" s="45" t="s">
        <v>49</v>
      </c>
      <c r="G312" s="46">
        <v>20010273</v>
      </c>
      <c r="H312" s="45" t="s">
        <v>129</v>
      </c>
      <c r="I312" s="46">
        <v>5</v>
      </c>
      <c r="J312" s="47">
        <v>5.5</v>
      </c>
      <c r="K312" s="47">
        <v>27.5</v>
      </c>
    </row>
    <row r="313" spans="4:11">
      <c r="D313" s="44">
        <v>46078</v>
      </c>
      <c r="E313" s="45">
        <v>1580120</v>
      </c>
      <c r="F313" s="45" t="s">
        <v>49</v>
      </c>
      <c r="G313" s="46">
        <v>20010756</v>
      </c>
      <c r="H313" s="45" t="s">
        <v>176</v>
      </c>
      <c r="I313" s="46">
        <v>1</v>
      </c>
      <c r="J313" s="47">
        <v>27.5</v>
      </c>
      <c r="K313" s="47">
        <v>27.5</v>
      </c>
    </row>
    <row r="314" spans="4:11">
      <c r="D314" s="44">
        <v>46078</v>
      </c>
      <c r="E314" s="45">
        <v>1580120</v>
      </c>
      <c r="F314" s="45" t="s">
        <v>49</v>
      </c>
      <c r="G314" s="46">
        <v>20402907</v>
      </c>
      <c r="H314" s="45" t="s">
        <v>130</v>
      </c>
      <c r="I314" s="46">
        <v>1</v>
      </c>
      <c r="J314" s="47">
        <v>5.5</v>
      </c>
      <c r="K314" s="47">
        <v>5.5</v>
      </c>
    </row>
    <row r="315" spans="4:11">
      <c r="D315" s="44">
        <v>46078</v>
      </c>
      <c r="E315" s="45">
        <v>1580120</v>
      </c>
      <c r="F315" s="45" t="s">
        <v>49</v>
      </c>
      <c r="G315" s="46">
        <v>20403091</v>
      </c>
      <c r="H315" s="45" t="s">
        <v>144</v>
      </c>
      <c r="I315" s="46">
        <v>1</v>
      </c>
      <c r="J315" s="47">
        <v>5.5</v>
      </c>
      <c r="K315" s="47">
        <v>5.5</v>
      </c>
    </row>
    <row r="316" spans="4:11">
      <c r="D316" s="44">
        <v>46078</v>
      </c>
      <c r="E316" s="45">
        <v>1580120</v>
      </c>
      <c r="F316" s="45" t="s">
        <v>49</v>
      </c>
      <c r="G316" s="46">
        <v>20403089</v>
      </c>
      <c r="H316" s="45" t="s">
        <v>145</v>
      </c>
      <c r="I316" s="46">
        <v>1</v>
      </c>
      <c r="J316" s="47">
        <v>5.5</v>
      </c>
      <c r="K316" s="47">
        <v>5.5</v>
      </c>
    </row>
    <row r="317" spans="4:11">
      <c r="D317" s="44">
        <v>46078</v>
      </c>
      <c r="E317" s="45">
        <v>1580120</v>
      </c>
      <c r="F317" s="45" t="s">
        <v>49</v>
      </c>
      <c r="G317" s="46">
        <v>20403090</v>
      </c>
      <c r="H317" s="45" t="s">
        <v>146</v>
      </c>
      <c r="I317" s="46">
        <v>1</v>
      </c>
      <c r="J317" s="47">
        <v>5.5</v>
      </c>
      <c r="K317" s="47">
        <v>5.5</v>
      </c>
    </row>
    <row r="318" spans="4:11">
      <c r="D318" s="44">
        <v>46078</v>
      </c>
      <c r="E318" s="45">
        <v>1580120</v>
      </c>
      <c r="F318" s="45" t="s">
        <v>49</v>
      </c>
      <c r="G318" s="46">
        <v>20010015</v>
      </c>
      <c r="H318" s="45" t="s">
        <v>177</v>
      </c>
      <c r="I318" s="46">
        <v>1</v>
      </c>
      <c r="J318" s="47">
        <v>5.5</v>
      </c>
      <c r="K318" s="47">
        <v>5.5</v>
      </c>
    </row>
    <row r="319" spans="4:11">
      <c r="D319" s="44">
        <v>46078</v>
      </c>
      <c r="E319" s="45">
        <v>1580120</v>
      </c>
      <c r="F319" s="45" t="s">
        <v>49</v>
      </c>
      <c r="G319" s="46">
        <v>20336407</v>
      </c>
      <c r="H319" s="45" t="s">
        <v>158</v>
      </c>
      <c r="I319" s="46">
        <v>1</v>
      </c>
      <c r="J319" s="47">
        <v>5.5</v>
      </c>
      <c r="K319" s="47">
        <v>5.5</v>
      </c>
    </row>
    <row r="320" spans="4:11">
      <c r="D320" s="44">
        <v>46078</v>
      </c>
      <c r="E320" s="45">
        <v>1580120</v>
      </c>
      <c r="F320" s="45" t="s">
        <v>49</v>
      </c>
      <c r="G320" s="46">
        <v>20010059</v>
      </c>
      <c r="H320" s="45" t="s">
        <v>159</v>
      </c>
      <c r="I320" s="46">
        <v>1</v>
      </c>
      <c r="J320" s="47">
        <v>5.5</v>
      </c>
      <c r="K320" s="47">
        <v>5.5</v>
      </c>
    </row>
    <row r="321" spans="4:11">
      <c r="D321" s="44">
        <v>46080</v>
      </c>
      <c r="E321" s="45">
        <v>1580547</v>
      </c>
      <c r="F321" s="45" t="s">
        <v>49</v>
      </c>
      <c r="G321" s="46">
        <v>20010825</v>
      </c>
      <c r="H321" s="45" t="s">
        <v>134</v>
      </c>
      <c r="I321" s="46">
        <v>1</v>
      </c>
      <c r="J321" s="47">
        <v>5.5</v>
      </c>
      <c r="K321" s="47">
        <v>5.5</v>
      </c>
    </row>
    <row r="322" spans="4:11">
      <c r="D322" s="44">
        <v>46080</v>
      </c>
      <c r="E322" s="45">
        <v>1580547</v>
      </c>
      <c r="F322" s="45" t="s">
        <v>49</v>
      </c>
      <c r="G322" s="46">
        <v>20009971</v>
      </c>
      <c r="H322" s="45" t="s">
        <v>136</v>
      </c>
      <c r="I322" s="46">
        <v>1</v>
      </c>
      <c r="J322" s="47">
        <v>5.5</v>
      </c>
      <c r="K322" s="47">
        <v>5.5</v>
      </c>
    </row>
    <row r="323" spans="4:11">
      <c r="D323" s="44">
        <v>46080</v>
      </c>
      <c r="E323" s="45">
        <v>1580547</v>
      </c>
      <c r="F323" s="45" t="s">
        <v>49</v>
      </c>
      <c r="G323" s="46">
        <v>20010272</v>
      </c>
      <c r="H323" s="45" t="s">
        <v>125</v>
      </c>
      <c r="I323" s="46">
        <v>3</v>
      </c>
      <c r="J323" s="47">
        <v>5.5</v>
      </c>
      <c r="K323" s="47">
        <v>16.5</v>
      </c>
    </row>
    <row r="324" spans="4:11">
      <c r="D324" s="44">
        <v>46080</v>
      </c>
      <c r="E324" s="45">
        <v>1580547</v>
      </c>
      <c r="F324" s="45" t="s">
        <v>49</v>
      </c>
      <c r="G324" s="46">
        <v>20318308</v>
      </c>
      <c r="H324" s="45" t="s">
        <v>137</v>
      </c>
      <c r="I324" s="46">
        <v>1</v>
      </c>
      <c r="J324" s="47">
        <v>8</v>
      </c>
      <c r="K324" s="47">
        <v>8</v>
      </c>
    </row>
    <row r="325" spans="4:11">
      <c r="D325" s="44">
        <v>46080</v>
      </c>
      <c r="E325" s="45">
        <v>1580547</v>
      </c>
      <c r="F325" s="45" t="s">
        <v>49</v>
      </c>
      <c r="G325" s="46">
        <v>20010074</v>
      </c>
      <c r="H325" s="45" t="s">
        <v>127</v>
      </c>
      <c r="I325" s="46">
        <v>1</v>
      </c>
      <c r="J325" s="47">
        <v>5.5</v>
      </c>
      <c r="K325" s="47">
        <v>5.5</v>
      </c>
    </row>
    <row r="326" spans="4:11">
      <c r="D326" s="44">
        <v>46080</v>
      </c>
      <c r="E326" s="45">
        <v>1580547</v>
      </c>
      <c r="F326" s="45" t="s">
        <v>49</v>
      </c>
      <c r="G326" s="46">
        <v>20010053</v>
      </c>
      <c r="H326" s="45" t="s">
        <v>150</v>
      </c>
      <c r="I326" s="46">
        <v>1</v>
      </c>
      <c r="J326" s="47">
        <v>5.5</v>
      </c>
      <c r="K326" s="47">
        <v>5.5</v>
      </c>
    </row>
    <row r="327" spans="4:11">
      <c r="D327" s="44">
        <v>46080</v>
      </c>
      <c r="E327" s="45">
        <v>1580547</v>
      </c>
      <c r="F327" s="45" t="s">
        <v>49</v>
      </c>
      <c r="G327" s="46">
        <v>20010054</v>
      </c>
      <c r="H327" s="45" t="s">
        <v>163</v>
      </c>
      <c r="I327" s="46">
        <v>1</v>
      </c>
      <c r="J327" s="47">
        <v>5.5</v>
      </c>
      <c r="K327" s="47">
        <v>5.5</v>
      </c>
    </row>
    <row r="328" spans="4:11">
      <c r="D328" s="44">
        <v>46080</v>
      </c>
      <c r="E328" s="45">
        <v>1580547</v>
      </c>
      <c r="F328" s="45" t="s">
        <v>49</v>
      </c>
      <c r="G328" s="46">
        <v>20010080</v>
      </c>
      <c r="H328" s="45" t="s">
        <v>128</v>
      </c>
      <c r="I328" s="46">
        <v>1</v>
      </c>
      <c r="J328" s="47">
        <v>5.5</v>
      </c>
      <c r="K328" s="47">
        <v>5.5</v>
      </c>
    </row>
    <row r="329" spans="4:11">
      <c r="D329" s="44">
        <v>46080</v>
      </c>
      <c r="E329" s="45">
        <v>1580547</v>
      </c>
      <c r="F329" s="45" t="s">
        <v>49</v>
      </c>
      <c r="G329" s="46">
        <v>20010078</v>
      </c>
      <c r="H329" s="45" t="s">
        <v>141</v>
      </c>
      <c r="I329" s="46">
        <v>1</v>
      </c>
      <c r="J329" s="47">
        <v>5.5</v>
      </c>
      <c r="K329" s="47">
        <v>5.5</v>
      </c>
    </row>
    <row r="330" spans="4:11">
      <c r="D330" s="44">
        <v>46080</v>
      </c>
      <c r="E330" s="45">
        <v>1580547</v>
      </c>
      <c r="F330" s="45" t="s">
        <v>49</v>
      </c>
      <c r="G330" s="46">
        <v>20010263</v>
      </c>
      <c r="H330" s="45" t="s">
        <v>155</v>
      </c>
      <c r="I330" s="46">
        <v>1</v>
      </c>
      <c r="J330" s="47">
        <v>5.5</v>
      </c>
      <c r="K330" s="47">
        <v>5.5</v>
      </c>
    </row>
    <row r="331" spans="4:11">
      <c r="D331" s="44">
        <v>46080</v>
      </c>
      <c r="E331" s="45">
        <v>1580547</v>
      </c>
      <c r="F331" s="45" t="s">
        <v>49</v>
      </c>
      <c r="G331" s="46">
        <v>20010576</v>
      </c>
      <c r="H331" s="45" t="s">
        <v>143</v>
      </c>
      <c r="I331" s="46">
        <v>1</v>
      </c>
      <c r="J331" s="47">
        <v>11</v>
      </c>
      <c r="K331" s="47">
        <v>11</v>
      </c>
    </row>
    <row r="332" spans="4:11">
      <c r="D332" s="44">
        <v>46080</v>
      </c>
      <c r="E332" s="45">
        <v>1580547</v>
      </c>
      <c r="F332" s="45" t="s">
        <v>49</v>
      </c>
      <c r="G332" s="46">
        <v>20010273</v>
      </c>
      <c r="H332" s="45" t="s">
        <v>129</v>
      </c>
      <c r="I332" s="46">
        <v>3</v>
      </c>
      <c r="J332" s="47">
        <v>5.5</v>
      </c>
      <c r="K332" s="47">
        <v>16.5</v>
      </c>
    </row>
    <row r="333" spans="4:11">
      <c r="D333" s="44">
        <v>46080</v>
      </c>
      <c r="E333" s="45">
        <v>1580547</v>
      </c>
      <c r="F333" s="45" t="s">
        <v>49</v>
      </c>
      <c r="G333" s="46">
        <v>20402906</v>
      </c>
      <c r="H333" s="45" t="s">
        <v>165</v>
      </c>
      <c r="I333" s="46">
        <v>1</v>
      </c>
      <c r="J333" s="47">
        <v>5.5</v>
      </c>
      <c r="K333" s="47">
        <v>5.5</v>
      </c>
    </row>
    <row r="334" spans="4:11">
      <c r="D334" s="44">
        <v>46080</v>
      </c>
      <c r="E334" s="45">
        <v>1580547</v>
      </c>
      <c r="F334" s="45" t="s">
        <v>49</v>
      </c>
      <c r="G334" s="46">
        <v>20402907</v>
      </c>
      <c r="H334" s="45" t="s">
        <v>130</v>
      </c>
      <c r="I334" s="46">
        <v>1</v>
      </c>
      <c r="J334" s="47">
        <v>5.5</v>
      </c>
      <c r="K334" s="47">
        <v>5.5</v>
      </c>
    </row>
    <row r="335" spans="4:11">
      <c r="D335" s="44">
        <v>46080</v>
      </c>
      <c r="E335" s="45">
        <v>1580547</v>
      </c>
      <c r="F335" s="45" t="s">
        <v>49</v>
      </c>
      <c r="G335" s="46">
        <v>20403091</v>
      </c>
      <c r="H335" s="45" t="s">
        <v>144</v>
      </c>
      <c r="I335" s="46">
        <v>1</v>
      </c>
      <c r="J335" s="47">
        <v>5.5</v>
      </c>
      <c r="K335" s="47">
        <v>5.5</v>
      </c>
    </row>
    <row r="336" spans="4:11">
      <c r="D336" s="44">
        <v>46080</v>
      </c>
      <c r="E336" s="45">
        <v>1580547</v>
      </c>
      <c r="F336" s="45" t="s">
        <v>49</v>
      </c>
      <c r="G336" s="46">
        <v>20403093</v>
      </c>
      <c r="H336" s="45" t="s">
        <v>131</v>
      </c>
      <c r="I336" s="46">
        <v>1</v>
      </c>
      <c r="J336" s="47">
        <v>5.5</v>
      </c>
      <c r="K336" s="47">
        <v>5.5</v>
      </c>
    </row>
    <row r="337" spans="4:11">
      <c r="D337" s="44">
        <v>46080</v>
      </c>
      <c r="E337" s="45">
        <v>1580547</v>
      </c>
      <c r="F337" s="45" t="s">
        <v>49</v>
      </c>
      <c r="G337" s="46">
        <v>20314731</v>
      </c>
      <c r="H337" s="45" t="s">
        <v>132</v>
      </c>
      <c r="I337" s="46">
        <v>1</v>
      </c>
      <c r="J337" s="47">
        <v>5.5</v>
      </c>
      <c r="K337" s="47">
        <v>5.5</v>
      </c>
    </row>
    <row r="338" spans="4:11">
      <c r="D338" s="44">
        <v>46080</v>
      </c>
      <c r="E338" s="45">
        <v>1580547</v>
      </c>
      <c r="F338" s="45" t="s">
        <v>49</v>
      </c>
      <c r="G338" s="46">
        <v>20383819</v>
      </c>
      <c r="H338" s="45" t="s">
        <v>157</v>
      </c>
      <c r="I338" s="46">
        <v>1</v>
      </c>
      <c r="J338" s="47">
        <v>5.5</v>
      </c>
      <c r="K338" s="47">
        <v>5.5</v>
      </c>
    </row>
    <row r="339" spans="4:11">
      <c r="D339" s="44">
        <v>46080</v>
      </c>
      <c r="E339" s="45">
        <v>1580547</v>
      </c>
      <c r="F339" s="45" t="s">
        <v>49</v>
      </c>
      <c r="G339" s="46">
        <v>20325059</v>
      </c>
      <c r="H339" s="45" t="s">
        <v>147</v>
      </c>
      <c r="I339" s="46">
        <v>1</v>
      </c>
      <c r="J339" s="47">
        <v>5.5</v>
      </c>
      <c r="K339" s="47">
        <v>5.5</v>
      </c>
    </row>
    <row r="340" spans="4:11">
      <c r="D340" s="44">
        <v>46080</v>
      </c>
      <c r="E340" s="45">
        <v>1580547</v>
      </c>
      <c r="F340" s="45" t="s">
        <v>49</v>
      </c>
      <c r="G340" s="46">
        <v>20010859</v>
      </c>
      <c r="H340" s="45" t="s">
        <v>168</v>
      </c>
      <c r="I340" s="46">
        <v>1</v>
      </c>
      <c r="J340" s="47">
        <v>5.5</v>
      </c>
      <c r="K340" s="47">
        <v>5.5</v>
      </c>
    </row>
    <row r="341" spans="4:11">
      <c r="D341" s="44">
        <v>46080</v>
      </c>
      <c r="E341" s="45">
        <v>1580852</v>
      </c>
      <c r="F341" s="45" t="s">
        <v>49</v>
      </c>
      <c r="G341" s="46">
        <v>20010825</v>
      </c>
      <c r="H341" s="45" t="s">
        <v>134</v>
      </c>
      <c r="I341" s="46">
        <v>1</v>
      </c>
      <c r="J341" s="47">
        <v>5.5</v>
      </c>
      <c r="K341" s="47">
        <v>5.5</v>
      </c>
    </row>
    <row r="342" spans="4:11">
      <c r="D342" s="44">
        <v>46080</v>
      </c>
      <c r="E342" s="45">
        <v>1580852</v>
      </c>
      <c r="F342" s="45" t="s">
        <v>49</v>
      </c>
      <c r="G342" s="46">
        <v>20315617</v>
      </c>
      <c r="H342" s="45" t="s">
        <v>148</v>
      </c>
      <c r="I342" s="46">
        <v>1</v>
      </c>
      <c r="J342" s="47">
        <v>8</v>
      </c>
      <c r="K342" s="47">
        <v>8</v>
      </c>
    </row>
    <row r="343" spans="4:11">
      <c r="D343" s="44">
        <v>46080</v>
      </c>
      <c r="E343" s="45">
        <v>1580852</v>
      </c>
      <c r="F343" s="45" t="s">
        <v>49</v>
      </c>
      <c r="G343" s="46">
        <v>20367836</v>
      </c>
      <c r="H343" s="45" t="s">
        <v>172</v>
      </c>
      <c r="I343" s="46">
        <v>1</v>
      </c>
      <c r="J343" s="47">
        <v>5.5</v>
      </c>
      <c r="K343" s="47">
        <v>5.5</v>
      </c>
    </row>
    <row r="344" spans="4:11">
      <c r="D344" s="44">
        <v>46080</v>
      </c>
      <c r="E344" s="45">
        <v>1580852</v>
      </c>
      <c r="F344" s="45" t="s">
        <v>49</v>
      </c>
      <c r="G344" s="46">
        <v>20009971</v>
      </c>
      <c r="H344" s="45" t="s">
        <v>136</v>
      </c>
      <c r="I344" s="46">
        <v>3</v>
      </c>
      <c r="J344" s="47">
        <v>5.5</v>
      </c>
      <c r="K344" s="47">
        <v>16.5</v>
      </c>
    </row>
    <row r="345" spans="4:11">
      <c r="D345" s="44">
        <v>46080</v>
      </c>
      <c r="E345" s="45">
        <v>1580852</v>
      </c>
      <c r="F345" s="45" t="s">
        <v>49</v>
      </c>
      <c r="G345" s="46">
        <v>20010272</v>
      </c>
      <c r="H345" s="45" t="s">
        <v>125</v>
      </c>
      <c r="I345" s="46">
        <v>2</v>
      </c>
      <c r="J345" s="47">
        <v>5.5</v>
      </c>
      <c r="K345" s="47">
        <v>11</v>
      </c>
    </row>
    <row r="346" spans="4:11">
      <c r="D346" s="44">
        <v>46080</v>
      </c>
      <c r="E346" s="45">
        <v>1580852</v>
      </c>
      <c r="F346" s="45" t="s">
        <v>49</v>
      </c>
      <c r="G346" s="46">
        <v>20013598</v>
      </c>
      <c r="H346" s="45" t="s">
        <v>126</v>
      </c>
      <c r="I346" s="46">
        <v>2</v>
      </c>
      <c r="J346" s="47">
        <v>27.5</v>
      </c>
      <c r="K346" s="47">
        <v>55</v>
      </c>
    </row>
    <row r="347" spans="4:11">
      <c r="D347" s="44">
        <v>46080</v>
      </c>
      <c r="E347" s="45">
        <v>1580852</v>
      </c>
      <c r="F347" s="45" t="s">
        <v>49</v>
      </c>
      <c r="G347" s="46">
        <v>20010072</v>
      </c>
      <c r="H347" s="45" t="s">
        <v>139</v>
      </c>
      <c r="I347" s="46">
        <v>1</v>
      </c>
      <c r="J347" s="47">
        <v>5.5</v>
      </c>
      <c r="K347" s="47">
        <v>5.5</v>
      </c>
    </row>
    <row r="348" spans="4:11">
      <c r="D348" s="44">
        <v>46080</v>
      </c>
      <c r="E348" s="45">
        <v>1580852</v>
      </c>
      <c r="F348" s="45" t="s">
        <v>49</v>
      </c>
      <c r="G348" s="46">
        <v>20010055</v>
      </c>
      <c r="H348" s="45" t="s">
        <v>161</v>
      </c>
      <c r="I348" s="46">
        <v>1</v>
      </c>
      <c r="J348" s="47">
        <v>5.5</v>
      </c>
      <c r="K348" s="47">
        <v>5.5</v>
      </c>
    </row>
    <row r="349" spans="4:11">
      <c r="D349" s="44">
        <v>46080</v>
      </c>
      <c r="E349" s="45">
        <v>1580852</v>
      </c>
      <c r="F349" s="45" t="s">
        <v>49</v>
      </c>
      <c r="G349" s="46">
        <v>20010066</v>
      </c>
      <c r="H349" s="45" t="s">
        <v>153</v>
      </c>
      <c r="I349" s="46">
        <v>1</v>
      </c>
      <c r="J349" s="47">
        <v>5.5</v>
      </c>
      <c r="K349" s="47">
        <v>5.5</v>
      </c>
    </row>
    <row r="350" spans="4:11">
      <c r="D350" s="44">
        <v>46080</v>
      </c>
      <c r="E350" s="45">
        <v>1580852</v>
      </c>
      <c r="F350" s="45" t="s">
        <v>49</v>
      </c>
      <c r="G350" s="46">
        <v>20010576</v>
      </c>
      <c r="H350" s="45" t="s">
        <v>143</v>
      </c>
      <c r="I350" s="46">
        <v>3</v>
      </c>
      <c r="J350" s="47">
        <v>11</v>
      </c>
      <c r="K350" s="47">
        <v>33</v>
      </c>
    </row>
    <row r="351" spans="4:11">
      <c r="D351" s="44">
        <v>46080</v>
      </c>
      <c r="E351" s="45">
        <v>1580852</v>
      </c>
      <c r="F351" s="45" t="s">
        <v>49</v>
      </c>
      <c r="G351" s="46">
        <v>20010273</v>
      </c>
      <c r="H351" s="45" t="s">
        <v>129</v>
      </c>
      <c r="I351" s="46">
        <v>3</v>
      </c>
      <c r="J351" s="47">
        <v>5.5</v>
      </c>
      <c r="K351" s="47">
        <v>16.5</v>
      </c>
    </row>
    <row r="352" spans="4:11">
      <c r="D352" s="44">
        <v>46080</v>
      </c>
      <c r="E352" s="45">
        <v>1580852</v>
      </c>
      <c r="F352" s="45" t="s">
        <v>49</v>
      </c>
      <c r="G352" s="46">
        <v>20010756</v>
      </c>
      <c r="H352" s="45" t="s">
        <v>176</v>
      </c>
      <c r="I352" s="46">
        <v>1</v>
      </c>
      <c r="J352" s="47">
        <v>27.5</v>
      </c>
      <c r="K352" s="47">
        <v>27.5</v>
      </c>
    </row>
    <row r="353" spans="4:11">
      <c r="D353" s="44">
        <v>46080</v>
      </c>
      <c r="E353" s="45">
        <v>1580852</v>
      </c>
      <c r="F353" s="45" t="s">
        <v>49</v>
      </c>
      <c r="G353" s="46">
        <v>20402906</v>
      </c>
      <c r="H353" s="45" t="s">
        <v>165</v>
      </c>
      <c r="I353" s="46">
        <v>1</v>
      </c>
      <c r="J353" s="47">
        <v>5.5</v>
      </c>
      <c r="K353" s="47">
        <v>5.5</v>
      </c>
    </row>
    <row r="354" spans="4:11">
      <c r="D354" s="44">
        <v>46080</v>
      </c>
      <c r="E354" s="45">
        <v>1580852</v>
      </c>
      <c r="F354" s="45" t="s">
        <v>49</v>
      </c>
      <c r="G354" s="46">
        <v>20403091</v>
      </c>
      <c r="H354" s="45" t="s">
        <v>144</v>
      </c>
      <c r="I354" s="46">
        <v>1</v>
      </c>
      <c r="J354" s="47">
        <v>5.5</v>
      </c>
      <c r="K354" s="47">
        <v>5.5</v>
      </c>
    </row>
    <row r="355" spans="4:11">
      <c r="D355" s="44">
        <v>46080</v>
      </c>
      <c r="E355" s="45">
        <v>1580852</v>
      </c>
      <c r="F355" s="45" t="s">
        <v>49</v>
      </c>
      <c r="G355" s="46">
        <v>20403089</v>
      </c>
      <c r="H355" s="45" t="s">
        <v>145</v>
      </c>
      <c r="I355" s="46">
        <v>1</v>
      </c>
      <c r="J355" s="47">
        <v>5.5</v>
      </c>
      <c r="K355" s="47">
        <v>5.5</v>
      </c>
    </row>
    <row r="356" spans="4:11">
      <c r="D356" s="44">
        <v>46080</v>
      </c>
      <c r="E356" s="45">
        <v>1580852</v>
      </c>
      <c r="F356" s="45" t="s">
        <v>49</v>
      </c>
      <c r="G356" s="46">
        <v>20403090</v>
      </c>
      <c r="H356" s="45" t="s">
        <v>146</v>
      </c>
      <c r="I356" s="46">
        <v>1</v>
      </c>
      <c r="J356" s="47">
        <v>5.5</v>
      </c>
      <c r="K356" s="47">
        <v>5.5</v>
      </c>
    </row>
    <row r="357" spans="4:11">
      <c r="D357" s="44">
        <v>46080</v>
      </c>
      <c r="E357" s="45">
        <v>1580852</v>
      </c>
      <c r="F357" s="45" t="s">
        <v>49</v>
      </c>
      <c r="G357" s="46">
        <v>20336407</v>
      </c>
      <c r="H357" s="45" t="s">
        <v>158</v>
      </c>
      <c r="I357" s="46">
        <v>1</v>
      </c>
      <c r="J357" s="47">
        <v>5.5</v>
      </c>
      <c r="K357" s="47">
        <v>5.5</v>
      </c>
    </row>
    <row r="358" spans="4:11">
      <c r="D358" s="44">
        <v>46081</v>
      </c>
      <c r="E358" s="45">
        <v>1581163</v>
      </c>
      <c r="F358" s="45" t="s">
        <v>49</v>
      </c>
      <c r="G358" s="46">
        <v>20403242</v>
      </c>
      <c r="H358" s="45" t="s">
        <v>124</v>
      </c>
      <c r="I358" s="46">
        <v>1</v>
      </c>
      <c r="J358" s="47">
        <v>5.5</v>
      </c>
      <c r="K358" s="47">
        <v>5.5</v>
      </c>
    </row>
    <row r="359" spans="4:11">
      <c r="D359" s="44">
        <v>46081</v>
      </c>
      <c r="E359" s="45">
        <v>1581163</v>
      </c>
      <c r="F359" s="45" t="s">
        <v>49</v>
      </c>
      <c r="G359" s="46">
        <v>20010272</v>
      </c>
      <c r="H359" s="45" t="s">
        <v>125</v>
      </c>
      <c r="I359" s="46">
        <v>2</v>
      </c>
      <c r="J359" s="47">
        <v>5.5</v>
      </c>
      <c r="K359" s="47">
        <v>11</v>
      </c>
    </row>
    <row r="360" spans="4:11">
      <c r="D360" s="44">
        <v>46081</v>
      </c>
      <c r="E360" s="45">
        <v>1581163</v>
      </c>
      <c r="F360" s="45" t="s">
        <v>49</v>
      </c>
      <c r="G360" s="46">
        <v>20010070</v>
      </c>
      <c r="H360" s="45" t="s">
        <v>151</v>
      </c>
      <c r="I360" s="46">
        <v>1</v>
      </c>
      <c r="J360" s="47">
        <v>5.5</v>
      </c>
      <c r="K360" s="47">
        <v>5.5</v>
      </c>
    </row>
    <row r="361" spans="4:11">
      <c r="D361" s="44">
        <v>46081</v>
      </c>
      <c r="E361" s="45">
        <v>1581163</v>
      </c>
      <c r="F361" s="45" t="s">
        <v>49</v>
      </c>
      <c r="G361" s="46">
        <v>20010054</v>
      </c>
      <c r="H361" s="45" t="s">
        <v>163</v>
      </c>
      <c r="I361" s="46">
        <v>1</v>
      </c>
      <c r="J361" s="47">
        <v>5.5</v>
      </c>
      <c r="K361" s="47">
        <v>5.5</v>
      </c>
    </row>
    <row r="362" spans="4:11">
      <c r="D362" s="44">
        <v>46081</v>
      </c>
      <c r="E362" s="45">
        <v>1581163</v>
      </c>
      <c r="F362" s="45" t="s">
        <v>49</v>
      </c>
      <c r="G362" s="46">
        <v>20010069</v>
      </c>
      <c r="H362" s="45" t="s">
        <v>142</v>
      </c>
      <c r="I362" s="46">
        <v>1</v>
      </c>
      <c r="J362" s="47">
        <v>5.5</v>
      </c>
      <c r="K362" s="47">
        <v>5.5</v>
      </c>
    </row>
    <row r="363" spans="4:11">
      <c r="D363" s="44">
        <v>46081</v>
      </c>
      <c r="E363" s="45">
        <v>1581163</v>
      </c>
      <c r="F363" s="45" t="s">
        <v>49</v>
      </c>
      <c r="G363" s="46">
        <v>20010067</v>
      </c>
      <c r="H363" s="45" t="s">
        <v>154</v>
      </c>
      <c r="I363" s="46">
        <v>1</v>
      </c>
      <c r="J363" s="47">
        <v>5.5</v>
      </c>
      <c r="K363" s="47">
        <v>5.5</v>
      </c>
    </row>
    <row r="364" spans="4:11">
      <c r="D364" s="44">
        <v>46081</v>
      </c>
      <c r="E364" s="45">
        <v>1581163</v>
      </c>
      <c r="F364" s="45" t="s">
        <v>49</v>
      </c>
      <c r="G364" s="46">
        <v>20010273</v>
      </c>
      <c r="H364" s="45" t="s">
        <v>129</v>
      </c>
      <c r="I364" s="46">
        <v>2</v>
      </c>
      <c r="J364" s="47">
        <v>5.5</v>
      </c>
      <c r="K364" s="47">
        <v>11</v>
      </c>
    </row>
    <row r="365" spans="4:11">
      <c r="D365" s="44">
        <v>46081</v>
      </c>
      <c r="E365" s="45">
        <v>1581163</v>
      </c>
      <c r="F365" s="45" t="s">
        <v>49</v>
      </c>
      <c r="G365" s="46">
        <v>20403093</v>
      </c>
      <c r="H365" s="45" t="s">
        <v>131</v>
      </c>
      <c r="I365" s="46">
        <v>1</v>
      </c>
      <c r="J365" s="47">
        <v>5.5</v>
      </c>
      <c r="K365" s="47">
        <v>5.5</v>
      </c>
    </row>
    <row r="366" spans="4:11">
      <c r="D366" s="44">
        <v>46081</v>
      </c>
      <c r="E366" s="45">
        <v>1581163</v>
      </c>
      <c r="F366" s="45" t="s">
        <v>49</v>
      </c>
      <c r="G366" s="46">
        <v>20383819</v>
      </c>
      <c r="H366" s="45" t="s">
        <v>157</v>
      </c>
      <c r="I366" s="46">
        <v>1</v>
      </c>
      <c r="J366" s="47">
        <v>5.5</v>
      </c>
      <c r="K366" s="47">
        <v>5.5</v>
      </c>
    </row>
    <row r="367" spans="4:11">
      <c r="D367" s="44">
        <v>46081</v>
      </c>
      <c r="E367" s="45">
        <v>1581163</v>
      </c>
      <c r="F367" s="45" t="s">
        <v>49</v>
      </c>
      <c r="G367" s="46">
        <v>20010534</v>
      </c>
      <c r="H367" s="45" t="s">
        <v>133</v>
      </c>
      <c r="I367" s="46">
        <v>1</v>
      </c>
      <c r="J367" s="47">
        <v>5.5</v>
      </c>
      <c r="K367" s="47">
        <v>5.5</v>
      </c>
    </row>
  </sheetData>
  <autoFilter xmlns:etc="http://www.wps.cn/officeDocument/2017/etCustomData" ref="A7:K367" etc:filterBottomFollowUsedRange="0">
    <extLst/>
  </autoFilter>
  <mergeCells count="5">
    <mergeCell ref="D8:H8"/>
    <mergeCell ref="C7:C367"/>
    <mergeCell ref="B4:H5"/>
    <mergeCell ref="A7:B36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12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146</v>
      </c>
      <c r="J8" s="43"/>
      <c r="K8" s="43">
        <v>1379</v>
      </c>
    </row>
    <row r="9" spans="1:11">
      <c r="D9" s="44">
        <v>46054</v>
      </c>
      <c r="E9" s="45">
        <v>1575344</v>
      </c>
      <c r="F9" s="45" t="s">
        <v>71</v>
      </c>
      <c r="G9" s="46">
        <v>20009997</v>
      </c>
      <c r="H9" s="45" t="s">
        <v>178</v>
      </c>
      <c r="I9" s="46">
        <v>4</v>
      </c>
      <c r="J9" s="47">
        <v>16</v>
      </c>
      <c r="K9" s="47">
        <v>64</v>
      </c>
    </row>
    <row r="10" spans="1:11">
      <c r="D10" s="44">
        <v>46054</v>
      </c>
      <c r="E10" s="45">
        <v>1575344</v>
      </c>
      <c r="F10" s="45" t="s">
        <v>49</v>
      </c>
      <c r="G10" s="46">
        <v>20010206</v>
      </c>
      <c r="H10" s="45" t="s">
        <v>179</v>
      </c>
      <c r="I10" s="46">
        <v>3</v>
      </c>
      <c r="J10" s="47">
        <v>8</v>
      </c>
      <c r="K10" s="47">
        <v>24</v>
      </c>
    </row>
    <row r="11" spans="1:11">
      <c r="D11" s="44">
        <v>46054</v>
      </c>
      <c r="E11" s="45">
        <v>1575344</v>
      </c>
      <c r="F11" s="45" t="s">
        <v>49</v>
      </c>
      <c r="G11" s="46">
        <v>20009962</v>
      </c>
      <c r="H11" s="45" t="s">
        <v>180</v>
      </c>
      <c r="I11" s="46">
        <v>2</v>
      </c>
      <c r="J11" s="47">
        <v>8</v>
      </c>
      <c r="K11" s="47">
        <v>16</v>
      </c>
    </row>
    <row r="12" spans="1:11">
      <c r="D12" s="44">
        <v>46054</v>
      </c>
      <c r="E12" s="45">
        <v>1575359</v>
      </c>
      <c r="F12" s="45" t="s">
        <v>71</v>
      </c>
      <c r="G12" s="46">
        <v>20009997</v>
      </c>
      <c r="H12" s="45" t="s">
        <v>178</v>
      </c>
      <c r="I12" s="46">
        <v>2</v>
      </c>
      <c r="J12" s="47">
        <v>16</v>
      </c>
      <c r="K12" s="47">
        <v>32</v>
      </c>
    </row>
    <row r="13" spans="1:11">
      <c r="D13" s="44">
        <v>46056</v>
      </c>
      <c r="E13" s="45">
        <v>1575649</v>
      </c>
      <c r="F13" s="45" t="s">
        <v>49</v>
      </c>
      <c r="G13" s="46">
        <v>20010206</v>
      </c>
      <c r="H13" s="45" t="s">
        <v>179</v>
      </c>
      <c r="I13" s="46">
        <v>5</v>
      </c>
      <c r="J13" s="47">
        <v>8</v>
      </c>
      <c r="K13" s="47">
        <v>40</v>
      </c>
    </row>
    <row r="14" spans="1:11">
      <c r="D14" s="44">
        <v>46056</v>
      </c>
      <c r="E14" s="45">
        <v>1575649</v>
      </c>
      <c r="F14" s="45" t="s">
        <v>49</v>
      </c>
      <c r="G14" s="46">
        <v>20009962</v>
      </c>
      <c r="H14" s="45" t="s">
        <v>180</v>
      </c>
      <c r="I14" s="46">
        <v>7</v>
      </c>
      <c r="J14" s="47">
        <v>8</v>
      </c>
      <c r="K14" s="47">
        <v>56</v>
      </c>
    </row>
    <row r="15" spans="1:11">
      <c r="D15" s="44">
        <v>46056</v>
      </c>
      <c r="E15" s="45">
        <v>1575649</v>
      </c>
      <c r="F15" s="45" t="s">
        <v>49</v>
      </c>
      <c r="G15" s="46">
        <v>20327881</v>
      </c>
      <c r="H15" s="45" t="s">
        <v>181</v>
      </c>
      <c r="I15" s="46">
        <v>1</v>
      </c>
      <c r="J15" s="47">
        <v>5.5</v>
      </c>
      <c r="K15" s="47">
        <v>5.5</v>
      </c>
    </row>
    <row r="16" spans="1:11">
      <c r="D16" s="44">
        <v>46056</v>
      </c>
      <c r="E16" s="45">
        <v>1575649</v>
      </c>
      <c r="F16" s="45" t="s">
        <v>49</v>
      </c>
      <c r="G16" s="46">
        <v>20316142</v>
      </c>
      <c r="H16" s="45" t="s">
        <v>182</v>
      </c>
      <c r="I16" s="46">
        <v>1</v>
      </c>
      <c r="J16" s="47">
        <v>8</v>
      </c>
      <c r="K16" s="47">
        <v>8</v>
      </c>
    </row>
    <row r="17" spans="4:11">
      <c r="D17" s="44">
        <v>46056</v>
      </c>
      <c r="E17" s="45">
        <v>1575649</v>
      </c>
      <c r="F17" s="45" t="s">
        <v>49</v>
      </c>
      <c r="G17" s="46">
        <v>20009976</v>
      </c>
      <c r="H17" s="45" t="s">
        <v>183</v>
      </c>
      <c r="I17" s="46">
        <v>1</v>
      </c>
      <c r="J17" s="47">
        <v>8</v>
      </c>
      <c r="K17" s="47">
        <v>8</v>
      </c>
    </row>
    <row r="18" spans="4:11">
      <c r="D18" s="44">
        <v>46056</v>
      </c>
      <c r="E18" s="45">
        <v>1576001</v>
      </c>
      <c r="F18" s="45" t="s">
        <v>49</v>
      </c>
      <c r="G18" s="46">
        <v>20010206</v>
      </c>
      <c r="H18" s="45" t="s">
        <v>179</v>
      </c>
      <c r="I18" s="46">
        <v>1</v>
      </c>
      <c r="J18" s="47">
        <v>8</v>
      </c>
      <c r="K18" s="47">
        <v>8</v>
      </c>
    </row>
    <row r="19" spans="4:11">
      <c r="D19" s="44">
        <v>46056</v>
      </c>
      <c r="E19" s="45">
        <v>1576001</v>
      </c>
      <c r="F19" s="45" t="s">
        <v>49</v>
      </c>
      <c r="G19" s="46">
        <v>20316142</v>
      </c>
      <c r="H19" s="45" t="s">
        <v>182</v>
      </c>
      <c r="I19" s="46">
        <v>1</v>
      </c>
      <c r="J19" s="47">
        <v>8</v>
      </c>
      <c r="K19" s="47">
        <v>8</v>
      </c>
    </row>
    <row r="20" spans="4:11">
      <c r="D20" s="44">
        <v>46057</v>
      </c>
      <c r="E20" s="45">
        <v>1576260</v>
      </c>
      <c r="F20" s="45" t="s">
        <v>59</v>
      </c>
      <c r="G20" s="46">
        <v>20406575</v>
      </c>
      <c r="H20" s="45" t="s">
        <v>184</v>
      </c>
      <c r="I20" s="46">
        <v>2</v>
      </c>
      <c r="J20" s="47">
        <v>4</v>
      </c>
      <c r="K20" s="47">
        <v>8</v>
      </c>
    </row>
    <row r="21" spans="4:11">
      <c r="D21" s="44">
        <v>46057</v>
      </c>
      <c r="E21" s="45">
        <v>1576324</v>
      </c>
      <c r="F21" s="45" t="s">
        <v>49</v>
      </c>
      <c r="G21" s="46">
        <v>20010206</v>
      </c>
      <c r="H21" s="45" t="s">
        <v>179</v>
      </c>
      <c r="I21" s="46">
        <v>4</v>
      </c>
      <c r="J21" s="47">
        <v>8</v>
      </c>
      <c r="K21" s="47">
        <v>32</v>
      </c>
    </row>
    <row r="22" spans="4:11">
      <c r="D22" s="44">
        <v>46057</v>
      </c>
      <c r="E22" s="45">
        <v>1576324</v>
      </c>
      <c r="F22" s="45" t="s">
        <v>49</v>
      </c>
      <c r="G22" s="46">
        <v>20009962</v>
      </c>
      <c r="H22" s="45" t="s">
        <v>180</v>
      </c>
      <c r="I22" s="46">
        <v>1</v>
      </c>
      <c r="J22" s="47">
        <v>8</v>
      </c>
      <c r="K22" s="47">
        <v>8</v>
      </c>
    </row>
    <row r="23" spans="4:11">
      <c r="D23" s="44">
        <v>46058</v>
      </c>
      <c r="E23" s="45">
        <v>1576679</v>
      </c>
      <c r="F23" s="45" t="s">
        <v>49</v>
      </c>
      <c r="G23" s="46">
        <v>20010206</v>
      </c>
      <c r="H23" s="45" t="s">
        <v>179</v>
      </c>
      <c r="I23" s="46">
        <v>1</v>
      </c>
      <c r="J23" s="47">
        <v>8</v>
      </c>
      <c r="K23" s="47">
        <v>8</v>
      </c>
    </row>
    <row r="24" spans="4:11">
      <c r="D24" s="44">
        <v>46061</v>
      </c>
      <c r="E24" s="45">
        <v>1577193</v>
      </c>
      <c r="F24" s="45" t="s">
        <v>71</v>
      </c>
      <c r="G24" s="46">
        <v>20009997</v>
      </c>
      <c r="H24" s="45" t="s">
        <v>178</v>
      </c>
      <c r="I24" s="46">
        <v>6</v>
      </c>
      <c r="J24" s="47">
        <v>16</v>
      </c>
      <c r="K24" s="47">
        <v>96</v>
      </c>
    </row>
    <row r="25" spans="4:11">
      <c r="D25" s="44">
        <v>46061</v>
      </c>
      <c r="E25" s="45">
        <v>1577193</v>
      </c>
      <c r="F25" s="45" t="s">
        <v>49</v>
      </c>
      <c r="G25" s="46">
        <v>20010206</v>
      </c>
      <c r="H25" s="45" t="s">
        <v>179</v>
      </c>
      <c r="I25" s="46">
        <v>2</v>
      </c>
      <c r="J25" s="47">
        <v>8</v>
      </c>
      <c r="K25" s="47">
        <v>16</v>
      </c>
    </row>
    <row r="26" spans="4:11">
      <c r="D26" s="44">
        <v>46061</v>
      </c>
      <c r="E26" s="45">
        <v>1577193</v>
      </c>
      <c r="F26" s="45" t="s">
        <v>49</v>
      </c>
      <c r="G26" s="46">
        <v>20009962</v>
      </c>
      <c r="H26" s="45" t="s">
        <v>180</v>
      </c>
      <c r="I26" s="46">
        <v>1</v>
      </c>
      <c r="J26" s="47">
        <v>8</v>
      </c>
      <c r="K26" s="47">
        <v>8</v>
      </c>
    </row>
    <row r="27" spans="4:11">
      <c r="D27" s="44">
        <v>46062</v>
      </c>
      <c r="E27" s="45">
        <v>1577514</v>
      </c>
      <c r="F27" s="45" t="s">
        <v>49</v>
      </c>
      <c r="G27" s="46">
        <v>20010206</v>
      </c>
      <c r="H27" s="45" t="s">
        <v>179</v>
      </c>
      <c r="I27" s="46">
        <v>5</v>
      </c>
      <c r="J27" s="47">
        <v>8</v>
      </c>
      <c r="K27" s="47">
        <v>40</v>
      </c>
    </row>
    <row r="28" spans="4:11">
      <c r="D28" s="44">
        <v>46062</v>
      </c>
      <c r="E28" s="45">
        <v>1577514</v>
      </c>
      <c r="F28" s="45" t="s">
        <v>49</v>
      </c>
      <c r="G28" s="46">
        <v>20009962</v>
      </c>
      <c r="H28" s="45" t="s">
        <v>180</v>
      </c>
      <c r="I28" s="46">
        <v>2</v>
      </c>
      <c r="J28" s="47">
        <v>8</v>
      </c>
      <c r="K28" s="47">
        <v>16</v>
      </c>
    </row>
    <row r="29" spans="4:11">
      <c r="D29" s="44">
        <v>46062</v>
      </c>
      <c r="E29" s="45">
        <v>1577514</v>
      </c>
      <c r="F29" s="45" t="s">
        <v>49</v>
      </c>
      <c r="G29" s="46">
        <v>20009961</v>
      </c>
      <c r="H29" s="45" t="s">
        <v>68</v>
      </c>
      <c r="I29" s="46">
        <v>1</v>
      </c>
      <c r="J29" s="47">
        <v>8</v>
      </c>
      <c r="K29" s="47">
        <v>8</v>
      </c>
    </row>
    <row r="30" spans="4:11">
      <c r="D30" s="44">
        <v>46063</v>
      </c>
      <c r="E30" s="45">
        <v>1577808</v>
      </c>
      <c r="F30" s="45" t="s">
        <v>49</v>
      </c>
      <c r="G30" s="46">
        <v>20010206</v>
      </c>
      <c r="H30" s="45" t="s">
        <v>179</v>
      </c>
      <c r="I30" s="46">
        <v>2</v>
      </c>
      <c r="J30" s="47">
        <v>8</v>
      </c>
      <c r="K30" s="47">
        <v>16</v>
      </c>
    </row>
    <row r="31" spans="4:11">
      <c r="D31" s="44">
        <v>46063</v>
      </c>
      <c r="E31" s="45">
        <v>1577808</v>
      </c>
      <c r="F31" s="45" t="s">
        <v>49</v>
      </c>
      <c r="G31" s="46">
        <v>20009962</v>
      </c>
      <c r="H31" s="45" t="s">
        <v>180</v>
      </c>
      <c r="I31" s="46">
        <v>1</v>
      </c>
      <c r="J31" s="47">
        <v>8</v>
      </c>
      <c r="K31" s="47">
        <v>8</v>
      </c>
    </row>
    <row r="32" spans="4:11">
      <c r="D32" s="44">
        <v>46064</v>
      </c>
      <c r="E32" s="45">
        <v>1578141</v>
      </c>
      <c r="F32" s="45" t="s">
        <v>59</v>
      </c>
      <c r="G32" s="46">
        <v>20406575</v>
      </c>
      <c r="H32" s="45" t="s">
        <v>184</v>
      </c>
      <c r="I32" s="46">
        <v>2</v>
      </c>
      <c r="J32" s="47">
        <v>4</v>
      </c>
      <c r="K32" s="47">
        <v>8</v>
      </c>
    </row>
    <row r="33" spans="4:11">
      <c r="D33" s="44">
        <v>46066</v>
      </c>
      <c r="E33" s="45">
        <v>1578767</v>
      </c>
      <c r="F33" s="45" t="s">
        <v>49</v>
      </c>
      <c r="G33" s="46">
        <v>20010206</v>
      </c>
      <c r="H33" s="45" t="s">
        <v>179</v>
      </c>
      <c r="I33" s="46">
        <v>4</v>
      </c>
      <c r="J33" s="47">
        <v>8</v>
      </c>
      <c r="K33" s="47">
        <v>32</v>
      </c>
    </row>
    <row r="34" spans="4:11">
      <c r="D34" s="44">
        <v>46066</v>
      </c>
      <c r="E34" s="45">
        <v>1578767</v>
      </c>
      <c r="F34" s="45" t="s">
        <v>49</v>
      </c>
      <c r="G34" s="46">
        <v>20009962</v>
      </c>
      <c r="H34" s="45" t="s">
        <v>180</v>
      </c>
      <c r="I34" s="46">
        <v>4</v>
      </c>
      <c r="J34" s="47">
        <v>8</v>
      </c>
      <c r="K34" s="47">
        <v>32</v>
      </c>
    </row>
    <row r="35" spans="4:11">
      <c r="D35" s="44">
        <v>46066</v>
      </c>
      <c r="E35" s="45">
        <v>1578767</v>
      </c>
      <c r="F35" s="45" t="s">
        <v>49</v>
      </c>
      <c r="G35" s="46">
        <v>20316142</v>
      </c>
      <c r="H35" s="45" t="s">
        <v>182</v>
      </c>
      <c r="I35" s="46">
        <v>1</v>
      </c>
      <c r="J35" s="47">
        <v>8</v>
      </c>
      <c r="K35" s="47">
        <v>8</v>
      </c>
    </row>
    <row r="36" spans="4:11">
      <c r="D36" s="44">
        <v>46067</v>
      </c>
      <c r="E36" s="45">
        <v>1578991</v>
      </c>
      <c r="F36" s="45" t="s">
        <v>71</v>
      </c>
      <c r="G36" s="46">
        <v>20009997</v>
      </c>
      <c r="H36" s="45" t="s">
        <v>178</v>
      </c>
      <c r="I36" s="46">
        <v>6</v>
      </c>
      <c r="J36" s="47">
        <v>16</v>
      </c>
      <c r="K36" s="47">
        <v>96</v>
      </c>
    </row>
    <row r="37" spans="4:11">
      <c r="D37" s="44">
        <v>46074</v>
      </c>
      <c r="E37" s="45">
        <v>1579397</v>
      </c>
      <c r="F37" s="45" t="s">
        <v>49</v>
      </c>
      <c r="G37" s="46">
        <v>20010206</v>
      </c>
      <c r="H37" s="45" t="s">
        <v>179</v>
      </c>
      <c r="I37" s="46">
        <v>3</v>
      </c>
      <c r="J37" s="47">
        <v>8</v>
      </c>
      <c r="K37" s="47">
        <v>24</v>
      </c>
    </row>
    <row r="38" spans="4:11">
      <c r="D38" s="44">
        <v>46074</v>
      </c>
      <c r="E38" s="45">
        <v>1579397</v>
      </c>
      <c r="F38" s="45" t="s">
        <v>49</v>
      </c>
      <c r="G38" s="46">
        <v>20009962</v>
      </c>
      <c r="H38" s="45" t="s">
        <v>180</v>
      </c>
      <c r="I38" s="46">
        <v>1</v>
      </c>
      <c r="J38" s="47">
        <v>8</v>
      </c>
      <c r="K38" s="47">
        <v>8</v>
      </c>
    </row>
    <row r="39" spans="4:11">
      <c r="D39" s="44">
        <v>46076</v>
      </c>
      <c r="E39" s="45">
        <v>1579539</v>
      </c>
      <c r="F39" s="45" t="s">
        <v>49</v>
      </c>
      <c r="G39" s="46">
        <v>20015226</v>
      </c>
      <c r="H39" s="45" t="s">
        <v>98</v>
      </c>
      <c r="I39" s="46">
        <v>1</v>
      </c>
      <c r="J39" s="47">
        <v>8</v>
      </c>
      <c r="K39" s="47">
        <v>8</v>
      </c>
    </row>
    <row r="40" spans="4:11">
      <c r="D40" s="44">
        <v>46076</v>
      </c>
      <c r="E40" s="45">
        <v>1579539</v>
      </c>
      <c r="F40" s="45" t="s">
        <v>49</v>
      </c>
      <c r="G40" s="46">
        <v>20009961</v>
      </c>
      <c r="H40" s="45" t="s">
        <v>68</v>
      </c>
      <c r="I40" s="46">
        <v>1</v>
      </c>
      <c r="J40" s="47">
        <v>8</v>
      </c>
      <c r="K40" s="47">
        <v>8</v>
      </c>
    </row>
    <row r="41" spans="4:11">
      <c r="D41" s="44">
        <v>46076</v>
      </c>
      <c r="E41" s="45">
        <v>1579539</v>
      </c>
      <c r="F41" s="45" t="s">
        <v>49</v>
      </c>
      <c r="G41" s="46">
        <v>20009932</v>
      </c>
      <c r="H41" s="45" t="s">
        <v>185</v>
      </c>
      <c r="I41" s="46">
        <v>1</v>
      </c>
      <c r="J41" s="47">
        <v>5.5</v>
      </c>
      <c r="K41" s="47">
        <v>5.5</v>
      </c>
    </row>
    <row r="42" spans="4:11">
      <c r="D42" s="44">
        <v>46076</v>
      </c>
      <c r="E42" s="45">
        <v>1579539</v>
      </c>
      <c r="F42" s="45" t="s">
        <v>47</v>
      </c>
      <c r="G42" s="46">
        <v>20010242</v>
      </c>
      <c r="H42" s="45" t="s">
        <v>186</v>
      </c>
      <c r="I42" s="46">
        <v>1</v>
      </c>
      <c r="J42" s="47">
        <v>33</v>
      </c>
      <c r="K42" s="47">
        <v>33</v>
      </c>
    </row>
    <row r="43" spans="4:11">
      <c r="D43" s="44">
        <v>46077</v>
      </c>
      <c r="E43" s="45">
        <v>1579829</v>
      </c>
      <c r="F43" s="45" t="s">
        <v>49</v>
      </c>
      <c r="G43" s="46">
        <v>20010206</v>
      </c>
      <c r="H43" s="45" t="s">
        <v>179</v>
      </c>
      <c r="I43" s="46">
        <v>5</v>
      </c>
      <c r="J43" s="47">
        <v>8</v>
      </c>
      <c r="K43" s="47">
        <v>40</v>
      </c>
    </row>
    <row r="44" spans="4:11">
      <c r="D44" s="44">
        <v>46077</v>
      </c>
      <c r="E44" s="45">
        <v>1579829</v>
      </c>
      <c r="F44" s="45" t="s">
        <v>49</v>
      </c>
      <c r="G44" s="46">
        <v>20009962</v>
      </c>
      <c r="H44" s="45" t="s">
        <v>180</v>
      </c>
      <c r="I44" s="46">
        <v>4</v>
      </c>
      <c r="J44" s="47">
        <v>8</v>
      </c>
      <c r="K44" s="47">
        <v>32</v>
      </c>
    </row>
    <row r="45" spans="4:11">
      <c r="D45" s="44">
        <v>46077</v>
      </c>
      <c r="E45" s="45">
        <v>1579829</v>
      </c>
      <c r="F45" s="45" t="s">
        <v>49</v>
      </c>
      <c r="G45" s="46">
        <v>20010851</v>
      </c>
      <c r="H45" s="45" t="s">
        <v>187</v>
      </c>
      <c r="I45" s="46">
        <v>1</v>
      </c>
      <c r="J45" s="47">
        <v>5.5</v>
      </c>
      <c r="K45" s="47">
        <v>5.5</v>
      </c>
    </row>
    <row r="46" spans="4:11">
      <c r="D46" s="44">
        <v>46077</v>
      </c>
      <c r="E46" s="45">
        <v>1579829</v>
      </c>
      <c r="F46" s="45" t="s">
        <v>49</v>
      </c>
      <c r="G46" s="46">
        <v>20011411</v>
      </c>
      <c r="H46" s="45" t="s">
        <v>188</v>
      </c>
      <c r="I46" s="46">
        <v>1</v>
      </c>
      <c r="J46" s="47">
        <v>5.5</v>
      </c>
      <c r="K46" s="47">
        <v>5.5</v>
      </c>
    </row>
    <row r="47" spans="4:11">
      <c r="D47" s="44">
        <v>46077</v>
      </c>
      <c r="E47" s="45">
        <v>1579829</v>
      </c>
      <c r="F47" s="45" t="s">
        <v>49</v>
      </c>
      <c r="G47" s="46">
        <v>20009976</v>
      </c>
      <c r="H47" s="45" t="s">
        <v>183</v>
      </c>
      <c r="I47" s="46">
        <v>2</v>
      </c>
      <c r="J47" s="47">
        <v>8</v>
      </c>
      <c r="K47" s="47">
        <v>16</v>
      </c>
    </row>
    <row r="48" spans="4:11">
      <c r="D48" s="44">
        <v>46077</v>
      </c>
      <c r="E48" s="45">
        <v>1579829</v>
      </c>
      <c r="F48" s="45" t="s">
        <v>49</v>
      </c>
      <c r="G48" s="46">
        <v>20010429</v>
      </c>
      <c r="H48" s="45" t="s">
        <v>89</v>
      </c>
      <c r="I48" s="46">
        <v>1</v>
      </c>
      <c r="J48" s="47">
        <v>8</v>
      </c>
      <c r="K48" s="47">
        <v>8</v>
      </c>
    </row>
    <row r="49" spans="4:11">
      <c r="D49" s="44">
        <v>46078</v>
      </c>
      <c r="E49" s="45">
        <v>1580121</v>
      </c>
      <c r="F49" s="45" t="s">
        <v>49</v>
      </c>
      <c r="G49" s="46">
        <v>20010206</v>
      </c>
      <c r="H49" s="45" t="s">
        <v>179</v>
      </c>
      <c r="I49" s="46">
        <v>7</v>
      </c>
      <c r="J49" s="47">
        <v>8</v>
      </c>
      <c r="K49" s="47">
        <v>56</v>
      </c>
    </row>
    <row r="50" spans="4:11">
      <c r="D50" s="44">
        <v>46078</v>
      </c>
      <c r="E50" s="45">
        <v>1580121</v>
      </c>
      <c r="F50" s="45" t="s">
        <v>49</v>
      </c>
      <c r="G50" s="46">
        <v>20009962</v>
      </c>
      <c r="H50" s="45" t="s">
        <v>180</v>
      </c>
      <c r="I50" s="46">
        <v>5</v>
      </c>
      <c r="J50" s="47">
        <v>8</v>
      </c>
      <c r="K50" s="47">
        <v>40</v>
      </c>
    </row>
    <row r="51" spans="4:11">
      <c r="D51" s="44">
        <v>46078</v>
      </c>
      <c r="E51" s="45">
        <v>1580121</v>
      </c>
      <c r="F51" s="45" t="s">
        <v>49</v>
      </c>
      <c r="G51" s="46">
        <v>20015226</v>
      </c>
      <c r="H51" s="45" t="s">
        <v>98</v>
      </c>
      <c r="I51" s="46">
        <v>1</v>
      </c>
      <c r="J51" s="47">
        <v>8</v>
      </c>
      <c r="K51" s="47">
        <v>8</v>
      </c>
    </row>
    <row r="52" spans="4:11">
      <c r="D52" s="44">
        <v>46078</v>
      </c>
      <c r="E52" s="45">
        <v>1580121</v>
      </c>
      <c r="F52" s="45" t="s">
        <v>49</v>
      </c>
      <c r="G52" s="46">
        <v>20316142</v>
      </c>
      <c r="H52" s="45" t="s">
        <v>182</v>
      </c>
      <c r="I52" s="46">
        <v>1</v>
      </c>
      <c r="J52" s="47">
        <v>8</v>
      </c>
      <c r="K52" s="47">
        <v>8</v>
      </c>
    </row>
    <row r="53" spans="4:11">
      <c r="D53" s="44">
        <v>46078</v>
      </c>
      <c r="E53" s="45">
        <v>1580121</v>
      </c>
      <c r="F53" s="45" t="s">
        <v>47</v>
      </c>
      <c r="G53" s="46">
        <v>20010242</v>
      </c>
      <c r="H53" s="45" t="s">
        <v>186</v>
      </c>
      <c r="I53" s="46">
        <v>1</v>
      </c>
      <c r="J53" s="47">
        <v>33</v>
      </c>
      <c r="K53" s="47">
        <v>33</v>
      </c>
    </row>
    <row r="54" spans="4:11">
      <c r="D54" s="44">
        <v>46080</v>
      </c>
      <c r="E54" s="45">
        <v>1580548</v>
      </c>
      <c r="F54" s="45" t="s">
        <v>49</v>
      </c>
      <c r="G54" s="46">
        <v>20010206</v>
      </c>
      <c r="H54" s="45" t="s">
        <v>179</v>
      </c>
      <c r="I54" s="46">
        <v>2</v>
      </c>
      <c r="J54" s="47">
        <v>8</v>
      </c>
      <c r="K54" s="47">
        <v>16</v>
      </c>
    </row>
    <row r="55" spans="4:11">
      <c r="D55" s="44">
        <v>46080</v>
      </c>
      <c r="E55" s="45">
        <v>1580548</v>
      </c>
      <c r="F55" s="45" t="s">
        <v>49</v>
      </c>
      <c r="G55" s="46">
        <v>20009962</v>
      </c>
      <c r="H55" s="45" t="s">
        <v>180</v>
      </c>
      <c r="I55" s="46">
        <v>3</v>
      </c>
      <c r="J55" s="47">
        <v>8</v>
      </c>
      <c r="K55" s="47">
        <v>24</v>
      </c>
    </row>
    <row r="56" spans="4:11">
      <c r="D56" s="44">
        <v>46080</v>
      </c>
      <c r="E56" s="45">
        <v>1580548</v>
      </c>
      <c r="F56" s="45" t="s">
        <v>49</v>
      </c>
      <c r="G56" s="46">
        <v>20009980</v>
      </c>
      <c r="H56" s="45" t="s">
        <v>189</v>
      </c>
      <c r="I56" s="46">
        <v>1</v>
      </c>
      <c r="J56" s="47">
        <v>8</v>
      </c>
      <c r="K56" s="47">
        <v>8</v>
      </c>
    </row>
    <row r="57" spans="4:11">
      <c r="D57" s="44">
        <v>46080</v>
      </c>
      <c r="E57" s="45">
        <v>1580548</v>
      </c>
      <c r="F57" s="45" t="s">
        <v>49</v>
      </c>
      <c r="G57" s="46">
        <v>20015226</v>
      </c>
      <c r="H57" s="45" t="s">
        <v>98</v>
      </c>
      <c r="I57" s="46">
        <v>1</v>
      </c>
      <c r="J57" s="47">
        <v>8</v>
      </c>
      <c r="K57" s="47">
        <v>8</v>
      </c>
    </row>
    <row r="58" spans="4:11">
      <c r="D58" s="44">
        <v>46080</v>
      </c>
      <c r="E58" s="45">
        <v>1580548</v>
      </c>
      <c r="F58" s="45" t="s">
        <v>49</v>
      </c>
      <c r="G58" s="46">
        <v>20011411</v>
      </c>
      <c r="H58" s="45" t="s">
        <v>188</v>
      </c>
      <c r="I58" s="46">
        <v>1</v>
      </c>
      <c r="J58" s="47">
        <v>5.5</v>
      </c>
      <c r="K58" s="47">
        <v>5.5</v>
      </c>
    </row>
    <row r="59" spans="4:11">
      <c r="D59" s="44">
        <v>46080</v>
      </c>
      <c r="E59" s="45">
        <v>1580853</v>
      </c>
      <c r="F59" s="45" t="s">
        <v>49</v>
      </c>
      <c r="G59" s="46">
        <v>20010206</v>
      </c>
      <c r="H59" s="45" t="s">
        <v>179</v>
      </c>
      <c r="I59" s="46">
        <v>4</v>
      </c>
      <c r="J59" s="47">
        <v>8</v>
      </c>
      <c r="K59" s="47">
        <v>32</v>
      </c>
    </row>
    <row r="60" spans="4:11">
      <c r="D60" s="44">
        <v>46080</v>
      </c>
      <c r="E60" s="45">
        <v>1580853</v>
      </c>
      <c r="F60" s="45" t="s">
        <v>49</v>
      </c>
      <c r="G60" s="46">
        <v>20009962</v>
      </c>
      <c r="H60" s="45" t="s">
        <v>180</v>
      </c>
      <c r="I60" s="46">
        <v>1</v>
      </c>
      <c r="J60" s="47">
        <v>8</v>
      </c>
      <c r="K60" s="47">
        <v>8</v>
      </c>
    </row>
    <row r="61" spans="4:11">
      <c r="D61" s="44">
        <v>46080</v>
      </c>
      <c r="E61" s="45">
        <v>1580853</v>
      </c>
      <c r="F61" s="45" t="s">
        <v>49</v>
      </c>
      <c r="G61" s="46">
        <v>20305221</v>
      </c>
      <c r="H61" s="45" t="s">
        <v>190</v>
      </c>
      <c r="I61" s="46">
        <v>1</v>
      </c>
      <c r="J61" s="47">
        <v>5.5</v>
      </c>
      <c r="K61" s="47">
        <v>5.5</v>
      </c>
    </row>
    <row r="62" spans="4:11">
      <c r="D62" s="44">
        <v>46080</v>
      </c>
      <c r="E62" s="45">
        <v>1580853</v>
      </c>
      <c r="F62" s="45" t="s">
        <v>49</v>
      </c>
      <c r="G62" s="46">
        <v>20316142</v>
      </c>
      <c r="H62" s="45" t="s">
        <v>182</v>
      </c>
      <c r="I62" s="46">
        <v>2</v>
      </c>
      <c r="J62" s="47">
        <v>8</v>
      </c>
      <c r="K62" s="47">
        <v>16</v>
      </c>
    </row>
    <row r="63" spans="4:11">
      <c r="D63" s="44">
        <v>46080</v>
      </c>
      <c r="E63" s="45">
        <v>1580853</v>
      </c>
      <c r="F63" s="45" t="s">
        <v>49</v>
      </c>
      <c r="G63" s="46">
        <v>20009976</v>
      </c>
      <c r="H63" s="45" t="s">
        <v>183</v>
      </c>
      <c r="I63" s="46">
        <v>1</v>
      </c>
      <c r="J63" s="47">
        <v>8</v>
      </c>
      <c r="K63" s="47">
        <v>8</v>
      </c>
    </row>
    <row r="64" spans="4:11">
      <c r="D64" s="44">
        <v>46080</v>
      </c>
      <c r="E64" s="45">
        <v>1580853</v>
      </c>
      <c r="F64" s="45" t="s">
        <v>49</v>
      </c>
      <c r="G64" s="46">
        <v>20010429</v>
      </c>
      <c r="H64" s="45" t="s">
        <v>89</v>
      </c>
      <c r="I64" s="46">
        <v>1</v>
      </c>
      <c r="J64" s="47">
        <v>8</v>
      </c>
      <c r="K64" s="47">
        <v>8</v>
      </c>
    </row>
    <row r="65" spans="4:11">
      <c r="D65" s="44">
        <v>46081</v>
      </c>
      <c r="E65" s="45">
        <v>1581164</v>
      </c>
      <c r="F65" s="45" t="s">
        <v>71</v>
      </c>
      <c r="G65" s="46">
        <v>20009997</v>
      </c>
      <c r="H65" s="45" t="s">
        <v>178</v>
      </c>
      <c r="I65" s="46">
        <v>6</v>
      </c>
      <c r="J65" s="47">
        <v>16</v>
      </c>
      <c r="K65" s="47">
        <v>96</v>
      </c>
    </row>
    <row r="66" spans="4:11">
      <c r="D66" s="44">
        <v>46081</v>
      </c>
      <c r="E66" s="45">
        <v>1581164</v>
      </c>
      <c r="F66" s="45" t="s">
        <v>49</v>
      </c>
      <c r="G66" s="46">
        <v>20010206</v>
      </c>
      <c r="H66" s="45" t="s">
        <v>179</v>
      </c>
      <c r="I66" s="46">
        <v>4</v>
      </c>
      <c r="J66" s="47">
        <v>8</v>
      </c>
      <c r="K66" s="47">
        <v>32</v>
      </c>
    </row>
    <row r="67" spans="4:11">
      <c r="D67" s="44">
        <v>46081</v>
      </c>
      <c r="E67" s="45">
        <v>1581164</v>
      </c>
      <c r="F67" s="45" t="s">
        <v>49</v>
      </c>
      <c r="G67" s="46">
        <v>20009962</v>
      </c>
      <c r="H67" s="45" t="s">
        <v>180</v>
      </c>
      <c r="I67" s="46">
        <v>5</v>
      </c>
      <c r="J67" s="47">
        <v>8</v>
      </c>
      <c r="K67" s="47">
        <v>40</v>
      </c>
    </row>
    <row r="68" spans="4:11">
      <c r="D68" s="44">
        <v>46081</v>
      </c>
      <c r="E68" s="45">
        <v>1581164</v>
      </c>
      <c r="F68" s="45" t="s">
        <v>49</v>
      </c>
      <c r="G68" s="46">
        <v>20015226</v>
      </c>
      <c r="H68" s="45" t="s">
        <v>98</v>
      </c>
      <c r="I68" s="46">
        <v>1</v>
      </c>
      <c r="J68" s="47">
        <v>8</v>
      </c>
      <c r="K68" s="47">
        <v>8</v>
      </c>
    </row>
    <row r="69" spans="4:11">
      <c r="D69" s="44">
        <v>46081</v>
      </c>
      <c r="E69" s="45">
        <v>1581164</v>
      </c>
      <c r="F69" s="45" t="s">
        <v>49</v>
      </c>
      <c r="G69" s="46">
        <v>20012723</v>
      </c>
      <c r="H69" s="45" t="s">
        <v>67</v>
      </c>
      <c r="I69" s="46">
        <v>1</v>
      </c>
      <c r="J69" s="47">
        <v>8</v>
      </c>
      <c r="K69" s="47">
        <v>8</v>
      </c>
    </row>
    <row r="70" spans="4:11">
      <c r="D70" s="44">
        <v>46081</v>
      </c>
      <c r="E70" s="45">
        <v>1581164</v>
      </c>
      <c r="F70" s="45" t="s">
        <v>49</v>
      </c>
      <c r="G70" s="46">
        <v>20009976</v>
      </c>
      <c r="H70" s="45" t="s">
        <v>183</v>
      </c>
      <c r="I70" s="46">
        <v>1</v>
      </c>
      <c r="J70" s="47">
        <v>8</v>
      </c>
      <c r="K70" s="47">
        <v>8</v>
      </c>
    </row>
    <row r="71" ht="0.05" customHeight="1"/>
  </sheetData>
  <autoFilter xmlns:etc="http://www.wps.cn/officeDocument/2017/etCustomData" ref="A7:K70" etc:filterBottomFollowUsedRange="0">
    <extLst/>
  </autoFilter>
  <mergeCells count="5">
    <mergeCell ref="D8:H8"/>
    <mergeCell ref="C7:C70"/>
    <mergeCell ref="B4:H5"/>
    <mergeCell ref="A7:B7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18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23</v>
      </c>
      <c r="J8" s="43"/>
      <c r="K8" s="43">
        <v>215.5</v>
      </c>
    </row>
    <row r="9" spans="1:11">
      <c r="D9" s="44">
        <v>46054</v>
      </c>
      <c r="E9" s="45">
        <v>1575345</v>
      </c>
      <c r="F9" s="45" t="s">
        <v>49</v>
      </c>
      <c r="G9" s="46">
        <v>20015226</v>
      </c>
      <c r="H9" s="45" t="s">
        <v>98</v>
      </c>
      <c r="I9" s="46">
        <v>1</v>
      </c>
      <c r="J9" s="47">
        <v>8</v>
      </c>
      <c r="K9" s="47">
        <v>8</v>
      </c>
    </row>
    <row r="10" spans="1:11">
      <c r="D10" s="44">
        <v>46054</v>
      </c>
      <c r="E10" s="45">
        <v>1575345</v>
      </c>
      <c r="F10" s="45" t="s">
        <v>49</v>
      </c>
      <c r="G10" s="46">
        <v>20010085</v>
      </c>
      <c r="H10" s="45" t="s">
        <v>191</v>
      </c>
      <c r="I10" s="46">
        <v>1</v>
      </c>
      <c r="J10" s="47">
        <v>5.5</v>
      </c>
      <c r="K10" s="47">
        <v>5.5</v>
      </c>
    </row>
    <row r="11" spans="1:11">
      <c r="D11" s="44">
        <v>46056</v>
      </c>
      <c r="E11" s="45">
        <v>1576002</v>
      </c>
      <c r="F11" s="45" t="s">
        <v>49</v>
      </c>
      <c r="G11" s="46">
        <v>20015226</v>
      </c>
      <c r="H11" s="45" t="s">
        <v>98</v>
      </c>
      <c r="I11" s="46">
        <v>2</v>
      </c>
      <c r="J11" s="47">
        <v>8</v>
      </c>
      <c r="K11" s="47">
        <v>16</v>
      </c>
    </row>
    <row r="12" spans="1:11">
      <c r="D12" s="44">
        <v>46061</v>
      </c>
      <c r="E12" s="45">
        <v>1577194</v>
      </c>
      <c r="F12" s="45" t="s">
        <v>49</v>
      </c>
      <c r="G12" s="46">
        <v>20015226</v>
      </c>
      <c r="H12" s="45" t="s">
        <v>98</v>
      </c>
      <c r="I12" s="46">
        <v>1</v>
      </c>
      <c r="J12" s="47">
        <v>8</v>
      </c>
      <c r="K12" s="47">
        <v>8</v>
      </c>
    </row>
    <row r="13" spans="1:11">
      <c r="D13" s="44">
        <v>46061</v>
      </c>
      <c r="E13" s="45">
        <v>1577194</v>
      </c>
      <c r="F13" s="45" t="s">
        <v>49</v>
      </c>
      <c r="G13" s="46">
        <v>20010085</v>
      </c>
      <c r="H13" s="45" t="s">
        <v>191</v>
      </c>
      <c r="I13" s="46">
        <v>1</v>
      </c>
      <c r="J13" s="47">
        <v>5.5</v>
      </c>
      <c r="K13" s="47">
        <v>5.5</v>
      </c>
    </row>
    <row r="14" spans="1:11">
      <c r="D14" s="44">
        <v>46063</v>
      </c>
      <c r="E14" s="45">
        <v>1577809</v>
      </c>
      <c r="F14" s="45" t="s">
        <v>49</v>
      </c>
      <c r="G14" s="46">
        <v>20015226</v>
      </c>
      <c r="H14" s="45" t="s">
        <v>98</v>
      </c>
      <c r="I14" s="46">
        <v>2</v>
      </c>
      <c r="J14" s="47">
        <v>8</v>
      </c>
      <c r="K14" s="47">
        <v>16</v>
      </c>
    </row>
    <row r="15" spans="1:11">
      <c r="D15" s="44">
        <v>46063</v>
      </c>
      <c r="E15" s="45">
        <v>1577809</v>
      </c>
      <c r="F15" s="45" t="s">
        <v>49</v>
      </c>
      <c r="G15" s="46">
        <v>20010084</v>
      </c>
      <c r="H15" s="45" t="s">
        <v>192</v>
      </c>
      <c r="I15" s="46">
        <v>1</v>
      </c>
      <c r="J15" s="47">
        <v>5.5</v>
      </c>
      <c r="K15" s="47">
        <v>5.5</v>
      </c>
    </row>
    <row r="16" spans="1:11">
      <c r="D16" s="44">
        <v>46064</v>
      </c>
      <c r="E16" s="45">
        <v>1578142</v>
      </c>
      <c r="F16" s="45" t="s">
        <v>49</v>
      </c>
      <c r="G16" s="46">
        <v>20015226</v>
      </c>
      <c r="H16" s="45" t="s">
        <v>98</v>
      </c>
      <c r="I16" s="46">
        <v>2</v>
      </c>
      <c r="J16" s="47">
        <v>8</v>
      </c>
      <c r="K16" s="47">
        <v>16</v>
      </c>
    </row>
    <row r="17" spans="4:11">
      <c r="D17" s="44">
        <v>46074</v>
      </c>
      <c r="E17" s="45">
        <v>1579398</v>
      </c>
      <c r="F17" s="45" t="s">
        <v>49</v>
      </c>
      <c r="G17" s="46">
        <v>20015226</v>
      </c>
      <c r="H17" s="45" t="s">
        <v>98</v>
      </c>
      <c r="I17" s="46">
        <v>4</v>
      </c>
      <c r="J17" s="47">
        <v>8</v>
      </c>
      <c r="K17" s="47">
        <v>32</v>
      </c>
    </row>
    <row r="18" spans="4:11">
      <c r="D18" s="44">
        <v>46074</v>
      </c>
      <c r="E18" s="45">
        <v>1579398</v>
      </c>
      <c r="F18" s="45" t="s">
        <v>53</v>
      </c>
      <c r="G18" s="46">
        <v>20360674</v>
      </c>
      <c r="H18" s="45" t="s">
        <v>193</v>
      </c>
      <c r="I18" s="46">
        <v>1</v>
      </c>
      <c r="J18" s="47">
        <v>49.5</v>
      </c>
      <c r="K18" s="47">
        <v>49.5</v>
      </c>
    </row>
    <row r="19" spans="4:11">
      <c r="D19" s="44">
        <v>46077</v>
      </c>
      <c r="E19" s="45">
        <v>1579830</v>
      </c>
      <c r="F19" s="45" t="s">
        <v>49</v>
      </c>
      <c r="G19" s="46">
        <v>20010085</v>
      </c>
      <c r="H19" s="45" t="s">
        <v>191</v>
      </c>
      <c r="I19" s="46">
        <v>1</v>
      </c>
      <c r="J19" s="47">
        <v>5.5</v>
      </c>
      <c r="K19" s="47">
        <v>5.5</v>
      </c>
    </row>
    <row r="20" spans="4:11">
      <c r="D20" s="44">
        <v>46080</v>
      </c>
      <c r="E20" s="45">
        <v>1580549</v>
      </c>
      <c r="F20" s="45" t="s">
        <v>49</v>
      </c>
      <c r="G20" s="46">
        <v>20015226</v>
      </c>
      <c r="H20" s="45" t="s">
        <v>98</v>
      </c>
      <c r="I20" s="46">
        <v>4</v>
      </c>
      <c r="J20" s="47">
        <v>8</v>
      </c>
      <c r="K20" s="47">
        <v>32</v>
      </c>
    </row>
    <row r="21" spans="4:11">
      <c r="D21" s="44">
        <v>46080</v>
      </c>
      <c r="E21" s="45">
        <v>1580854</v>
      </c>
      <c r="F21" s="45" t="s">
        <v>49</v>
      </c>
      <c r="G21" s="46">
        <v>20015226</v>
      </c>
      <c r="H21" s="45" t="s">
        <v>98</v>
      </c>
      <c r="I21" s="46">
        <v>1</v>
      </c>
      <c r="J21" s="47">
        <v>8</v>
      </c>
      <c r="K21" s="47">
        <v>8</v>
      </c>
    </row>
    <row r="22" spans="4:11">
      <c r="D22" s="44">
        <v>46080</v>
      </c>
      <c r="E22" s="45">
        <v>1580854</v>
      </c>
      <c r="F22" s="45" t="s">
        <v>49</v>
      </c>
      <c r="G22" s="46">
        <v>20013600</v>
      </c>
      <c r="H22" s="45" t="s">
        <v>194</v>
      </c>
      <c r="I22" s="46">
        <v>1</v>
      </c>
      <c r="J22" s="47">
        <v>8</v>
      </c>
      <c r="K22" s="47">
        <v>8</v>
      </c>
    </row>
  </sheetData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14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20</v>
      </c>
      <c r="J8" s="43"/>
      <c r="K8" s="43">
        <v>122.5</v>
      </c>
    </row>
    <row r="9" spans="1:11">
      <c r="D9" s="44">
        <v>46054</v>
      </c>
      <c r="E9" s="45">
        <v>1575346</v>
      </c>
      <c r="F9" s="45" t="s">
        <v>49</v>
      </c>
      <c r="G9" s="46">
        <v>20316889</v>
      </c>
      <c r="H9" s="45" t="s">
        <v>195</v>
      </c>
      <c r="I9" s="46">
        <v>1</v>
      </c>
      <c r="J9" s="47">
        <v>8</v>
      </c>
      <c r="K9" s="47">
        <v>8</v>
      </c>
    </row>
    <row r="10" spans="1:11">
      <c r="D10" s="44">
        <v>46054</v>
      </c>
      <c r="E10" s="45">
        <v>1575346</v>
      </c>
      <c r="F10" s="45" t="s">
        <v>49</v>
      </c>
      <c r="G10" s="46">
        <v>20009935</v>
      </c>
      <c r="H10" s="45" t="s">
        <v>196</v>
      </c>
      <c r="I10" s="46">
        <v>1</v>
      </c>
      <c r="J10" s="47">
        <v>5.5</v>
      </c>
      <c r="K10" s="47">
        <v>5.5</v>
      </c>
    </row>
    <row r="11" spans="1:11">
      <c r="D11" s="44">
        <v>46057</v>
      </c>
      <c r="E11" s="45">
        <v>1576325</v>
      </c>
      <c r="F11" s="45" t="s">
        <v>49</v>
      </c>
      <c r="G11" s="46">
        <v>20316889</v>
      </c>
      <c r="H11" s="45" t="s">
        <v>195</v>
      </c>
      <c r="I11" s="46">
        <v>1</v>
      </c>
      <c r="J11" s="47">
        <v>8</v>
      </c>
      <c r="K11" s="47">
        <v>8</v>
      </c>
    </row>
    <row r="12" spans="1:11">
      <c r="D12" s="44">
        <v>46057</v>
      </c>
      <c r="E12" s="45">
        <v>1576325</v>
      </c>
      <c r="F12" s="45" t="s">
        <v>49</v>
      </c>
      <c r="G12" s="46">
        <v>20010356</v>
      </c>
      <c r="H12" s="45" t="s">
        <v>197</v>
      </c>
      <c r="I12" s="46">
        <v>1</v>
      </c>
      <c r="J12" s="47">
        <v>5.5</v>
      </c>
      <c r="K12" s="47">
        <v>5.5</v>
      </c>
    </row>
    <row r="13" spans="1:11">
      <c r="D13" s="44">
        <v>46058</v>
      </c>
      <c r="E13" s="45">
        <v>1576680</v>
      </c>
      <c r="F13" s="45" t="s">
        <v>49</v>
      </c>
      <c r="G13" s="46">
        <v>20382874</v>
      </c>
      <c r="H13" s="45" t="s">
        <v>198</v>
      </c>
      <c r="I13" s="46">
        <v>1</v>
      </c>
      <c r="J13" s="47">
        <v>5.5</v>
      </c>
      <c r="K13" s="47">
        <v>5.5</v>
      </c>
    </row>
    <row r="14" spans="1:11">
      <c r="D14" s="44">
        <v>46058</v>
      </c>
      <c r="E14" s="45">
        <v>1576680</v>
      </c>
      <c r="F14" s="45" t="s">
        <v>49</v>
      </c>
      <c r="G14" s="46">
        <v>20010406</v>
      </c>
      <c r="H14" s="45" t="s">
        <v>199</v>
      </c>
      <c r="I14" s="46">
        <v>1</v>
      </c>
      <c r="J14" s="47">
        <v>5.5</v>
      </c>
      <c r="K14" s="47">
        <v>5.5</v>
      </c>
    </row>
    <row r="15" spans="1:11">
      <c r="D15" s="44">
        <v>46062</v>
      </c>
      <c r="E15" s="45">
        <v>1577515</v>
      </c>
      <c r="F15" s="45" t="s">
        <v>49</v>
      </c>
      <c r="G15" s="46">
        <v>20013600</v>
      </c>
      <c r="H15" s="45" t="s">
        <v>194</v>
      </c>
      <c r="I15" s="46">
        <v>1</v>
      </c>
      <c r="J15" s="47">
        <v>8</v>
      </c>
      <c r="K15" s="47">
        <v>8</v>
      </c>
    </row>
    <row r="16" spans="1:11">
      <c r="D16" s="44">
        <v>46062</v>
      </c>
      <c r="E16" s="45">
        <v>1577515</v>
      </c>
      <c r="F16" s="45" t="s">
        <v>49</v>
      </c>
      <c r="G16" s="46">
        <v>20010405</v>
      </c>
      <c r="H16" s="45" t="s">
        <v>200</v>
      </c>
      <c r="I16" s="46">
        <v>1</v>
      </c>
      <c r="J16" s="47">
        <v>5.5</v>
      </c>
      <c r="K16" s="47">
        <v>5.5</v>
      </c>
    </row>
    <row r="17" spans="4:11">
      <c r="D17" s="44">
        <v>46063</v>
      </c>
      <c r="E17" s="45">
        <v>1577810</v>
      </c>
      <c r="F17" s="45" t="s">
        <v>49</v>
      </c>
      <c r="G17" s="46">
        <v>20010079</v>
      </c>
      <c r="H17" s="45" t="s">
        <v>201</v>
      </c>
      <c r="I17" s="46">
        <v>1</v>
      </c>
      <c r="J17" s="47">
        <v>5.5</v>
      </c>
      <c r="K17" s="47">
        <v>5.5</v>
      </c>
    </row>
    <row r="18" spans="4:11">
      <c r="D18" s="44">
        <v>46063</v>
      </c>
      <c r="E18" s="45">
        <v>1577810</v>
      </c>
      <c r="F18" s="45" t="s">
        <v>49</v>
      </c>
      <c r="G18" s="46">
        <v>20010851</v>
      </c>
      <c r="H18" s="45" t="s">
        <v>187</v>
      </c>
      <c r="I18" s="46">
        <v>1</v>
      </c>
      <c r="J18" s="47">
        <v>5.5</v>
      </c>
      <c r="K18" s="47">
        <v>5.5</v>
      </c>
    </row>
    <row r="19" spans="4:11">
      <c r="D19" s="44">
        <v>46063</v>
      </c>
      <c r="E19" s="45">
        <v>1577810</v>
      </c>
      <c r="F19" s="45" t="s">
        <v>49</v>
      </c>
      <c r="G19" s="46">
        <v>20403088</v>
      </c>
      <c r="H19" s="45" t="s">
        <v>202</v>
      </c>
      <c r="I19" s="46">
        <v>1</v>
      </c>
      <c r="J19" s="47">
        <v>5.5</v>
      </c>
      <c r="K19" s="47">
        <v>5.5</v>
      </c>
    </row>
    <row r="20" spans="4:11">
      <c r="D20" s="44">
        <v>46065</v>
      </c>
      <c r="E20" s="45">
        <v>1578493</v>
      </c>
      <c r="F20" s="45" t="s">
        <v>49</v>
      </c>
      <c r="G20" s="46">
        <v>20010079</v>
      </c>
      <c r="H20" s="45" t="s">
        <v>201</v>
      </c>
      <c r="I20" s="46">
        <v>1</v>
      </c>
      <c r="J20" s="47">
        <v>5.5</v>
      </c>
      <c r="K20" s="47">
        <v>5.5</v>
      </c>
    </row>
    <row r="21" spans="4:11">
      <c r="D21" s="44">
        <v>46065</v>
      </c>
      <c r="E21" s="45">
        <v>1578493</v>
      </c>
      <c r="F21" s="45" t="s">
        <v>49</v>
      </c>
      <c r="G21" s="46">
        <v>20013600</v>
      </c>
      <c r="H21" s="45" t="s">
        <v>194</v>
      </c>
      <c r="I21" s="46">
        <v>1</v>
      </c>
      <c r="J21" s="47">
        <v>8</v>
      </c>
      <c r="K21" s="47">
        <v>8</v>
      </c>
    </row>
    <row r="22" spans="4:11">
      <c r="D22" s="44">
        <v>46067</v>
      </c>
      <c r="E22" s="45">
        <v>1579019</v>
      </c>
      <c r="F22" s="45" t="s">
        <v>49</v>
      </c>
      <c r="G22" s="46">
        <v>20010206</v>
      </c>
      <c r="H22" s="45" t="s">
        <v>179</v>
      </c>
      <c r="I22" s="46">
        <v>1</v>
      </c>
      <c r="J22" s="47">
        <v>8</v>
      </c>
      <c r="K22" s="47">
        <v>8</v>
      </c>
    </row>
    <row r="23" spans="4:11">
      <c r="D23" s="44">
        <v>46067</v>
      </c>
      <c r="E23" s="45">
        <v>1579019</v>
      </c>
      <c r="F23" s="45" t="s">
        <v>49</v>
      </c>
      <c r="G23" s="46">
        <v>20010851</v>
      </c>
      <c r="H23" s="45" t="s">
        <v>187</v>
      </c>
      <c r="I23" s="46">
        <v>1</v>
      </c>
      <c r="J23" s="47">
        <v>5.5</v>
      </c>
      <c r="K23" s="47">
        <v>5.5</v>
      </c>
    </row>
    <row r="24" spans="4:11">
      <c r="D24" s="44">
        <v>46067</v>
      </c>
      <c r="E24" s="45">
        <v>1579019</v>
      </c>
      <c r="F24" s="45" t="s">
        <v>49</v>
      </c>
      <c r="G24" s="46">
        <v>20010407</v>
      </c>
      <c r="H24" s="45" t="s">
        <v>203</v>
      </c>
      <c r="I24" s="46">
        <v>1</v>
      </c>
      <c r="J24" s="47">
        <v>5.5</v>
      </c>
      <c r="K24" s="47">
        <v>5.5</v>
      </c>
    </row>
    <row r="25" spans="4:11">
      <c r="D25" s="44">
        <v>46067</v>
      </c>
      <c r="E25" s="45">
        <v>1579019</v>
      </c>
      <c r="F25" s="45" t="s">
        <v>49</v>
      </c>
      <c r="G25" s="46">
        <v>20403088</v>
      </c>
      <c r="H25" s="45" t="s">
        <v>202</v>
      </c>
      <c r="I25" s="46">
        <v>1</v>
      </c>
      <c r="J25" s="47">
        <v>5.5</v>
      </c>
      <c r="K25" s="47">
        <v>5.5</v>
      </c>
    </row>
    <row r="26" spans="4:11">
      <c r="D26" s="44">
        <v>46067</v>
      </c>
      <c r="E26" s="45">
        <v>1579019</v>
      </c>
      <c r="F26" s="45" t="s">
        <v>49</v>
      </c>
      <c r="G26" s="46">
        <v>20010863</v>
      </c>
      <c r="H26" s="45" t="s">
        <v>204</v>
      </c>
      <c r="I26" s="46">
        <v>1</v>
      </c>
      <c r="J26" s="47">
        <v>5.5</v>
      </c>
      <c r="K26" s="47">
        <v>5.5</v>
      </c>
    </row>
    <row r="27" spans="4:11">
      <c r="D27" s="44">
        <v>46067</v>
      </c>
      <c r="E27" s="45">
        <v>1579019</v>
      </c>
      <c r="F27" s="45" t="s">
        <v>49</v>
      </c>
      <c r="G27" s="46">
        <v>20010408</v>
      </c>
      <c r="H27" s="45" t="s">
        <v>205</v>
      </c>
      <c r="I27" s="46">
        <v>1</v>
      </c>
      <c r="J27" s="47">
        <v>5.5</v>
      </c>
      <c r="K27" s="47">
        <v>5.5</v>
      </c>
    </row>
    <row r="28" spans="4:11">
      <c r="D28" s="44">
        <v>46080</v>
      </c>
      <c r="E28" s="45">
        <v>1580855</v>
      </c>
      <c r="F28" s="45" t="s">
        <v>49</v>
      </c>
      <c r="G28" s="46">
        <v>20010405</v>
      </c>
      <c r="H28" s="45" t="s">
        <v>200</v>
      </c>
      <c r="I28" s="46">
        <v>1</v>
      </c>
      <c r="J28" s="47">
        <v>5.5</v>
      </c>
      <c r="K28" s="47">
        <v>5.5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17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412</v>
      </c>
      <c r="J8" s="43"/>
      <c r="K8" s="43">
        <v>8502.5</v>
      </c>
    </row>
    <row r="9" spans="1:11">
      <c r="D9" s="44">
        <v>46055</v>
      </c>
      <c r="E9" s="45">
        <v>1575566</v>
      </c>
      <c r="F9" s="45" t="s">
        <v>45</v>
      </c>
      <c r="G9" s="46">
        <v>20010590</v>
      </c>
      <c r="H9" s="45" t="s">
        <v>206</v>
      </c>
      <c r="I9" s="46">
        <v>29</v>
      </c>
      <c r="J9" s="47">
        <v>30</v>
      </c>
      <c r="K9" s="47">
        <v>870</v>
      </c>
    </row>
    <row r="10" spans="1:11">
      <c r="D10" s="44">
        <v>46055</v>
      </c>
      <c r="E10" s="45">
        <v>1575566</v>
      </c>
      <c r="F10" s="45" t="s">
        <v>47</v>
      </c>
      <c r="G10" s="46">
        <v>20312573</v>
      </c>
      <c r="H10" s="45" t="s">
        <v>207</v>
      </c>
      <c r="I10" s="46">
        <v>3</v>
      </c>
      <c r="J10" s="47">
        <v>38.5</v>
      </c>
      <c r="K10" s="47">
        <v>115.5</v>
      </c>
    </row>
    <row r="11" spans="1:11">
      <c r="D11" s="44">
        <v>46056</v>
      </c>
      <c r="E11" s="45">
        <v>1575650</v>
      </c>
      <c r="F11" s="45" t="s">
        <v>71</v>
      </c>
      <c r="G11" s="46">
        <v>20009957</v>
      </c>
      <c r="H11" s="45" t="s">
        <v>208</v>
      </c>
      <c r="I11" s="46">
        <v>2</v>
      </c>
      <c r="J11" s="47">
        <v>16.5</v>
      </c>
      <c r="K11" s="47">
        <v>33</v>
      </c>
    </row>
    <row r="12" spans="1:11">
      <c r="D12" s="44">
        <v>46056</v>
      </c>
      <c r="E12" s="45">
        <v>1575650</v>
      </c>
      <c r="F12" s="45" t="s">
        <v>71</v>
      </c>
      <c r="G12" s="46">
        <v>20015049</v>
      </c>
      <c r="H12" s="45" t="s">
        <v>209</v>
      </c>
      <c r="I12" s="46">
        <v>4</v>
      </c>
      <c r="J12" s="47">
        <v>16.5</v>
      </c>
      <c r="K12" s="47">
        <v>66</v>
      </c>
    </row>
    <row r="13" spans="1:11">
      <c r="D13" s="44">
        <v>46056</v>
      </c>
      <c r="E13" s="45">
        <v>1575650</v>
      </c>
      <c r="F13" s="45" t="s">
        <v>49</v>
      </c>
      <c r="G13" s="46">
        <v>20015226</v>
      </c>
      <c r="H13" s="45" t="s">
        <v>98</v>
      </c>
      <c r="I13" s="46">
        <v>1</v>
      </c>
      <c r="J13" s="47">
        <v>8</v>
      </c>
      <c r="K13" s="47">
        <v>8</v>
      </c>
    </row>
    <row r="14" spans="1:11">
      <c r="D14" s="44">
        <v>46056</v>
      </c>
      <c r="E14" s="45">
        <v>1575650</v>
      </c>
      <c r="F14" s="45" t="s">
        <v>49</v>
      </c>
      <c r="G14" s="46">
        <v>20316662</v>
      </c>
      <c r="H14" s="45" t="s">
        <v>210</v>
      </c>
      <c r="I14" s="46">
        <v>3</v>
      </c>
      <c r="J14" s="47">
        <v>8</v>
      </c>
      <c r="K14" s="47">
        <v>24</v>
      </c>
    </row>
    <row r="15" spans="1:11">
      <c r="D15" s="44">
        <v>46056</v>
      </c>
      <c r="E15" s="45">
        <v>1575650</v>
      </c>
      <c r="F15" s="45" t="s">
        <v>49</v>
      </c>
      <c r="G15" s="46">
        <v>20010149</v>
      </c>
      <c r="H15" s="45" t="s">
        <v>211</v>
      </c>
      <c r="I15" s="46">
        <v>1</v>
      </c>
      <c r="J15" s="47">
        <v>8</v>
      </c>
      <c r="K15" s="47">
        <v>8</v>
      </c>
    </row>
    <row r="16" spans="1:11">
      <c r="D16" s="44">
        <v>46056</v>
      </c>
      <c r="E16" s="45">
        <v>1575650</v>
      </c>
      <c r="F16" s="45" t="s">
        <v>49</v>
      </c>
      <c r="G16" s="46">
        <v>20354025</v>
      </c>
      <c r="H16" s="45" t="s">
        <v>212</v>
      </c>
      <c r="I16" s="46">
        <v>2</v>
      </c>
      <c r="J16" s="47">
        <v>8</v>
      </c>
      <c r="K16" s="47">
        <v>16</v>
      </c>
    </row>
    <row r="17" spans="4:11">
      <c r="D17" s="44">
        <v>46056</v>
      </c>
      <c r="E17" s="45">
        <v>1575650</v>
      </c>
      <c r="F17" s="45" t="s">
        <v>49</v>
      </c>
      <c r="G17" s="46">
        <v>20397696</v>
      </c>
      <c r="H17" s="45" t="s">
        <v>213</v>
      </c>
      <c r="I17" s="46">
        <v>1</v>
      </c>
      <c r="J17" s="47">
        <v>13.5</v>
      </c>
      <c r="K17" s="47">
        <v>13.5</v>
      </c>
    </row>
    <row r="18" spans="4:11">
      <c r="D18" s="44">
        <v>46056</v>
      </c>
      <c r="E18" s="45">
        <v>1575650</v>
      </c>
      <c r="F18" s="45" t="s">
        <v>49</v>
      </c>
      <c r="G18" s="46">
        <v>20329649</v>
      </c>
      <c r="H18" s="45" t="s">
        <v>214</v>
      </c>
      <c r="I18" s="46">
        <v>4</v>
      </c>
      <c r="J18" s="47">
        <v>16.5</v>
      </c>
      <c r="K18" s="47">
        <v>66</v>
      </c>
    </row>
    <row r="19" spans="4:11">
      <c r="D19" s="44">
        <v>46056</v>
      </c>
      <c r="E19" s="45">
        <v>1575650</v>
      </c>
      <c r="F19" s="45" t="s">
        <v>49</v>
      </c>
      <c r="G19" s="46">
        <v>20370114</v>
      </c>
      <c r="H19" s="45" t="s">
        <v>215</v>
      </c>
      <c r="I19" s="46">
        <v>1</v>
      </c>
      <c r="J19" s="47">
        <v>49.5</v>
      </c>
      <c r="K19" s="47">
        <v>49.5</v>
      </c>
    </row>
    <row r="20" spans="4:11">
      <c r="D20" s="44">
        <v>46056</v>
      </c>
      <c r="E20" s="45">
        <v>1575650</v>
      </c>
      <c r="F20" s="45" t="s">
        <v>49</v>
      </c>
      <c r="G20" s="46">
        <v>20353161</v>
      </c>
      <c r="H20" s="45" t="s">
        <v>216</v>
      </c>
      <c r="I20" s="46">
        <v>1</v>
      </c>
      <c r="J20" s="47">
        <v>8</v>
      </c>
      <c r="K20" s="47">
        <v>8</v>
      </c>
    </row>
    <row r="21" spans="4:11">
      <c r="D21" s="44">
        <v>46056</v>
      </c>
      <c r="E21" s="45">
        <v>1575650</v>
      </c>
      <c r="F21" s="45" t="s">
        <v>49</v>
      </c>
      <c r="G21" s="46">
        <v>20395779</v>
      </c>
      <c r="H21" s="45" t="s">
        <v>217</v>
      </c>
      <c r="I21" s="46">
        <v>2</v>
      </c>
      <c r="J21" s="47">
        <v>16.5</v>
      </c>
      <c r="K21" s="47">
        <v>33</v>
      </c>
    </row>
    <row r="22" spans="4:11">
      <c r="D22" s="44">
        <v>46056</v>
      </c>
      <c r="E22" s="45">
        <v>1576003</v>
      </c>
      <c r="F22" s="45" t="s">
        <v>71</v>
      </c>
      <c r="G22" s="46">
        <v>20015049</v>
      </c>
      <c r="H22" s="45" t="s">
        <v>209</v>
      </c>
      <c r="I22" s="46">
        <v>7</v>
      </c>
      <c r="J22" s="47">
        <v>16.5</v>
      </c>
      <c r="K22" s="47">
        <v>115.5</v>
      </c>
    </row>
    <row r="23" spans="4:11">
      <c r="D23" s="44">
        <v>46056</v>
      </c>
      <c r="E23" s="45">
        <v>1576003</v>
      </c>
      <c r="F23" s="45" t="s">
        <v>49</v>
      </c>
      <c r="G23" s="46">
        <v>20009980</v>
      </c>
      <c r="H23" s="45" t="s">
        <v>189</v>
      </c>
      <c r="I23" s="46">
        <v>1</v>
      </c>
      <c r="J23" s="47">
        <v>8</v>
      </c>
      <c r="K23" s="47">
        <v>8</v>
      </c>
    </row>
    <row r="24" spans="4:11">
      <c r="D24" s="44">
        <v>46056</v>
      </c>
      <c r="E24" s="45">
        <v>1576003</v>
      </c>
      <c r="F24" s="45" t="s">
        <v>49</v>
      </c>
      <c r="G24" s="46">
        <v>20015226</v>
      </c>
      <c r="H24" s="45" t="s">
        <v>98</v>
      </c>
      <c r="I24" s="46">
        <v>2</v>
      </c>
      <c r="J24" s="47">
        <v>8</v>
      </c>
      <c r="K24" s="47">
        <v>16</v>
      </c>
    </row>
    <row r="25" spans="4:11">
      <c r="D25" s="44">
        <v>46056</v>
      </c>
      <c r="E25" s="45">
        <v>1576003</v>
      </c>
      <c r="F25" s="45" t="s">
        <v>49</v>
      </c>
      <c r="G25" s="46">
        <v>20316662</v>
      </c>
      <c r="H25" s="45" t="s">
        <v>210</v>
      </c>
      <c r="I25" s="46">
        <v>2</v>
      </c>
      <c r="J25" s="47">
        <v>8</v>
      </c>
      <c r="K25" s="47">
        <v>16</v>
      </c>
    </row>
    <row r="26" spans="4:11">
      <c r="D26" s="44">
        <v>46056</v>
      </c>
      <c r="E26" s="45">
        <v>1576003</v>
      </c>
      <c r="F26" s="45" t="s">
        <v>49</v>
      </c>
      <c r="G26" s="46">
        <v>20010149</v>
      </c>
      <c r="H26" s="45" t="s">
        <v>211</v>
      </c>
      <c r="I26" s="46">
        <v>1</v>
      </c>
      <c r="J26" s="47">
        <v>8</v>
      </c>
      <c r="K26" s="47">
        <v>8</v>
      </c>
    </row>
    <row r="27" spans="4:11">
      <c r="D27" s="44">
        <v>46056</v>
      </c>
      <c r="E27" s="45">
        <v>1576003</v>
      </c>
      <c r="F27" s="45" t="s">
        <v>49</v>
      </c>
      <c r="G27" s="46">
        <v>20009982</v>
      </c>
      <c r="H27" s="45" t="s">
        <v>218</v>
      </c>
      <c r="I27" s="46">
        <v>1</v>
      </c>
      <c r="J27" s="47">
        <v>8</v>
      </c>
      <c r="K27" s="47">
        <v>8</v>
      </c>
    </row>
    <row r="28" spans="4:11">
      <c r="D28" s="44">
        <v>46056</v>
      </c>
      <c r="E28" s="45">
        <v>1576003</v>
      </c>
      <c r="F28" s="45" t="s">
        <v>49</v>
      </c>
      <c r="G28" s="46">
        <v>20354025</v>
      </c>
      <c r="H28" s="45" t="s">
        <v>212</v>
      </c>
      <c r="I28" s="46">
        <v>1</v>
      </c>
      <c r="J28" s="47">
        <v>8</v>
      </c>
      <c r="K28" s="47">
        <v>8</v>
      </c>
    </row>
    <row r="29" spans="4:11">
      <c r="D29" s="44">
        <v>46056</v>
      </c>
      <c r="E29" s="45">
        <v>1576003</v>
      </c>
      <c r="F29" s="45" t="s">
        <v>49</v>
      </c>
      <c r="G29" s="46">
        <v>20329649</v>
      </c>
      <c r="H29" s="45" t="s">
        <v>214</v>
      </c>
      <c r="I29" s="46">
        <v>7</v>
      </c>
      <c r="J29" s="47">
        <v>16.5</v>
      </c>
      <c r="K29" s="47">
        <v>115.5</v>
      </c>
    </row>
    <row r="30" spans="4:11">
      <c r="D30" s="44">
        <v>46056</v>
      </c>
      <c r="E30" s="45">
        <v>1576003</v>
      </c>
      <c r="F30" s="45" t="s">
        <v>49</v>
      </c>
      <c r="G30" s="46">
        <v>20009817</v>
      </c>
      <c r="H30" s="45" t="s">
        <v>81</v>
      </c>
      <c r="I30" s="46">
        <v>1</v>
      </c>
      <c r="J30" s="47">
        <v>16.5</v>
      </c>
      <c r="K30" s="47">
        <v>16.5</v>
      </c>
    </row>
    <row r="31" spans="4:11">
      <c r="D31" s="44">
        <v>46056</v>
      </c>
      <c r="E31" s="45">
        <v>1576003</v>
      </c>
      <c r="F31" s="45" t="s">
        <v>49</v>
      </c>
      <c r="G31" s="46">
        <v>20009921</v>
      </c>
      <c r="H31" s="45" t="s">
        <v>50</v>
      </c>
      <c r="I31" s="46">
        <v>1</v>
      </c>
      <c r="J31" s="47">
        <v>8</v>
      </c>
      <c r="K31" s="47">
        <v>8</v>
      </c>
    </row>
    <row r="32" spans="4:11">
      <c r="D32" s="44">
        <v>46056</v>
      </c>
      <c r="E32" s="45">
        <v>1576003</v>
      </c>
      <c r="F32" s="45" t="s">
        <v>49</v>
      </c>
      <c r="G32" s="46">
        <v>20012485</v>
      </c>
      <c r="H32" s="45" t="s">
        <v>219</v>
      </c>
      <c r="I32" s="46">
        <v>1</v>
      </c>
      <c r="J32" s="47">
        <v>16.5</v>
      </c>
      <c r="K32" s="47">
        <v>16.5</v>
      </c>
    </row>
    <row r="33" spans="4:11">
      <c r="D33" s="44">
        <v>46056</v>
      </c>
      <c r="E33" s="45">
        <v>1576003</v>
      </c>
      <c r="F33" s="45" t="s">
        <v>49</v>
      </c>
      <c r="G33" s="46">
        <v>20395779</v>
      </c>
      <c r="H33" s="45" t="s">
        <v>217</v>
      </c>
      <c r="I33" s="46">
        <v>5</v>
      </c>
      <c r="J33" s="47">
        <v>16.5</v>
      </c>
      <c r="K33" s="47">
        <v>82.5</v>
      </c>
    </row>
    <row r="34" spans="4:11">
      <c r="D34" s="44">
        <v>46056</v>
      </c>
      <c r="E34" s="45">
        <v>1576003</v>
      </c>
      <c r="F34" s="45" t="s">
        <v>45</v>
      </c>
      <c r="G34" s="46">
        <v>20010590</v>
      </c>
      <c r="H34" s="45" t="s">
        <v>206</v>
      </c>
      <c r="I34" s="46">
        <v>1</v>
      </c>
      <c r="J34" s="47">
        <v>30</v>
      </c>
      <c r="K34" s="47">
        <v>30</v>
      </c>
    </row>
    <row r="35" spans="4:11">
      <c r="D35" s="44">
        <v>46056</v>
      </c>
      <c r="E35" s="45">
        <v>1576003</v>
      </c>
      <c r="F35" s="45" t="s">
        <v>45</v>
      </c>
      <c r="G35" s="46">
        <v>20012386</v>
      </c>
      <c r="H35" s="45" t="s">
        <v>99</v>
      </c>
      <c r="I35" s="46">
        <v>1</v>
      </c>
      <c r="J35" s="47">
        <v>35</v>
      </c>
      <c r="K35" s="47">
        <v>35</v>
      </c>
    </row>
    <row r="36" spans="4:11">
      <c r="D36" s="44">
        <v>46056</v>
      </c>
      <c r="E36" s="45">
        <v>1576003</v>
      </c>
      <c r="F36" s="45" t="s">
        <v>47</v>
      </c>
      <c r="G36" s="46">
        <v>20312573</v>
      </c>
      <c r="H36" s="45" t="s">
        <v>207</v>
      </c>
      <c r="I36" s="46">
        <v>2</v>
      </c>
      <c r="J36" s="47">
        <v>38.5</v>
      </c>
      <c r="K36" s="47">
        <v>77</v>
      </c>
    </row>
    <row r="37" spans="4:11">
      <c r="D37" s="44">
        <v>46057</v>
      </c>
      <c r="E37" s="45">
        <v>1576261</v>
      </c>
      <c r="F37" s="45" t="s">
        <v>45</v>
      </c>
      <c r="G37" s="46">
        <v>20010590</v>
      </c>
      <c r="H37" s="45" t="s">
        <v>206</v>
      </c>
      <c r="I37" s="46">
        <v>13</v>
      </c>
      <c r="J37" s="47">
        <v>30</v>
      </c>
      <c r="K37" s="47">
        <v>390</v>
      </c>
    </row>
    <row r="38" spans="4:11">
      <c r="D38" s="44">
        <v>46057</v>
      </c>
      <c r="E38" s="45">
        <v>1576326</v>
      </c>
      <c r="F38" s="45" t="s">
        <v>71</v>
      </c>
      <c r="G38" s="46">
        <v>20015049</v>
      </c>
      <c r="H38" s="45" t="s">
        <v>209</v>
      </c>
      <c r="I38" s="46">
        <v>6</v>
      </c>
      <c r="J38" s="47">
        <v>16.5</v>
      </c>
      <c r="K38" s="47">
        <v>99</v>
      </c>
    </row>
    <row r="39" spans="4:11">
      <c r="D39" s="44">
        <v>46057</v>
      </c>
      <c r="E39" s="45">
        <v>1576326</v>
      </c>
      <c r="F39" s="45" t="s">
        <v>49</v>
      </c>
      <c r="G39" s="46">
        <v>20329649</v>
      </c>
      <c r="H39" s="45" t="s">
        <v>214</v>
      </c>
      <c r="I39" s="46">
        <v>6</v>
      </c>
      <c r="J39" s="47">
        <v>16.5</v>
      </c>
      <c r="K39" s="47">
        <v>99</v>
      </c>
    </row>
    <row r="40" spans="4:11">
      <c r="D40" s="44">
        <v>46057</v>
      </c>
      <c r="E40" s="45">
        <v>1576326</v>
      </c>
      <c r="F40" s="45" t="s">
        <v>49</v>
      </c>
      <c r="G40" s="46">
        <v>20395779</v>
      </c>
      <c r="H40" s="45" t="s">
        <v>217</v>
      </c>
      <c r="I40" s="46">
        <v>4</v>
      </c>
      <c r="J40" s="47">
        <v>16.5</v>
      </c>
      <c r="K40" s="47">
        <v>66</v>
      </c>
    </row>
    <row r="41" spans="4:11">
      <c r="D41" s="44">
        <v>46058</v>
      </c>
      <c r="E41" s="45">
        <v>1576681</v>
      </c>
      <c r="F41" s="45" t="s">
        <v>71</v>
      </c>
      <c r="G41" s="46">
        <v>20015049</v>
      </c>
      <c r="H41" s="45" t="s">
        <v>209</v>
      </c>
      <c r="I41" s="46">
        <v>6</v>
      </c>
      <c r="J41" s="47">
        <v>16.5</v>
      </c>
      <c r="K41" s="47">
        <v>99</v>
      </c>
    </row>
    <row r="42" spans="4:11">
      <c r="D42" s="44">
        <v>46058</v>
      </c>
      <c r="E42" s="45">
        <v>1576681</v>
      </c>
      <c r="F42" s="45" t="s">
        <v>49</v>
      </c>
      <c r="G42" s="46">
        <v>20015226</v>
      </c>
      <c r="H42" s="45" t="s">
        <v>98</v>
      </c>
      <c r="I42" s="46">
        <v>1</v>
      </c>
      <c r="J42" s="47">
        <v>8</v>
      </c>
      <c r="K42" s="47">
        <v>8</v>
      </c>
    </row>
    <row r="43" spans="4:11">
      <c r="D43" s="44">
        <v>46058</v>
      </c>
      <c r="E43" s="45">
        <v>1576681</v>
      </c>
      <c r="F43" s="45" t="s">
        <v>49</v>
      </c>
      <c r="G43" s="46">
        <v>20316662</v>
      </c>
      <c r="H43" s="45" t="s">
        <v>210</v>
      </c>
      <c r="I43" s="46">
        <v>1</v>
      </c>
      <c r="J43" s="47">
        <v>8</v>
      </c>
      <c r="K43" s="47">
        <v>8</v>
      </c>
    </row>
    <row r="44" spans="4:11">
      <c r="D44" s="44">
        <v>46058</v>
      </c>
      <c r="E44" s="45">
        <v>1576681</v>
      </c>
      <c r="F44" s="45" t="s">
        <v>49</v>
      </c>
      <c r="G44" s="46">
        <v>20010149</v>
      </c>
      <c r="H44" s="45" t="s">
        <v>211</v>
      </c>
      <c r="I44" s="46">
        <v>1</v>
      </c>
      <c r="J44" s="47">
        <v>8</v>
      </c>
      <c r="K44" s="47">
        <v>8</v>
      </c>
    </row>
    <row r="45" spans="4:11">
      <c r="D45" s="44">
        <v>46058</v>
      </c>
      <c r="E45" s="45">
        <v>1576681</v>
      </c>
      <c r="F45" s="45" t="s">
        <v>49</v>
      </c>
      <c r="G45" s="46">
        <v>20354025</v>
      </c>
      <c r="H45" s="45" t="s">
        <v>212</v>
      </c>
      <c r="I45" s="46">
        <v>1</v>
      </c>
      <c r="J45" s="47">
        <v>8</v>
      </c>
      <c r="K45" s="47">
        <v>8</v>
      </c>
    </row>
    <row r="46" spans="4:11">
      <c r="D46" s="44">
        <v>46058</v>
      </c>
      <c r="E46" s="45">
        <v>1576681</v>
      </c>
      <c r="F46" s="45" t="s">
        <v>49</v>
      </c>
      <c r="G46" s="46">
        <v>20329649</v>
      </c>
      <c r="H46" s="45" t="s">
        <v>214</v>
      </c>
      <c r="I46" s="46">
        <v>6</v>
      </c>
      <c r="J46" s="47">
        <v>16.5</v>
      </c>
      <c r="K46" s="47">
        <v>99</v>
      </c>
    </row>
    <row r="47" spans="4:11">
      <c r="D47" s="44">
        <v>46058</v>
      </c>
      <c r="E47" s="45">
        <v>1576681</v>
      </c>
      <c r="F47" s="45" t="s">
        <v>49</v>
      </c>
      <c r="G47" s="46">
        <v>20012485</v>
      </c>
      <c r="H47" s="45" t="s">
        <v>219</v>
      </c>
      <c r="I47" s="46">
        <v>1</v>
      </c>
      <c r="J47" s="47">
        <v>16.5</v>
      </c>
      <c r="K47" s="47">
        <v>16.5</v>
      </c>
    </row>
    <row r="48" spans="4:11">
      <c r="D48" s="44">
        <v>46058</v>
      </c>
      <c r="E48" s="45">
        <v>1576681</v>
      </c>
      <c r="F48" s="45" t="s">
        <v>49</v>
      </c>
      <c r="G48" s="46">
        <v>20395779</v>
      </c>
      <c r="H48" s="45" t="s">
        <v>217</v>
      </c>
      <c r="I48" s="46">
        <v>4</v>
      </c>
      <c r="J48" s="47">
        <v>16.5</v>
      </c>
      <c r="K48" s="47">
        <v>66</v>
      </c>
    </row>
    <row r="49" spans="4:11">
      <c r="D49" s="44">
        <v>46058</v>
      </c>
      <c r="E49" s="45">
        <v>1576681</v>
      </c>
      <c r="F49" s="45" t="s">
        <v>45</v>
      </c>
      <c r="G49" s="46">
        <v>20010590</v>
      </c>
      <c r="H49" s="45" t="s">
        <v>206</v>
      </c>
      <c r="I49" s="46">
        <v>1</v>
      </c>
      <c r="J49" s="47">
        <v>30</v>
      </c>
      <c r="K49" s="47">
        <v>30</v>
      </c>
    </row>
    <row r="50" spans="4:11">
      <c r="D50" s="44">
        <v>46058</v>
      </c>
      <c r="E50" s="45">
        <v>1576681</v>
      </c>
      <c r="F50" s="45" t="s">
        <v>47</v>
      </c>
      <c r="G50" s="46">
        <v>20336759</v>
      </c>
      <c r="H50" s="45" t="s">
        <v>220</v>
      </c>
      <c r="I50" s="46">
        <v>1</v>
      </c>
      <c r="J50" s="47">
        <v>27.5</v>
      </c>
      <c r="K50" s="47">
        <v>27.5</v>
      </c>
    </row>
    <row r="51" spans="4:11">
      <c r="D51" s="44">
        <v>46058</v>
      </c>
      <c r="E51" s="45">
        <v>1576681</v>
      </c>
      <c r="F51" s="45" t="s">
        <v>47</v>
      </c>
      <c r="G51" s="46">
        <v>20312573</v>
      </c>
      <c r="H51" s="45" t="s">
        <v>207</v>
      </c>
      <c r="I51" s="46">
        <v>1</v>
      </c>
      <c r="J51" s="47">
        <v>38.5</v>
      </c>
      <c r="K51" s="47">
        <v>38.5</v>
      </c>
    </row>
    <row r="52" spans="4:11">
      <c r="D52" s="44">
        <v>46059</v>
      </c>
      <c r="E52" s="45">
        <v>1576936</v>
      </c>
      <c r="F52" s="45" t="s">
        <v>45</v>
      </c>
      <c r="G52" s="46">
        <v>20012386</v>
      </c>
      <c r="H52" s="45" t="s">
        <v>99</v>
      </c>
      <c r="I52" s="46">
        <v>1</v>
      </c>
      <c r="J52" s="47">
        <v>35</v>
      </c>
      <c r="K52" s="47">
        <v>35</v>
      </c>
    </row>
    <row r="53" spans="4:11">
      <c r="D53" s="44">
        <v>46062</v>
      </c>
      <c r="E53" s="45">
        <v>1577430</v>
      </c>
      <c r="F53" s="45" t="s">
        <v>45</v>
      </c>
      <c r="G53" s="46">
        <v>20010590</v>
      </c>
      <c r="H53" s="45" t="s">
        <v>206</v>
      </c>
      <c r="I53" s="46">
        <v>14</v>
      </c>
      <c r="J53" s="47">
        <v>30</v>
      </c>
      <c r="K53" s="47">
        <v>420</v>
      </c>
    </row>
    <row r="54" spans="4:11">
      <c r="D54" s="44">
        <v>46062</v>
      </c>
      <c r="E54" s="45">
        <v>1577516</v>
      </c>
      <c r="F54" s="45" t="s">
        <v>71</v>
      </c>
      <c r="G54" s="46">
        <v>20009957</v>
      </c>
      <c r="H54" s="45" t="s">
        <v>208</v>
      </c>
      <c r="I54" s="46">
        <v>2</v>
      </c>
      <c r="J54" s="47">
        <v>16.5</v>
      </c>
      <c r="K54" s="47">
        <v>33</v>
      </c>
    </row>
    <row r="55" spans="4:11">
      <c r="D55" s="44">
        <v>46062</v>
      </c>
      <c r="E55" s="45">
        <v>1577516</v>
      </c>
      <c r="F55" s="45" t="s">
        <v>71</v>
      </c>
      <c r="G55" s="46">
        <v>20015049</v>
      </c>
      <c r="H55" s="45" t="s">
        <v>209</v>
      </c>
      <c r="I55" s="46">
        <v>8</v>
      </c>
      <c r="J55" s="47">
        <v>16.5</v>
      </c>
      <c r="K55" s="47">
        <v>132</v>
      </c>
    </row>
    <row r="56" spans="4:11">
      <c r="D56" s="44">
        <v>46062</v>
      </c>
      <c r="E56" s="45">
        <v>1577516</v>
      </c>
      <c r="F56" s="45" t="s">
        <v>49</v>
      </c>
      <c r="G56" s="46">
        <v>20329649</v>
      </c>
      <c r="H56" s="45" t="s">
        <v>214</v>
      </c>
      <c r="I56" s="46">
        <v>7</v>
      </c>
      <c r="J56" s="47">
        <v>16.5</v>
      </c>
      <c r="K56" s="47">
        <v>115.5</v>
      </c>
    </row>
    <row r="57" spans="4:11">
      <c r="D57" s="44">
        <v>46062</v>
      </c>
      <c r="E57" s="45">
        <v>1577516</v>
      </c>
      <c r="F57" s="45" t="s">
        <v>49</v>
      </c>
      <c r="G57" s="46">
        <v>20395779</v>
      </c>
      <c r="H57" s="45" t="s">
        <v>217</v>
      </c>
      <c r="I57" s="46">
        <v>4</v>
      </c>
      <c r="J57" s="47">
        <v>16.5</v>
      </c>
      <c r="K57" s="47">
        <v>66</v>
      </c>
    </row>
    <row r="58" spans="4:11">
      <c r="D58" s="44">
        <v>46063</v>
      </c>
      <c r="E58" s="45">
        <v>1577778</v>
      </c>
      <c r="F58" s="45" t="s">
        <v>71</v>
      </c>
      <c r="G58" s="46">
        <v>20015049</v>
      </c>
      <c r="H58" s="45" t="s">
        <v>209</v>
      </c>
      <c r="I58" s="46">
        <v>12</v>
      </c>
      <c r="J58" s="47">
        <v>16.5</v>
      </c>
      <c r="K58" s="47">
        <v>198</v>
      </c>
    </row>
    <row r="59" spans="4:11">
      <c r="D59" s="44">
        <v>46063</v>
      </c>
      <c r="E59" s="45">
        <v>1577778</v>
      </c>
      <c r="F59" s="45" t="s">
        <v>47</v>
      </c>
      <c r="G59" s="46">
        <v>20336759</v>
      </c>
      <c r="H59" s="45" t="s">
        <v>220</v>
      </c>
      <c r="I59" s="46">
        <v>1</v>
      </c>
      <c r="J59" s="47">
        <v>27.5</v>
      </c>
      <c r="K59" s="47">
        <v>27.5</v>
      </c>
    </row>
    <row r="60" spans="4:11">
      <c r="D60" s="44">
        <v>46063</v>
      </c>
      <c r="E60" s="45">
        <v>1577778</v>
      </c>
      <c r="F60" s="45" t="s">
        <v>47</v>
      </c>
      <c r="G60" s="46">
        <v>20310664</v>
      </c>
      <c r="H60" s="45" t="s">
        <v>221</v>
      </c>
      <c r="I60" s="46">
        <v>1</v>
      </c>
      <c r="J60" s="47">
        <v>33</v>
      </c>
      <c r="K60" s="47">
        <v>33</v>
      </c>
    </row>
    <row r="61" spans="4:11">
      <c r="D61" s="44">
        <v>46063</v>
      </c>
      <c r="E61" s="45">
        <v>1577811</v>
      </c>
      <c r="F61" s="45" t="s">
        <v>49</v>
      </c>
      <c r="G61" s="46">
        <v>20396325</v>
      </c>
      <c r="H61" s="45" t="s">
        <v>222</v>
      </c>
      <c r="I61" s="46">
        <v>1</v>
      </c>
      <c r="J61" s="47">
        <v>16.5</v>
      </c>
      <c r="K61" s="47">
        <v>16.5</v>
      </c>
    </row>
    <row r="62" spans="4:11">
      <c r="D62" s="44">
        <v>46063</v>
      </c>
      <c r="E62" s="45">
        <v>1577811</v>
      </c>
      <c r="F62" s="45" t="s">
        <v>49</v>
      </c>
      <c r="G62" s="46">
        <v>20354025</v>
      </c>
      <c r="H62" s="45" t="s">
        <v>212</v>
      </c>
      <c r="I62" s="46">
        <v>1</v>
      </c>
      <c r="J62" s="47">
        <v>8</v>
      </c>
      <c r="K62" s="47">
        <v>8</v>
      </c>
    </row>
    <row r="63" spans="4:11">
      <c r="D63" s="44">
        <v>46063</v>
      </c>
      <c r="E63" s="45">
        <v>1577811</v>
      </c>
      <c r="F63" s="45" t="s">
        <v>49</v>
      </c>
      <c r="G63" s="46">
        <v>20397696</v>
      </c>
      <c r="H63" s="45" t="s">
        <v>213</v>
      </c>
      <c r="I63" s="46">
        <v>1</v>
      </c>
      <c r="J63" s="47">
        <v>13.5</v>
      </c>
      <c r="K63" s="47">
        <v>13.5</v>
      </c>
    </row>
    <row r="64" spans="4:11">
      <c r="D64" s="44">
        <v>46063</v>
      </c>
      <c r="E64" s="45">
        <v>1577811</v>
      </c>
      <c r="F64" s="45" t="s">
        <v>49</v>
      </c>
      <c r="G64" s="46">
        <v>20329649</v>
      </c>
      <c r="H64" s="45" t="s">
        <v>214</v>
      </c>
      <c r="I64" s="46">
        <v>7</v>
      </c>
      <c r="J64" s="47">
        <v>16.5</v>
      </c>
      <c r="K64" s="47">
        <v>115.5</v>
      </c>
    </row>
    <row r="65" spans="4:11">
      <c r="D65" s="44">
        <v>46063</v>
      </c>
      <c r="E65" s="45">
        <v>1577811</v>
      </c>
      <c r="F65" s="45" t="s">
        <v>49</v>
      </c>
      <c r="G65" s="46">
        <v>20009921</v>
      </c>
      <c r="H65" s="45" t="s">
        <v>50</v>
      </c>
      <c r="I65" s="46">
        <v>2</v>
      </c>
      <c r="J65" s="47">
        <v>8</v>
      </c>
      <c r="K65" s="47">
        <v>16</v>
      </c>
    </row>
    <row r="66" spans="4:11">
      <c r="D66" s="44">
        <v>46063</v>
      </c>
      <c r="E66" s="45">
        <v>1577811</v>
      </c>
      <c r="F66" s="45" t="s">
        <v>49</v>
      </c>
      <c r="G66" s="46">
        <v>20012485</v>
      </c>
      <c r="H66" s="45" t="s">
        <v>219</v>
      </c>
      <c r="I66" s="46">
        <v>2</v>
      </c>
      <c r="J66" s="47">
        <v>16.5</v>
      </c>
      <c r="K66" s="47">
        <v>33</v>
      </c>
    </row>
    <row r="67" spans="4:11">
      <c r="D67" s="44">
        <v>46063</v>
      </c>
      <c r="E67" s="45">
        <v>1577811</v>
      </c>
      <c r="F67" s="45" t="s">
        <v>49</v>
      </c>
      <c r="G67" s="46">
        <v>20395779</v>
      </c>
      <c r="H67" s="45" t="s">
        <v>217</v>
      </c>
      <c r="I67" s="46">
        <v>8</v>
      </c>
      <c r="J67" s="47">
        <v>16.5</v>
      </c>
      <c r="K67" s="47">
        <v>132</v>
      </c>
    </row>
    <row r="68" spans="4:11">
      <c r="D68" s="44">
        <v>46063</v>
      </c>
      <c r="E68" s="45">
        <v>1577811</v>
      </c>
      <c r="F68" s="45" t="s">
        <v>49</v>
      </c>
      <c r="G68" s="46">
        <v>20010191</v>
      </c>
      <c r="H68" s="45" t="s">
        <v>223</v>
      </c>
      <c r="I68" s="46">
        <v>2</v>
      </c>
      <c r="J68" s="47">
        <v>16.5</v>
      </c>
      <c r="K68" s="47">
        <v>33</v>
      </c>
    </row>
    <row r="69" spans="4:11">
      <c r="D69" s="44">
        <v>46064</v>
      </c>
      <c r="E69" s="45">
        <v>1577869</v>
      </c>
      <c r="F69" s="45" t="s">
        <v>77</v>
      </c>
      <c r="G69" s="46">
        <v>20010307</v>
      </c>
      <c r="H69" s="45" t="s">
        <v>224</v>
      </c>
      <c r="I69" s="46">
        <v>1</v>
      </c>
      <c r="J69" s="47">
        <v>44</v>
      </c>
      <c r="K69" s="47">
        <v>44</v>
      </c>
    </row>
    <row r="70" spans="4:11">
      <c r="D70" s="44">
        <v>46064</v>
      </c>
      <c r="E70" s="45">
        <v>1578143</v>
      </c>
      <c r="F70" s="45" t="s">
        <v>71</v>
      </c>
      <c r="G70" s="46">
        <v>20015049</v>
      </c>
      <c r="H70" s="45" t="s">
        <v>209</v>
      </c>
      <c r="I70" s="46">
        <v>9</v>
      </c>
      <c r="J70" s="47">
        <v>16.5</v>
      </c>
      <c r="K70" s="47">
        <v>148.5</v>
      </c>
    </row>
    <row r="71" spans="4:11">
      <c r="D71" s="44">
        <v>46064</v>
      </c>
      <c r="E71" s="45">
        <v>1578143</v>
      </c>
      <c r="F71" s="45" t="s">
        <v>49</v>
      </c>
      <c r="G71" s="46">
        <v>20354025</v>
      </c>
      <c r="H71" s="45" t="s">
        <v>212</v>
      </c>
      <c r="I71" s="46">
        <v>1</v>
      </c>
      <c r="J71" s="47">
        <v>8</v>
      </c>
      <c r="K71" s="47">
        <v>8</v>
      </c>
    </row>
    <row r="72" spans="4:11">
      <c r="D72" s="44">
        <v>46064</v>
      </c>
      <c r="E72" s="45">
        <v>1578143</v>
      </c>
      <c r="F72" s="45" t="s">
        <v>49</v>
      </c>
      <c r="G72" s="46">
        <v>20329649</v>
      </c>
      <c r="H72" s="45" t="s">
        <v>214</v>
      </c>
      <c r="I72" s="46">
        <v>8</v>
      </c>
      <c r="J72" s="47">
        <v>16.5</v>
      </c>
      <c r="K72" s="47">
        <v>132</v>
      </c>
    </row>
    <row r="73" spans="4:11">
      <c r="D73" s="44">
        <v>46064</v>
      </c>
      <c r="E73" s="45">
        <v>1578143</v>
      </c>
      <c r="F73" s="45" t="s">
        <v>49</v>
      </c>
      <c r="G73" s="46">
        <v>20012485</v>
      </c>
      <c r="H73" s="45" t="s">
        <v>219</v>
      </c>
      <c r="I73" s="46">
        <v>1</v>
      </c>
      <c r="J73" s="47">
        <v>16.5</v>
      </c>
      <c r="K73" s="47">
        <v>16.5</v>
      </c>
    </row>
    <row r="74" spans="4:11">
      <c r="D74" s="44">
        <v>46064</v>
      </c>
      <c r="E74" s="45">
        <v>1578143</v>
      </c>
      <c r="F74" s="45" t="s">
        <v>49</v>
      </c>
      <c r="G74" s="46">
        <v>20395779</v>
      </c>
      <c r="H74" s="45" t="s">
        <v>217</v>
      </c>
      <c r="I74" s="46">
        <v>5</v>
      </c>
      <c r="J74" s="47">
        <v>16.5</v>
      </c>
      <c r="K74" s="47">
        <v>82.5</v>
      </c>
    </row>
    <row r="75" spans="4:11">
      <c r="D75" s="44">
        <v>46064</v>
      </c>
      <c r="E75" s="45">
        <v>1578143</v>
      </c>
      <c r="F75" s="45" t="s">
        <v>45</v>
      </c>
      <c r="G75" s="46">
        <v>20010590</v>
      </c>
      <c r="H75" s="45" t="s">
        <v>206</v>
      </c>
      <c r="I75" s="46">
        <v>17</v>
      </c>
      <c r="J75" s="47">
        <v>30</v>
      </c>
      <c r="K75" s="47">
        <v>510</v>
      </c>
    </row>
    <row r="76" spans="4:11">
      <c r="D76" s="44">
        <v>46064</v>
      </c>
      <c r="E76" s="45">
        <v>1578143</v>
      </c>
      <c r="F76" s="45" t="s">
        <v>45</v>
      </c>
      <c r="G76" s="46">
        <v>20012386</v>
      </c>
      <c r="H76" s="45" t="s">
        <v>99</v>
      </c>
      <c r="I76" s="46">
        <v>1</v>
      </c>
      <c r="J76" s="47">
        <v>35</v>
      </c>
      <c r="K76" s="47">
        <v>35</v>
      </c>
    </row>
    <row r="77" spans="4:11">
      <c r="D77" s="44">
        <v>46066</v>
      </c>
      <c r="E77" s="45">
        <v>1578768</v>
      </c>
      <c r="F77" s="45" t="s">
        <v>71</v>
      </c>
      <c r="G77" s="46">
        <v>20015049</v>
      </c>
      <c r="H77" s="45" t="s">
        <v>209</v>
      </c>
      <c r="I77" s="46">
        <v>3</v>
      </c>
      <c r="J77" s="47">
        <v>16.5</v>
      </c>
      <c r="K77" s="47">
        <v>49.5</v>
      </c>
    </row>
    <row r="78" spans="4:11">
      <c r="D78" s="44">
        <v>46066</v>
      </c>
      <c r="E78" s="45">
        <v>1578768</v>
      </c>
      <c r="F78" s="45" t="s">
        <v>49</v>
      </c>
      <c r="G78" s="46">
        <v>20316662</v>
      </c>
      <c r="H78" s="45" t="s">
        <v>210</v>
      </c>
      <c r="I78" s="46">
        <v>2</v>
      </c>
      <c r="J78" s="47">
        <v>8</v>
      </c>
      <c r="K78" s="47">
        <v>16</v>
      </c>
    </row>
    <row r="79" spans="4:11">
      <c r="D79" s="44">
        <v>46066</v>
      </c>
      <c r="E79" s="45">
        <v>1578768</v>
      </c>
      <c r="F79" s="45" t="s">
        <v>49</v>
      </c>
      <c r="G79" s="46">
        <v>20329649</v>
      </c>
      <c r="H79" s="45" t="s">
        <v>214</v>
      </c>
      <c r="I79" s="46">
        <v>3</v>
      </c>
      <c r="J79" s="47">
        <v>16.5</v>
      </c>
      <c r="K79" s="47">
        <v>49.5</v>
      </c>
    </row>
    <row r="80" spans="4:11">
      <c r="D80" s="44">
        <v>46066</v>
      </c>
      <c r="E80" s="45">
        <v>1578768</v>
      </c>
      <c r="F80" s="45" t="s">
        <v>49</v>
      </c>
      <c r="G80" s="46">
        <v>20395779</v>
      </c>
      <c r="H80" s="45" t="s">
        <v>217</v>
      </c>
      <c r="I80" s="46">
        <v>3</v>
      </c>
      <c r="J80" s="47">
        <v>16.5</v>
      </c>
      <c r="K80" s="47">
        <v>49.5</v>
      </c>
    </row>
    <row r="81" spans="4:11">
      <c r="D81" s="44">
        <v>46066</v>
      </c>
      <c r="E81" s="45">
        <v>1578768</v>
      </c>
      <c r="F81" s="45" t="s">
        <v>49</v>
      </c>
      <c r="G81" s="46">
        <v>20355763</v>
      </c>
      <c r="H81" s="45" t="s">
        <v>225</v>
      </c>
      <c r="I81" s="46">
        <v>1</v>
      </c>
      <c r="J81" s="47">
        <v>8</v>
      </c>
      <c r="K81" s="47">
        <v>8</v>
      </c>
    </row>
    <row r="82" spans="4:11">
      <c r="D82" s="44">
        <v>46066</v>
      </c>
      <c r="E82" s="45">
        <v>1578768</v>
      </c>
      <c r="F82" s="45" t="s">
        <v>49</v>
      </c>
      <c r="G82" s="46">
        <v>20392541</v>
      </c>
      <c r="H82" s="45" t="s">
        <v>226</v>
      </c>
      <c r="I82" s="46">
        <v>1</v>
      </c>
      <c r="J82" s="47">
        <v>16.5</v>
      </c>
      <c r="K82" s="47">
        <v>16.5</v>
      </c>
    </row>
    <row r="83" spans="4:11">
      <c r="D83" s="44">
        <v>46066</v>
      </c>
      <c r="E83" s="45">
        <v>1578768</v>
      </c>
      <c r="F83" s="45" t="s">
        <v>45</v>
      </c>
      <c r="G83" s="46">
        <v>20010590</v>
      </c>
      <c r="H83" s="45" t="s">
        <v>206</v>
      </c>
      <c r="I83" s="46">
        <v>1</v>
      </c>
      <c r="J83" s="47">
        <v>30</v>
      </c>
      <c r="K83" s="47">
        <v>30</v>
      </c>
    </row>
    <row r="84" spans="4:11">
      <c r="D84" s="44">
        <v>46066</v>
      </c>
      <c r="E84" s="45">
        <v>1578768</v>
      </c>
      <c r="F84" s="45" t="s">
        <v>47</v>
      </c>
      <c r="G84" s="46">
        <v>20336280</v>
      </c>
      <c r="H84" s="45" t="s">
        <v>227</v>
      </c>
      <c r="I84" s="46">
        <v>1</v>
      </c>
      <c r="J84" s="47">
        <v>33</v>
      </c>
      <c r="K84" s="47">
        <v>33</v>
      </c>
    </row>
    <row r="85" spans="4:11">
      <c r="D85" s="44">
        <v>46066</v>
      </c>
      <c r="E85" s="45">
        <v>1578768</v>
      </c>
      <c r="F85" s="45" t="s">
        <v>47</v>
      </c>
      <c r="G85" s="46">
        <v>20312573</v>
      </c>
      <c r="H85" s="45" t="s">
        <v>207</v>
      </c>
      <c r="I85" s="46">
        <v>3</v>
      </c>
      <c r="J85" s="47">
        <v>38.5</v>
      </c>
      <c r="K85" s="47">
        <v>115.5</v>
      </c>
    </row>
    <row r="86" spans="4:11">
      <c r="D86" s="44">
        <v>46067</v>
      </c>
      <c r="E86" s="45">
        <v>1578940</v>
      </c>
      <c r="F86" s="45" t="s">
        <v>45</v>
      </c>
      <c r="G86" s="46">
        <v>20012386</v>
      </c>
      <c r="H86" s="45" t="s">
        <v>99</v>
      </c>
      <c r="I86" s="46">
        <v>1</v>
      </c>
      <c r="J86" s="47">
        <v>35</v>
      </c>
      <c r="K86" s="47">
        <v>35</v>
      </c>
    </row>
    <row r="87" spans="4:11">
      <c r="D87" s="44">
        <v>46077</v>
      </c>
      <c r="E87" s="45">
        <v>1579742</v>
      </c>
      <c r="F87" s="45" t="s">
        <v>45</v>
      </c>
      <c r="G87" s="46">
        <v>20010590</v>
      </c>
      <c r="H87" s="45" t="s">
        <v>206</v>
      </c>
      <c r="I87" s="46">
        <v>19</v>
      </c>
      <c r="J87" s="47">
        <v>30</v>
      </c>
      <c r="K87" s="47">
        <v>570</v>
      </c>
    </row>
    <row r="88" spans="4:11">
      <c r="D88" s="44">
        <v>46077</v>
      </c>
      <c r="E88" s="45">
        <v>1579831</v>
      </c>
      <c r="F88" s="45" t="s">
        <v>71</v>
      </c>
      <c r="G88" s="46">
        <v>20009957</v>
      </c>
      <c r="H88" s="45" t="s">
        <v>208</v>
      </c>
      <c r="I88" s="46">
        <v>2</v>
      </c>
      <c r="J88" s="47">
        <v>16.5</v>
      </c>
      <c r="K88" s="47">
        <v>33</v>
      </c>
    </row>
    <row r="89" spans="4:11">
      <c r="D89" s="44">
        <v>46077</v>
      </c>
      <c r="E89" s="45">
        <v>1579831</v>
      </c>
      <c r="F89" s="45" t="s">
        <v>71</v>
      </c>
      <c r="G89" s="46">
        <v>20015049</v>
      </c>
      <c r="H89" s="45" t="s">
        <v>209</v>
      </c>
      <c r="I89" s="46">
        <v>1</v>
      </c>
      <c r="J89" s="47">
        <v>16.5</v>
      </c>
      <c r="K89" s="47">
        <v>16.5</v>
      </c>
    </row>
    <row r="90" spans="4:11">
      <c r="D90" s="44">
        <v>46077</v>
      </c>
      <c r="E90" s="45">
        <v>1579831</v>
      </c>
      <c r="F90" s="45" t="s">
        <v>49</v>
      </c>
      <c r="G90" s="46">
        <v>20015226</v>
      </c>
      <c r="H90" s="45" t="s">
        <v>98</v>
      </c>
      <c r="I90" s="46">
        <v>2</v>
      </c>
      <c r="J90" s="47">
        <v>8</v>
      </c>
      <c r="K90" s="47">
        <v>16</v>
      </c>
    </row>
    <row r="91" spans="4:11">
      <c r="D91" s="44">
        <v>46077</v>
      </c>
      <c r="E91" s="45">
        <v>1579831</v>
      </c>
      <c r="F91" s="45" t="s">
        <v>49</v>
      </c>
      <c r="G91" s="46">
        <v>20316662</v>
      </c>
      <c r="H91" s="45" t="s">
        <v>210</v>
      </c>
      <c r="I91" s="46">
        <v>1</v>
      </c>
      <c r="J91" s="47">
        <v>8</v>
      </c>
      <c r="K91" s="47">
        <v>8</v>
      </c>
    </row>
    <row r="92" spans="4:11">
      <c r="D92" s="44">
        <v>46077</v>
      </c>
      <c r="E92" s="45">
        <v>1579831</v>
      </c>
      <c r="F92" s="45" t="s">
        <v>49</v>
      </c>
      <c r="G92" s="46">
        <v>20010149</v>
      </c>
      <c r="H92" s="45" t="s">
        <v>211</v>
      </c>
      <c r="I92" s="46">
        <v>1</v>
      </c>
      <c r="J92" s="47">
        <v>8</v>
      </c>
      <c r="K92" s="47">
        <v>8</v>
      </c>
    </row>
    <row r="93" spans="4:11">
      <c r="D93" s="44">
        <v>46077</v>
      </c>
      <c r="E93" s="45">
        <v>1579831</v>
      </c>
      <c r="F93" s="45" t="s">
        <v>49</v>
      </c>
      <c r="G93" s="46">
        <v>20354025</v>
      </c>
      <c r="H93" s="45" t="s">
        <v>212</v>
      </c>
      <c r="I93" s="46">
        <v>2</v>
      </c>
      <c r="J93" s="47">
        <v>8</v>
      </c>
      <c r="K93" s="47">
        <v>16</v>
      </c>
    </row>
    <row r="94" spans="4:11">
      <c r="D94" s="44">
        <v>46077</v>
      </c>
      <c r="E94" s="45">
        <v>1579831</v>
      </c>
      <c r="F94" s="45" t="s">
        <v>49</v>
      </c>
      <c r="G94" s="46">
        <v>20012485</v>
      </c>
      <c r="H94" s="45" t="s">
        <v>219</v>
      </c>
      <c r="I94" s="46">
        <v>1</v>
      </c>
      <c r="J94" s="47">
        <v>16.5</v>
      </c>
      <c r="K94" s="47">
        <v>16.5</v>
      </c>
    </row>
    <row r="95" spans="4:11">
      <c r="D95" s="44">
        <v>46077</v>
      </c>
      <c r="E95" s="45">
        <v>1579831</v>
      </c>
      <c r="F95" s="45" t="s">
        <v>47</v>
      </c>
      <c r="G95" s="46">
        <v>20336759</v>
      </c>
      <c r="H95" s="45" t="s">
        <v>220</v>
      </c>
      <c r="I95" s="46">
        <v>1</v>
      </c>
      <c r="J95" s="47">
        <v>27.5</v>
      </c>
      <c r="K95" s="47">
        <v>27.5</v>
      </c>
    </row>
    <row r="96" spans="4:11">
      <c r="D96" s="44">
        <v>46077</v>
      </c>
      <c r="E96" s="45">
        <v>1579831</v>
      </c>
      <c r="F96" s="45" t="s">
        <v>47</v>
      </c>
      <c r="G96" s="46">
        <v>20336758</v>
      </c>
      <c r="H96" s="45" t="s">
        <v>228</v>
      </c>
      <c r="I96" s="46">
        <v>1</v>
      </c>
      <c r="J96" s="47">
        <v>27.5</v>
      </c>
      <c r="K96" s="47">
        <v>27.5</v>
      </c>
    </row>
    <row r="97" spans="4:11">
      <c r="D97" s="44">
        <v>46077</v>
      </c>
      <c r="E97" s="45">
        <v>1579831</v>
      </c>
      <c r="F97" s="45" t="s">
        <v>47</v>
      </c>
      <c r="G97" s="46">
        <v>20312573</v>
      </c>
      <c r="H97" s="45" t="s">
        <v>207</v>
      </c>
      <c r="I97" s="46">
        <v>1</v>
      </c>
      <c r="J97" s="47">
        <v>38.5</v>
      </c>
      <c r="K97" s="47">
        <v>38.5</v>
      </c>
    </row>
    <row r="98" spans="4:11">
      <c r="D98" s="44">
        <v>46078</v>
      </c>
      <c r="E98" s="45">
        <v>1580122</v>
      </c>
      <c r="F98" s="45" t="s">
        <v>71</v>
      </c>
      <c r="G98" s="46">
        <v>20015049</v>
      </c>
      <c r="H98" s="45" t="s">
        <v>209</v>
      </c>
      <c r="I98" s="46">
        <v>8</v>
      </c>
      <c r="J98" s="47">
        <v>16.5</v>
      </c>
      <c r="K98" s="47">
        <v>132</v>
      </c>
    </row>
    <row r="99" spans="4:11">
      <c r="D99" s="44">
        <v>46078</v>
      </c>
      <c r="E99" s="45">
        <v>1580122</v>
      </c>
      <c r="F99" s="45" t="s">
        <v>49</v>
      </c>
      <c r="G99" s="46">
        <v>20015226</v>
      </c>
      <c r="H99" s="45" t="s">
        <v>98</v>
      </c>
      <c r="I99" s="46">
        <v>1</v>
      </c>
      <c r="J99" s="47">
        <v>8</v>
      </c>
      <c r="K99" s="47">
        <v>8</v>
      </c>
    </row>
    <row r="100" spans="4:11">
      <c r="D100" s="44">
        <v>46078</v>
      </c>
      <c r="E100" s="45">
        <v>1580122</v>
      </c>
      <c r="F100" s="45" t="s">
        <v>49</v>
      </c>
      <c r="G100" s="46">
        <v>20010149</v>
      </c>
      <c r="H100" s="45" t="s">
        <v>211</v>
      </c>
      <c r="I100" s="46">
        <v>1</v>
      </c>
      <c r="J100" s="47">
        <v>8</v>
      </c>
      <c r="K100" s="47">
        <v>8</v>
      </c>
    </row>
    <row r="101" spans="4:11">
      <c r="D101" s="44">
        <v>46078</v>
      </c>
      <c r="E101" s="45">
        <v>1580122</v>
      </c>
      <c r="F101" s="45" t="s">
        <v>49</v>
      </c>
      <c r="G101" s="46">
        <v>20009982</v>
      </c>
      <c r="H101" s="45" t="s">
        <v>218</v>
      </c>
      <c r="I101" s="46">
        <v>1</v>
      </c>
      <c r="J101" s="47">
        <v>8</v>
      </c>
      <c r="K101" s="47">
        <v>8</v>
      </c>
    </row>
    <row r="102" spans="4:11">
      <c r="D102" s="44">
        <v>46078</v>
      </c>
      <c r="E102" s="45">
        <v>1580122</v>
      </c>
      <c r="F102" s="45" t="s">
        <v>49</v>
      </c>
      <c r="G102" s="46">
        <v>20354025</v>
      </c>
      <c r="H102" s="45" t="s">
        <v>212</v>
      </c>
      <c r="I102" s="46">
        <v>2</v>
      </c>
      <c r="J102" s="47">
        <v>8</v>
      </c>
      <c r="K102" s="47">
        <v>16</v>
      </c>
    </row>
    <row r="103" spans="4:11">
      <c r="D103" s="44">
        <v>46078</v>
      </c>
      <c r="E103" s="45">
        <v>1580122</v>
      </c>
      <c r="F103" s="45" t="s">
        <v>49</v>
      </c>
      <c r="G103" s="46">
        <v>20329649</v>
      </c>
      <c r="H103" s="45" t="s">
        <v>214</v>
      </c>
      <c r="I103" s="46">
        <v>8</v>
      </c>
      <c r="J103" s="47">
        <v>16.5</v>
      </c>
      <c r="K103" s="47">
        <v>132</v>
      </c>
    </row>
    <row r="104" spans="4:11">
      <c r="D104" s="44">
        <v>46078</v>
      </c>
      <c r="E104" s="45">
        <v>1580122</v>
      </c>
      <c r="F104" s="45" t="s">
        <v>49</v>
      </c>
      <c r="G104" s="46">
        <v>20314889</v>
      </c>
      <c r="H104" s="45" t="s">
        <v>229</v>
      </c>
      <c r="I104" s="46">
        <v>1</v>
      </c>
      <c r="J104" s="47">
        <v>8</v>
      </c>
      <c r="K104" s="47">
        <v>8</v>
      </c>
    </row>
    <row r="105" spans="4:11">
      <c r="D105" s="44">
        <v>46078</v>
      </c>
      <c r="E105" s="45">
        <v>1580122</v>
      </c>
      <c r="F105" s="45" t="s">
        <v>49</v>
      </c>
      <c r="G105" s="46">
        <v>20012485</v>
      </c>
      <c r="H105" s="45" t="s">
        <v>219</v>
      </c>
      <c r="I105" s="46">
        <v>1</v>
      </c>
      <c r="J105" s="47">
        <v>16.5</v>
      </c>
      <c r="K105" s="47">
        <v>16.5</v>
      </c>
    </row>
    <row r="106" spans="4:11">
      <c r="D106" s="44">
        <v>46078</v>
      </c>
      <c r="E106" s="45">
        <v>1580122</v>
      </c>
      <c r="F106" s="45" t="s">
        <v>49</v>
      </c>
      <c r="G106" s="46">
        <v>20013929</v>
      </c>
      <c r="H106" s="45" t="s">
        <v>230</v>
      </c>
      <c r="I106" s="46">
        <v>1</v>
      </c>
      <c r="J106" s="47">
        <v>8</v>
      </c>
      <c r="K106" s="47">
        <v>8</v>
      </c>
    </row>
    <row r="107" spans="4:11">
      <c r="D107" s="44">
        <v>46078</v>
      </c>
      <c r="E107" s="45">
        <v>1580122</v>
      </c>
      <c r="F107" s="45" t="s">
        <v>49</v>
      </c>
      <c r="G107" s="46">
        <v>20395779</v>
      </c>
      <c r="H107" s="45" t="s">
        <v>217</v>
      </c>
      <c r="I107" s="46">
        <v>3</v>
      </c>
      <c r="J107" s="47">
        <v>16.5</v>
      </c>
      <c r="K107" s="47">
        <v>49.5</v>
      </c>
    </row>
    <row r="108" spans="4:11">
      <c r="D108" s="44">
        <v>46078</v>
      </c>
      <c r="E108" s="45">
        <v>1580122</v>
      </c>
      <c r="F108" s="45" t="s">
        <v>45</v>
      </c>
      <c r="G108" s="46">
        <v>20010590</v>
      </c>
      <c r="H108" s="45" t="s">
        <v>206</v>
      </c>
      <c r="I108" s="46">
        <v>2</v>
      </c>
      <c r="J108" s="47">
        <v>30</v>
      </c>
      <c r="K108" s="47">
        <v>60</v>
      </c>
    </row>
    <row r="109" spans="4:11">
      <c r="D109" s="44">
        <v>46078</v>
      </c>
      <c r="E109" s="45">
        <v>1580122</v>
      </c>
      <c r="F109" s="45" t="s">
        <v>47</v>
      </c>
      <c r="G109" s="46">
        <v>20310664</v>
      </c>
      <c r="H109" s="45" t="s">
        <v>221</v>
      </c>
      <c r="I109" s="46">
        <v>1</v>
      </c>
      <c r="J109" s="47">
        <v>33</v>
      </c>
      <c r="K109" s="47">
        <v>33</v>
      </c>
    </row>
    <row r="110" spans="4:11">
      <c r="D110" s="44">
        <v>46079</v>
      </c>
      <c r="E110" s="45">
        <v>1580431</v>
      </c>
      <c r="F110" s="45" t="s">
        <v>71</v>
      </c>
      <c r="G110" s="46">
        <v>20015049</v>
      </c>
      <c r="H110" s="45" t="s">
        <v>209</v>
      </c>
      <c r="I110" s="46">
        <v>8</v>
      </c>
      <c r="J110" s="47">
        <v>16.5</v>
      </c>
      <c r="K110" s="47">
        <v>132</v>
      </c>
    </row>
    <row r="111" spans="4:11">
      <c r="D111" s="44">
        <v>46079</v>
      </c>
      <c r="E111" s="45">
        <v>1580431</v>
      </c>
      <c r="F111" s="45" t="s">
        <v>47</v>
      </c>
      <c r="G111" s="46">
        <v>20312573</v>
      </c>
      <c r="H111" s="45" t="s">
        <v>207</v>
      </c>
      <c r="I111" s="46">
        <v>2</v>
      </c>
      <c r="J111" s="47">
        <v>38.5</v>
      </c>
      <c r="K111" s="47">
        <v>77</v>
      </c>
    </row>
    <row r="112" spans="4:11">
      <c r="D112" s="44">
        <v>46080</v>
      </c>
      <c r="E112" s="45">
        <v>1580550</v>
      </c>
      <c r="F112" s="45" t="s">
        <v>49</v>
      </c>
      <c r="G112" s="46">
        <v>20316662</v>
      </c>
      <c r="H112" s="45" t="s">
        <v>210</v>
      </c>
      <c r="I112" s="46">
        <v>2</v>
      </c>
      <c r="J112" s="47">
        <v>8</v>
      </c>
      <c r="K112" s="47">
        <v>16</v>
      </c>
    </row>
    <row r="113" spans="4:11">
      <c r="D113" s="44">
        <v>46080</v>
      </c>
      <c r="E113" s="45">
        <v>1580550</v>
      </c>
      <c r="F113" s="45" t="s">
        <v>49</v>
      </c>
      <c r="G113" s="46">
        <v>20354025</v>
      </c>
      <c r="H113" s="45" t="s">
        <v>212</v>
      </c>
      <c r="I113" s="46">
        <v>4</v>
      </c>
      <c r="J113" s="47">
        <v>8</v>
      </c>
      <c r="K113" s="47">
        <v>32</v>
      </c>
    </row>
    <row r="114" spans="4:11">
      <c r="D114" s="44">
        <v>46080</v>
      </c>
      <c r="E114" s="45">
        <v>1580550</v>
      </c>
      <c r="F114" s="45" t="s">
        <v>49</v>
      </c>
      <c r="G114" s="46">
        <v>20397696</v>
      </c>
      <c r="H114" s="45" t="s">
        <v>213</v>
      </c>
      <c r="I114" s="46">
        <v>1</v>
      </c>
      <c r="J114" s="47">
        <v>13.5</v>
      </c>
      <c r="K114" s="47">
        <v>13.5</v>
      </c>
    </row>
    <row r="115" spans="4:11">
      <c r="D115" s="44">
        <v>46080</v>
      </c>
      <c r="E115" s="45">
        <v>1580550</v>
      </c>
      <c r="F115" s="45" t="s">
        <v>49</v>
      </c>
      <c r="G115" s="46">
        <v>20329649</v>
      </c>
      <c r="H115" s="45" t="s">
        <v>214</v>
      </c>
      <c r="I115" s="46">
        <v>7</v>
      </c>
      <c r="J115" s="47">
        <v>16.5</v>
      </c>
      <c r="K115" s="47">
        <v>115.5</v>
      </c>
    </row>
    <row r="116" spans="4:11">
      <c r="D116" s="44">
        <v>46080</v>
      </c>
      <c r="E116" s="45">
        <v>1580550</v>
      </c>
      <c r="F116" s="45" t="s">
        <v>49</v>
      </c>
      <c r="G116" s="46">
        <v>20395779</v>
      </c>
      <c r="H116" s="45" t="s">
        <v>217</v>
      </c>
      <c r="I116" s="46">
        <v>5</v>
      </c>
      <c r="J116" s="47">
        <v>16.5</v>
      </c>
      <c r="K116" s="47">
        <v>82.5</v>
      </c>
    </row>
    <row r="117" spans="4:11">
      <c r="D117" s="44">
        <v>46080</v>
      </c>
      <c r="E117" s="45">
        <v>1580785</v>
      </c>
      <c r="F117" s="45" t="s">
        <v>77</v>
      </c>
      <c r="G117" s="46">
        <v>20010307</v>
      </c>
      <c r="H117" s="45" t="s">
        <v>224</v>
      </c>
      <c r="I117" s="46">
        <v>1</v>
      </c>
      <c r="J117" s="47">
        <v>44</v>
      </c>
      <c r="K117" s="47">
        <v>44</v>
      </c>
    </row>
    <row r="118" spans="4:11">
      <c r="D118" s="44">
        <v>46080</v>
      </c>
      <c r="E118" s="45">
        <v>1580792</v>
      </c>
      <c r="F118" s="45" t="s">
        <v>45</v>
      </c>
      <c r="G118" s="46">
        <v>20010590</v>
      </c>
      <c r="H118" s="45" t="s">
        <v>206</v>
      </c>
      <c r="I118" s="46">
        <v>20</v>
      </c>
      <c r="J118" s="47">
        <v>30</v>
      </c>
      <c r="K118" s="47">
        <v>600</v>
      </c>
    </row>
    <row r="119" spans="4:11">
      <c r="D119" s="44">
        <v>46080</v>
      </c>
      <c r="E119" s="45">
        <v>1580856</v>
      </c>
      <c r="F119" s="45" t="s">
        <v>71</v>
      </c>
      <c r="G119" s="46">
        <v>20015049</v>
      </c>
      <c r="H119" s="45" t="s">
        <v>209</v>
      </c>
      <c r="I119" s="46">
        <v>6</v>
      </c>
      <c r="J119" s="47">
        <v>16.5</v>
      </c>
      <c r="K119" s="47">
        <v>99</v>
      </c>
    </row>
    <row r="120" spans="4:11">
      <c r="D120" s="44">
        <v>46080</v>
      </c>
      <c r="E120" s="45">
        <v>1580856</v>
      </c>
      <c r="F120" s="45" t="s">
        <v>49</v>
      </c>
      <c r="G120" s="46">
        <v>20010149</v>
      </c>
      <c r="H120" s="45" t="s">
        <v>211</v>
      </c>
      <c r="I120" s="46">
        <v>3</v>
      </c>
      <c r="J120" s="47">
        <v>8</v>
      </c>
      <c r="K120" s="47">
        <v>24</v>
      </c>
    </row>
    <row r="121" spans="4:11">
      <c r="D121" s="44">
        <v>46080</v>
      </c>
      <c r="E121" s="45">
        <v>1580856</v>
      </c>
      <c r="F121" s="45" t="s">
        <v>49</v>
      </c>
      <c r="G121" s="46">
        <v>20396325</v>
      </c>
      <c r="H121" s="45" t="s">
        <v>222</v>
      </c>
      <c r="I121" s="46">
        <v>2</v>
      </c>
      <c r="J121" s="47">
        <v>16.5</v>
      </c>
      <c r="K121" s="47">
        <v>33</v>
      </c>
    </row>
    <row r="122" spans="4:11">
      <c r="D122" s="44">
        <v>46080</v>
      </c>
      <c r="E122" s="45">
        <v>1580856</v>
      </c>
      <c r="F122" s="45" t="s">
        <v>49</v>
      </c>
      <c r="G122" s="46">
        <v>20012485</v>
      </c>
      <c r="H122" s="45" t="s">
        <v>219</v>
      </c>
      <c r="I122" s="46">
        <v>1</v>
      </c>
      <c r="J122" s="47">
        <v>16.5</v>
      </c>
      <c r="K122" s="47">
        <v>16.5</v>
      </c>
    </row>
    <row r="123" spans="4:11">
      <c r="D123" s="44">
        <v>46080</v>
      </c>
      <c r="E123" s="45">
        <v>1580856</v>
      </c>
      <c r="F123" s="45" t="s">
        <v>49</v>
      </c>
      <c r="G123" s="46">
        <v>20395779</v>
      </c>
      <c r="H123" s="45" t="s">
        <v>217</v>
      </c>
      <c r="I123" s="46">
        <v>4</v>
      </c>
      <c r="J123" s="47">
        <v>16.5</v>
      </c>
      <c r="K123" s="47">
        <v>66</v>
      </c>
    </row>
    <row r="124" spans="4:11">
      <c r="D124" s="44">
        <v>46080</v>
      </c>
      <c r="E124" s="45">
        <v>1580856</v>
      </c>
      <c r="F124" s="45" t="s">
        <v>49</v>
      </c>
      <c r="G124" s="46">
        <v>20010191</v>
      </c>
      <c r="H124" s="45" t="s">
        <v>223</v>
      </c>
      <c r="I124" s="46">
        <v>3</v>
      </c>
      <c r="J124" s="47">
        <v>16.5</v>
      </c>
      <c r="K124" s="47">
        <v>49.5</v>
      </c>
    </row>
    <row r="125" spans="4:11">
      <c r="D125" s="44">
        <v>46080</v>
      </c>
      <c r="E125" s="45">
        <v>1580856</v>
      </c>
      <c r="F125" s="45" t="s">
        <v>47</v>
      </c>
      <c r="G125" s="46">
        <v>20310664</v>
      </c>
      <c r="H125" s="45" t="s">
        <v>221</v>
      </c>
      <c r="I125" s="46">
        <v>1</v>
      </c>
      <c r="J125" s="47">
        <v>33</v>
      </c>
      <c r="K125" s="47">
        <v>33</v>
      </c>
    </row>
    <row r="126" spans="4:11">
      <c r="D126" s="44">
        <v>46080</v>
      </c>
      <c r="E126" s="45">
        <v>1580856</v>
      </c>
      <c r="F126" s="45" t="s">
        <v>59</v>
      </c>
      <c r="G126" s="46">
        <v>20010019</v>
      </c>
      <c r="H126" s="45" t="s">
        <v>231</v>
      </c>
      <c r="I126" s="46">
        <v>1</v>
      </c>
      <c r="J126" s="47">
        <v>2.5</v>
      </c>
      <c r="K126" s="47">
        <v>2.5</v>
      </c>
    </row>
    <row r="127" spans="4:11">
      <c r="D127" s="44">
        <v>46081</v>
      </c>
      <c r="E127" s="45">
        <v>1581086</v>
      </c>
      <c r="F127" s="45" t="s">
        <v>45</v>
      </c>
      <c r="G127" s="46">
        <v>20012386</v>
      </c>
      <c r="H127" s="45" t="s">
        <v>99</v>
      </c>
      <c r="I127" s="46">
        <v>2</v>
      </c>
      <c r="J127" s="47">
        <v>35</v>
      </c>
      <c r="K127" s="47">
        <v>70</v>
      </c>
    </row>
    <row r="128" ht="0.05" customHeight="1"/>
  </sheetData>
  <autoFilter xmlns:etc="http://www.wps.cn/officeDocument/2017/etCustomData" ref="A7:K127" etc:filterBottomFollowUsedRange="0">
    <extLst/>
  </autoFilter>
  <mergeCells count="5">
    <mergeCell ref="D8:H8"/>
    <mergeCell ref="C7:C127"/>
    <mergeCell ref="B4:H5"/>
    <mergeCell ref="A7:B1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13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12</v>
      </c>
      <c r="J8" s="43"/>
      <c r="K8" s="43">
        <v>410</v>
      </c>
    </row>
    <row r="9" spans="1:11">
      <c r="D9" s="44">
        <v>46056</v>
      </c>
      <c r="E9" s="45">
        <v>1575651</v>
      </c>
      <c r="F9" s="45" t="s">
        <v>49</v>
      </c>
      <c r="G9" s="46">
        <v>20009965</v>
      </c>
      <c r="H9" s="45" t="s">
        <v>232</v>
      </c>
      <c r="I9" s="46">
        <v>1</v>
      </c>
      <c r="J9" s="47">
        <v>8</v>
      </c>
      <c r="K9" s="47">
        <v>8</v>
      </c>
    </row>
    <row r="10" spans="1:11">
      <c r="D10" s="44">
        <v>46056</v>
      </c>
      <c r="E10" s="45">
        <v>1575651</v>
      </c>
      <c r="F10" s="45" t="s">
        <v>49</v>
      </c>
      <c r="G10" s="46">
        <v>20010429</v>
      </c>
      <c r="H10" s="45" t="s">
        <v>89</v>
      </c>
      <c r="I10" s="46">
        <v>1</v>
      </c>
      <c r="J10" s="47">
        <v>8</v>
      </c>
      <c r="K10" s="47">
        <v>8</v>
      </c>
    </row>
    <row r="11" spans="1:11">
      <c r="D11" s="44">
        <v>46062</v>
      </c>
      <c r="E11" s="45">
        <v>1577517</v>
      </c>
      <c r="F11" s="45" t="s">
        <v>49</v>
      </c>
      <c r="G11" s="46">
        <v>20012723</v>
      </c>
      <c r="H11" s="45" t="s">
        <v>67</v>
      </c>
      <c r="I11" s="46">
        <v>1</v>
      </c>
      <c r="J11" s="47">
        <v>8</v>
      </c>
      <c r="K11" s="47">
        <v>8</v>
      </c>
    </row>
    <row r="12" spans="1:11">
      <c r="D12" s="44">
        <v>46062</v>
      </c>
      <c r="E12" s="45">
        <v>1577517</v>
      </c>
      <c r="F12" s="45" t="s">
        <v>49</v>
      </c>
      <c r="G12" s="46">
        <v>20009965</v>
      </c>
      <c r="H12" s="45" t="s">
        <v>232</v>
      </c>
      <c r="I12" s="46">
        <v>2</v>
      </c>
      <c r="J12" s="47">
        <v>8</v>
      </c>
      <c r="K12" s="47">
        <v>16</v>
      </c>
    </row>
    <row r="13" spans="1:11">
      <c r="D13" s="44">
        <v>46062</v>
      </c>
      <c r="E13" s="45">
        <v>1577517</v>
      </c>
      <c r="F13" s="45" t="s">
        <v>49</v>
      </c>
      <c r="G13" s="46">
        <v>20010429</v>
      </c>
      <c r="H13" s="45" t="s">
        <v>89</v>
      </c>
      <c r="I13" s="46">
        <v>1</v>
      </c>
      <c r="J13" s="47">
        <v>8</v>
      </c>
      <c r="K13" s="47">
        <v>8</v>
      </c>
    </row>
    <row r="14" spans="1:11">
      <c r="D14" s="44">
        <v>46065</v>
      </c>
      <c r="E14" s="45">
        <v>1578494</v>
      </c>
      <c r="F14" s="45" t="s">
        <v>49</v>
      </c>
      <c r="G14" s="46">
        <v>20010116</v>
      </c>
      <c r="H14" s="45" t="s">
        <v>97</v>
      </c>
      <c r="I14" s="46">
        <v>2</v>
      </c>
      <c r="J14" s="47">
        <v>8</v>
      </c>
      <c r="K14" s="47">
        <v>16</v>
      </c>
    </row>
    <row r="15" spans="1:11">
      <c r="D15" s="44">
        <v>46079</v>
      </c>
      <c r="E15" s="45">
        <v>1580167</v>
      </c>
      <c r="F15" s="45" t="s">
        <v>77</v>
      </c>
      <c r="G15" s="46">
        <v>20413529</v>
      </c>
      <c r="H15" s="45" t="s">
        <v>233</v>
      </c>
      <c r="I15" s="46">
        <v>1</v>
      </c>
      <c r="J15" s="47">
        <v>165</v>
      </c>
      <c r="K15" s="47">
        <v>165</v>
      </c>
    </row>
    <row r="16" spans="1:11">
      <c r="D16" s="44">
        <v>46080</v>
      </c>
      <c r="E16" s="45">
        <v>1580784</v>
      </c>
      <c r="F16" s="45" t="s">
        <v>77</v>
      </c>
      <c r="G16" s="46">
        <v>20413892</v>
      </c>
      <c r="H16" s="45" t="s">
        <v>234</v>
      </c>
      <c r="I16" s="46">
        <v>1</v>
      </c>
      <c r="J16" s="47">
        <v>165</v>
      </c>
      <c r="K16" s="47">
        <v>165</v>
      </c>
    </row>
    <row r="17" spans="4:11">
      <c r="D17" s="44">
        <v>46081</v>
      </c>
      <c r="E17" s="45">
        <v>1581165</v>
      </c>
      <c r="F17" s="45" t="s">
        <v>49</v>
      </c>
      <c r="G17" s="46">
        <v>20010116</v>
      </c>
      <c r="H17" s="45" t="s">
        <v>97</v>
      </c>
      <c r="I17" s="46">
        <v>1</v>
      </c>
      <c r="J17" s="47">
        <v>8</v>
      </c>
      <c r="K17" s="47">
        <v>8</v>
      </c>
    </row>
    <row r="18" spans="4:11">
      <c r="D18" s="44">
        <v>46081</v>
      </c>
      <c r="E18" s="45">
        <v>1581165</v>
      </c>
      <c r="F18" s="45" t="s">
        <v>49</v>
      </c>
      <c r="G18" s="46">
        <v>20009965</v>
      </c>
      <c r="H18" s="45" t="s">
        <v>232</v>
      </c>
      <c r="I18" s="46">
        <v>1</v>
      </c>
      <c r="J18" s="47">
        <v>8</v>
      </c>
      <c r="K18" s="47">
        <v>8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19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5</v>
      </c>
      <c r="J8" s="43"/>
      <c r="K8" s="43">
        <v>40</v>
      </c>
    </row>
    <row r="9" spans="1:11">
      <c r="D9" s="44">
        <v>46058</v>
      </c>
      <c r="E9" s="45">
        <v>1576682</v>
      </c>
      <c r="F9" s="45" t="s">
        <v>49</v>
      </c>
      <c r="G9" s="46">
        <v>20010645</v>
      </c>
      <c r="H9" s="45" t="s">
        <v>86</v>
      </c>
      <c r="I9" s="46">
        <v>1</v>
      </c>
      <c r="J9" s="47">
        <v>8</v>
      </c>
      <c r="K9" s="47">
        <v>8</v>
      </c>
    </row>
    <row r="10" spans="1:11">
      <c r="D10" s="44">
        <v>46081</v>
      </c>
      <c r="E10" s="45">
        <v>1581166</v>
      </c>
      <c r="F10" s="45" t="s">
        <v>49</v>
      </c>
      <c r="G10" s="46">
        <v>20010645</v>
      </c>
      <c r="H10" s="45" t="s">
        <v>86</v>
      </c>
      <c r="I10" s="46">
        <v>4</v>
      </c>
      <c r="J10" s="47">
        <v>8</v>
      </c>
      <c r="K10" s="47">
        <v>32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0"/>
  <sheetViews>
    <sheetView showGridLines="0" view="pageBreakPreview" zoomScaleNormal="100" workbookViewId="0">
      <pane ySplit="6" topLeftCell="A7" activePane="bottomLeft" state="frozen"/>
      <selection/>
      <selection pane="bottomLeft" activeCell="R29" sqref="R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10.2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20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f>SUM(I9:I670)</f>
        <v>1139</v>
      </c>
      <c r="J8" s="42"/>
      <c r="K8" s="42">
        <f>SUM(K9:K670)</f>
        <v>46685</v>
      </c>
    </row>
    <row r="9" spans="1:11">
      <c r="D9" s="44">
        <v>46054</v>
      </c>
      <c r="E9" s="45">
        <v>1575347</v>
      </c>
      <c r="F9" s="45" t="s">
        <v>235</v>
      </c>
      <c r="G9" s="46">
        <v>20009864</v>
      </c>
      <c r="H9" s="45" t="s">
        <v>236</v>
      </c>
      <c r="I9" s="46">
        <v>1</v>
      </c>
      <c r="J9" s="47">
        <v>52</v>
      </c>
      <c r="K9" s="47">
        <v>52</v>
      </c>
    </row>
    <row r="10" spans="1:11">
      <c r="D10" s="44">
        <v>46054</v>
      </c>
      <c r="E10" s="45">
        <v>1575347</v>
      </c>
      <c r="F10" s="45" t="s">
        <v>235</v>
      </c>
      <c r="G10" s="46">
        <v>20009866</v>
      </c>
      <c r="H10" s="45" t="s">
        <v>237</v>
      </c>
      <c r="I10" s="46">
        <v>1</v>
      </c>
      <c r="J10" s="47">
        <v>407</v>
      </c>
      <c r="K10" s="47">
        <v>407</v>
      </c>
    </row>
    <row r="11" spans="1:11">
      <c r="D11" s="44">
        <v>46054</v>
      </c>
      <c r="E11" s="45">
        <v>1575347</v>
      </c>
      <c r="F11" s="45" t="s">
        <v>53</v>
      </c>
      <c r="G11" s="46">
        <v>20012704</v>
      </c>
      <c r="H11" s="45" t="s">
        <v>238</v>
      </c>
      <c r="I11" s="46">
        <v>1</v>
      </c>
      <c r="J11" s="47">
        <v>16.5</v>
      </c>
      <c r="K11" s="47">
        <v>16.5</v>
      </c>
    </row>
    <row r="12" spans="1:11">
      <c r="D12" s="44">
        <v>46054</v>
      </c>
      <c r="E12" s="45">
        <v>1575347</v>
      </c>
      <c r="F12" s="45" t="s">
        <v>53</v>
      </c>
      <c r="G12" s="46">
        <v>20012709</v>
      </c>
      <c r="H12" s="45" t="s">
        <v>239</v>
      </c>
      <c r="I12" s="46">
        <v>1</v>
      </c>
      <c r="J12" s="47">
        <v>16.5</v>
      </c>
      <c r="K12" s="47">
        <v>16.5</v>
      </c>
    </row>
    <row r="13" spans="1:11">
      <c r="D13" s="44">
        <v>46054</v>
      </c>
      <c r="E13" s="45">
        <v>1575347</v>
      </c>
      <c r="F13" s="45" t="s">
        <v>53</v>
      </c>
      <c r="G13" s="46">
        <v>20010774</v>
      </c>
      <c r="H13" s="45" t="s">
        <v>240</v>
      </c>
      <c r="I13" s="46">
        <v>1</v>
      </c>
      <c r="J13" s="47">
        <v>16.5</v>
      </c>
      <c r="K13" s="47">
        <v>16.5</v>
      </c>
    </row>
    <row r="14" spans="1:11">
      <c r="D14" s="44">
        <v>46054</v>
      </c>
      <c r="E14" s="45">
        <v>1575347</v>
      </c>
      <c r="F14" s="45" t="s">
        <v>53</v>
      </c>
      <c r="G14" s="46">
        <v>20012705</v>
      </c>
      <c r="H14" s="45" t="s">
        <v>241</v>
      </c>
      <c r="I14" s="46">
        <v>1</v>
      </c>
      <c r="J14" s="47">
        <v>16.5</v>
      </c>
      <c r="K14" s="47">
        <v>16.5</v>
      </c>
    </row>
    <row r="15" spans="1:11">
      <c r="D15" s="44">
        <v>46054</v>
      </c>
      <c r="E15" s="45">
        <v>1575361</v>
      </c>
      <c r="F15" s="45" t="s">
        <v>77</v>
      </c>
      <c r="G15" s="46">
        <v>20014162</v>
      </c>
      <c r="H15" s="45" t="s">
        <v>242</v>
      </c>
      <c r="I15" s="46">
        <v>2</v>
      </c>
      <c r="J15" s="47">
        <v>28</v>
      </c>
      <c r="K15" s="47">
        <v>56</v>
      </c>
    </row>
    <row r="16" spans="1:11">
      <c r="D16" s="44">
        <v>46055</v>
      </c>
      <c r="E16" s="45">
        <v>1575567</v>
      </c>
      <c r="F16" s="45" t="s">
        <v>235</v>
      </c>
      <c r="G16" s="46">
        <v>20012731</v>
      </c>
      <c r="H16" s="45" t="s">
        <v>243</v>
      </c>
      <c r="I16" s="46">
        <v>1</v>
      </c>
      <c r="J16" s="47">
        <v>272</v>
      </c>
      <c r="K16" s="47">
        <v>272</v>
      </c>
    </row>
    <row r="17" spans="4:11">
      <c r="D17" s="44">
        <v>46055</v>
      </c>
      <c r="E17" s="45">
        <v>1575567</v>
      </c>
      <c r="F17" s="45" t="s">
        <v>47</v>
      </c>
      <c r="G17" s="46">
        <v>20012726</v>
      </c>
      <c r="H17" s="45" t="s">
        <v>244</v>
      </c>
      <c r="I17" s="46">
        <v>2</v>
      </c>
      <c r="J17" s="47">
        <v>63</v>
      </c>
      <c r="K17" s="47">
        <v>126</v>
      </c>
    </row>
    <row r="18" spans="4:11">
      <c r="D18" s="44">
        <v>46055</v>
      </c>
      <c r="E18" s="45">
        <v>1575567</v>
      </c>
      <c r="F18" s="45" t="s">
        <v>53</v>
      </c>
      <c r="G18" s="46">
        <v>20012704</v>
      </c>
      <c r="H18" s="45" t="s">
        <v>238</v>
      </c>
      <c r="I18" s="46">
        <v>2</v>
      </c>
      <c r="J18" s="47">
        <v>16.5</v>
      </c>
      <c r="K18" s="47">
        <v>33</v>
      </c>
    </row>
    <row r="19" spans="4:11">
      <c r="D19" s="44">
        <v>46055</v>
      </c>
      <c r="E19" s="45">
        <v>1575567</v>
      </c>
      <c r="F19" s="45" t="s">
        <v>53</v>
      </c>
      <c r="G19" s="46">
        <v>20311843</v>
      </c>
      <c r="H19" s="45" t="s">
        <v>245</v>
      </c>
      <c r="I19" s="46">
        <v>1</v>
      </c>
      <c r="J19" s="47">
        <v>16.5</v>
      </c>
      <c r="K19" s="47">
        <v>16.5</v>
      </c>
    </row>
    <row r="20" spans="4:11">
      <c r="D20" s="44">
        <v>46055</v>
      </c>
      <c r="E20" s="45">
        <v>1575567</v>
      </c>
      <c r="F20" s="45" t="s">
        <v>53</v>
      </c>
      <c r="G20" s="46">
        <v>20411010</v>
      </c>
      <c r="H20" s="45" t="s">
        <v>246</v>
      </c>
      <c r="I20" s="46">
        <v>1</v>
      </c>
      <c r="J20" s="47">
        <v>27.5</v>
      </c>
      <c r="K20" s="47">
        <v>27.5</v>
      </c>
    </row>
    <row r="21" spans="4:11">
      <c r="D21" s="44">
        <v>46055</v>
      </c>
      <c r="E21" s="45">
        <v>1575567</v>
      </c>
      <c r="F21" s="45" t="s">
        <v>53</v>
      </c>
      <c r="G21" s="46">
        <v>20012709</v>
      </c>
      <c r="H21" s="45" t="s">
        <v>239</v>
      </c>
      <c r="I21" s="46">
        <v>2</v>
      </c>
      <c r="J21" s="47">
        <v>16.5</v>
      </c>
      <c r="K21" s="47">
        <v>33</v>
      </c>
    </row>
    <row r="22" spans="4:11">
      <c r="D22" s="44">
        <v>46055</v>
      </c>
      <c r="E22" s="45">
        <v>1575567</v>
      </c>
      <c r="F22" s="45" t="s">
        <v>53</v>
      </c>
      <c r="G22" s="46">
        <v>20012705</v>
      </c>
      <c r="H22" s="45" t="s">
        <v>241</v>
      </c>
      <c r="I22" s="46">
        <v>2</v>
      </c>
      <c r="J22" s="47">
        <v>16.5</v>
      </c>
      <c r="K22" s="47">
        <v>33</v>
      </c>
    </row>
    <row r="23" spans="4:11">
      <c r="D23" s="44">
        <v>46056</v>
      </c>
      <c r="E23" s="45">
        <v>1575652</v>
      </c>
      <c r="F23" s="45" t="s">
        <v>235</v>
      </c>
      <c r="G23" s="46">
        <v>20012729</v>
      </c>
      <c r="H23" s="45" t="s">
        <v>247</v>
      </c>
      <c r="I23" s="46">
        <v>1</v>
      </c>
      <c r="J23" s="47">
        <v>68.5</v>
      </c>
      <c r="K23" s="47">
        <v>68.5</v>
      </c>
    </row>
    <row r="24" spans="4:11">
      <c r="D24" s="44">
        <v>46056</v>
      </c>
      <c r="E24" s="45">
        <v>1575652</v>
      </c>
      <c r="F24" s="45" t="s">
        <v>235</v>
      </c>
      <c r="G24" s="46">
        <v>20010136</v>
      </c>
      <c r="H24" s="45" t="s">
        <v>248</v>
      </c>
      <c r="I24" s="46">
        <v>1</v>
      </c>
      <c r="J24" s="47">
        <v>341</v>
      </c>
      <c r="K24" s="47">
        <v>341</v>
      </c>
    </row>
    <row r="25" spans="4:11">
      <c r="D25" s="44">
        <v>46056</v>
      </c>
      <c r="E25" s="45">
        <v>1575652</v>
      </c>
      <c r="F25" s="45" t="s">
        <v>235</v>
      </c>
      <c r="G25" s="46">
        <v>20012731</v>
      </c>
      <c r="H25" s="45" t="s">
        <v>243</v>
      </c>
      <c r="I25" s="46">
        <v>3</v>
      </c>
      <c r="J25" s="47">
        <v>272</v>
      </c>
      <c r="K25" s="47">
        <v>816</v>
      </c>
    </row>
    <row r="26" spans="4:11">
      <c r="D26" s="44">
        <v>46056</v>
      </c>
      <c r="E26" s="45">
        <v>1575652</v>
      </c>
      <c r="F26" s="45" t="s">
        <v>235</v>
      </c>
      <c r="G26" s="46">
        <v>20009800</v>
      </c>
      <c r="H26" s="45" t="s">
        <v>249</v>
      </c>
      <c r="I26" s="46">
        <v>1</v>
      </c>
      <c r="J26" s="47">
        <v>217</v>
      </c>
      <c r="K26" s="47">
        <v>217</v>
      </c>
    </row>
    <row r="27" spans="4:11">
      <c r="D27" s="44">
        <v>46056</v>
      </c>
      <c r="E27" s="45">
        <v>1575652</v>
      </c>
      <c r="F27" s="45" t="s">
        <v>235</v>
      </c>
      <c r="G27" s="46">
        <v>20013466</v>
      </c>
      <c r="H27" s="45" t="s">
        <v>250</v>
      </c>
      <c r="I27" s="46">
        <v>2</v>
      </c>
      <c r="J27" s="47">
        <v>321.5</v>
      </c>
      <c r="K27" s="47">
        <v>643</v>
      </c>
    </row>
    <row r="28" spans="4:11">
      <c r="D28" s="44">
        <v>46056</v>
      </c>
      <c r="E28" s="45">
        <v>1575652</v>
      </c>
      <c r="F28" s="45" t="s">
        <v>235</v>
      </c>
      <c r="G28" s="46">
        <v>20012732</v>
      </c>
      <c r="H28" s="45" t="s">
        <v>251</v>
      </c>
      <c r="I28" s="46">
        <v>1</v>
      </c>
      <c r="J28" s="47">
        <v>123.5</v>
      </c>
      <c r="K28" s="47">
        <v>123.5</v>
      </c>
    </row>
    <row r="29" spans="4:11">
      <c r="D29" s="44">
        <v>46056</v>
      </c>
      <c r="E29" s="45">
        <v>1575652</v>
      </c>
      <c r="F29" s="45" t="s">
        <v>49</v>
      </c>
      <c r="G29" s="46">
        <v>20010302</v>
      </c>
      <c r="H29" s="45" t="s">
        <v>252</v>
      </c>
      <c r="I29" s="46">
        <v>1</v>
      </c>
      <c r="J29" s="47">
        <v>8</v>
      </c>
      <c r="K29" s="47">
        <v>8</v>
      </c>
    </row>
    <row r="30" spans="4:11">
      <c r="D30" s="44">
        <v>46056</v>
      </c>
      <c r="E30" s="45">
        <v>1575652</v>
      </c>
      <c r="F30" s="45" t="s">
        <v>49</v>
      </c>
      <c r="G30" s="46">
        <v>20010324</v>
      </c>
      <c r="H30" s="45" t="s">
        <v>253</v>
      </c>
      <c r="I30" s="46">
        <v>1</v>
      </c>
      <c r="J30" s="47">
        <v>8</v>
      </c>
      <c r="K30" s="47">
        <v>8</v>
      </c>
    </row>
    <row r="31" spans="4:11">
      <c r="D31" s="44">
        <v>46056</v>
      </c>
      <c r="E31" s="45">
        <v>1575652</v>
      </c>
      <c r="F31" s="45" t="s">
        <v>49</v>
      </c>
      <c r="G31" s="46">
        <v>20010330</v>
      </c>
      <c r="H31" s="45" t="s">
        <v>254</v>
      </c>
      <c r="I31" s="46">
        <v>1</v>
      </c>
      <c r="J31" s="47">
        <v>8</v>
      </c>
      <c r="K31" s="47">
        <v>8</v>
      </c>
    </row>
    <row r="32" ht="25.5" spans="4:11">
      <c r="D32" s="44">
        <v>46056</v>
      </c>
      <c r="E32" s="45">
        <v>1575652</v>
      </c>
      <c r="F32" s="45" t="s">
        <v>49</v>
      </c>
      <c r="G32" s="46">
        <v>20010385</v>
      </c>
      <c r="H32" s="45" t="s">
        <v>255</v>
      </c>
      <c r="I32" s="46">
        <v>1</v>
      </c>
      <c r="J32" s="47">
        <v>8</v>
      </c>
      <c r="K32" s="47">
        <v>8</v>
      </c>
    </row>
    <row r="33" ht="25.5" spans="4:11">
      <c r="D33" s="44">
        <v>46056</v>
      </c>
      <c r="E33" s="45">
        <v>1575652</v>
      </c>
      <c r="F33" s="45" t="s">
        <v>49</v>
      </c>
      <c r="G33" s="46">
        <v>20010331</v>
      </c>
      <c r="H33" s="45" t="s">
        <v>256</v>
      </c>
      <c r="I33" s="46">
        <v>1</v>
      </c>
      <c r="J33" s="47">
        <v>8</v>
      </c>
      <c r="K33" s="47">
        <v>8</v>
      </c>
    </row>
    <row r="34" ht="25.5" spans="4:11">
      <c r="D34" s="44">
        <v>46056</v>
      </c>
      <c r="E34" s="45">
        <v>1575652</v>
      </c>
      <c r="F34" s="45" t="s">
        <v>49</v>
      </c>
      <c r="G34" s="46">
        <v>20012468</v>
      </c>
      <c r="H34" s="45" t="s">
        <v>257</v>
      </c>
      <c r="I34" s="46">
        <v>10</v>
      </c>
      <c r="J34" s="47">
        <v>22</v>
      </c>
      <c r="K34" s="47">
        <v>220</v>
      </c>
    </row>
    <row r="35" spans="4:11">
      <c r="D35" s="44">
        <v>46056</v>
      </c>
      <c r="E35" s="45">
        <v>1575652</v>
      </c>
      <c r="F35" s="45" t="s">
        <v>49</v>
      </c>
      <c r="G35" s="46">
        <v>20010371</v>
      </c>
      <c r="H35" s="45" t="s">
        <v>258</v>
      </c>
      <c r="I35" s="46">
        <v>1</v>
      </c>
      <c r="J35" s="47">
        <v>11</v>
      </c>
      <c r="K35" s="47">
        <v>11</v>
      </c>
    </row>
    <row r="36" spans="4:11">
      <c r="D36" s="44">
        <v>46056</v>
      </c>
      <c r="E36" s="45">
        <v>1575652</v>
      </c>
      <c r="F36" s="45" t="s">
        <v>49</v>
      </c>
      <c r="G36" s="46">
        <v>20369682</v>
      </c>
      <c r="H36" s="45" t="s">
        <v>259</v>
      </c>
      <c r="I36" s="46">
        <v>1</v>
      </c>
      <c r="J36" s="47">
        <v>8</v>
      </c>
      <c r="K36" s="47">
        <v>8</v>
      </c>
    </row>
    <row r="37" spans="4:11">
      <c r="D37" s="44">
        <v>46056</v>
      </c>
      <c r="E37" s="45">
        <v>1575652</v>
      </c>
      <c r="F37" s="45" t="s">
        <v>49</v>
      </c>
      <c r="G37" s="46">
        <v>20356772</v>
      </c>
      <c r="H37" s="45" t="s">
        <v>260</v>
      </c>
      <c r="I37" s="46">
        <v>1</v>
      </c>
      <c r="J37" s="47">
        <v>8</v>
      </c>
      <c r="K37" s="47">
        <v>8</v>
      </c>
    </row>
    <row r="38" spans="4:11">
      <c r="D38" s="44">
        <v>46056</v>
      </c>
      <c r="E38" s="45">
        <v>1575652</v>
      </c>
      <c r="F38" s="45" t="s">
        <v>49</v>
      </c>
      <c r="G38" s="46">
        <v>20010335</v>
      </c>
      <c r="H38" s="45" t="s">
        <v>261</v>
      </c>
      <c r="I38" s="46">
        <v>3</v>
      </c>
      <c r="J38" s="47">
        <v>8</v>
      </c>
      <c r="K38" s="47">
        <v>24</v>
      </c>
    </row>
    <row r="39" spans="4:11">
      <c r="D39" s="44">
        <v>46056</v>
      </c>
      <c r="E39" s="45">
        <v>1575652</v>
      </c>
      <c r="F39" s="45" t="s">
        <v>49</v>
      </c>
      <c r="G39" s="46">
        <v>20376151</v>
      </c>
      <c r="H39" s="45" t="s">
        <v>262</v>
      </c>
      <c r="I39" s="46">
        <v>1</v>
      </c>
      <c r="J39" s="47">
        <v>8</v>
      </c>
      <c r="K39" s="47">
        <v>8</v>
      </c>
    </row>
    <row r="40" spans="4:11">
      <c r="D40" s="44">
        <v>46056</v>
      </c>
      <c r="E40" s="45">
        <v>1575652</v>
      </c>
      <c r="F40" s="45" t="s">
        <v>49</v>
      </c>
      <c r="G40" s="46">
        <v>20010334</v>
      </c>
      <c r="H40" s="45" t="s">
        <v>263</v>
      </c>
      <c r="I40" s="46">
        <v>1</v>
      </c>
      <c r="J40" s="47">
        <v>8</v>
      </c>
      <c r="K40" s="47">
        <v>8</v>
      </c>
    </row>
    <row r="41" spans="4:11">
      <c r="D41" s="44">
        <v>46056</v>
      </c>
      <c r="E41" s="45">
        <v>1575652</v>
      </c>
      <c r="F41" s="45" t="s">
        <v>49</v>
      </c>
      <c r="G41" s="46">
        <v>20014098</v>
      </c>
      <c r="H41" s="45" t="s">
        <v>264</v>
      </c>
      <c r="I41" s="46">
        <v>1</v>
      </c>
      <c r="J41" s="47">
        <v>8</v>
      </c>
      <c r="K41" s="47">
        <v>8</v>
      </c>
    </row>
    <row r="42" spans="4:11">
      <c r="D42" s="44">
        <v>46056</v>
      </c>
      <c r="E42" s="45">
        <v>1575652</v>
      </c>
      <c r="F42" s="45" t="s">
        <v>49</v>
      </c>
      <c r="G42" s="46">
        <v>20320951</v>
      </c>
      <c r="H42" s="45" t="s">
        <v>265</v>
      </c>
      <c r="I42" s="46">
        <v>1</v>
      </c>
      <c r="J42" s="47">
        <v>8</v>
      </c>
      <c r="K42" s="47">
        <v>8</v>
      </c>
    </row>
    <row r="43" spans="4:11">
      <c r="D43" s="44">
        <v>46056</v>
      </c>
      <c r="E43" s="45">
        <v>1575652</v>
      </c>
      <c r="F43" s="45" t="s">
        <v>49</v>
      </c>
      <c r="G43" s="46">
        <v>20300236</v>
      </c>
      <c r="H43" s="45" t="s">
        <v>266</v>
      </c>
      <c r="I43" s="46">
        <v>1</v>
      </c>
      <c r="J43" s="47">
        <v>8</v>
      </c>
      <c r="K43" s="47">
        <v>8</v>
      </c>
    </row>
    <row r="44" spans="4:11">
      <c r="D44" s="44">
        <v>46056</v>
      </c>
      <c r="E44" s="45">
        <v>1575652</v>
      </c>
      <c r="F44" s="45" t="s">
        <v>49</v>
      </c>
      <c r="G44" s="46">
        <v>20411525</v>
      </c>
      <c r="H44" s="45" t="s">
        <v>267</v>
      </c>
      <c r="I44" s="46">
        <v>1</v>
      </c>
      <c r="J44" s="47">
        <v>13.5</v>
      </c>
      <c r="K44" s="47">
        <v>13.5</v>
      </c>
    </row>
    <row r="45" spans="4:11">
      <c r="D45" s="44">
        <v>46056</v>
      </c>
      <c r="E45" s="45">
        <v>1575652</v>
      </c>
      <c r="F45" s="45" t="s">
        <v>49</v>
      </c>
      <c r="G45" s="46">
        <v>20009809</v>
      </c>
      <c r="H45" s="45" t="s">
        <v>268</v>
      </c>
      <c r="I45" s="46">
        <v>13</v>
      </c>
      <c r="J45" s="47">
        <v>13</v>
      </c>
      <c r="K45" s="47">
        <v>169</v>
      </c>
    </row>
    <row r="46" spans="4:11">
      <c r="D46" s="44">
        <v>46056</v>
      </c>
      <c r="E46" s="45">
        <v>1575652</v>
      </c>
      <c r="F46" s="45" t="s">
        <v>49</v>
      </c>
      <c r="G46" s="46">
        <v>20009855</v>
      </c>
      <c r="H46" s="45" t="s">
        <v>269</v>
      </c>
      <c r="I46" s="46">
        <v>1</v>
      </c>
      <c r="J46" s="47">
        <v>8</v>
      </c>
      <c r="K46" s="47">
        <v>8</v>
      </c>
    </row>
    <row r="47" spans="4:11">
      <c r="D47" s="44">
        <v>46056</v>
      </c>
      <c r="E47" s="45">
        <v>1575652</v>
      </c>
      <c r="F47" s="45" t="s">
        <v>49</v>
      </c>
      <c r="G47" s="46">
        <v>20411526</v>
      </c>
      <c r="H47" s="45" t="s">
        <v>270</v>
      </c>
      <c r="I47" s="46">
        <v>1</v>
      </c>
      <c r="J47" s="47">
        <v>8</v>
      </c>
      <c r="K47" s="47">
        <v>8</v>
      </c>
    </row>
    <row r="48" spans="4:11">
      <c r="D48" s="44">
        <v>46056</v>
      </c>
      <c r="E48" s="45">
        <v>1575652</v>
      </c>
      <c r="F48" s="45" t="s">
        <v>49</v>
      </c>
      <c r="G48" s="46">
        <v>20335817</v>
      </c>
      <c r="H48" s="45" t="s">
        <v>271</v>
      </c>
      <c r="I48" s="46">
        <v>1</v>
      </c>
      <c r="J48" s="47">
        <v>8</v>
      </c>
      <c r="K48" s="47">
        <v>8</v>
      </c>
    </row>
    <row r="49" spans="4:11">
      <c r="D49" s="44">
        <v>46056</v>
      </c>
      <c r="E49" s="45">
        <v>1575652</v>
      </c>
      <c r="F49" s="45" t="s">
        <v>49</v>
      </c>
      <c r="G49" s="46">
        <v>20330685</v>
      </c>
      <c r="H49" s="45" t="s">
        <v>272</v>
      </c>
      <c r="I49" s="46">
        <v>1</v>
      </c>
      <c r="J49" s="47">
        <v>8</v>
      </c>
      <c r="K49" s="47">
        <v>8</v>
      </c>
    </row>
    <row r="50" spans="4:11">
      <c r="D50" s="44">
        <v>46056</v>
      </c>
      <c r="E50" s="45">
        <v>1575652</v>
      </c>
      <c r="F50" s="45" t="s">
        <v>49</v>
      </c>
      <c r="G50" s="46">
        <v>20010376</v>
      </c>
      <c r="H50" s="45" t="s">
        <v>273</v>
      </c>
      <c r="I50" s="46">
        <v>1</v>
      </c>
      <c r="J50" s="47">
        <v>8</v>
      </c>
      <c r="K50" s="47">
        <v>8</v>
      </c>
    </row>
    <row r="51" spans="4:11">
      <c r="D51" s="44">
        <v>46056</v>
      </c>
      <c r="E51" s="45">
        <v>1575652</v>
      </c>
      <c r="F51" s="45" t="s">
        <v>49</v>
      </c>
      <c r="G51" s="46">
        <v>20010375</v>
      </c>
      <c r="H51" s="45" t="s">
        <v>274</v>
      </c>
      <c r="I51" s="46">
        <v>2</v>
      </c>
      <c r="J51" s="47">
        <v>8</v>
      </c>
      <c r="K51" s="47">
        <v>16</v>
      </c>
    </row>
    <row r="52" spans="4:11">
      <c r="D52" s="44">
        <v>46056</v>
      </c>
      <c r="E52" s="45">
        <v>1575652</v>
      </c>
      <c r="F52" s="45" t="s">
        <v>49</v>
      </c>
      <c r="G52" s="46">
        <v>20330687</v>
      </c>
      <c r="H52" s="45" t="s">
        <v>275</v>
      </c>
      <c r="I52" s="46">
        <v>1</v>
      </c>
      <c r="J52" s="47">
        <v>8</v>
      </c>
      <c r="K52" s="47">
        <v>8</v>
      </c>
    </row>
    <row r="53" spans="4:11">
      <c r="D53" s="44">
        <v>46056</v>
      </c>
      <c r="E53" s="45">
        <v>1575652</v>
      </c>
      <c r="F53" s="45" t="s">
        <v>49</v>
      </c>
      <c r="G53" s="46">
        <v>20330688</v>
      </c>
      <c r="H53" s="45" t="s">
        <v>276</v>
      </c>
      <c r="I53" s="46">
        <v>1</v>
      </c>
      <c r="J53" s="47">
        <v>8</v>
      </c>
      <c r="K53" s="47">
        <v>8</v>
      </c>
    </row>
    <row r="54" spans="4:11">
      <c r="D54" s="44">
        <v>46056</v>
      </c>
      <c r="E54" s="45">
        <v>1575652</v>
      </c>
      <c r="F54" s="45" t="s">
        <v>49</v>
      </c>
      <c r="G54" s="46">
        <v>20312778</v>
      </c>
      <c r="H54" s="45" t="s">
        <v>277</v>
      </c>
      <c r="I54" s="46">
        <v>1</v>
      </c>
      <c r="J54" s="47">
        <v>8</v>
      </c>
      <c r="K54" s="47">
        <v>8</v>
      </c>
    </row>
    <row r="55" spans="4:11">
      <c r="D55" s="44">
        <v>46056</v>
      </c>
      <c r="E55" s="45">
        <v>1575652</v>
      </c>
      <c r="F55" s="45" t="s">
        <v>47</v>
      </c>
      <c r="G55" s="46">
        <v>20012726</v>
      </c>
      <c r="H55" s="45" t="s">
        <v>244</v>
      </c>
      <c r="I55" s="46">
        <v>3</v>
      </c>
      <c r="J55" s="47">
        <v>63</v>
      </c>
      <c r="K55" s="47">
        <v>189</v>
      </c>
    </row>
    <row r="56" spans="4:11">
      <c r="D56" s="44">
        <v>46056</v>
      </c>
      <c r="E56" s="45">
        <v>1575652</v>
      </c>
      <c r="F56" s="45" t="s">
        <v>53</v>
      </c>
      <c r="G56" s="46">
        <v>20014082</v>
      </c>
      <c r="H56" s="45" t="s">
        <v>278</v>
      </c>
      <c r="I56" s="46">
        <v>1</v>
      </c>
      <c r="J56" s="47">
        <v>16.5</v>
      </c>
      <c r="K56" s="47">
        <v>16.5</v>
      </c>
    </row>
    <row r="57" spans="4:11">
      <c r="D57" s="44">
        <v>46056</v>
      </c>
      <c r="E57" s="45">
        <v>1575652</v>
      </c>
      <c r="F57" s="45" t="s">
        <v>53</v>
      </c>
      <c r="G57" s="46">
        <v>20397467</v>
      </c>
      <c r="H57" s="45" t="s">
        <v>279</v>
      </c>
      <c r="I57" s="46">
        <v>1</v>
      </c>
      <c r="J57" s="47">
        <v>16.5</v>
      </c>
      <c r="K57" s="47">
        <v>16.5</v>
      </c>
    </row>
    <row r="58" spans="4:11">
      <c r="D58" s="44">
        <v>46056</v>
      </c>
      <c r="E58" s="45">
        <v>1575652</v>
      </c>
      <c r="F58" s="45" t="s">
        <v>53</v>
      </c>
      <c r="G58" s="46">
        <v>20010326</v>
      </c>
      <c r="H58" s="45" t="s">
        <v>280</v>
      </c>
      <c r="I58" s="46">
        <v>1</v>
      </c>
      <c r="J58" s="47">
        <v>16.5</v>
      </c>
      <c r="K58" s="47">
        <v>16.5</v>
      </c>
    </row>
    <row r="59" spans="4:11">
      <c r="D59" s="44">
        <v>46056</v>
      </c>
      <c r="E59" s="45">
        <v>1575652</v>
      </c>
      <c r="F59" s="45" t="s">
        <v>53</v>
      </c>
      <c r="G59" s="46">
        <v>20010395</v>
      </c>
      <c r="H59" s="45" t="s">
        <v>281</v>
      </c>
      <c r="I59" s="46">
        <v>1</v>
      </c>
      <c r="J59" s="47">
        <v>16.5</v>
      </c>
      <c r="K59" s="47">
        <v>16.5</v>
      </c>
    </row>
    <row r="60" spans="4:11">
      <c r="D60" s="44">
        <v>46056</v>
      </c>
      <c r="E60" s="45">
        <v>1575652</v>
      </c>
      <c r="F60" s="45" t="s">
        <v>53</v>
      </c>
      <c r="G60" s="46">
        <v>20012704</v>
      </c>
      <c r="H60" s="45" t="s">
        <v>238</v>
      </c>
      <c r="I60" s="46">
        <v>8</v>
      </c>
      <c r="J60" s="47">
        <v>16.5</v>
      </c>
      <c r="K60" s="47">
        <v>132</v>
      </c>
    </row>
    <row r="61" spans="4:11">
      <c r="D61" s="44">
        <v>46056</v>
      </c>
      <c r="E61" s="45">
        <v>1575652</v>
      </c>
      <c r="F61" s="45" t="s">
        <v>53</v>
      </c>
      <c r="G61" s="46">
        <v>20310495</v>
      </c>
      <c r="H61" s="45" t="s">
        <v>282</v>
      </c>
      <c r="I61" s="46">
        <v>1</v>
      </c>
      <c r="J61" s="47">
        <v>16.5</v>
      </c>
      <c r="K61" s="47">
        <v>16.5</v>
      </c>
    </row>
    <row r="62" spans="4:11">
      <c r="D62" s="44">
        <v>46056</v>
      </c>
      <c r="E62" s="45">
        <v>1575652</v>
      </c>
      <c r="F62" s="45" t="s">
        <v>53</v>
      </c>
      <c r="G62" s="46">
        <v>20013997</v>
      </c>
      <c r="H62" s="45" t="s">
        <v>283</v>
      </c>
      <c r="I62" s="46">
        <v>1</v>
      </c>
      <c r="J62" s="47">
        <v>16.5</v>
      </c>
      <c r="K62" s="47">
        <v>16.5</v>
      </c>
    </row>
    <row r="63" spans="4:11">
      <c r="D63" s="44">
        <v>46056</v>
      </c>
      <c r="E63" s="45">
        <v>1575652</v>
      </c>
      <c r="F63" s="45" t="s">
        <v>53</v>
      </c>
      <c r="G63" s="46">
        <v>20010474</v>
      </c>
      <c r="H63" s="45" t="s">
        <v>284</v>
      </c>
      <c r="I63" s="46">
        <v>1</v>
      </c>
      <c r="J63" s="47">
        <v>16.5</v>
      </c>
      <c r="K63" s="47">
        <v>16.5</v>
      </c>
    </row>
    <row r="64" spans="4:11">
      <c r="D64" s="44">
        <v>46056</v>
      </c>
      <c r="E64" s="45">
        <v>1575652</v>
      </c>
      <c r="F64" s="45" t="s">
        <v>53</v>
      </c>
      <c r="G64" s="46">
        <v>20010354</v>
      </c>
      <c r="H64" s="45" t="s">
        <v>285</v>
      </c>
      <c r="I64" s="46">
        <v>2</v>
      </c>
      <c r="J64" s="47">
        <v>16.5</v>
      </c>
      <c r="K64" s="47">
        <v>33</v>
      </c>
    </row>
    <row r="65" spans="4:11">
      <c r="D65" s="44">
        <v>46056</v>
      </c>
      <c r="E65" s="45">
        <v>1575652</v>
      </c>
      <c r="F65" s="45" t="s">
        <v>53</v>
      </c>
      <c r="G65" s="46">
        <v>20010308</v>
      </c>
      <c r="H65" s="45" t="s">
        <v>286</v>
      </c>
      <c r="I65" s="46">
        <v>1</v>
      </c>
      <c r="J65" s="47">
        <v>16.5</v>
      </c>
      <c r="K65" s="47">
        <v>16.5</v>
      </c>
    </row>
    <row r="66" spans="4:11">
      <c r="D66" s="44">
        <v>46056</v>
      </c>
      <c r="E66" s="45">
        <v>1575652</v>
      </c>
      <c r="F66" s="45" t="s">
        <v>53</v>
      </c>
      <c r="G66" s="46">
        <v>20010458</v>
      </c>
      <c r="H66" s="45" t="s">
        <v>287</v>
      </c>
      <c r="I66" s="46">
        <v>1</v>
      </c>
      <c r="J66" s="47">
        <v>16.5</v>
      </c>
      <c r="K66" s="47">
        <v>16.5</v>
      </c>
    </row>
    <row r="67" spans="4:11">
      <c r="D67" s="44">
        <v>46056</v>
      </c>
      <c r="E67" s="45">
        <v>1575652</v>
      </c>
      <c r="F67" s="45" t="s">
        <v>53</v>
      </c>
      <c r="G67" s="46">
        <v>20010381</v>
      </c>
      <c r="H67" s="45" t="s">
        <v>288</v>
      </c>
      <c r="I67" s="46">
        <v>1</v>
      </c>
      <c r="J67" s="47">
        <v>16.5</v>
      </c>
      <c r="K67" s="47">
        <v>16.5</v>
      </c>
    </row>
    <row r="68" spans="4:11">
      <c r="D68" s="44">
        <v>46056</v>
      </c>
      <c r="E68" s="45">
        <v>1575652</v>
      </c>
      <c r="F68" s="45" t="s">
        <v>53</v>
      </c>
      <c r="G68" s="46">
        <v>20010623</v>
      </c>
      <c r="H68" s="45" t="s">
        <v>289</v>
      </c>
      <c r="I68" s="46">
        <v>2</v>
      </c>
      <c r="J68" s="47">
        <v>16.5</v>
      </c>
      <c r="K68" s="47">
        <v>33</v>
      </c>
    </row>
    <row r="69" spans="4:11">
      <c r="D69" s="44">
        <v>46056</v>
      </c>
      <c r="E69" s="45">
        <v>1575652</v>
      </c>
      <c r="F69" s="45" t="s">
        <v>53</v>
      </c>
      <c r="G69" s="46">
        <v>20333025</v>
      </c>
      <c r="H69" s="45" t="s">
        <v>290</v>
      </c>
      <c r="I69" s="46">
        <v>1</v>
      </c>
      <c r="J69" s="47">
        <v>66</v>
      </c>
      <c r="K69" s="47">
        <v>66</v>
      </c>
    </row>
    <row r="70" spans="4:11">
      <c r="D70" s="44">
        <v>46056</v>
      </c>
      <c r="E70" s="45">
        <v>1575652</v>
      </c>
      <c r="F70" s="45" t="s">
        <v>53</v>
      </c>
      <c r="G70" s="46">
        <v>20012027</v>
      </c>
      <c r="H70" s="45" t="s">
        <v>291</v>
      </c>
      <c r="I70" s="46">
        <v>1</v>
      </c>
      <c r="J70" s="47">
        <v>27.5</v>
      </c>
      <c r="K70" s="47">
        <v>27.5</v>
      </c>
    </row>
    <row r="71" spans="4:11">
      <c r="D71" s="44">
        <v>46056</v>
      </c>
      <c r="E71" s="45">
        <v>1575652</v>
      </c>
      <c r="F71" s="45" t="s">
        <v>53</v>
      </c>
      <c r="G71" s="46">
        <v>20010363</v>
      </c>
      <c r="H71" s="45" t="s">
        <v>292</v>
      </c>
      <c r="I71" s="46">
        <v>1</v>
      </c>
      <c r="J71" s="47">
        <v>16.5</v>
      </c>
      <c r="K71" s="47">
        <v>16.5</v>
      </c>
    </row>
    <row r="72" spans="4:11">
      <c r="D72" s="44">
        <v>46056</v>
      </c>
      <c r="E72" s="45">
        <v>1575652</v>
      </c>
      <c r="F72" s="45" t="s">
        <v>53</v>
      </c>
      <c r="G72" s="46">
        <v>20010409</v>
      </c>
      <c r="H72" s="45" t="s">
        <v>293</v>
      </c>
      <c r="I72" s="46">
        <v>1</v>
      </c>
      <c r="J72" s="47">
        <v>22</v>
      </c>
      <c r="K72" s="47">
        <v>22</v>
      </c>
    </row>
    <row r="73" spans="4:11">
      <c r="D73" s="44">
        <v>46056</v>
      </c>
      <c r="E73" s="45">
        <v>1575652</v>
      </c>
      <c r="F73" s="45" t="s">
        <v>53</v>
      </c>
      <c r="G73" s="46">
        <v>20012708</v>
      </c>
      <c r="H73" s="45" t="s">
        <v>294</v>
      </c>
      <c r="I73" s="46">
        <v>1</v>
      </c>
      <c r="J73" s="47">
        <v>16.5</v>
      </c>
      <c r="K73" s="47">
        <v>16.5</v>
      </c>
    </row>
    <row r="74" spans="4:11">
      <c r="D74" s="44">
        <v>46056</v>
      </c>
      <c r="E74" s="45">
        <v>1575652</v>
      </c>
      <c r="F74" s="45" t="s">
        <v>53</v>
      </c>
      <c r="G74" s="46">
        <v>20011464</v>
      </c>
      <c r="H74" s="45" t="s">
        <v>295</v>
      </c>
      <c r="I74" s="46">
        <v>2</v>
      </c>
      <c r="J74" s="47">
        <v>22</v>
      </c>
      <c r="K74" s="47">
        <v>44</v>
      </c>
    </row>
    <row r="75" spans="4:11">
      <c r="D75" s="44">
        <v>46056</v>
      </c>
      <c r="E75" s="45">
        <v>1575652</v>
      </c>
      <c r="F75" s="45" t="s">
        <v>53</v>
      </c>
      <c r="G75" s="46">
        <v>20010448</v>
      </c>
      <c r="H75" s="45" t="s">
        <v>296</v>
      </c>
      <c r="I75" s="46">
        <v>2</v>
      </c>
      <c r="J75" s="47">
        <v>16.5</v>
      </c>
      <c r="K75" s="47">
        <v>33</v>
      </c>
    </row>
    <row r="76" spans="4:11">
      <c r="D76" s="44">
        <v>46056</v>
      </c>
      <c r="E76" s="45">
        <v>1575652</v>
      </c>
      <c r="F76" s="45" t="s">
        <v>53</v>
      </c>
      <c r="G76" s="46">
        <v>20010319</v>
      </c>
      <c r="H76" s="45" t="s">
        <v>297</v>
      </c>
      <c r="I76" s="46">
        <v>1</v>
      </c>
      <c r="J76" s="47">
        <v>16.5</v>
      </c>
      <c r="K76" s="47">
        <v>16.5</v>
      </c>
    </row>
    <row r="77" spans="4:11">
      <c r="D77" s="44">
        <v>46056</v>
      </c>
      <c r="E77" s="45">
        <v>1575652</v>
      </c>
      <c r="F77" s="45" t="s">
        <v>53</v>
      </c>
      <c r="G77" s="46">
        <v>20373899</v>
      </c>
      <c r="H77" s="45" t="s">
        <v>298</v>
      </c>
      <c r="I77" s="46">
        <v>1</v>
      </c>
      <c r="J77" s="47">
        <v>22</v>
      </c>
      <c r="K77" s="47">
        <v>22</v>
      </c>
    </row>
    <row r="78" spans="4:11">
      <c r="D78" s="44">
        <v>46056</v>
      </c>
      <c r="E78" s="45">
        <v>1575652</v>
      </c>
      <c r="F78" s="45" t="s">
        <v>53</v>
      </c>
      <c r="G78" s="46">
        <v>20010617</v>
      </c>
      <c r="H78" s="45" t="s">
        <v>299</v>
      </c>
      <c r="I78" s="46">
        <v>2</v>
      </c>
      <c r="J78" s="47">
        <v>16.5</v>
      </c>
      <c r="K78" s="47">
        <v>33</v>
      </c>
    </row>
    <row r="79" spans="4:11">
      <c r="D79" s="44">
        <v>46056</v>
      </c>
      <c r="E79" s="45">
        <v>1575652</v>
      </c>
      <c r="F79" s="45" t="s">
        <v>53</v>
      </c>
      <c r="G79" s="46">
        <v>20372468</v>
      </c>
      <c r="H79" s="45" t="s">
        <v>300</v>
      </c>
      <c r="I79" s="46">
        <v>1</v>
      </c>
      <c r="J79" s="47">
        <v>16.5</v>
      </c>
      <c r="K79" s="47">
        <v>16.5</v>
      </c>
    </row>
    <row r="80" spans="4:11">
      <c r="D80" s="44">
        <v>46056</v>
      </c>
      <c r="E80" s="45">
        <v>1575652</v>
      </c>
      <c r="F80" s="45" t="s">
        <v>53</v>
      </c>
      <c r="G80" s="46">
        <v>20377079</v>
      </c>
      <c r="H80" s="45" t="s">
        <v>301</v>
      </c>
      <c r="I80" s="46">
        <v>1</v>
      </c>
      <c r="J80" s="47">
        <v>16.5</v>
      </c>
      <c r="K80" s="47">
        <v>16.5</v>
      </c>
    </row>
    <row r="81" spans="4:11">
      <c r="D81" s="44">
        <v>46056</v>
      </c>
      <c r="E81" s="45">
        <v>1575652</v>
      </c>
      <c r="F81" s="45" t="s">
        <v>53</v>
      </c>
      <c r="G81" s="46">
        <v>20010171</v>
      </c>
      <c r="H81" s="45" t="s">
        <v>302</v>
      </c>
      <c r="I81" s="46">
        <v>1</v>
      </c>
      <c r="J81" s="47">
        <v>22</v>
      </c>
      <c r="K81" s="47">
        <v>22</v>
      </c>
    </row>
    <row r="82" spans="4:11">
      <c r="D82" s="44">
        <v>46056</v>
      </c>
      <c r="E82" s="45">
        <v>1575694</v>
      </c>
      <c r="F82" s="45" t="s">
        <v>77</v>
      </c>
      <c r="G82" s="46">
        <v>20014011</v>
      </c>
      <c r="H82" s="45" t="s">
        <v>303</v>
      </c>
      <c r="I82" s="46">
        <v>1</v>
      </c>
      <c r="J82" s="47">
        <v>28</v>
      </c>
      <c r="K82" s="47">
        <v>28</v>
      </c>
    </row>
    <row r="83" spans="4:11">
      <c r="D83" s="44">
        <v>46056</v>
      </c>
      <c r="E83" s="45">
        <v>1575694</v>
      </c>
      <c r="F83" s="45" t="s">
        <v>77</v>
      </c>
      <c r="G83" s="46">
        <v>20325093</v>
      </c>
      <c r="H83" s="45" t="s">
        <v>304</v>
      </c>
      <c r="I83" s="46">
        <v>1</v>
      </c>
      <c r="J83" s="47">
        <v>28</v>
      </c>
      <c r="K83" s="47">
        <v>28</v>
      </c>
    </row>
    <row r="84" spans="4:11">
      <c r="D84" s="44">
        <v>46056</v>
      </c>
      <c r="E84" s="45">
        <v>1575694</v>
      </c>
      <c r="F84" s="45" t="s">
        <v>77</v>
      </c>
      <c r="G84" s="46">
        <v>20014163</v>
      </c>
      <c r="H84" s="45" t="s">
        <v>305</v>
      </c>
      <c r="I84" s="46">
        <v>1</v>
      </c>
      <c r="J84" s="47">
        <v>22</v>
      </c>
      <c r="K84" s="47">
        <v>22</v>
      </c>
    </row>
    <row r="85" spans="4:11">
      <c r="D85" s="44">
        <v>46056</v>
      </c>
      <c r="E85" s="45">
        <v>1575694</v>
      </c>
      <c r="F85" s="45" t="s">
        <v>77</v>
      </c>
      <c r="G85" s="46">
        <v>20010731</v>
      </c>
      <c r="H85" s="45" t="s">
        <v>306</v>
      </c>
      <c r="I85" s="46">
        <v>1</v>
      </c>
      <c r="J85" s="47">
        <v>22</v>
      </c>
      <c r="K85" s="47">
        <v>22</v>
      </c>
    </row>
    <row r="86" spans="4:11">
      <c r="D86" s="44">
        <v>46056</v>
      </c>
      <c r="E86" s="45">
        <v>1575694</v>
      </c>
      <c r="F86" s="45" t="s">
        <v>77</v>
      </c>
      <c r="G86" s="46">
        <v>20012718</v>
      </c>
      <c r="H86" s="45" t="s">
        <v>307</v>
      </c>
      <c r="I86" s="46">
        <v>1</v>
      </c>
      <c r="J86" s="47">
        <v>35</v>
      </c>
      <c r="K86" s="47">
        <v>35</v>
      </c>
    </row>
    <row r="87" spans="4:11">
      <c r="D87" s="44">
        <v>46056</v>
      </c>
      <c r="E87" s="45">
        <v>1575694</v>
      </c>
      <c r="F87" s="45" t="s">
        <v>77</v>
      </c>
      <c r="G87" s="46">
        <v>20014172</v>
      </c>
      <c r="H87" s="45" t="s">
        <v>308</v>
      </c>
      <c r="I87" s="46">
        <v>1</v>
      </c>
      <c r="J87" s="47">
        <v>22</v>
      </c>
      <c r="K87" s="47">
        <v>22</v>
      </c>
    </row>
    <row r="88" spans="4:11">
      <c r="D88" s="44">
        <v>46056</v>
      </c>
      <c r="E88" s="45">
        <v>1575694</v>
      </c>
      <c r="F88" s="45" t="s">
        <v>77</v>
      </c>
      <c r="G88" s="46">
        <v>20010292</v>
      </c>
      <c r="H88" s="45" t="s">
        <v>309</v>
      </c>
      <c r="I88" s="46">
        <v>2</v>
      </c>
      <c r="J88" s="47">
        <v>28</v>
      </c>
      <c r="K88" s="47">
        <v>56</v>
      </c>
    </row>
    <row r="89" spans="4:11">
      <c r="D89" s="44">
        <v>46056</v>
      </c>
      <c r="E89" s="45">
        <v>1575694</v>
      </c>
      <c r="F89" s="45" t="s">
        <v>310</v>
      </c>
      <c r="G89" s="46">
        <v>20013174</v>
      </c>
      <c r="H89" s="45" t="s">
        <v>311</v>
      </c>
      <c r="I89" s="46">
        <v>1</v>
      </c>
      <c r="J89" s="47">
        <v>28</v>
      </c>
      <c r="K89" s="47">
        <v>28</v>
      </c>
    </row>
    <row r="90" spans="4:11">
      <c r="D90" s="44">
        <v>46056</v>
      </c>
      <c r="E90" s="45">
        <v>1575694</v>
      </c>
      <c r="F90" s="45" t="s">
        <v>310</v>
      </c>
      <c r="G90" s="46">
        <v>20013785</v>
      </c>
      <c r="H90" s="45" t="s">
        <v>312</v>
      </c>
      <c r="I90" s="46">
        <v>1</v>
      </c>
      <c r="J90" s="47">
        <v>88</v>
      </c>
      <c r="K90" s="47">
        <v>88</v>
      </c>
    </row>
    <row r="91" spans="4:11">
      <c r="D91" s="44">
        <v>46056</v>
      </c>
      <c r="E91" s="45">
        <v>1575740</v>
      </c>
      <c r="F91" s="45" t="s">
        <v>313</v>
      </c>
      <c r="G91" s="46">
        <v>20012019</v>
      </c>
      <c r="H91" s="45" t="s">
        <v>314</v>
      </c>
      <c r="I91" s="46">
        <v>1</v>
      </c>
      <c r="J91" s="47">
        <v>44</v>
      </c>
      <c r="K91" s="47">
        <v>44</v>
      </c>
    </row>
    <row r="92" spans="4:11">
      <c r="D92" s="44">
        <v>46056</v>
      </c>
      <c r="E92" s="45">
        <v>1575740</v>
      </c>
      <c r="F92" s="45" t="s">
        <v>313</v>
      </c>
      <c r="G92" s="46">
        <v>20411511</v>
      </c>
      <c r="H92" s="45" t="s">
        <v>315</v>
      </c>
      <c r="I92" s="46">
        <v>1</v>
      </c>
      <c r="J92" s="47">
        <v>30</v>
      </c>
      <c r="K92" s="47">
        <v>30</v>
      </c>
    </row>
    <row r="93" spans="4:11">
      <c r="D93" s="44">
        <v>46056</v>
      </c>
      <c r="E93" s="45">
        <v>1575749</v>
      </c>
      <c r="F93" s="45" t="s">
        <v>105</v>
      </c>
      <c r="G93" s="46">
        <v>20320701</v>
      </c>
      <c r="H93" s="45" t="s">
        <v>316</v>
      </c>
      <c r="I93" s="46">
        <v>3</v>
      </c>
      <c r="J93" s="47">
        <v>8</v>
      </c>
      <c r="K93" s="47">
        <v>24</v>
      </c>
    </row>
    <row r="94" spans="4:11">
      <c r="D94" s="44">
        <v>46056</v>
      </c>
      <c r="E94" s="45">
        <v>1575749</v>
      </c>
      <c r="F94" s="45" t="s">
        <v>105</v>
      </c>
      <c r="G94" s="46">
        <v>20338022</v>
      </c>
      <c r="H94" s="45" t="s">
        <v>317</v>
      </c>
      <c r="I94" s="46">
        <v>1</v>
      </c>
      <c r="J94" s="47">
        <v>8</v>
      </c>
      <c r="K94" s="47">
        <v>8</v>
      </c>
    </row>
    <row r="95" spans="4:11">
      <c r="D95" s="44">
        <v>46056</v>
      </c>
      <c r="E95" s="45">
        <v>1576004</v>
      </c>
      <c r="F95" s="45" t="s">
        <v>235</v>
      </c>
      <c r="G95" s="46">
        <v>20012729</v>
      </c>
      <c r="H95" s="45" t="s">
        <v>247</v>
      </c>
      <c r="I95" s="46">
        <v>1</v>
      </c>
      <c r="J95" s="47">
        <v>68.5</v>
      </c>
      <c r="K95" s="47">
        <v>68.5</v>
      </c>
    </row>
    <row r="96" spans="4:11">
      <c r="D96" s="44">
        <v>46056</v>
      </c>
      <c r="E96" s="45">
        <v>1576004</v>
      </c>
      <c r="F96" s="45" t="s">
        <v>235</v>
      </c>
      <c r="G96" s="46">
        <v>20012731</v>
      </c>
      <c r="H96" s="45" t="s">
        <v>243</v>
      </c>
      <c r="I96" s="46">
        <v>2</v>
      </c>
      <c r="J96" s="47">
        <v>272</v>
      </c>
      <c r="K96" s="47">
        <v>544</v>
      </c>
    </row>
    <row r="97" spans="4:11">
      <c r="D97" s="44">
        <v>46056</v>
      </c>
      <c r="E97" s="45">
        <v>1576004</v>
      </c>
      <c r="F97" s="45" t="s">
        <v>235</v>
      </c>
      <c r="G97" s="46">
        <v>20014038</v>
      </c>
      <c r="H97" s="45" t="s">
        <v>318</v>
      </c>
      <c r="I97" s="46">
        <v>1</v>
      </c>
      <c r="J97" s="47">
        <v>145.5</v>
      </c>
      <c r="K97" s="47">
        <v>145.5</v>
      </c>
    </row>
    <row r="98" spans="4:11">
      <c r="D98" s="44">
        <v>46056</v>
      </c>
      <c r="E98" s="45">
        <v>1576004</v>
      </c>
      <c r="F98" s="45" t="s">
        <v>235</v>
      </c>
      <c r="G98" s="46">
        <v>20010629</v>
      </c>
      <c r="H98" s="45" t="s">
        <v>319</v>
      </c>
      <c r="I98" s="46">
        <v>1</v>
      </c>
      <c r="J98" s="47">
        <v>200.5</v>
      </c>
      <c r="K98" s="47">
        <v>200.5</v>
      </c>
    </row>
    <row r="99" spans="4:11">
      <c r="D99" s="44">
        <v>46056</v>
      </c>
      <c r="E99" s="45">
        <v>1576004</v>
      </c>
      <c r="F99" s="45" t="s">
        <v>235</v>
      </c>
      <c r="G99" s="46">
        <v>20012732</v>
      </c>
      <c r="H99" s="45" t="s">
        <v>251</v>
      </c>
      <c r="I99" s="46">
        <v>1</v>
      </c>
      <c r="J99" s="47">
        <v>123.5</v>
      </c>
      <c r="K99" s="47">
        <v>123.5</v>
      </c>
    </row>
    <row r="100" spans="4:11">
      <c r="D100" s="44">
        <v>46056</v>
      </c>
      <c r="E100" s="45">
        <v>1576004</v>
      </c>
      <c r="F100" s="45" t="s">
        <v>49</v>
      </c>
      <c r="G100" s="46">
        <v>20013921</v>
      </c>
      <c r="H100" s="45" t="s">
        <v>320</v>
      </c>
      <c r="I100" s="46">
        <v>2</v>
      </c>
      <c r="J100" s="47">
        <v>8</v>
      </c>
      <c r="K100" s="47">
        <v>16</v>
      </c>
    </row>
    <row r="101" spans="4:11">
      <c r="D101" s="44">
        <v>46056</v>
      </c>
      <c r="E101" s="45">
        <v>1576004</v>
      </c>
      <c r="F101" s="45" t="s">
        <v>49</v>
      </c>
      <c r="G101" s="46">
        <v>20331249</v>
      </c>
      <c r="H101" s="45" t="s">
        <v>321</v>
      </c>
      <c r="I101" s="46">
        <v>2</v>
      </c>
      <c r="J101" s="47">
        <v>8</v>
      </c>
      <c r="K101" s="47">
        <v>16</v>
      </c>
    </row>
    <row r="102" spans="4:11">
      <c r="D102" s="44">
        <v>46056</v>
      </c>
      <c r="E102" s="45">
        <v>1576004</v>
      </c>
      <c r="F102" s="45" t="s">
        <v>49</v>
      </c>
      <c r="G102" s="46">
        <v>20009853</v>
      </c>
      <c r="H102" s="45" t="s">
        <v>322</v>
      </c>
      <c r="I102" s="46">
        <v>1</v>
      </c>
      <c r="J102" s="47">
        <v>8</v>
      </c>
      <c r="K102" s="47">
        <v>8</v>
      </c>
    </row>
    <row r="103" ht="24.75" spans="4:11">
      <c r="D103" s="44">
        <v>46056</v>
      </c>
      <c r="E103" s="45">
        <v>1576004</v>
      </c>
      <c r="F103" s="45" t="s">
        <v>323</v>
      </c>
      <c r="G103" s="46">
        <v>20321789</v>
      </c>
      <c r="H103" s="45" t="s">
        <v>324</v>
      </c>
      <c r="I103" s="46">
        <v>1</v>
      </c>
      <c r="J103" s="47">
        <v>381.5</v>
      </c>
      <c r="K103" s="47">
        <v>381.5</v>
      </c>
    </row>
    <row r="104" spans="4:11">
      <c r="D104" s="44">
        <v>46056</v>
      </c>
      <c r="E104" s="45">
        <v>1576004</v>
      </c>
      <c r="F104" s="45" t="s">
        <v>47</v>
      </c>
      <c r="G104" s="46">
        <v>20011536</v>
      </c>
      <c r="H104" s="45" t="s">
        <v>325</v>
      </c>
      <c r="I104" s="46">
        <v>2</v>
      </c>
      <c r="J104" s="47">
        <v>66</v>
      </c>
      <c r="K104" s="47">
        <v>132</v>
      </c>
    </row>
    <row r="105" spans="4:11">
      <c r="D105" s="44">
        <v>46056</v>
      </c>
      <c r="E105" s="45">
        <v>1576004</v>
      </c>
      <c r="F105" s="45" t="s">
        <v>47</v>
      </c>
      <c r="G105" s="46">
        <v>20012726</v>
      </c>
      <c r="H105" s="45" t="s">
        <v>244</v>
      </c>
      <c r="I105" s="46">
        <v>3</v>
      </c>
      <c r="J105" s="47">
        <v>63</v>
      </c>
      <c r="K105" s="47">
        <v>189</v>
      </c>
    </row>
    <row r="106" spans="4:11">
      <c r="D106" s="44">
        <v>46056</v>
      </c>
      <c r="E106" s="45">
        <v>1576004</v>
      </c>
      <c r="F106" s="45" t="s">
        <v>47</v>
      </c>
      <c r="G106" s="46">
        <v>20012446</v>
      </c>
      <c r="H106" s="45" t="s">
        <v>326</v>
      </c>
      <c r="I106" s="46">
        <v>2</v>
      </c>
      <c r="J106" s="47">
        <v>60.5</v>
      </c>
      <c r="K106" s="47">
        <v>121</v>
      </c>
    </row>
    <row r="107" spans="4:11">
      <c r="D107" s="44">
        <v>46056</v>
      </c>
      <c r="E107" s="45">
        <v>1576004</v>
      </c>
      <c r="F107" s="45" t="s">
        <v>47</v>
      </c>
      <c r="G107" s="46">
        <v>20328677</v>
      </c>
      <c r="H107" s="45" t="s">
        <v>327</v>
      </c>
      <c r="I107" s="46">
        <v>2</v>
      </c>
      <c r="J107" s="47">
        <v>27.5</v>
      </c>
      <c r="K107" s="47">
        <v>55</v>
      </c>
    </row>
    <row r="108" spans="4:11">
      <c r="D108" s="44">
        <v>46056</v>
      </c>
      <c r="E108" s="45">
        <v>1576004</v>
      </c>
      <c r="F108" s="45" t="s">
        <v>53</v>
      </c>
      <c r="G108" s="46">
        <v>20012704</v>
      </c>
      <c r="H108" s="45" t="s">
        <v>238</v>
      </c>
      <c r="I108" s="46">
        <v>10</v>
      </c>
      <c r="J108" s="47">
        <v>16.5</v>
      </c>
      <c r="K108" s="47">
        <v>165</v>
      </c>
    </row>
    <row r="109" spans="4:11">
      <c r="D109" s="44">
        <v>46056</v>
      </c>
      <c r="E109" s="45">
        <v>1576004</v>
      </c>
      <c r="F109" s="45" t="s">
        <v>53</v>
      </c>
      <c r="G109" s="46">
        <v>20010443</v>
      </c>
      <c r="H109" s="45" t="s">
        <v>328</v>
      </c>
      <c r="I109" s="46">
        <v>1</v>
      </c>
      <c r="J109" s="47">
        <v>16.5</v>
      </c>
      <c r="K109" s="47">
        <v>16.5</v>
      </c>
    </row>
    <row r="110" spans="4:11">
      <c r="D110" s="44">
        <v>46056</v>
      </c>
      <c r="E110" s="45">
        <v>1576004</v>
      </c>
      <c r="F110" s="45" t="s">
        <v>53</v>
      </c>
      <c r="G110" s="46">
        <v>20338021</v>
      </c>
      <c r="H110" s="45" t="s">
        <v>329</v>
      </c>
      <c r="I110" s="46">
        <v>1</v>
      </c>
      <c r="J110" s="47">
        <v>16.5</v>
      </c>
      <c r="K110" s="47">
        <v>16.5</v>
      </c>
    </row>
    <row r="111" spans="4:11">
      <c r="D111" s="44">
        <v>46056</v>
      </c>
      <c r="E111" s="45">
        <v>1576004</v>
      </c>
      <c r="F111" s="45" t="s">
        <v>53</v>
      </c>
      <c r="G111" s="46">
        <v>20010354</v>
      </c>
      <c r="H111" s="45" t="s">
        <v>285</v>
      </c>
      <c r="I111" s="46">
        <v>1</v>
      </c>
      <c r="J111" s="47">
        <v>16.5</v>
      </c>
      <c r="K111" s="47">
        <v>16.5</v>
      </c>
    </row>
    <row r="112" spans="4:11">
      <c r="D112" s="44">
        <v>46056</v>
      </c>
      <c r="E112" s="45">
        <v>1576004</v>
      </c>
      <c r="F112" s="45" t="s">
        <v>53</v>
      </c>
      <c r="G112" s="46">
        <v>20333025</v>
      </c>
      <c r="H112" s="45" t="s">
        <v>290</v>
      </c>
      <c r="I112" s="46">
        <v>1</v>
      </c>
      <c r="J112" s="47">
        <v>66</v>
      </c>
      <c r="K112" s="47">
        <v>66</v>
      </c>
    </row>
    <row r="113" spans="4:11">
      <c r="D113" s="44">
        <v>46056</v>
      </c>
      <c r="E113" s="45">
        <v>1576004</v>
      </c>
      <c r="F113" s="45" t="s">
        <v>53</v>
      </c>
      <c r="G113" s="46">
        <v>20011464</v>
      </c>
      <c r="H113" s="45" t="s">
        <v>295</v>
      </c>
      <c r="I113" s="46">
        <v>1</v>
      </c>
      <c r="J113" s="47">
        <v>22</v>
      </c>
      <c r="K113" s="47">
        <v>22</v>
      </c>
    </row>
    <row r="114" spans="4:11">
      <c r="D114" s="44">
        <v>46056</v>
      </c>
      <c r="E114" s="45">
        <v>1576004</v>
      </c>
      <c r="F114" s="45" t="s">
        <v>53</v>
      </c>
      <c r="G114" s="46">
        <v>20010774</v>
      </c>
      <c r="H114" s="45" t="s">
        <v>240</v>
      </c>
      <c r="I114" s="46">
        <v>1</v>
      </c>
      <c r="J114" s="47">
        <v>16.5</v>
      </c>
      <c r="K114" s="47">
        <v>16.5</v>
      </c>
    </row>
    <row r="115" spans="4:11">
      <c r="D115" s="44">
        <v>46056</v>
      </c>
      <c r="E115" s="45">
        <v>1576004</v>
      </c>
      <c r="F115" s="45" t="s">
        <v>53</v>
      </c>
      <c r="G115" s="46">
        <v>20359973</v>
      </c>
      <c r="H115" s="45" t="s">
        <v>330</v>
      </c>
      <c r="I115" s="46">
        <v>2</v>
      </c>
      <c r="J115" s="47">
        <v>33</v>
      </c>
      <c r="K115" s="47">
        <v>66</v>
      </c>
    </row>
    <row r="116" spans="4:11">
      <c r="D116" s="44">
        <v>46057</v>
      </c>
      <c r="E116" s="45">
        <v>1576029</v>
      </c>
      <c r="F116" s="45" t="s">
        <v>77</v>
      </c>
      <c r="G116" s="46">
        <v>20012718</v>
      </c>
      <c r="H116" s="45" t="s">
        <v>307</v>
      </c>
      <c r="I116" s="46">
        <v>1</v>
      </c>
      <c r="J116" s="47">
        <v>35</v>
      </c>
      <c r="K116" s="47">
        <v>35</v>
      </c>
    </row>
    <row r="117" spans="4:11">
      <c r="D117" s="44">
        <v>46057</v>
      </c>
      <c r="E117" s="45">
        <v>1576029</v>
      </c>
      <c r="F117" s="45" t="s">
        <v>331</v>
      </c>
      <c r="G117" s="46">
        <v>20010702</v>
      </c>
      <c r="H117" s="45" t="s">
        <v>332</v>
      </c>
      <c r="I117" s="46">
        <v>1</v>
      </c>
      <c r="J117" s="47">
        <v>231</v>
      </c>
      <c r="K117" s="47">
        <v>231</v>
      </c>
    </row>
    <row r="118" spans="4:11">
      <c r="D118" s="44">
        <v>46057</v>
      </c>
      <c r="E118" s="45">
        <v>1576029</v>
      </c>
      <c r="F118" s="45" t="s">
        <v>310</v>
      </c>
      <c r="G118" s="46">
        <v>20012719</v>
      </c>
      <c r="H118" s="45" t="s">
        <v>333</v>
      </c>
      <c r="I118" s="46">
        <v>1</v>
      </c>
      <c r="J118" s="47">
        <v>66</v>
      </c>
      <c r="K118" s="47">
        <v>66</v>
      </c>
    </row>
    <row r="119" spans="4:11">
      <c r="D119" s="44">
        <v>46057</v>
      </c>
      <c r="E119" s="45">
        <v>1576029</v>
      </c>
      <c r="F119" s="45" t="s">
        <v>310</v>
      </c>
      <c r="G119" s="46">
        <v>20013174</v>
      </c>
      <c r="H119" s="45" t="s">
        <v>311</v>
      </c>
      <c r="I119" s="46">
        <v>1</v>
      </c>
      <c r="J119" s="47">
        <v>28</v>
      </c>
      <c r="K119" s="47">
        <v>28</v>
      </c>
    </row>
    <row r="120" spans="4:11">
      <c r="D120" s="44">
        <v>46057</v>
      </c>
      <c r="E120" s="45">
        <v>1576029</v>
      </c>
      <c r="F120" s="45" t="s">
        <v>310</v>
      </c>
      <c r="G120" s="46">
        <v>20013785</v>
      </c>
      <c r="H120" s="45" t="s">
        <v>312</v>
      </c>
      <c r="I120" s="46">
        <v>1</v>
      </c>
      <c r="J120" s="47">
        <v>88</v>
      </c>
      <c r="K120" s="47">
        <v>88</v>
      </c>
    </row>
    <row r="121" spans="4:11">
      <c r="D121" s="44">
        <v>46057</v>
      </c>
      <c r="E121" s="45">
        <v>1576042</v>
      </c>
      <c r="F121" s="45" t="s">
        <v>49</v>
      </c>
      <c r="G121" s="46">
        <v>20321768</v>
      </c>
      <c r="H121" s="45" t="s">
        <v>334</v>
      </c>
      <c r="I121" s="46">
        <v>1</v>
      </c>
      <c r="J121" s="47">
        <v>16.5</v>
      </c>
      <c r="K121" s="47">
        <v>16.5</v>
      </c>
    </row>
    <row r="122" spans="4:11">
      <c r="D122" s="44">
        <v>46057</v>
      </c>
      <c r="E122" s="45">
        <v>1576044</v>
      </c>
      <c r="F122" s="45" t="s">
        <v>105</v>
      </c>
      <c r="G122" s="46">
        <v>20362404</v>
      </c>
      <c r="H122" s="45" t="s">
        <v>335</v>
      </c>
      <c r="I122" s="46">
        <v>1</v>
      </c>
      <c r="J122" s="47">
        <v>8</v>
      </c>
      <c r="K122" s="47">
        <v>8</v>
      </c>
    </row>
    <row r="123" spans="4:11">
      <c r="D123" s="44">
        <v>46057</v>
      </c>
      <c r="E123" s="45">
        <v>1576327</v>
      </c>
      <c r="F123" s="45" t="s">
        <v>235</v>
      </c>
      <c r="G123" s="46">
        <v>20012730</v>
      </c>
      <c r="H123" s="45" t="s">
        <v>336</v>
      </c>
      <c r="I123" s="46">
        <v>1</v>
      </c>
      <c r="J123" s="47">
        <v>118</v>
      </c>
      <c r="K123" s="47">
        <v>118</v>
      </c>
    </row>
    <row r="124" spans="4:11">
      <c r="D124" s="44">
        <v>46057</v>
      </c>
      <c r="E124" s="45">
        <v>1576327</v>
      </c>
      <c r="F124" s="45" t="s">
        <v>235</v>
      </c>
      <c r="G124" s="46">
        <v>20012731</v>
      </c>
      <c r="H124" s="45" t="s">
        <v>243</v>
      </c>
      <c r="I124" s="46">
        <v>2</v>
      </c>
      <c r="J124" s="47">
        <v>272</v>
      </c>
      <c r="K124" s="47">
        <v>544</v>
      </c>
    </row>
    <row r="125" spans="4:11">
      <c r="D125" s="44">
        <v>46057</v>
      </c>
      <c r="E125" s="45">
        <v>1576327</v>
      </c>
      <c r="F125" s="45" t="s">
        <v>235</v>
      </c>
      <c r="G125" s="46">
        <v>20014111</v>
      </c>
      <c r="H125" s="45" t="s">
        <v>337</v>
      </c>
      <c r="I125" s="46">
        <v>1</v>
      </c>
      <c r="J125" s="47">
        <v>354.5</v>
      </c>
      <c r="K125" s="47">
        <v>354.5</v>
      </c>
    </row>
    <row r="126" spans="4:11">
      <c r="D126" s="44">
        <v>46057</v>
      </c>
      <c r="E126" s="45">
        <v>1576327</v>
      </c>
      <c r="F126" s="45" t="s">
        <v>235</v>
      </c>
      <c r="G126" s="46">
        <v>20009800</v>
      </c>
      <c r="H126" s="45" t="s">
        <v>249</v>
      </c>
      <c r="I126" s="46">
        <v>1</v>
      </c>
      <c r="J126" s="47">
        <v>217</v>
      </c>
      <c r="K126" s="47">
        <v>217</v>
      </c>
    </row>
    <row r="127" spans="4:11">
      <c r="D127" s="44">
        <v>46057</v>
      </c>
      <c r="E127" s="45">
        <v>1576327</v>
      </c>
      <c r="F127" s="45" t="s">
        <v>235</v>
      </c>
      <c r="G127" s="46">
        <v>20012732</v>
      </c>
      <c r="H127" s="45" t="s">
        <v>251</v>
      </c>
      <c r="I127" s="46">
        <v>2</v>
      </c>
      <c r="J127" s="47">
        <v>123.5</v>
      </c>
      <c r="K127" s="47">
        <v>247</v>
      </c>
    </row>
    <row r="128" spans="4:11">
      <c r="D128" s="44">
        <v>46057</v>
      </c>
      <c r="E128" s="45">
        <v>1576327</v>
      </c>
      <c r="F128" s="45" t="s">
        <v>49</v>
      </c>
      <c r="G128" s="46">
        <v>20315903</v>
      </c>
      <c r="H128" s="45" t="s">
        <v>338</v>
      </c>
      <c r="I128" s="46">
        <v>1</v>
      </c>
      <c r="J128" s="47">
        <v>5.5</v>
      </c>
      <c r="K128" s="47">
        <v>5.5</v>
      </c>
    </row>
    <row r="129" spans="4:11">
      <c r="D129" s="44">
        <v>46057</v>
      </c>
      <c r="E129" s="45">
        <v>1576327</v>
      </c>
      <c r="F129" s="45" t="s">
        <v>47</v>
      </c>
      <c r="G129" s="46">
        <v>20012726</v>
      </c>
      <c r="H129" s="45" t="s">
        <v>244</v>
      </c>
      <c r="I129" s="46">
        <v>1</v>
      </c>
      <c r="J129" s="47">
        <v>63</v>
      </c>
      <c r="K129" s="47">
        <v>63</v>
      </c>
    </row>
    <row r="130" spans="4:11">
      <c r="D130" s="44">
        <v>46057</v>
      </c>
      <c r="E130" s="45">
        <v>1576327</v>
      </c>
      <c r="F130" s="45" t="s">
        <v>53</v>
      </c>
      <c r="G130" s="46">
        <v>20012704</v>
      </c>
      <c r="H130" s="45" t="s">
        <v>238</v>
      </c>
      <c r="I130" s="46">
        <v>7</v>
      </c>
      <c r="J130" s="47">
        <v>16.5</v>
      </c>
      <c r="K130" s="47">
        <v>115.5</v>
      </c>
    </row>
    <row r="131" spans="4:11">
      <c r="D131" s="44">
        <v>46057</v>
      </c>
      <c r="E131" s="45">
        <v>1576327</v>
      </c>
      <c r="F131" s="45" t="s">
        <v>53</v>
      </c>
      <c r="G131" s="46">
        <v>20338021</v>
      </c>
      <c r="H131" s="45" t="s">
        <v>329</v>
      </c>
      <c r="I131" s="46">
        <v>1</v>
      </c>
      <c r="J131" s="47">
        <v>16.5</v>
      </c>
      <c r="K131" s="47">
        <v>16.5</v>
      </c>
    </row>
    <row r="132" spans="4:11">
      <c r="D132" s="44">
        <v>46057</v>
      </c>
      <c r="E132" s="45">
        <v>1576327</v>
      </c>
      <c r="F132" s="45" t="s">
        <v>53</v>
      </c>
      <c r="G132" s="46">
        <v>20010354</v>
      </c>
      <c r="H132" s="45" t="s">
        <v>285</v>
      </c>
      <c r="I132" s="46">
        <v>1</v>
      </c>
      <c r="J132" s="47">
        <v>16.5</v>
      </c>
      <c r="K132" s="47">
        <v>16.5</v>
      </c>
    </row>
    <row r="133" spans="4:11">
      <c r="D133" s="44">
        <v>46057</v>
      </c>
      <c r="E133" s="45">
        <v>1576327</v>
      </c>
      <c r="F133" s="45" t="s">
        <v>53</v>
      </c>
      <c r="G133" s="46">
        <v>20010802</v>
      </c>
      <c r="H133" s="45" t="s">
        <v>339</v>
      </c>
      <c r="I133" s="46">
        <v>1</v>
      </c>
      <c r="J133" s="47">
        <v>16.5</v>
      </c>
      <c r="K133" s="47">
        <v>16.5</v>
      </c>
    </row>
    <row r="134" spans="4:11">
      <c r="D134" s="44">
        <v>46057</v>
      </c>
      <c r="E134" s="45">
        <v>1576327</v>
      </c>
      <c r="F134" s="45" t="s">
        <v>53</v>
      </c>
      <c r="G134" s="46">
        <v>20010308</v>
      </c>
      <c r="H134" s="45" t="s">
        <v>286</v>
      </c>
      <c r="I134" s="46">
        <v>1</v>
      </c>
      <c r="J134" s="47">
        <v>16.5</v>
      </c>
      <c r="K134" s="47">
        <v>16.5</v>
      </c>
    </row>
    <row r="135" spans="4:11">
      <c r="D135" s="44">
        <v>46057</v>
      </c>
      <c r="E135" s="45">
        <v>1576327</v>
      </c>
      <c r="F135" s="45" t="s">
        <v>53</v>
      </c>
      <c r="G135" s="46">
        <v>20012709</v>
      </c>
      <c r="H135" s="45" t="s">
        <v>239</v>
      </c>
      <c r="I135" s="46">
        <v>2</v>
      </c>
      <c r="J135" s="47">
        <v>16.5</v>
      </c>
      <c r="K135" s="47">
        <v>33</v>
      </c>
    </row>
    <row r="136" spans="4:11">
      <c r="D136" s="44">
        <v>46057</v>
      </c>
      <c r="E136" s="45">
        <v>1576327</v>
      </c>
      <c r="F136" s="45" t="s">
        <v>53</v>
      </c>
      <c r="G136" s="46">
        <v>20010186</v>
      </c>
      <c r="H136" s="45" t="s">
        <v>340</v>
      </c>
      <c r="I136" s="46">
        <v>1</v>
      </c>
      <c r="J136" s="47">
        <v>16.5</v>
      </c>
      <c r="K136" s="47">
        <v>16.5</v>
      </c>
    </row>
    <row r="137" spans="4:11">
      <c r="D137" s="44">
        <v>46057</v>
      </c>
      <c r="E137" s="45">
        <v>1576327</v>
      </c>
      <c r="F137" s="45" t="s">
        <v>53</v>
      </c>
      <c r="G137" s="46">
        <v>20010774</v>
      </c>
      <c r="H137" s="45" t="s">
        <v>240</v>
      </c>
      <c r="I137" s="46">
        <v>1</v>
      </c>
      <c r="J137" s="47">
        <v>16.5</v>
      </c>
      <c r="K137" s="47">
        <v>16.5</v>
      </c>
    </row>
    <row r="138" spans="4:11">
      <c r="D138" s="44">
        <v>46057</v>
      </c>
      <c r="E138" s="45">
        <v>1576327</v>
      </c>
      <c r="F138" s="45" t="s">
        <v>53</v>
      </c>
      <c r="G138" s="46">
        <v>20010617</v>
      </c>
      <c r="H138" s="45" t="s">
        <v>299</v>
      </c>
      <c r="I138" s="46">
        <v>1</v>
      </c>
      <c r="J138" s="47">
        <v>16.5</v>
      </c>
      <c r="K138" s="47">
        <v>16.5</v>
      </c>
    </row>
    <row r="139" spans="4:11">
      <c r="D139" s="44">
        <v>46058</v>
      </c>
      <c r="E139" s="45">
        <v>1576337</v>
      </c>
      <c r="F139" s="45" t="s">
        <v>105</v>
      </c>
      <c r="G139" s="46">
        <v>20320701</v>
      </c>
      <c r="H139" s="45" t="s">
        <v>316</v>
      </c>
      <c r="I139" s="46">
        <v>1</v>
      </c>
      <c r="J139" s="47">
        <v>8</v>
      </c>
      <c r="K139" s="47">
        <v>8</v>
      </c>
    </row>
    <row r="140" spans="4:11">
      <c r="D140" s="44">
        <v>46058</v>
      </c>
      <c r="E140" s="45">
        <v>1576366</v>
      </c>
      <c r="F140" s="45" t="s">
        <v>77</v>
      </c>
      <c r="G140" s="46">
        <v>20012720</v>
      </c>
      <c r="H140" s="45" t="s">
        <v>341</v>
      </c>
      <c r="I140" s="46">
        <v>1</v>
      </c>
      <c r="J140" s="47">
        <v>28</v>
      </c>
      <c r="K140" s="47">
        <v>28</v>
      </c>
    </row>
    <row r="141" ht="25.5" spans="4:11">
      <c r="D141" s="44">
        <v>46058</v>
      </c>
      <c r="E141" s="45">
        <v>1576366</v>
      </c>
      <c r="F141" s="45" t="s">
        <v>77</v>
      </c>
      <c r="G141" s="46">
        <v>20409659</v>
      </c>
      <c r="H141" s="45" t="s">
        <v>342</v>
      </c>
      <c r="I141" s="46">
        <v>1</v>
      </c>
      <c r="J141" s="47">
        <v>28</v>
      </c>
      <c r="K141" s="47">
        <v>28</v>
      </c>
    </row>
    <row r="142" spans="4:11">
      <c r="D142" s="44">
        <v>46058</v>
      </c>
      <c r="E142" s="45">
        <v>1576366</v>
      </c>
      <c r="F142" s="45" t="s">
        <v>77</v>
      </c>
      <c r="G142" s="46">
        <v>20012717</v>
      </c>
      <c r="H142" s="45" t="s">
        <v>343</v>
      </c>
      <c r="I142" s="46">
        <v>1</v>
      </c>
      <c r="J142" s="47">
        <v>28</v>
      </c>
      <c r="K142" s="47">
        <v>28</v>
      </c>
    </row>
    <row r="143" spans="4:11">
      <c r="D143" s="44">
        <v>46058</v>
      </c>
      <c r="E143" s="45">
        <v>1576366</v>
      </c>
      <c r="F143" s="45" t="s">
        <v>77</v>
      </c>
      <c r="G143" s="46">
        <v>20014176</v>
      </c>
      <c r="H143" s="45" t="s">
        <v>344</v>
      </c>
      <c r="I143" s="46">
        <v>1</v>
      </c>
      <c r="J143" s="47">
        <v>28</v>
      </c>
      <c r="K143" s="47">
        <v>28</v>
      </c>
    </row>
    <row r="144" spans="4:11">
      <c r="D144" s="44">
        <v>46058</v>
      </c>
      <c r="E144" s="45">
        <v>1576366</v>
      </c>
      <c r="F144" s="45" t="s">
        <v>77</v>
      </c>
      <c r="G144" s="46">
        <v>20014162</v>
      </c>
      <c r="H144" s="45" t="s">
        <v>242</v>
      </c>
      <c r="I144" s="46">
        <v>1</v>
      </c>
      <c r="J144" s="47">
        <v>28</v>
      </c>
      <c r="K144" s="47">
        <v>28</v>
      </c>
    </row>
    <row r="145" spans="4:11">
      <c r="D145" s="44">
        <v>46058</v>
      </c>
      <c r="E145" s="45">
        <v>1576366</v>
      </c>
      <c r="F145" s="45" t="s">
        <v>77</v>
      </c>
      <c r="G145" s="46">
        <v>20012716</v>
      </c>
      <c r="H145" s="45" t="s">
        <v>345</v>
      </c>
      <c r="I145" s="46">
        <v>1</v>
      </c>
      <c r="J145" s="47">
        <v>28</v>
      </c>
      <c r="K145" s="47">
        <v>28</v>
      </c>
    </row>
    <row r="146" spans="4:11">
      <c r="D146" s="44">
        <v>46058</v>
      </c>
      <c r="E146" s="45">
        <v>1576366</v>
      </c>
      <c r="F146" s="45" t="s">
        <v>77</v>
      </c>
      <c r="G146" s="46">
        <v>20010808</v>
      </c>
      <c r="H146" s="45" t="s">
        <v>346</v>
      </c>
      <c r="I146" s="46">
        <v>1</v>
      </c>
      <c r="J146" s="47">
        <v>25</v>
      </c>
      <c r="K146" s="47">
        <v>25</v>
      </c>
    </row>
    <row r="147" spans="4:11">
      <c r="D147" s="44">
        <v>46058</v>
      </c>
      <c r="E147" s="45">
        <v>1576366</v>
      </c>
      <c r="F147" s="45" t="s">
        <v>331</v>
      </c>
      <c r="G147" s="46">
        <v>20010793</v>
      </c>
      <c r="H147" s="45" t="s">
        <v>347</v>
      </c>
      <c r="I147" s="46">
        <v>1</v>
      </c>
      <c r="J147" s="47">
        <v>209</v>
      </c>
      <c r="K147" s="47">
        <v>209</v>
      </c>
    </row>
    <row r="148" ht="25.5" spans="4:11">
      <c r="D148" s="44">
        <v>46058</v>
      </c>
      <c r="E148" s="45">
        <v>1576366</v>
      </c>
      <c r="F148" s="45" t="s">
        <v>310</v>
      </c>
      <c r="G148" s="46">
        <v>20010686</v>
      </c>
      <c r="H148" s="45" t="s">
        <v>348</v>
      </c>
      <c r="I148" s="46">
        <v>1</v>
      </c>
      <c r="J148" s="47">
        <v>28</v>
      </c>
      <c r="K148" s="47">
        <v>28</v>
      </c>
    </row>
    <row r="149" spans="4:11">
      <c r="D149" s="44">
        <v>46058</v>
      </c>
      <c r="E149" s="45">
        <v>1576429</v>
      </c>
      <c r="F149" s="45" t="s">
        <v>47</v>
      </c>
      <c r="G149" s="46">
        <v>20012726</v>
      </c>
      <c r="H149" s="45" t="s">
        <v>244</v>
      </c>
      <c r="I149" s="46">
        <v>1</v>
      </c>
      <c r="J149" s="47">
        <v>63</v>
      </c>
      <c r="K149" s="47">
        <v>63</v>
      </c>
    </row>
    <row r="150" spans="4:11">
      <c r="D150" s="44">
        <v>46058</v>
      </c>
      <c r="E150" s="45">
        <v>1576429</v>
      </c>
      <c r="F150" s="45" t="s">
        <v>53</v>
      </c>
      <c r="G150" s="46">
        <v>20012704</v>
      </c>
      <c r="H150" s="45" t="s">
        <v>238</v>
      </c>
      <c r="I150" s="46">
        <v>1</v>
      </c>
      <c r="J150" s="47">
        <v>16.5</v>
      </c>
      <c r="K150" s="47">
        <v>16.5</v>
      </c>
    </row>
    <row r="151" spans="4:11">
      <c r="D151" s="44">
        <v>46058</v>
      </c>
      <c r="E151" s="45">
        <v>1576683</v>
      </c>
      <c r="F151" s="45" t="s">
        <v>235</v>
      </c>
      <c r="G151" s="46">
        <v>20012730</v>
      </c>
      <c r="H151" s="45" t="s">
        <v>336</v>
      </c>
      <c r="I151" s="46">
        <v>2</v>
      </c>
      <c r="J151" s="47">
        <v>118</v>
      </c>
      <c r="K151" s="47">
        <v>236</v>
      </c>
    </row>
    <row r="152" spans="4:11">
      <c r="D152" s="44">
        <v>46058</v>
      </c>
      <c r="E152" s="45">
        <v>1576683</v>
      </c>
      <c r="F152" s="45" t="s">
        <v>235</v>
      </c>
      <c r="G152" s="46">
        <v>20012729</v>
      </c>
      <c r="H152" s="45" t="s">
        <v>247</v>
      </c>
      <c r="I152" s="46">
        <v>1</v>
      </c>
      <c r="J152" s="47">
        <v>68.5</v>
      </c>
      <c r="K152" s="47">
        <v>68.5</v>
      </c>
    </row>
    <row r="153" spans="4:11">
      <c r="D153" s="44">
        <v>46058</v>
      </c>
      <c r="E153" s="45">
        <v>1576683</v>
      </c>
      <c r="F153" s="45" t="s">
        <v>235</v>
      </c>
      <c r="G153" s="46">
        <v>20012731</v>
      </c>
      <c r="H153" s="45" t="s">
        <v>243</v>
      </c>
      <c r="I153" s="46">
        <v>3</v>
      </c>
      <c r="J153" s="47">
        <v>272</v>
      </c>
      <c r="K153" s="47">
        <v>816</v>
      </c>
    </row>
    <row r="154" spans="4:11">
      <c r="D154" s="44">
        <v>46058</v>
      </c>
      <c r="E154" s="45">
        <v>1576683</v>
      </c>
      <c r="F154" s="45" t="s">
        <v>49</v>
      </c>
      <c r="G154" s="46">
        <v>20013921</v>
      </c>
      <c r="H154" s="45" t="s">
        <v>320</v>
      </c>
      <c r="I154" s="46">
        <v>1</v>
      </c>
      <c r="J154" s="47">
        <v>8</v>
      </c>
      <c r="K154" s="47">
        <v>8</v>
      </c>
    </row>
    <row r="155" spans="4:11">
      <c r="D155" s="44">
        <v>46058</v>
      </c>
      <c r="E155" s="45">
        <v>1576683</v>
      </c>
      <c r="F155" s="45" t="s">
        <v>47</v>
      </c>
      <c r="G155" s="46">
        <v>20012726</v>
      </c>
      <c r="H155" s="45" t="s">
        <v>244</v>
      </c>
      <c r="I155" s="46">
        <v>3</v>
      </c>
      <c r="J155" s="47">
        <v>63</v>
      </c>
      <c r="K155" s="47">
        <v>189</v>
      </c>
    </row>
    <row r="156" spans="4:11">
      <c r="D156" s="44">
        <v>46058</v>
      </c>
      <c r="E156" s="45">
        <v>1576683</v>
      </c>
      <c r="F156" s="45" t="s">
        <v>47</v>
      </c>
      <c r="G156" s="46">
        <v>20328677</v>
      </c>
      <c r="H156" s="45" t="s">
        <v>327</v>
      </c>
      <c r="I156" s="46">
        <v>2</v>
      </c>
      <c r="J156" s="47">
        <v>27.5</v>
      </c>
      <c r="K156" s="47">
        <v>55</v>
      </c>
    </row>
    <row r="157" spans="4:11">
      <c r="D157" s="44">
        <v>46058</v>
      </c>
      <c r="E157" s="45">
        <v>1576683</v>
      </c>
      <c r="F157" s="45" t="s">
        <v>53</v>
      </c>
      <c r="G157" s="46">
        <v>20012704</v>
      </c>
      <c r="H157" s="45" t="s">
        <v>238</v>
      </c>
      <c r="I157" s="46">
        <v>11</v>
      </c>
      <c r="J157" s="47">
        <v>16.5</v>
      </c>
      <c r="K157" s="47">
        <v>181.5</v>
      </c>
    </row>
    <row r="158" spans="4:11">
      <c r="D158" s="44">
        <v>46058</v>
      </c>
      <c r="E158" s="45">
        <v>1576683</v>
      </c>
      <c r="F158" s="45" t="s">
        <v>53</v>
      </c>
      <c r="G158" s="46">
        <v>20345147</v>
      </c>
      <c r="H158" s="45" t="s">
        <v>349</v>
      </c>
      <c r="I158" s="46">
        <v>1</v>
      </c>
      <c r="J158" s="47">
        <v>16.5</v>
      </c>
      <c r="K158" s="47">
        <v>16.5</v>
      </c>
    </row>
    <row r="159" spans="4:11">
      <c r="D159" s="44">
        <v>46058</v>
      </c>
      <c r="E159" s="45">
        <v>1576683</v>
      </c>
      <c r="F159" s="45" t="s">
        <v>53</v>
      </c>
      <c r="G159" s="46">
        <v>20010197</v>
      </c>
      <c r="H159" s="45" t="s">
        <v>350</v>
      </c>
      <c r="I159" s="46">
        <v>1</v>
      </c>
      <c r="J159" s="47">
        <v>16.5</v>
      </c>
      <c r="K159" s="47">
        <v>16.5</v>
      </c>
    </row>
    <row r="160" spans="4:11">
      <c r="D160" s="44">
        <v>46058</v>
      </c>
      <c r="E160" s="45">
        <v>1576683</v>
      </c>
      <c r="F160" s="45" t="s">
        <v>53</v>
      </c>
      <c r="G160" s="46">
        <v>20411010</v>
      </c>
      <c r="H160" s="45" t="s">
        <v>246</v>
      </c>
      <c r="I160" s="46">
        <v>1</v>
      </c>
      <c r="J160" s="47">
        <v>27.5</v>
      </c>
      <c r="K160" s="47">
        <v>27.5</v>
      </c>
    </row>
    <row r="161" spans="4:11">
      <c r="D161" s="44">
        <v>46058</v>
      </c>
      <c r="E161" s="45">
        <v>1576683</v>
      </c>
      <c r="F161" s="45" t="s">
        <v>53</v>
      </c>
      <c r="G161" s="46">
        <v>20010354</v>
      </c>
      <c r="H161" s="45" t="s">
        <v>285</v>
      </c>
      <c r="I161" s="46">
        <v>1</v>
      </c>
      <c r="J161" s="47">
        <v>16.5</v>
      </c>
      <c r="K161" s="47">
        <v>16.5</v>
      </c>
    </row>
    <row r="162" spans="4:11">
      <c r="D162" s="44">
        <v>46058</v>
      </c>
      <c r="E162" s="45">
        <v>1576683</v>
      </c>
      <c r="F162" s="45" t="s">
        <v>53</v>
      </c>
      <c r="G162" s="46">
        <v>20010623</v>
      </c>
      <c r="H162" s="45" t="s">
        <v>289</v>
      </c>
      <c r="I162" s="46">
        <v>1</v>
      </c>
      <c r="J162" s="47">
        <v>16.5</v>
      </c>
      <c r="K162" s="47">
        <v>16.5</v>
      </c>
    </row>
    <row r="163" spans="4:11">
      <c r="D163" s="44">
        <v>46058</v>
      </c>
      <c r="E163" s="45">
        <v>1576683</v>
      </c>
      <c r="F163" s="45" t="s">
        <v>53</v>
      </c>
      <c r="G163" s="46">
        <v>20012709</v>
      </c>
      <c r="H163" s="45" t="s">
        <v>239</v>
      </c>
      <c r="I163" s="46">
        <v>2</v>
      </c>
      <c r="J163" s="47">
        <v>16.5</v>
      </c>
      <c r="K163" s="47">
        <v>33</v>
      </c>
    </row>
    <row r="164" spans="4:11">
      <c r="D164" s="44">
        <v>46058</v>
      </c>
      <c r="E164" s="45">
        <v>1576683</v>
      </c>
      <c r="F164" s="45" t="s">
        <v>53</v>
      </c>
      <c r="G164" s="46">
        <v>20364243</v>
      </c>
      <c r="H164" s="45" t="s">
        <v>351</v>
      </c>
      <c r="I164" s="46">
        <v>2</v>
      </c>
      <c r="J164" s="47">
        <v>16.5</v>
      </c>
      <c r="K164" s="47">
        <v>33</v>
      </c>
    </row>
    <row r="165" spans="4:11">
      <c r="D165" s="44">
        <v>46058</v>
      </c>
      <c r="E165" s="45">
        <v>1576683</v>
      </c>
      <c r="F165" s="45" t="s">
        <v>53</v>
      </c>
      <c r="G165" s="46">
        <v>20380027</v>
      </c>
      <c r="H165" s="45" t="s">
        <v>352</v>
      </c>
      <c r="I165" s="46">
        <v>1</v>
      </c>
      <c r="J165" s="47">
        <v>16.5</v>
      </c>
      <c r="K165" s="47">
        <v>16.5</v>
      </c>
    </row>
    <row r="166" spans="4:11">
      <c r="D166" s="44">
        <v>46058</v>
      </c>
      <c r="E166" s="45">
        <v>1576683</v>
      </c>
      <c r="F166" s="45" t="s">
        <v>53</v>
      </c>
      <c r="G166" s="46">
        <v>20012705</v>
      </c>
      <c r="H166" s="45" t="s">
        <v>241</v>
      </c>
      <c r="I166" s="46">
        <v>1</v>
      </c>
      <c r="J166" s="47">
        <v>16.5</v>
      </c>
      <c r="K166" s="47">
        <v>16.5</v>
      </c>
    </row>
    <row r="167" spans="4:11">
      <c r="D167" s="44">
        <v>46058</v>
      </c>
      <c r="E167" s="45">
        <v>1576683</v>
      </c>
      <c r="F167" s="45" t="s">
        <v>53</v>
      </c>
      <c r="G167" s="46">
        <v>20010459</v>
      </c>
      <c r="H167" s="45" t="s">
        <v>353</v>
      </c>
      <c r="I167" s="46">
        <v>1</v>
      </c>
      <c r="J167" s="47">
        <v>16.5</v>
      </c>
      <c r="K167" s="47">
        <v>16.5</v>
      </c>
    </row>
    <row r="168" spans="4:11">
      <c r="D168" s="44">
        <v>46059</v>
      </c>
      <c r="E168" s="45">
        <v>1576713</v>
      </c>
      <c r="F168" s="45" t="s">
        <v>77</v>
      </c>
      <c r="G168" s="46">
        <v>20012720</v>
      </c>
      <c r="H168" s="45" t="s">
        <v>341</v>
      </c>
      <c r="I168" s="46">
        <v>1</v>
      </c>
      <c r="J168" s="47">
        <v>28</v>
      </c>
      <c r="K168" s="47">
        <v>28</v>
      </c>
    </row>
    <row r="169" spans="4:11">
      <c r="D169" s="44">
        <v>46059</v>
      </c>
      <c r="E169" s="45">
        <v>1576713</v>
      </c>
      <c r="F169" s="45" t="s">
        <v>77</v>
      </c>
      <c r="G169" s="46">
        <v>20010711</v>
      </c>
      <c r="H169" s="45" t="s">
        <v>354</v>
      </c>
      <c r="I169" s="46">
        <v>1</v>
      </c>
      <c r="J169" s="47">
        <v>25</v>
      </c>
      <c r="K169" s="47">
        <v>25</v>
      </c>
    </row>
    <row r="170" ht="25.5" spans="4:11">
      <c r="D170" s="44">
        <v>46059</v>
      </c>
      <c r="E170" s="45">
        <v>1576713</v>
      </c>
      <c r="F170" s="45" t="s">
        <v>77</v>
      </c>
      <c r="G170" s="46">
        <v>20409659</v>
      </c>
      <c r="H170" s="45" t="s">
        <v>342</v>
      </c>
      <c r="I170" s="46">
        <v>2</v>
      </c>
      <c r="J170" s="47">
        <v>28</v>
      </c>
      <c r="K170" s="47">
        <v>56</v>
      </c>
    </row>
    <row r="171" spans="4:11">
      <c r="D171" s="44">
        <v>46059</v>
      </c>
      <c r="E171" s="45">
        <v>1576713</v>
      </c>
      <c r="F171" s="45" t="s">
        <v>77</v>
      </c>
      <c r="G171" s="46">
        <v>20012715</v>
      </c>
      <c r="H171" s="45" t="s">
        <v>355</v>
      </c>
      <c r="I171" s="46">
        <v>2</v>
      </c>
      <c r="J171" s="47">
        <v>28</v>
      </c>
      <c r="K171" s="47">
        <v>56</v>
      </c>
    </row>
    <row r="172" spans="4:11">
      <c r="D172" s="44">
        <v>46059</v>
      </c>
      <c r="E172" s="45">
        <v>1576713</v>
      </c>
      <c r="F172" s="45" t="s">
        <v>77</v>
      </c>
      <c r="G172" s="46">
        <v>20010294</v>
      </c>
      <c r="H172" s="45" t="s">
        <v>356</v>
      </c>
      <c r="I172" s="46">
        <v>2</v>
      </c>
      <c r="J172" s="47">
        <v>44</v>
      </c>
      <c r="K172" s="47">
        <v>88</v>
      </c>
    </row>
    <row r="173" spans="4:11">
      <c r="D173" s="44">
        <v>46059</v>
      </c>
      <c r="E173" s="45">
        <v>1576713</v>
      </c>
      <c r="F173" s="45" t="s">
        <v>77</v>
      </c>
      <c r="G173" s="46">
        <v>20012717</v>
      </c>
      <c r="H173" s="45" t="s">
        <v>343</v>
      </c>
      <c r="I173" s="46">
        <v>2</v>
      </c>
      <c r="J173" s="47">
        <v>28</v>
      </c>
      <c r="K173" s="47">
        <v>56</v>
      </c>
    </row>
    <row r="174" spans="4:11">
      <c r="D174" s="44">
        <v>46059</v>
      </c>
      <c r="E174" s="45">
        <v>1576713</v>
      </c>
      <c r="F174" s="45" t="s">
        <v>77</v>
      </c>
      <c r="G174" s="46">
        <v>20012718</v>
      </c>
      <c r="H174" s="45" t="s">
        <v>307</v>
      </c>
      <c r="I174" s="46">
        <v>1</v>
      </c>
      <c r="J174" s="47">
        <v>35</v>
      </c>
      <c r="K174" s="47">
        <v>35</v>
      </c>
    </row>
    <row r="175" spans="4:11">
      <c r="D175" s="44">
        <v>46059</v>
      </c>
      <c r="E175" s="45">
        <v>1576713</v>
      </c>
      <c r="F175" s="45" t="s">
        <v>77</v>
      </c>
      <c r="G175" s="46">
        <v>20012716</v>
      </c>
      <c r="H175" s="45" t="s">
        <v>345</v>
      </c>
      <c r="I175" s="46">
        <v>3</v>
      </c>
      <c r="J175" s="47">
        <v>28</v>
      </c>
      <c r="K175" s="47">
        <v>84</v>
      </c>
    </row>
    <row r="176" spans="4:11">
      <c r="D176" s="44">
        <v>46059</v>
      </c>
      <c r="E176" s="45">
        <v>1576713</v>
      </c>
      <c r="F176" s="45" t="s">
        <v>77</v>
      </c>
      <c r="G176" s="46">
        <v>20010808</v>
      </c>
      <c r="H176" s="45" t="s">
        <v>346</v>
      </c>
      <c r="I176" s="46">
        <v>1</v>
      </c>
      <c r="J176" s="47">
        <v>25</v>
      </c>
      <c r="K176" s="47">
        <v>25</v>
      </c>
    </row>
    <row r="177" spans="4:11">
      <c r="D177" s="44">
        <v>46059</v>
      </c>
      <c r="E177" s="45">
        <v>1576713</v>
      </c>
      <c r="F177" s="45" t="s">
        <v>310</v>
      </c>
      <c r="G177" s="46">
        <v>20012719</v>
      </c>
      <c r="H177" s="45" t="s">
        <v>333</v>
      </c>
      <c r="I177" s="46">
        <v>1</v>
      </c>
      <c r="J177" s="47">
        <v>66</v>
      </c>
      <c r="K177" s="47">
        <v>66</v>
      </c>
    </row>
    <row r="178" spans="4:11">
      <c r="D178" s="44">
        <v>46059</v>
      </c>
      <c r="E178" s="45">
        <v>1576713</v>
      </c>
      <c r="F178" s="45" t="s">
        <v>310</v>
      </c>
      <c r="G178" s="46">
        <v>20010212</v>
      </c>
      <c r="H178" s="45" t="s">
        <v>357</v>
      </c>
      <c r="I178" s="46">
        <v>1</v>
      </c>
      <c r="J178" s="47">
        <v>28</v>
      </c>
      <c r="K178" s="47">
        <v>28</v>
      </c>
    </row>
    <row r="179" spans="4:11">
      <c r="D179" s="44">
        <v>46059</v>
      </c>
      <c r="E179" s="45">
        <v>1576803</v>
      </c>
      <c r="F179" s="45" t="s">
        <v>235</v>
      </c>
      <c r="G179" s="46">
        <v>20012730</v>
      </c>
      <c r="H179" s="45" t="s">
        <v>336</v>
      </c>
      <c r="I179" s="46">
        <v>2</v>
      </c>
      <c r="J179" s="47">
        <v>118</v>
      </c>
      <c r="K179" s="47">
        <v>236</v>
      </c>
    </row>
    <row r="180" spans="4:11">
      <c r="D180" s="44">
        <v>46059</v>
      </c>
      <c r="E180" s="45">
        <v>1576803</v>
      </c>
      <c r="F180" s="45" t="s">
        <v>53</v>
      </c>
      <c r="G180" s="46">
        <v>20012704</v>
      </c>
      <c r="H180" s="45" t="s">
        <v>238</v>
      </c>
      <c r="I180" s="46">
        <v>2</v>
      </c>
      <c r="J180" s="47">
        <v>16.5</v>
      </c>
      <c r="K180" s="47">
        <v>33</v>
      </c>
    </row>
    <row r="181" spans="4:11">
      <c r="D181" s="44">
        <v>46059</v>
      </c>
      <c r="E181" s="45">
        <v>1576827</v>
      </c>
      <c r="F181" s="45" t="s">
        <v>77</v>
      </c>
      <c r="G181" s="46">
        <v>20383809</v>
      </c>
      <c r="H181" s="45" t="s">
        <v>358</v>
      </c>
      <c r="I181" s="46">
        <v>1</v>
      </c>
      <c r="J181" s="47">
        <v>28</v>
      </c>
      <c r="K181" s="47">
        <v>28</v>
      </c>
    </row>
    <row r="182" spans="4:11">
      <c r="D182" s="44">
        <v>46059</v>
      </c>
      <c r="E182" s="45">
        <v>1576827</v>
      </c>
      <c r="F182" s="45" t="s">
        <v>77</v>
      </c>
      <c r="G182" s="46">
        <v>20014163</v>
      </c>
      <c r="H182" s="45" t="s">
        <v>305</v>
      </c>
      <c r="I182" s="46">
        <v>1</v>
      </c>
      <c r="J182" s="47">
        <v>22</v>
      </c>
      <c r="K182" s="47">
        <v>22</v>
      </c>
    </row>
    <row r="183" spans="4:11">
      <c r="D183" s="44">
        <v>46059</v>
      </c>
      <c r="E183" s="45">
        <v>1576827</v>
      </c>
      <c r="F183" s="45" t="s">
        <v>77</v>
      </c>
      <c r="G183" s="46">
        <v>20012715</v>
      </c>
      <c r="H183" s="45" t="s">
        <v>355</v>
      </c>
      <c r="I183" s="46">
        <v>2</v>
      </c>
      <c r="J183" s="47">
        <v>28</v>
      </c>
      <c r="K183" s="47">
        <v>56</v>
      </c>
    </row>
    <row r="184" spans="4:11">
      <c r="D184" s="44">
        <v>46059</v>
      </c>
      <c r="E184" s="45">
        <v>1576827</v>
      </c>
      <c r="F184" s="45" t="s">
        <v>77</v>
      </c>
      <c r="G184" s="46">
        <v>20010294</v>
      </c>
      <c r="H184" s="45" t="s">
        <v>356</v>
      </c>
      <c r="I184" s="46">
        <v>1</v>
      </c>
      <c r="J184" s="47">
        <v>44</v>
      </c>
      <c r="K184" s="47">
        <v>44</v>
      </c>
    </row>
    <row r="185" spans="4:11">
      <c r="D185" s="44">
        <v>46059</v>
      </c>
      <c r="E185" s="45">
        <v>1576827</v>
      </c>
      <c r="F185" s="45" t="s">
        <v>77</v>
      </c>
      <c r="G185" s="46">
        <v>20012717</v>
      </c>
      <c r="H185" s="45" t="s">
        <v>343</v>
      </c>
      <c r="I185" s="46">
        <v>2</v>
      </c>
      <c r="J185" s="47">
        <v>28</v>
      </c>
      <c r="K185" s="47">
        <v>56</v>
      </c>
    </row>
    <row r="186" spans="4:11">
      <c r="D186" s="44">
        <v>46059</v>
      </c>
      <c r="E186" s="45">
        <v>1576827</v>
      </c>
      <c r="F186" s="45" t="s">
        <v>77</v>
      </c>
      <c r="G186" s="46">
        <v>20014167</v>
      </c>
      <c r="H186" s="45" t="s">
        <v>359</v>
      </c>
      <c r="I186" s="46">
        <v>1</v>
      </c>
      <c r="J186" s="47">
        <v>28</v>
      </c>
      <c r="K186" s="47">
        <v>28</v>
      </c>
    </row>
    <row r="187" spans="4:11">
      <c r="D187" s="44">
        <v>46059</v>
      </c>
      <c r="E187" s="45">
        <v>1576827</v>
      </c>
      <c r="F187" s="45" t="s">
        <v>77</v>
      </c>
      <c r="G187" s="46">
        <v>20012716</v>
      </c>
      <c r="H187" s="45" t="s">
        <v>345</v>
      </c>
      <c r="I187" s="46">
        <v>3</v>
      </c>
      <c r="J187" s="47">
        <v>28</v>
      </c>
      <c r="K187" s="47">
        <v>84</v>
      </c>
    </row>
    <row r="188" spans="4:11">
      <c r="D188" s="44">
        <v>46059</v>
      </c>
      <c r="E188" s="45">
        <v>1576827</v>
      </c>
      <c r="F188" s="45" t="s">
        <v>77</v>
      </c>
      <c r="G188" s="46">
        <v>20010808</v>
      </c>
      <c r="H188" s="45" t="s">
        <v>346</v>
      </c>
      <c r="I188" s="46">
        <v>2</v>
      </c>
      <c r="J188" s="47">
        <v>25</v>
      </c>
      <c r="K188" s="47">
        <v>50</v>
      </c>
    </row>
    <row r="189" spans="4:11">
      <c r="D189" s="44">
        <v>46059</v>
      </c>
      <c r="E189" s="45">
        <v>1576827</v>
      </c>
      <c r="F189" s="45" t="s">
        <v>310</v>
      </c>
      <c r="G189" s="46">
        <v>20010212</v>
      </c>
      <c r="H189" s="45" t="s">
        <v>357</v>
      </c>
      <c r="I189" s="46">
        <v>2</v>
      </c>
      <c r="J189" s="47">
        <v>28</v>
      </c>
      <c r="K189" s="47">
        <v>56</v>
      </c>
    </row>
    <row r="190" spans="4:11">
      <c r="D190" s="44">
        <v>46059</v>
      </c>
      <c r="E190" s="45">
        <v>1576870</v>
      </c>
      <c r="F190" s="45" t="s">
        <v>77</v>
      </c>
      <c r="G190" s="46">
        <v>20010422</v>
      </c>
      <c r="H190" s="45" t="s">
        <v>360</v>
      </c>
      <c r="I190" s="46">
        <v>1</v>
      </c>
      <c r="J190" s="47">
        <v>88</v>
      </c>
      <c r="K190" s="47">
        <v>88</v>
      </c>
    </row>
    <row r="191" spans="4:11">
      <c r="D191" s="44">
        <v>46059</v>
      </c>
      <c r="E191" s="45">
        <v>1576870</v>
      </c>
      <c r="F191" s="45" t="s">
        <v>77</v>
      </c>
      <c r="G191" s="46">
        <v>20313549</v>
      </c>
      <c r="H191" s="45" t="s">
        <v>361</v>
      </c>
      <c r="I191" s="46">
        <v>1</v>
      </c>
      <c r="J191" s="47">
        <v>88</v>
      </c>
      <c r="K191" s="47">
        <v>88</v>
      </c>
    </row>
    <row r="192" spans="4:11">
      <c r="D192" s="44">
        <v>46059</v>
      </c>
      <c r="E192" s="45">
        <v>1576954</v>
      </c>
      <c r="F192" s="45" t="s">
        <v>235</v>
      </c>
      <c r="G192" s="46">
        <v>20012730</v>
      </c>
      <c r="H192" s="45" t="s">
        <v>336</v>
      </c>
      <c r="I192" s="46">
        <v>2</v>
      </c>
      <c r="J192" s="47">
        <v>118</v>
      </c>
      <c r="K192" s="47">
        <v>236</v>
      </c>
    </row>
    <row r="193" spans="4:11">
      <c r="D193" s="44">
        <v>46059</v>
      </c>
      <c r="E193" s="45">
        <v>1576954</v>
      </c>
      <c r="F193" s="45" t="s">
        <v>235</v>
      </c>
      <c r="G193" s="46">
        <v>20012729</v>
      </c>
      <c r="H193" s="45" t="s">
        <v>247</v>
      </c>
      <c r="I193" s="46">
        <v>1</v>
      </c>
      <c r="J193" s="47">
        <v>68.5</v>
      </c>
      <c r="K193" s="47">
        <v>68.5</v>
      </c>
    </row>
    <row r="194" spans="4:11">
      <c r="D194" s="44">
        <v>46059</v>
      </c>
      <c r="E194" s="45">
        <v>1576954</v>
      </c>
      <c r="F194" s="45" t="s">
        <v>235</v>
      </c>
      <c r="G194" s="46">
        <v>20010142</v>
      </c>
      <c r="H194" s="45" t="s">
        <v>362</v>
      </c>
      <c r="I194" s="46">
        <v>1</v>
      </c>
      <c r="J194" s="47">
        <v>250</v>
      </c>
      <c r="K194" s="47">
        <v>250</v>
      </c>
    </row>
    <row r="195" spans="4:11">
      <c r="D195" s="44">
        <v>46059</v>
      </c>
      <c r="E195" s="45">
        <v>1576954</v>
      </c>
      <c r="F195" s="45" t="s">
        <v>235</v>
      </c>
      <c r="G195" s="46">
        <v>20013467</v>
      </c>
      <c r="H195" s="45" t="s">
        <v>363</v>
      </c>
      <c r="I195" s="46">
        <v>1</v>
      </c>
      <c r="J195" s="47">
        <v>415</v>
      </c>
      <c r="K195" s="47">
        <v>415</v>
      </c>
    </row>
    <row r="196" spans="4:11">
      <c r="D196" s="44">
        <v>46059</v>
      </c>
      <c r="E196" s="45">
        <v>1576954</v>
      </c>
      <c r="F196" s="45" t="s">
        <v>235</v>
      </c>
      <c r="G196" s="46">
        <v>20009864</v>
      </c>
      <c r="H196" s="45" t="s">
        <v>236</v>
      </c>
      <c r="I196" s="46">
        <v>1</v>
      </c>
      <c r="J196" s="47">
        <v>52</v>
      </c>
      <c r="K196" s="47">
        <v>52</v>
      </c>
    </row>
    <row r="197" spans="4:11">
      <c r="D197" s="44">
        <v>46059</v>
      </c>
      <c r="E197" s="45">
        <v>1576954</v>
      </c>
      <c r="F197" s="45" t="s">
        <v>53</v>
      </c>
      <c r="G197" s="46">
        <v>20012704</v>
      </c>
      <c r="H197" s="45" t="s">
        <v>238</v>
      </c>
      <c r="I197" s="46">
        <v>4</v>
      </c>
      <c r="J197" s="47">
        <v>16.5</v>
      </c>
      <c r="K197" s="47">
        <v>66</v>
      </c>
    </row>
    <row r="198" spans="4:11">
      <c r="D198" s="44">
        <v>46059</v>
      </c>
      <c r="E198" s="45">
        <v>1576954</v>
      </c>
      <c r="F198" s="45" t="s">
        <v>53</v>
      </c>
      <c r="G198" s="46">
        <v>20012709</v>
      </c>
      <c r="H198" s="45" t="s">
        <v>239</v>
      </c>
      <c r="I198" s="46">
        <v>3</v>
      </c>
      <c r="J198" s="47">
        <v>16.5</v>
      </c>
      <c r="K198" s="47">
        <v>49.5</v>
      </c>
    </row>
    <row r="199" spans="4:11">
      <c r="D199" s="44">
        <v>46059</v>
      </c>
      <c r="E199" s="45">
        <v>1576954</v>
      </c>
      <c r="F199" s="45" t="s">
        <v>53</v>
      </c>
      <c r="G199" s="46">
        <v>20012705</v>
      </c>
      <c r="H199" s="45" t="s">
        <v>241</v>
      </c>
      <c r="I199" s="46">
        <v>1</v>
      </c>
      <c r="J199" s="47">
        <v>16.5</v>
      </c>
      <c r="K199" s="47">
        <v>16.5</v>
      </c>
    </row>
    <row r="200" spans="4:11">
      <c r="D200" s="44">
        <v>46060</v>
      </c>
      <c r="E200" s="45">
        <v>1577011</v>
      </c>
      <c r="F200" s="45" t="s">
        <v>235</v>
      </c>
      <c r="G200" s="46">
        <v>20012732</v>
      </c>
      <c r="H200" s="45" t="s">
        <v>251</v>
      </c>
      <c r="I200" s="46">
        <v>1</v>
      </c>
      <c r="J200" s="47">
        <v>123.5</v>
      </c>
      <c r="K200" s="47">
        <v>123.5</v>
      </c>
    </row>
    <row r="201" spans="4:11">
      <c r="D201" s="44">
        <v>46060</v>
      </c>
      <c r="E201" s="45">
        <v>1577011</v>
      </c>
      <c r="F201" s="45" t="s">
        <v>47</v>
      </c>
      <c r="G201" s="46">
        <v>20318221</v>
      </c>
      <c r="H201" s="45" t="s">
        <v>364</v>
      </c>
      <c r="I201" s="46">
        <v>1</v>
      </c>
      <c r="J201" s="47">
        <v>93.5</v>
      </c>
      <c r="K201" s="47">
        <v>93.5</v>
      </c>
    </row>
    <row r="202" spans="4:11">
      <c r="D202" s="44">
        <v>46060</v>
      </c>
      <c r="E202" s="45">
        <v>1577011</v>
      </c>
      <c r="F202" s="45" t="s">
        <v>47</v>
      </c>
      <c r="G202" s="46">
        <v>20012726</v>
      </c>
      <c r="H202" s="45" t="s">
        <v>244</v>
      </c>
      <c r="I202" s="46">
        <v>1</v>
      </c>
      <c r="J202" s="47">
        <v>63</v>
      </c>
      <c r="K202" s="47">
        <v>63</v>
      </c>
    </row>
    <row r="203" spans="4:11">
      <c r="D203" s="44">
        <v>46060</v>
      </c>
      <c r="E203" s="45">
        <v>1577011</v>
      </c>
      <c r="F203" s="45" t="s">
        <v>53</v>
      </c>
      <c r="G203" s="46">
        <v>20012704</v>
      </c>
      <c r="H203" s="45" t="s">
        <v>238</v>
      </c>
      <c r="I203" s="46">
        <v>2</v>
      </c>
      <c r="J203" s="47">
        <v>16.5</v>
      </c>
      <c r="K203" s="47">
        <v>33</v>
      </c>
    </row>
    <row r="204" spans="4:11">
      <c r="D204" s="44">
        <v>46060</v>
      </c>
      <c r="E204" s="45">
        <v>1577011</v>
      </c>
      <c r="F204" s="45" t="s">
        <v>53</v>
      </c>
      <c r="G204" s="46">
        <v>20010308</v>
      </c>
      <c r="H204" s="45" t="s">
        <v>286</v>
      </c>
      <c r="I204" s="46">
        <v>1</v>
      </c>
      <c r="J204" s="47">
        <v>16.5</v>
      </c>
      <c r="K204" s="47">
        <v>16.5</v>
      </c>
    </row>
    <row r="205" spans="4:11">
      <c r="D205" s="44">
        <v>46060</v>
      </c>
      <c r="E205" s="45">
        <v>1577011</v>
      </c>
      <c r="F205" s="45" t="s">
        <v>53</v>
      </c>
      <c r="G205" s="46">
        <v>20012709</v>
      </c>
      <c r="H205" s="45" t="s">
        <v>239</v>
      </c>
      <c r="I205" s="46">
        <v>2</v>
      </c>
      <c r="J205" s="47">
        <v>16.5</v>
      </c>
      <c r="K205" s="47">
        <v>33</v>
      </c>
    </row>
    <row r="206" spans="4:11">
      <c r="D206" s="44">
        <v>46060</v>
      </c>
      <c r="E206" s="45">
        <v>1577043</v>
      </c>
      <c r="F206" s="45" t="s">
        <v>77</v>
      </c>
      <c r="G206" s="46">
        <v>20325019</v>
      </c>
      <c r="H206" s="45" t="s">
        <v>365</v>
      </c>
      <c r="I206" s="46">
        <v>1</v>
      </c>
      <c r="J206" s="47">
        <v>25</v>
      </c>
      <c r="K206" s="47">
        <v>25</v>
      </c>
    </row>
    <row r="207" spans="4:11">
      <c r="D207" s="44">
        <v>46060</v>
      </c>
      <c r="E207" s="45">
        <v>1577043</v>
      </c>
      <c r="F207" s="45" t="s">
        <v>77</v>
      </c>
      <c r="G207" s="46">
        <v>20411973</v>
      </c>
      <c r="H207" s="45" t="s">
        <v>366</v>
      </c>
      <c r="I207" s="46">
        <v>1</v>
      </c>
      <c r="J207" s="47">
        <v>88</v>
      </c>
      <c r="K207" s="47">
        <v>88</v>
      </c>
    </row>
    <row r="208" ht="25.5" spans="4:11">
      <c r="D208" s="44">
        <v>46060</v>
      </c>
      <c r="E208" s="45">
        <v>1577043</v>
      </c>
      <c r="F208" s="45" t="s">
        <v>77</v>
      </c>
      <c r="G208" s="46">
        <v>20409659</v>
      </c>
      <c r="H208" s="45" t="s">
        <v>342</v>
      </c>
      <c r="I208" s="46">
        <v>1</v>
      </c>
      <c r="J208" s="47">
        <v>28</v>
      </c>
      <c r="K208" s="47">
        <v>28</v>
      </c>
    </row>
    <row r="209" spans="4:11">
      <c r="D209" s="44">
        <v>46060</v>
      </c>
      <c r="E209" s="45">
        <v>1577043</v>
      </c>
      <c r="F209" s="45" t="s">
        <v>77</v>
      </c>
      <c r="G209" s="46">
        <v>20010664</v>
      </c>
      <c r="H209" s="45" t="s">
        <v>367</v>
      </c>
      <c r="I209" s="46">
        <v>1</v>
      </c>
      <c r="J209" s="47">
        <v>25</v>
      </c>
      <c r="K209" s="47">
        <v>25</v>
      </c>
    </row>
    <row r="210" spans="4:11">
      <c r="D210" s="44">
        <v>46060</v>
      </c>
      <c r="E210" s="45">
        <v>1577043</v>
      </c>
      <c r="F210" s="45" t="s">
        <v>77</v>
      </c>
      <c r="G210" s="46">
        <v>20012715</v>
      </c>
      <c r="H210" s="45" t="s">
        <v>355</v>
      </c>
      <c r="I210" s="46">
        <v>2</v>
      </c>
      <c r="J210" s="47">
        <v>28</v>
      </c>
      <c r="K210" s="47">
        <v>56</v>
      </c>
    </row>
    <row r="211" spans="4:11">
      <c r="D211" s="44">
        <v>46060</v>
      </c>
      <c r="E211" s="45">
        <v>1577043</v>
      </c>
      <c r="F211" s="45" t="s">
        <v>77</v>
      </c>
      <c r="G211" s="46">
        <v>20010294</v>
      </c>
      <c r="H211" s="45" t="s">
        <v>356</v>
      </c>
      <c r="I211" s="46">
        <v>2</v>
      </c>
      <c r="J211" s="47">
        <v>44</v>
      </c>
      <c r="K211" s="47">
        <v>88</v>
      </c>
    </row>
    <row r="212" spans="4:11">
      <c r="D212" s="44">
        <v>46060</v>
      </c>
      <c r="E212" s="45">
        <v>1577043</v>
      </c>
      <c r="F212" s="45" t="s">
        <v>77</v>
      </c>
      <c r="G212" s="46">
        <v>20012717</v>
      </c>
      <c r="H212" s="45" t="s">
        <v>343</v>
      </c>
      <c r="I212" s="46">
        <v>2</v>
      </c>
      <c r="J212" s="47">
        <v>28</v>
      </c>
      <c r="K212" s="47">
        <v>56</v>
      </c>
    </row>
    <row r="213" spans="4:11">
      <c r="D213" s="44">
        <v>46060</v>
      </c>
      <c r="E213" s="45">
        <v>1577043</v>
      </c>
      <c r="F213" s="45" t="s">
        <v>77</v>
      </c>
      <c r="G213" s="46">
        <v>20012718</v>
      </c>
      <c r="H213" s="45" t="s">
        <v>307</v>
      </c>
      <c r="I213" s="46">
        <v>1</v>
      </c>
      <c r="J213" s="47">
        <v>35</v>
      </c>
      <c r="K213" s="47">
        <v>35</v>
      </c>
    </row>
    <row r="214" spans="4:11">
      <c r="D214" s="44">
        <v>46060</v>
      </c>
      <c r="E214" s="45">
        <v>1577043</v>
      </c>
      <c r="F214" s="45" t="s">
        <v>77</v>
      </c>
      <c r="G214" s="46">
        <v>20012716</v>
      </c>
      <c r="H214" s="45" t="s">
        <v>345</v>
      </c>
      <c r="I214" s="46">
        <v>2</v>
      </c>
      <c r="J214" s="47">
        <v>28</v>
      </c>
      <c r="K214" s="47">
        <v>56</v>
      </c>
    </row>
    <row r="215" spans="4:11">
      <c r="D215" s="44">
        <v>46060</v>
      </c>
      <c r="E215" s="45">
        <v>1577043</v>
      </c>
      <c r="F215" s="45" t="s">
        <v>77</v>
      </c>
      <c r="G215" s="46">
        <v>20010808</v>
      </c>
      <c r="H215" s="45" t="s">
        <v>346</v>
      </c>
      <c r="I215" s="46">
        <v>1</v>
      </c>
      <c r="J215" s="47">
        <v>25</v>
      </c>
      <c r="K215" s="47">
        <v>25</v>
      </c>
    </row>
    <row r="216" spans="4:11">
      <c r="D216" s="44">
        <v>46060</v>
      </c>
      <c r="E216" s="45">
        <v>1577043</v>
      </c>
      <c r="F216" s="45" t="s">
        <v>310</v>
      </c>
      <c r="G216" s="46">
        <v>20012719</v>
      </c>
      <c r="H216" s="45" t="s">
        <v>333</v>
      </c>
      <c r="I216" s="46">
        <v>1</v>
      </c>
      <c r="J216" s="47">
        <v>66</v>
      </c>
      <c r="K216" s="47">
        <v>66</v>
      </c>
    </row>
    <row r="217" ht="25.5" spans="4:11">
      <c r="D217" s="44">
        <v>46060</v>
      </c>
      <c r="E217" s="45">
        <v>1577043</v>
      </c>
      <c r="F217" s="45" t="s">
        <v>310</v>
      </c>
      <c r="G217" s="46">
        <v>20010686</v>
      </c>
      <c r="H217" s="45" t="s">
        <v>348</v>
      </c>
      <c r="I217" s="46">
        <v>1</v>
      </c>
      <c r="J217" s="47">
        <v>28</v>
      </c>
      <c r="K217" s="47">
        <v>28</v>
      </c>
    </row>
    <row r="218" spans="4:11">
      <c r="D218" s="44">
        <v>46060</v>
      </c>
      <c r="E218" s="45">
        <v>1577043</v>
      </c>
      <c r="F218" s="45" t="s">
        <v>310</v>
      </c>
      <c r="G218" s="46">
        <v>20329745</v>
      </c>
      <c r="H218" s="45" t="s">
        <v>368</v>
      </c>
      <c r="I218" s="46">
        <v>1</v>
      </c>
      <c r="J218" s="47">
        <v>28</v>
      </c>
      <c r="K218" s="47">
        <v>28</v>
      </c>
    </row>
    <row r="219" spans="4:11">
      <c r="D219" s="44">
        <v>46060</v>
      </c>
      <c r="E219" s="45">
        <v>1577106</v>
      </c>
      <c r="F219" s="45" t="s">
        <v>47</v>
      </c>
      <c r="G219" s="46">
        <v>20012726</v>
      </c>
      <c r="H219" s="45" t="s">
        <v>244</v>
      </c>
      <c r="I219" s="46">
        <v>1</v>
      </c>
      <c r="J219" s="47">
        <v>63</v>
      </c>
      <c r="K219" s="47">
        <v>63</v>
      </c>
    </row>
    <row r="220" spans="4:11">
      <c r="D220" s="44">
        <v>46061</v>
      </c>
      <c r="E220" s="45">
        <v>1577187</v>
      </c>
      <c r="F220" s="45" t="s">
        <v>77</v>
      </c>
      <c r="G220" s="46">
        <v>20012720</v>
      </c>
      <c r="H220" s="45" t="s">
        <v>341</v>
      </c>
      <c r="I220" s="46">
        <v>1</v>
      </c>
      <c r="J220" s="47">
        <v>28</v>
      </c>
      <c r="K220" s="47">
        <v>28</v>
      </c>
    </row>
    <row r="221" ht="25.5" spans="4:11">
      <c r="D221" s="44">
        <v>46061</v>
      </c>
      <c r="E221" s="45">
        <v>1577187</v>
      </c>
      <c r="F221" s="45" t="s">
        <v>77</v>
      </c>
      <c r="G221" s="46">
        <v>20409659</v>
      </c>
      <c r="H221" s="45" t="s">
        <v>342</v>
      </c>
      <c r="I221" s="46">
        <v>1</v>
      </c>
      <c r="J221" s="47">
        <v>28</v>
      </c>
      <c r="K221" s="47">
        <v>28</v>
      </c>
    </row>
    <row r="222" spans="4:11">
      <c r="D222" s="44">
        <v>46061</v>
      </c>
      <c r="E222" s="45">
        <v>1577187</v>
      </c>
      <c r="F222" s="45" t="s">
        <v>77</v>
      </c>
      <c r="G222" s="46">
        <v>20383809</v>
      </c>
      <c r="H222" s="45" t="s">
        <v>358</v>
      </c>
      <c r="I222" s="46">
        <v>1</v>
      </c>
      <c r="J222" s="47">
        <v>28</v>
      </c>
      <c r="K222" s="47">
        <v>28</v>
      </c>
    </row>
    <row r="223" spans="4:11">
      <c r="D223" s="44">
        <v>46061</v>
      </c>
      <c r="E223" s="45">
        <v>1577187</v>
      </c>
      <c r="F223" s="45" t="s">
        <v>77</v>
      </c>
      <c r="G223" s="46">
        <v>20012717</v>
      </c>
      <c r="H223" s="45" t="s">
        <v>343</v>
      </c>
      <c r="I223" s="46">
        <v>1</v>
      </c>
      <c r="J223" s="47">
        <v>28</v>
      </c>
      <c r="K223" s="47">
        <v>28</v>
      </c>
    </row>
    <row r="224" spans="4:11">
      <c r="D224" s="44">
        <v>46061</v>
      </c>
      <c r="E224" s="45">
        <v>1577187</v>
      </c>
      <c r="F224" s="45" t="s">
        <v>77</v>
      </c>
      <c r="G224" s="46">
        <v>20012716</v>
      </c>
      <c r="H224" s="45" t="s">
        <v>345</v>
      </c>
      <c r="I224" s="46">
        <v>1</v>
      </c>
      <c r="J224" s="47">
        <v>28</v>
      </c>
      <c r="K224" s="47">
        <v>28</v>
      </c>
    </row>
    <row r="225" spans="4:11">
      <c r="D225" s="44">
        <v>46061</v>
      </c>
      <c r="E225" s="45">
        <v>1577187</v>
      </c>
      <c r="F225" s="45" t="s">
        <v>77</v>
      </c>
      <c r="G225" s="46">
        <v>20010808</v>
      </c>
      <c r="H225" s="45" t="s">
        <v>346</v>
      </c>
      <c r="I225" s="46">
        <v>1</v>
      </c>
      <c r="J225" s="47">
        <v>25</v>
      </c>
      <c r="K225" s="47">
        <v>25</v>
      </c>
    </row>
    <row r="226" spans="4:11">
      <c r="D226" s="44">
        <v>46061</v>
      </c>
      <c r="E226" s="45">
        <v>1577187</v>
      </c>
      <c r="F226" s="45" t="s">
        <v>331</v>
      </c>
      <c r="G226" s="46">
        <v>20010793</v>
      </c>
      <c r="H226" s="45" t="s">
        <v>347</v>
      </c>
      <c r="I226" s="46">
        <v>1</v>
      </c>
      <c r="J226" s="47">
        <v>209</v>
      </c>
      <c r="K226" s="47">
        <v>209</v>
      </c>
    </row>
    <row r="227" spans="4:11">
      <c r="D227" s="44">
        <v>46061</v>
      </c>
      <c r="E227" s="45">
        <v>1577195</v>
      </c>
      <c r="F227" s="45" t="s">
        <v>235</v>
      </c>
      <c r="G227" s="46">
        <v>20012730</v>
      </c>
      <c r="H227" s="45" t="s">
        <v>336</v>
      </c>
      <c r="I227" s="46">
        <v>1</v>
      </c>
      <c r="J227" s="47">
        <v>118</v>
      </c>
      <c r="K227" s="47">
        <v>118</v>
      </c>
    </row>
    <row r="228" spans="4:11">
      <c r="D228" s="44">
        <v>46061</v>
      </c>
      <c r="E228" s="45">
        <v>1577195</v>
      </c>
      <c r="F228" s="45" t="s">
        <v>235</v>
      </c>
      <c r="G228" s="46">
        <v>20009800</v>
      </c>
      <c r="H228" s="45" t="s">
        <v>249</v>
      </c>
      <c r="I228" s="46">
        <v>1</v>
      </c>
      <c r="J228" s="47">
        <v>217</v>
      </c>
      <c r="K228" s="47">
        <v>217</v>
      </c>
    </row>
    <row r="229" spans="4:11">
      <c r="D229" s="44">
        <v>46061</v>
      </c>
      <c r="E229" s="45">
        <v>1577195</v>
      </c>
      <c r="F229" s="45" t="s">
        <v>235</v>
      </c>
      <c r="G229" s="46">
        <v>20012732</v>
      </c>
      <c r="H229" s="45" t="s">
        <v>251</v>
      </c>
      <c r="I229" s="46">
        <v>1</v>
      </c>
      <c r="J229" s="47">
        <v>123.5</v>
      </c>
      <c r="K229" s="47">
        <v>123.5</v>
      </c>
    </row>
    <row r="230" spans="4:11">
      <c r="D230" s="44">
        <v>46061</v>
      </c>
      <c r="E230" s="45">
        <v>1577195</v>
      </c>
      <c r="F230" s="45" t="s">
        <v>71</v>
      </c>
      <c r="G230" s="46">
        <v>20326341</v>
      </c>
      <c r="H230" s="45" t="s">
        <v>369</v>
      </c>
      <c r="I230" s="46">
        <v>1</v>
      </c>
      <c r="J230" s="47">
        <v>33</v>
      </c>
      <c r="K230" s="47">
        <v>33</v>
      </c>
    </row>
    <row r="231" spans="4:11">
      <c r="D231" s="44">
        <v>46061</v>
      </c>
      <c r="E231" s="45">
        <v>1577195</v>
      </c>
      <c r="F231" s="45" t="s">
        <v>47</v>
      </c>
      <c r="G231" s="46">
        <v>20012726</v>
      </c>
      <c r="H231" s="45" t="s">
        <v>244</v>
      </c>
      <c r="I231" s="46">
        <v>3</v>
      </c>
      <c r="J231" s="47">
        <v>63</v>
      </c>
      <c r="K231" s="47">
        <v>189</v>
      </c>
    </row>
    <row r="232" spans="4:11">
      <c r="D232" s="44">
        <v>46061</v>
      </c>
      <c r="E232" s="45">
        <v>1577195</v>
      </c>
      <c r="F232" s="45" t="s">
        <v>53</v>
      </c>
      <c r="G232" s="46">
        <v>20012704</v>
      </c>
      <c r="H232" s="45" t="s">
        <v>238</v>
      </c>
      <c r="I232" s="46">
        <v>4</v>
      </c>
      <c r="J232" s="47">
        <v>16.5</v>
      </c>
      <c r="K232" s="47">
        <v>66</v>
      </c>
    </row>
    <row r="233" spans="4:11">
      <c r="D233" s="44">
        <v>46061</v>
      </c>
      <c r="E233" s="45">
        <v>1577195</v>
      </c>
      <c r="F233" s="45" t="s">
        <v>53</v>
      </c>
      <c r="G233" s="46">
        <v>20338021</v>
      </c>
      <c r="H233" s="45" t="s">
        <v>329</v>
      </c>
      <c r="I233" s="46">
        <v>1</v>
      </c>
      <c r="J233" s="47">
        <v>16.5</v>
      </c>
      <c r="K233" s="47">
        <v>16.5</v>
      </c>
    </row>
    <row r="234" spans="4:11">
      <c r="D234" s="44">
        <v>46061</v>
      </c>
      <c r="E234" s="45">
        <v>1577195</v>
      </c>
      <c r="F234" s="45" t="s">
        <v>53</v>
      </c>
      <c r="G234" s="46">
        <v>20411010</v>
      </c>
      <c r="H234" s="45" t="s">
        <v>246</v>
      </c>
      <c r="I234" s="46">
        <v>1</v>
      </c>
      <c r="J234" s="47">
        <v>27.5</v>
      </c>
      <c r="K234" s="47">
        <v>27.5</v>
      </c>
    </row>
    <row r="235" spans="4:11">
      <c r="D235" s="44">
        <v>46061</v>
      </c>
      <c r="E235" s="45">
        <v>1577195</v>
      </c>
      <c r="F235" s="45" t="s">
        <v>53</v>
      </c>
      <c r="G235" s="46">
        <v>20011464</v>
      </c>
      <c r="H235" s="45" t="s">
        <v>295</v>
      </c>
      <c r="I235" s="46">
        <v>1</v>
      </c>
      <c r="J235" s="47">
        <v>22</v>
      </c>
      <c r="K235" s="47">
        <v>22</v>
      </c>
    </row>
    <row r="236" spans="4:11">
      <c r="D236" s="44">
        <v>46062</v>
      </c>
      <c r="E236" s="45">
        <v>1577259</v>
      </c>
      <c r="F236" s="45" t="s">
        <v>235</v>
      </c>
      <c r="G236" s="46">
        <v>20012730</v>
      </c>
      <c r="H236" s="45" t="s">
        <v>336</v>
      </c>
      <c r="I236" s="46">
        <v>2</v>
      </c>
      <c r="J236" s="47">
        <v>118</v>
      </c>
      <c r="K236" s="47">
        <v>236</v>
      </c>
    </row>
    <row r="237" spans="4:11">
      <c r="D237" s="44">
        <v>46062</v>
      </c>
      <c r="E237" s="45">
        <v>1577259</v>
      </c>
      <c r="F237" s="45" t="s">
        <v>53</v>
      </c>
      <c r="G237" s="46">
        <v>20012704</v>
      </c>
      <c r="H237" s="45" t="s">
        <v>238</v>
      </c>
      <c r="I237" s="46">
        <v>2</v>
      </c>
      <c r="J237" s="47">
        <v>16.5</v>
      </c>
      <c r="K237" s="47">
        <v>33</v>
      </c>
    </row>
    <row r="238" ht="25.5" spans="4:11">
      <c r="D238" s="44">
        <v>46062</v>
      </c>
      <c r="E238" s="45">
        <v>1577292</v>
      </c>
      <c r="F238" s="45" t="s">
        <v>77</v>
      </c>
      <c r="G238" s="46">
        <v>20409659</v>
      </c>
      <c r="H238" s="45" t="s">
        <v>342</v>
      </c>
      <c r="I238" s="46">
        <v>1</v>
      </c>
      <c r="J238" s="47">
        <v>28</v>
      </c>
      <c r="K238" s="47">
        <v>28</v>
      </c>
    </row>
    <row r="239" spans="4:11">
      <c r="D239" s="44">
        <v>46062</v>
      </c>
      <c r="E239" s="45">
        <v>1577292</v>
      </c>
      <c r="F239" s="45" t="s">
        <v>77</v>
      </c>
      <c r="G239" s="46">
        <v>20383809</v>
      </c>
      <c r="H239" s="45" t="s">
        <v>358</v>
      </c>
      <c r="I239" s="46">
        <v>1</v>
      </c>
      <c r="J239" s="47">
        <v>28</v>
      </c>
      <c r="K239" s="47">
        <v>28</v>
      </c>
    </row>
    <row r="240" spans="4:11">
      <c r="D240" s="44">
        <v>46062</v>
      </c>
      <c r="E240" s="45">
        <v>1577292</v>
      </c>
      <c r="F240" s="45" t="s">
        <v>77</v>
      </c>
      <c r="G240" s="46">
        <v>20012715</v>
      </c>
      <c r="H240" s="45" t="s">
        <v>355</v>
      </c>
      <c r="I240" s="46">
        <v>1</v>
      </c>
      <c r="J240" s="47">
        <v>28</v>
      </c>
      <c r="K240" s="47">
        <v>28</v>
      </c>
    </row>
    <row r="241" spans="4:11">
      <c r="D241" s="44">
        <v>46062</v>
      </c>
      <c r="E241" s="45">
        <v>1577292</v>
      </c>
      <c r="F241" s="45" t="s">
        <v>77</v>
      </c>
      <c r="G241" s="46">
        <v>20010294</v>
      </c>
      <c r="H241" s="45" t="s">
        <v>356</v>
      </c>
      <c r="I241" s="46">
        <v>1</v>
      </c>
      <c r="J241" s="47">
        <v>44</v>
      </c>
      <c r="K241" s="47">
        <v>44</v>
      </c>
    </row>
    <row r="242" spans="4:11">
      <c r="D242" s="44">
        <v>46062</v>
      </c>
      <c r="E242" s="45">
        <v>1577292</v>
      </c>
      <c r="F242" s="45" t="s">
        <v>77</v>
      </c>
      <c r="G242" s="46">
        <v>20012717</v>
      </c>
      <c r="H242" s="45" t="s">
        <v>343</v>
      </c>
      <c r="I242" s="46">
        <v>2</v>
      </c>
      <c r="J242" s="47">
        <v>28</v>
      </c>
      <c r="K242" s="47">
        <v>56</v>
      </c>
    </row>
    <row r="243" spans="4:11">
      <c r="D243" s="44">
        <v>46062</v>
      </c>
      <c r="E243" s="45">
        <v>1577292</v>
      </c>
      <c r="F243" s="45" t="s">
        <v>77</v>
      </c>
      <c r="G243" s="46">
        <v>20012716</v>
      </c>
      <c r="H243" s="45" t="s">
        <v>345</v>
      </c>
      <c r="I243" s="46">
        <v>2</v>
      </c>
      <c r="J243" s="47">
        <v>28</v>
      </c>
      <c r="K243" s="47">
        <v>56</v>
      </c>
    </row>
    <row r="244" spans="4:11">
      <c r="D244" s="44">
        <v>46062</v>
      </c>
      <c r="E244" s="45">
        <v>1577292</v>
      </c>
      <c r="F244" s="45" t="s">
        <v>77</v>
      </c>
      <c r="G244" s="46">
        <v>20010808</v>
      </c>
      <c r="H244" s="45" t="s">
        <v>346</v>
      </c>
      <c r="I244" s="46">
        <v>2</v>
      </c>
      <c r="J244" s="47">
        <v>25</v>
      </c>
      <c r="K244" s="47">
        <v>50</v>
      </c>
    </row>
    <row r="245" spans="4:11">
      <c r="D245" s="44">
        <v>46062</v>
      </c>
      <c r="E245" s="45">
        <v>1577292</v>
      </c>
      <c r="F245" s="45" t="s">
        <v>310</v>
      </c>
      <c r="G245" s="46">
        <v>20010212</v>
      </c>
      <c r="H245" s="45" t="s">
        <v>357</v>
      </c>
      <c r="I245" s="46">
        <v>2</v>
      </c>
      <c r="J245" s="47">
        <v>28</v>
      </c>
      <c r="K245" s="47">
        <v>56</v>
      </c>
    </row>
    <row r="246" spans="4:11">
      <c r="D246" s="44">
        <v>46062</v>
      </c>
      <c r="E246" s="45">
        <v>1577518</v>
      </c>
      <c r="F246" s="45" t="s">
        <v>235</v>
      </c>
      <c r="G246" s="46">
        <v>20012730</v>
      </c>
      <c r="H246" s="45" t="s">
        <v>336</v>
      </c>
      <c r="I246" s="46">
        <v>1</v>
      </c>
      <c r="J246" s="47">
        <v>118</v>
      </c>
      <c r="K246" s="47">
        <v>118</v>
      </c>
    </row>
    <row r="247" spans="4:11">
      <c r="D247" s="44">
        <v>46062</v>
      </c>
      <c r="E247" s="45">
        <v>1577518</v>
      </c>
      <c r="F247" s="45" t="s">
        <v>235</v>
      </c>
      <c r="G247" s="46">
        <v>20012731</v>
      </c>
      <c r="H247" s="45" t="s">
        <v>243</v>
      </c>
      <c r="I247" s="46">
        <v>1</v>
      </c>
      <c r="J247" s="47">
        <v>272</v>
      </c>
      <c r="K247" s="47">
        <v>272</v>
      </c>
    </row>
    <row r="248" ht="25.5" spans="4:11">
      <c r="D248" s="44">
        <v>46062</v>
      </c>
      <c r="E248" s="45">
        <v>1577518</v>
      </c>
      <c r="F248" s="45" t="s">
        <v>49</v>
      </c>
      <c r="G248" s="46">
        <v>20012468</v>
      </c>
      <c r="H248" s="45" t="s">
        <v>257</v>
      </c>
      <c r="I248" s="46">
        <v>10</v>
      </c>
      <c r="J248" s="47">
        <v>22</v>
      </c>
      <c r="K248" s="47">
        <v>220</v>
      </c>
    </row>
    <row r="249" spans="4:11">
      <c r="D249" s="44">
        <v>46062</v>
      </c>
      <c r="E249" s="45">
        <v>1577518</v>
      </c>
      <c r="F249" s="45" t="s">
        <v>49</v>
      </c>
      <c r="G249" s="46">
        <v>20321768</v>
      </c>
      <c r="H249" s="45" t="s">
        <v>334</v>
      </c>
      <c r="I249" s="46">
        <v>1</v>
      </c>
      <c r="J249" s="47">
        <v>16.5</v>
      </c>
      <c r="K249" s="47">
        <v>16.5</v>
      </c>
    </row>
    <row r="250" spans="4:11">
      <c r="D250" s="44">
        <v>46062</v>
      </c>
      <c r="E250" s="45">
        <v>1577518</v>
      </c>
      <c r="F250" s="45" t="s">
        <v>49</v>
      </c>
      <c r="G250" s="46">
        <v>20321769</v>
      </c>
      <c r="H250" s="45" t="s">
        <v>370</v>
      </c>
      <c r="I250" s="46">
        <v>1</v>
      </c>
      <c r="J250" s="47">
        <v>22</v>
      </c>
      <c r="K250" s="47">
        <v>22</v>
      </c>
    </row>
    <row r="251" spans="4:11">
      <c r="D251" s="44">
        <v>46062</v>
      </c>
      <c r="E251" s="45">
        <v>1577518</v>
      </c>
      <c r="F251" s="45" t="s">
        <v>53</v>
      </c>
      <c r="G251" s="46">
        <v>20012704</v>
      </c>
      <c r="H251" s="45" t="s">
        <v>238</v>
      </c>
      <c r="I251" s="46">
        <v>3</v>
      </c>
      <c r="J251" s="47">
        <v>16.5</v>
      </c>
      <c r="K251" s="47">
        <v>49.5</v>
      </c>
    </row>
    <row r="252" spans="4:11">
      <c r="D252" s="44">
        <v>46062</v>
      </c>
      <c r="E252" s="45">
        <v>1577518</v>
      </c>
      <c r="F252" s="45" t="s">
        <v>53</v>
      </c>
      <c r="G252" s="46">
        <v>20411010</v>
      </c>
      <c r="H252" s="45" t="s">
        <v>246</v>
      </c>
      <c r="I252" s="46">
        <v>1</v>
      </c>
      <c r="J252" s="47">
        <v>27.5</v>
      </c>
      <c r="K252" s="47">
        <v>27.5</v>
      </c>
    </row>
    <row r="253" spans="4:11">
      <c r="D253" s="44">
        <v>46062</v>
      </c>
      <c r="E253" s="45">
        <v>1577518</v>
      </c>
      <c r="F253" s="45" t="s">
        <v>53</v>
      </c>
      <c r="G253" s="46">
        <v>20010623</v>
      </c>
      <c r="H253" s="45" t="s">
        <v>289</v>
      </c>
      <c r="I253" s="46">
        <v>2</v>
      </c>
      <c r="J253" s="47">
        <v>16.5</v>
      </c>
      <c r="K253" s="47">
        <v>33</v>
      </c>
    </row>
    <row r="254" spans="4:11">
      <c r="D254" s="44">
        <v>46062</v>
      </c>
      <c r="E254" s="45">
        <v>1577520</v>
      </c>
      <c r="F254" s="45" t="s">
        <v>105</v>
      </c>
      <c r="G254" s="46">
        <v>20330214</v>
      </c>
      <c r="H254" s="45" t="s">
        <v>371</v>
      </c>
      <c r="I254" s="46">
        <v>1</v>
      </c>
      <c r="J254" s="47">
        <v>8</v>
      </c>
      <c r="K254" s="47">
        <v>8</v>
      </c>
    </row>
    <row r="255" spans="4:11">
      <c r="D255" s="44">
        <v>46062</v>
      </c>
      <c r="E255" s="45">
        <v>1577521</v>
      </c>
      <c r="F255" s="45" t="s">
        <v>235</v>
      </c>
      <c r="G255" s="46">
        <v>20012730</v>
      </c>
      <c r="H255" s="45" t="s">
        <v>336</v>
      </c>
      <c r="I255" s="46">
        <v>1</v>
      </c>
      <c r="J255" s="47">
        <v>118</v>
      </c>
      <c r="K255" s="47">
        <v>118</v>
      </c>
    </row>
    <row r="256" spans="4:11">
      <c r="D256" s="44">
        <v>46062</v>
      </c>
      <c r="E256" s="45">
        <v>1577521</v>
      </c>
      <c r="F256" s="45" t="s">
        <v>47</v>
      </c>
      <c r="G256" s="46">
        <v>20012726</v>
      </c>
      <c r="H256" s="45" t="s">
        <v>244</v>
      </c>
      <c r="I256" s="46">
        <v>2</v>
      </c>
      <c r="J256" s="47">
        <v>63</v>
      </c>
      <c r="K256" s="47">
        <v>126</v>
      </c>
    </row>
    <row r="257" spans="4:11">
      <c r="D257" s="44">
        <v>46062</v>
      </c>
      <c r="E257" s="45">
        <v>1577521</v>
      </c>
      <c r="F257" s="45" t="s">
        <v>53</v>
      </c>
      <c r="G257" s="46">
        <v>20012704</v>
      </c>
      <c r="H257" s="45" t="s">
        <v>238</v>
      </c>
      <c r="I257" s="46">
        <v>3</v>
      </c>
      <c r="J257" s="47">
        <v>16.5</v>
      </c>
      <c r="K257" s="47">
        <v>49.5</v>
      </c>
    </row>
    <row r="258" spans="4:11">
      <c r="D258" s="44">
        <v>46062</v>
      </c>
      <c r="E258" s="45">
        <v>1577521</v>
      </c>
      <c r="F258" s="45" t="s">
        <v>53</v>
      </c>
      <c r="G258" s="46">
        <v>20012023</v>
      </c>
      <c r="H258" s="45" t="s">
        <v>372</v>
      </c>
      <c r="I258" s="46">
        <v>1</v>
      </c>
      <c r="J258" s="47">
        <v>16.5</v>
      </c>
      <c r="K258" s="47">
        <v>16.5</v>
      </c>
    </row>
    <row r="259" spans="4:11">
      <c r="D259" s="44">
        <v>46062</v>
      </c>
      <c r="E259" s="45">
        <v>1577521</v>
      </c>
      <c r="F259" s="45" t="s">
        <v>53</v>
      </c>
      <c r="G259" s="46">
        <v>20313726</v>
      </c>
      <c r="H259" s="45" t="s">
        <v>373</v>
      </c>
      <c r="I259" s="46">
        <v>1</v>
      </c>
      <c r="J259" s="47">
        <v>16.5</v>
      </c>
      <c r="K259" s="47">
        <v>16.5</v>
      </c>
    </row>
    <row r="260" spans="4:11">
      <c r="D260" s="44">
        <v>46062</v>
      </c>
      <c r="E260" s="45">
        <v>1577521</v>
      </c>
      <c r="F260" s="45" t="s">
        <v>53</v>
      </c>
      <c r="G260" s="46">
        <v>20010308</v>
      </c>
      <c r="H260" s="45" t="s">
        <v>286</v>
      </c>
      <c r="I260" s="46">
        <v>1</v>
      </c>
      <c r="J260" s="47">
        <v>16.5</v>
      </c>
      <c r="K260" s="47">
        <v>16.5</v>
      </c>
    </row>
    <row r="261" spans="4:11">
      <c r="D261" s="44">
        <v>46062</v>
      </c>
      <c r="E261" s="45">
        <v>1577521</v>
      </c>
      <c r="F261" s="45" t="s">
        <v>53</v>
      </c>
      <c r="G261" s="46">
        <v>20010623</v>
      </c>
      <c r="H261" s="45" t="s">
        <v>289</v>
      </c>
      <c r="I261" s="46">
        <v>2</v>
      </c>
      <c r="J261" s="47">
        <v>16.5</v>
      </c>
      <c r="K261" s="47">
        <v>33</v>
      </c>
    </row>
    <row r="262" spans="4:11">
      <c r="D262" s="44">
        <v>46062</v>
      </c>
      <c r="E262" s="45">
        <v>1577544</v>
      </c>
      <c r="F262" s="45" t="s">
        <v>77</v>
      </c>
      <c r="G262" s="46">
        <v>20383809</v>
      </c>
      <c r="H262" s="45" t="s">
        <v>358</v>
      </c>
      <c r="I262" s="46">
        <v>1</v>
      </c>
      <c r="J262" s="47">
        <v>28</v>
      </c>
      <c r="K262" s="47">
        <v>28</v>
      </c>
    </row>
    <row r="263" spans="4:11">
      <c r="D263" s="44">
        <v>46062</v>
      </c>
      <c r="E263" s="45">
        <v>1577544</v>
      </c>
      <c r="F263" s="45" t="s">
        <v>77</v>
      </c>
      <c r="G263" s="46">
        <v>20010664</v>
      </c>
      <c r="H263" s="45" t="s">
        <v>367</v>
      </c>
      <c r="I263" s="46">
        <v>1</v>
      </c>
      <c r="J263" s="47">
        <v>25</v>
      </c>
      <c r="K263" s="47">
        <v>25</v>
      </c>
    </row>
    <row r="264" spans="4:11">
      <c r="D264" s="44">
        <v>46062</v>
      </c>
      <c r="E264" s="45">
        <v>1577544</v>
      </c>
      <c r="F264" s="45" t="s">
        <v>77</v>
      </c>
      <c r="G264" s="46">
        <v>20012715</v>
      </c>
      <c r="H264" s="45" t="s">
        <v>355</v>
      </c>
      <c r="I264" s="46">
        <v>2</v>
      </c>
      <c r="J264" s="47">
        <v>28</v>
      </c>
      <c r="K264" s="47">
        <v>56</v>
      </c>
    </row>
    <row r="265" spans="4:11">
      <c r="D265" s="44">
        <v>46062</v>
      </c>
      <c r="E265" s="45">
        <v>1577544</v>
      </c>
      <c r="F265" s="45" t="s">
        <v>77</v>
      </c>
      <c r="G265" s="46">
        <v>20010294</v>
      </c>
      <c r="H265" s="45" t="s">
        <v>356</v>
      </c>
      <c r="I265" s="46">
        <v>2</v>
      </c>
      <c r="J265" s="47">
        <v>44</v>
      </c>
      <c r="K265" s="47">
        <v>88</v>
      </c>
    </row>
    <row r="266" spans="4:11">
      <c r="D266" s="44">
        <v>46062</v>
      </c>
      <c r="E266" s="45">
        <v>1577544</v>
      </c>
      <c r="F266" s="45" t="s">
        <v>77</v>
      </c>
      <c r="G266" s="46">
        <v>20012717</v>
      </c>
      <c r="H266" s="45" t="s">
        <v>343</v>
      </c>
      <c r="I266" s="46">
        <v>2</v>
      </c>
      <c r="J266" s="47">
        <v>28</v>
      </c>
      <c r="K266" s="47">
        <v>56</v>
      </c>
    </row>
    <row r="267" spans="4:11">
      <c r="D267" s="44">
        <v>46062</v>
      </c>
      <c r="E267" s="45">
        <v>1577544</v>
      </c>
      <c r="F267" s="45" t="s">
        <v>77</v>
      </c>
      <c r="G267" s="46">
        <v>20012716</v>
      </c>
      <c r="H267" s="45" t="s">
        <v>345</v>
      </c>
      <c r="I267" s="46">
        <v>2</v>
      </c>
      <c r="J267" s="47">
        <v>28</v>
      </c>
      <c r="K267" s="47">
        <v>56</v>
      </c>
    </row>
    <row r="268" ht="25.5" spans="4:11">
      <c r="D268" s="44">
        <v>46062</v>
      </c>
      <c r="E268" s="45">
        <v>1577544</v>
      </c>
      <c r="F268" s="45" t="s">
        <v>310</v>
      </c>
      <c r="G268" s="46">
        <v>20010686</v>
      </c>
      <c r="H268" s="45" t="s">
        <v>348</v>
      </c>
      <c r="I268" s="46">
        <v>1</v>
      </c>
      <c r="J268" s="47">
        <v>28</v>
      </c>
      <c r="K268" s="47">
        <v>28</v>
      </c>
    </row>
    <row r="269" spans="4:11">
      <c r="D269" s="44">
        <v>46062</v>
      </c>
      <c r="E269" s="45">
        <v>1577544</v>
      </c>
      <c r="F269" s="45" t="s">
        <v>310</v>
      </c>
      <c r="G269" s="46">
        <v>20329745</v>
      </c>
      <c r="H269" s="45" t="s">
        <v>368</v>
      </c>
      <c r="I269" s="46">
        <v>1</v>
      </c>
      <c r="J269" s="47">
        <v>28</v>
      </c>
      <c r="K269" s="47">
        <v>28</v>
      </c>
    </row>
    <row r="270" spans="4:11">
      <c r="D270" s="44">
        <v>46063</v>
      </c>
      <c r="E270" s="45">
        <v>1577779</v>
      </c>
      <c r="F270" s="45" t="s">
        <v>235</v>
      </c>
      <c r="G270" s="46">
        <v>20012731</v>
      </c>
      <c r="H270" s="45" t="s">
        <v>243</v>
      </c>
      <c r="I270" s="46">
        <v>1</v>
      </c>
      <c r="J270" s="47">
        <v>272</v>
      </c>
      <c r="K270" s="47">
        <v>272</v>
      </c>
    </row>
    <row r="271" spans="4:11">
      <c r="D271" s="44">
        <v>46063</v>
      </c>
      <c r="E271" s="45">
        <v>1577779</v>
      </c>
      <c r="F271" s="45" t="s">
        <v>47</v>
      </c>
      <c r="G271" s="46">
        <v>20012726</v>
      </c>
      <c r="H271" s="45" t="s">
        <v>244</v>
      </c>
      <c r="I271" s="46">
        <v>3</v>
      </c>
      <c r="J271" s="47">
        <v>63</v>
      </c>
      <c r="K271" s="47">
        <v>189</v>
      </c>
    </row>
    <row r="272" spans="4:11">
      <c r="D272" s="44">
        <v>46063</v>
      </c>
      <c r="E272" s="45">
        <v>1577779</v>
      </c>
      <c r="F272" s="45" t="s">
        <v>47</v>
      </c>
      <c r="G272" s="46">
        <v>20328677</v>
      </c>
      <c r="H272" s="45" t="s">
        <v>327</v>
      </c>
      <c r="I272" s="46">
        <v>3</v>
      </c>
      <c r="J272" s="47">
        <v>27.5</v>
      </c>
      <c r="K272" s="47">
        <v>82.5</v>
      </c>
    </row>
    <row r="273" spans="4:11">
      <c r="D273" s="44">
        <v>46063</v>
      </c>
      <c r="E273" s="45">
        <v>1577779</v>
      </c>
      <c r="F273" s="45" t="s">
        <v>53</v>
      </c>
      <c r="G273" s="46">
        <v>20012704</v>
      </c>
      <c r="H273" s="45" t="s">
        <v>238</v>
      </c>
      <c r="I273" s="46">
        <v>8</v>
      </c>
      <c r="J273" s="47">
        <v>16.5</v>
      </c>
      <c r="K273" s="47">
        <v>132</v>
      </c>
    </row>
    <row r="274" spans="4:11">
      <c r="D274" s="44">
        <v>46063</v>
      </c>
      <c r="E274" s="45">
        <v>1577779</v>
      </c>
      <c r="F274" s="45" t="s">
        <v>53</v>
      </c>
      <c r="G274" s="46">
        <v>20010354</v>
      </c>
      <c r="H274" s="45" t="s">
        <v>285</v>
      </c>
      <c r="I274" s="46">
        <v>1</v>
      </c>
      <c r="J274" s="47">
        <v>16.5</v>
      </c>
      <c r="K274" s="47">
        <v>16.5</v>
      </c>
    </row>
    <row r="275" spans="4:11">
      <c r="D275" s="44">
        <v>46063</v>
      </c>
      <c r="E275" s="45">
        <v>1577779</v>
      </c>
      <c r="F275" s="45" t="s">
        <v>53</v>
      </c>
      <c r="G275" s="46">
        <v>20010623</v>
      </c>
      <c r="H275" s="45" t="s">
        <v>289</v>
      </c>
      <c r="I275" s="46">
        <v>1</v>
      </c>
      <c r="J275" s="47">
        <v>16.5</v>
      </c>
      <c r="K275" s="47">
        <v>16.5</v>
      </c>
    </row>
    <row r="276" spans="4:11">
      <c r="D276" s="44">
        <v>46063</v>
      </c>
      <c r="E276" s="45">
        <v>1577779</v>
      </c>
      <c r="F276" s="45" t="s">
        <v>53</v>
      </c>
      <c r="G276" s="46">
        <v>20012709</v>
      </c>
      <c r="H276" s="45" t="s">
        <v>239</v>
      </c>
      <c r="I276" s="46">
        <v>1</v>
      </c>
      <c r="J276" s="47">
        <v>16.5</v>
      </c>
      <c r="K276" s="47">
        <v>16.5</v>
      </c>
    </row>
    <row r="277" spans="4:11">
      <c r="D277" s="44">
        <v>46063</v>
      </c>
      <c r="E277" s="45">
        <v>1577779</v>
      </c>
      <c r="F277" s="45" t="s">
        <v>53</v>
      </c>
      <c r="G277" s="46">
        <v>20010368</v>
      </c>
      <c r="H277" s="45" t="s">
        <v>374</v>
      </c>
      <c r="I277" s="46">
        <v>1</v>
      </c>
      <c r="J277" s="47">
        <v>16.5</v>
      </c>
      <c r="K277" s="47">
        <v>16.5</v>
      </c>
    </row>
    <row r="278" spans="4:11">
      <c r="D278" s="44">
        <v>46063</v>
      </c>
      <c r="E278" s="45">
        <v>1577779</v>
      </c>
      <c r="F278" s="45" t="s">
        <v>53</v>
      </c>
      <c r="G278" s="46">
        <v>20011464</v>
      </c>
      <c r="H278" s="45" t="s">
        <v>295</v>
      </c>
      <c r="I278" s="46">
        <v>1</v>
      </c>
      <c r="J278" s="47">
        <v>22</v>
      </c>
      <c r="K278" s="47">
        <v>22</v>
      </c>
    </row>
    <row r="279" spans="4:11">
      <c r="D279" s="44">
        <v>46063</v>
      </c>
      <c r="E279" s="45">
        <v>1577779</v>
      </c>
      <c r="F279" s="45" t="s">
        <v>53</v>
      </c>
      <c r="G279" s="46">
        <v>20010617</v>
      </c>
      <c r="H279" s="45" t="s">
        <v>299</v>
      </c>
      <c r="I279" s="46">
        <v>1</v>
      </c>
      <c r="J279" s="47">
        <v>16.5</v>
      </c>
      <c r="K279" s="47">
        <v>16.5</v>
      </c>
    </row>
    <row r="280" spans="4:11">
      <c r="D280" s="44">
        <v>46063</v>
      </c>
      <c r="E280" s="45">
        <v>1577812</v>
      </c>
      <c r="F280" s="45" t="s">
        <v>235</v>
      </c>
      <c r="G280" s="46">
        <v>20009800</v>
      </c>
      <c r="H280" s="45" t="s">
        <v>249</v>
      </c>
      <c r="I280" s="46">
        <v>1</v>
      </c>
      <c r="J280" s="47">
        <v>217</v>
      </c>
      <c r="K280" s="47">
        <v>217</v>
      </c>
    </row>
    <row r="281" spans="4:11">
      <c r="D281" s="44">
        <v>46063</v>
      </c>
      <c r="E281" s="45">
        <v>1577812</v>
      </c>
      <c r="F281" s="45" t="s">
        <v>49</v>
      </c>
      <c r="G281" s="46">
        <v>20013921</v>
      </c>
      <c r="H281" s="45" t="s">
        <v>320</v>
      </c>
      <c r="I281" s="46">
        <v>2</v>
      </c>
      <c r="J281" s="47">
        <v>8</v>
      </c>
      <c r="K281" s="47">
        <v>16</v>
      </c>
    </row>
    <row r="282" spans="4:11">
      <c r="D282" s="44">
        <v>46063</v>
      </c>
      <c r="E282" s="45">
        <v>1577812</v>
      </c>
      <c r="F282" s="45" t="s">
        <v>53</v>
      </c>
      <c r="G282" s="46">
        <v>20012022</v>
      </c>
      <c r="H282" s="45" t="s">
        <v>375</v>
      </c>
      <c r="I282" s="46">
        <v>1</v>
      </c>
      <c r="J282" s="47">
        <v>22</v>
      </c>
      <c r="K282" s="47">
        <v>22</v>
      </c>
    </row>
    <row r="283" spans="4:11">
      <c r="D283" s="44">
        <v>46063</v>
      </c>
      <c r="E283" s="45">
        <v>1577812</v>
      </c>
      <c r="F283" s="45" t="s">
        <v>53</v>
      </c>
      <c r="G283" s="46">
        <v>20380027</v>
      </c>
      <c r="H283" s="45" t="s">
        <v>352</v>
      </c>
      <c r="I283" s="46">
        <v>1</v>
      </c>
      <c r="J283" s="47">
        <v>16.5</v>
      </c>
      <c r="K283" s="47">
        <v>16.5</v>
      </c>
    </row>
    <row r="284" spans="4:11">
      <c r="D284" s="44">
        <v>46063</v>
      </c>
      <c r="E284" s="45">
        <v>1577845</v>
      </c>
      <c r="F284" s="45" t="s">
        <v>235</v>
      </c>
      <c r="G284" s="46">
        <v>20012730</v>
      </c>
      <c r="H284" s="45" t="s">
        <v>336</v>
      </c>
      <c r="I284" s="46">
        <v>4</v>
      </c>
      <c r="J284" s="47">
        <v>118</v>
      </c>
      <c r="K284" s="47">
        <v>472</v>
      </c>
    </row>
    <row r="285" ht="25.5" spans="4:11">
      <c r="D285" s="44">
        <v>46063</v>
      </c>
      <c r="E285" s="45">
        <v>1577845</v>
      </c>
      <c r="F285" s="45" t="s">
        <v>49</v>
      </c>
      <c r="G285" s="46">
        <v>20012468</v>
      </c>
      <c r="H285" s="45" t="s">
        <v>257</v>
      </c>
      <c r="I285" s="46">
        <v>3</v>
      </c>
      <c r="J285" s="47">
        <v>22</v>
      </c>
      <c r="K285" s="47">
        <v>66</v>
      </c>
    </row>
    <row r="286" spans="4:11">
      <c r="D286" s="44">
        <v>46063</v>
      </c>
      <c r="E286" s="45">
        <v>1577845</v>
      </c>
      <c r="F286" s="45" t="s">
        <v>49</v>
      </c>
      <c r="G286" s="46">
        <v>20315903</v>
      </c>
      <c r="H286" s="45" t="s">
        <v>338</v>
      </c>
      <c r="I286" s="46">
        <v>1</v>
      </c>
      <c r="J286" s="47">
        <v>5.5</v>
      </c>
      <c r="K286" s="47">
        <v>5.5</v>
      </c>
    </row>
    <row r="287" spans="4:11">
      <c r="D287" s="44">
        <v>46063</v>
      </c>
      <c r="E287" s="45">
        <v>1577845</v>
      </c>
      <c r="F287" s="45" t="s">
        <v>49</v>
      </c>
      <c r="G287" s="46">
        <v>20312778</v>
      </c>
      <c r="H287" s="45" t="s">
        <v>277</v>
      </c>
      <c r="I287" s="46">
        <v>1</v>
      </c>
      <c r="J287" s="47">
        <v>8</v>
      </c>
      <c r="K287" s="47">
        <v>8</v>
      </c>
    </row>
    <row r="288" spans="4:11">
      <c r="D288" s="44">
        <v>46063</v>
      </c>
      <c r="E288" s="45">
        <v>1577845</v>
      </c>
      <c r="F288" s="45" t="s">
        <v>105</v>
      </c>
      <c r="G288" s="46">
        <v>20336532</v>
      </c>
      <c r="H288" s="45" t="s">
        <v>376</v>
      </c>
      <c r="I288" s="46">
        <v>1</v>
      </c>
      <c r="J288" s="47">
        <v>8</v>
      </c>
      <c r="K288" s="47">
        <v>8</v>
      </c>
    </row>
    <row r="289" spans="4:11">
      <c r="D289" s="44">
        <v>46063</v>
      </c>
      <c r="E289" s="45">
        <v>1577845</v>
      </c>
      <c r="F289" s="45" t="s">
        <v>53</v>
      </c>
      <c r="G289" s="46">
        <v>20012704</v>
      </c>
      <c r="H289" s="45" t="s">
        <v>238</v>
      </c>
      <c r="I289" s="46">
        <v>4</v>
      </c>
      <c r="J289" s="47">
        <v>16.5</v>
      </c>
      <c r="K289" s="47">
        <v>66</v>
      </c>
    </row>
    <row r="290" spans="4:11">
      <c r="D290" s="44">
        <v>46063</v>
      </c>
      <c r="E290" s="45">
        <v>1577845</v>
      </c>
      <c r="F290" s="45" t="s">
        <v>53</v>
      </c>
      <c r="G290" s="46">
        <v>20010774</v>
      </c>
      <c r="H290" s="45" t="s">
        <v>240</v>
      </c>
      <c r="I290" s="46">
        <v>1</v>
      </c>
      <c r="J290" s="47">
        <v>16.5</v>
      </c>
      <c r="K290" s="47">
        <v>16.5</v>
      </c>
    </row>
    <row r="291" spans="4:11">
      <c r="D291" s="44">
        <v>46064</v>
      </c>
      <c r="E291" s="45">
        <v>1577870</v>
      </c>
      <c r="F291" s="45" t="s">
        <v>77</v>
      </c>
      <c r="G291" s="46">
        <v>20012720</v>
      </c>
      <c r="H291" s="45" t="s">
        <v>341</v>
      </c>
      <c r="I291" s="46">
        <v>1</v>
      </c>
      <c r="J291" s="47">
        <v>28</v>
      </c>
      <c r="K291" s="47">
        <v>28</v>
      </c>
    </row>
    <row r="292" ht="25.5" spans="4:11">
      <c r="D292" s="44">
        <v>46064</v>
      </c>
      <c r="E292" s="45">
        <v>1577870</v>
      </c>
      <c r="F292" s="45" t="s">
        <v>77</v>
      </c>
      <c r="G292" s="46">
        <v>20409659</v>
      </c>
      <c r="H292" s="45" t="s">
        <v>342</v>
      </c>
      <c r="I292" s="46">
        <v>2</v>
      </c>
      <c r="J292" s="47">
        <v>28</v>
      </c>
      <c r="K292" s="47">
        <v>56</v>
      </c>
    </row>
    <row r="293" spans="4:11">
      <c r="D293" s="44">
        <v>46064</v>
      </c>
      <c r="E293" s="45">
        <v>1577870</v>
      </c>
      <c r="F293" s="45" t="s">
        <v>77</v>
      </c>
      <c r="G293" s="46">
        <v>20010664</v>
      </c>
      <c r="H293" s="45" t="s">
        <v>367</v>
      </c>
      <c r="I293" s="46">
        <v>2</v>
      </c>
      <c r="J293" s="47">
        <v>25</v>
      </c>
      <c r="K293" s="47">
        <v>50</v>
      </c>
    </row>
    <row r="294" spans="4:11">
      <c r="D294" s="44">
        <v>46064</v>
      </c>
      <c r="E294" s="45">
        <v>1577870</v>
      </c>
      <c r="F294" s="45" t="s">
        <v>77</v>
      </c>
      <c r="G294" s="46">
        <v>20012715</v>
      </c>
      <c r="H294" s="45" t="s">
        <v>355</v>
      </c>
      <c r="I294" s="46">
        <v>4</v>
      </c>
      <c r="J294" s="47">
        <v>28</v>
      </c>
      <c r="K294" s="47">
        <v>112</v>
      </c>
    </row>
    <row r="295" spans="4:11">
      <c r="D295" s="44">
        <v>46064</v>
      </c>
      <c r="E295" s="45">
        <v>1577870</v>
      </c>
      <c r="F295" s="45" t="s">
        <v>77</v>
      </c>
      <c r="G295" s="46">
        <v>20010294</v>
      </c>
      <c r="H295" s="45" t="s">
        <v>356</v>
      </c>
      <c r="I295" s="46">
        <v>1</v>
      </c>
      <c r="J295" s="47">
        <v>44</v>
      </c>
      <c r="K295" s="47">
        <v>44</v>
      </c>
    </row>
    <row r="296" spans="4:11">
      <c r="D296" s="44">
        <v>46064</v>
      </c>
      <c r="E296" s="45">
        <v>1577870</v>
      </c>
      <c r="F296" s="45" t="s">
        <v>77</v>
      </c>
      <c r="G296" s="46">
        <v>20012717</v>
      </c>
      <c r="H296" s="45" t="s">
        <v>343</v>
      </c>
      <c r="I296" s="46">
        <v>4</v>
      </c>
      <c r="J296" s="47">
        <v>28</v>
      </c>
      <c r="K296" s="47">
        <v>112</v>
      </c>
    </row>
    <row r="297" spans="4:11">
      <c r="D297" s="44">
        <v>46064</v>
      </c>
      <c r="E297" s="45">
        <v>1577870</v>
      </c>
      <c r="F297" s="45" t="s">
        <v>77</v>
      </c>
      <c r="G297" s="46">
        <v>20012716</v>
      </c>
      <c r="H297" s="45" t="s">
        <v>345</v>
      </c>
      <c r="I297" s="46">
        <v>4</v>
      </c>
      <c r="J297" s="47">
        <v>28</v>
      </c>
      <c r="K297" s="47">
        <v>112</v>
      </c>
    </row>
    <row r="298" spans="4:11">
      <c r="D298" s="44">
        <v>46064</v>
      </c>
      <c r="E298" s="45">
        <v>1577870</v>
      </c>
      <c r="F298" s="45" t="s">
        <v>77</v>
      </c>
      <c r="G298" s="46">
        <v>20010808</v>
      </c>
      <c r="H298" s="45" t="s">
        <v>346</v>
      </c>
      <c r="I298" s="46">
        <v>2</v>
      </c>
      <c r="J298" s="47">
        <v>25</v>
      </c>
      <c r="K298" s="47">
        <v>50</v>
      </c>
    </row>
    <row r="299" spans="4:11">
      <c r="D299" s="44">
        <v>46064</v>
      </c>
      <c r="E299" s="45">
        <v>1577870</v>
      </c>
      <c r="F299" s="45" t="s">
        <v>77</v>
      </c>
      <c r="G299" s="46">
        <v>20327640</v>
      </c>
      <c r="H299" s="45" t="s">
        <v>377</v>
      </c>
      <c r="I299" s="46">
        <v>1</v>
      </c>
      <c r="J299" s="47">
        <v>44</v>
      </c>
      <c r="K299" s="47">
        <v>44</v>
      </c>
    </row>
    <row r="300" ht="25.5" spans="4:11">
      <c r="D300" s="44">
        <v>46064</v>
      </c>
      <c r="E300" s="45">
        <v>1577870</v>
      </c>
      <c r="F300" s="45" t="s">
        <v>310</v>
      </c>
      <c r="G300" s="46">
        <v>20010686</v>
      </c>
      <c r="H300" s="45" t="s">
        <v>348</v>
      </c>
      <c r="I300" s="46">
        <v>1</v>
      </c>
      <c r="J300" s="47">
        <v>28</v>
      </c>
      <c r="K300" s="47">
        <v>28</v>
      </c>
    </row>
    <row r="301" spans="4:11">
      <c r="D301" s="44">
        <v>46064</v>
      </c>
      <c r="E301" s="45">
        <v>1577870</v>
      </c>
      <c r="F301" s="45" t="s">
        <v>310</v>
      </c>
      <c r="G301" s="46">
        <v>20329745</v>
      </c>
      <c r="H301" s="45" t="s">
        <v>368</v>
      </c>
      <c r="I301" s="46">
        <v>1</v>
      </c>
      <c r="J301" s="47">
        <v>28</v>
      </c>
      <c r="K301" s="47">
        <v>28</v>
      </c>
    </row>
    <row r="302" spans="4:11">
      <c r="D302" s="44">
        <v>46064</v>
      </c>
      <c r="E302" s="45">
        <v>1577870</v>
      </c>
      <c r="F302" s="45" t="s">
        <v>310</v>
      </c>
      <c r="G302" s="46">
        <v>20010212</v>
      </c>
      <c r="H302" s="45" t="s">
        <v>357</v>
      </c>
      <c r="I302" s="46">
        <v>1</v>
      </c>
      <c r="J302" s="47">
        <v>28</v>
      </c>
      <c r="K302" s="47">
        <v>28</v>
      </c>
    </row>
    <row r="303" ht="25.5" spans="4:11">
      <c r="D303" s="44">
        <v>46064</v>
      </c>
      <c r="E303" s="45">
        <v>1578144</v>
      </c>
      <c r="F303" s="45" t="s">
        <v>235</v>
      </c>
      <c r="G303" s="46">
        <v>20337194</v>
      </c>
      <c r="H303" s="45" t="s">
        <v>378</v>
      </c>
      <c r="I303" s="46">
        <v>1</v>
      </c>
      <c r="J303" s="47">
        <v>148.5</v>
      </c>
      <c r="K303" s="47">
        <v>148.5</v>
      </c>
    </row>
    <row r="304" spans="4:11">
      <c r="D304" s="44">
        <v>46064</v>
      </c>
      <c r="E304" s="45">
        <v>1578144</v>
      </c>
      <c r="F304" s="45" t="s">
        <v>235</v>
      </c>
      <c r="G304" s="46">
        <v>20012730</v>
      </c>
      <c r="H304" s="45" t="s">
        <v>336</v>
      </c>
      <c r="I304" s="46">
        <v>1</v>
      </c>
      <c r="J304" s="47">
        <v>118</v>
      </c>
      <c r="K304" s="47">
        <v>118</v>
      </c>
    </row>
    <row r="305" spans="4:11">
      <c r="D305" s="44">
        <v>46064</v>
      </c>
      <c r="E305" s="45">
        <v>1578144</v>
      </c>
      <c r="F305" s="45" t="s">
        <v>71</v>
      </c>
      <c r="G305" s="46">
        <v>20337193</v>
      </c>
      <c r="H305" s="45" t="s">
        <v>379</v>
      </c>
      <c r="I305" s="46">
        <v>1</v>
      </c>
      <c r="J305" s="47">
        <v>16.5</v>
      </c>
      <c r="K305" s="47">
        <v>16.5</v>
      </c>
    </row>
    <row r="306" ht="25.5" spans="4:11">
      <c r="D306" s="44">
        <v>46064</v>
      </c>
      <c r="E306" s="45">
        <v>1578144</v>
      </c>
      <c r="F306" s="45" t="s">
        <v>49</v>
      </c>
      <c r="G306" s="46">
        <v>20011226</v>
      </c>
      <c r="H306" s="45" t="s">
        <v>380</v>
      </c>
      <c r="I306" s="46">
        <v>2</v>
      </c>
      <c r="J306" s="47">
        <v>22</v>
      </c>
      <c r="K306" s="47">
        <v>44</v>
      </c>
    </row>
    <row r="307" ht="25.5" spans="4:11">
      <c r="D307" s="44">
        <v>46064</v>
      </c>
      <c r="E307" s="45">
        <v>1578144</v>
      </c>
      <c r="F307" s="45" t="s">
        <v>49</v>
      </c>
      <c r="G307" s="46">
        <v>20012468</v>
      </c>
      <c r="H307" s="45" t="s">
        <v>257</v>
      </c>
      <c r="I307" s="46">
        <v>7</v>
      </c>
      <c r="J307" s="47">
        <v>22</v>
      </c>
      <c r="K307" s="47">
        <v>154</v>
      </c>
    </row>
    <row r="308" spans="4:11">
      <c r="D308" s="44">
        <v>46064</v>
      </c>
      <c r="E308" s="45">
        <v>1578144</v>
      </c>
      <c r="F308" s="45" t="s">
        <v>49</v>
      </c>
      <c r="G308" s="46">
        <v>20010645</v>
      </c>
      <c r="H308" s="45" t="s">
        <v>86</v>
      </c>
      <c r="I308" s="46">
        <v>1</v>
      </c>
      <c r="J308" s="47">
        <v>8</v>
      </c>
      <c r="K308" s="47">
        <v>8</v>
      </c>
    </row>
    <row r="309" spans="4:11">
      <c r="D309" s="44">
        <v>46064</v>
      </c>
      <c r="E309" s="45">
        <v>1578144</v>
      </c>
      <c r="F309" s="45" t="s">
        <v>49</v>
      </c>
      <c r="G309" s="46">
        <v>20312778</v>
      </c>
      <c r="H309" s="45" t="s">
        <v>277</v>
      </c>
      <c r="I309" s="46">
        <v>1</v>
      </c>
      <c r="J309" s="47">
        <v>8</v>
      </c>
      <c r="K309" s="47">
        <v>8</v>
      </c>
    </row>
    <row r="310" spans="4:11">
      <c r="D310" s="44">
        <v>46064</v>
      </c>
      <c r="E310" s="45">
        <v>1578144</v>
      </c>
      <c r="F310" s="45" t="s">
        <v>47</v>
      </c>
      <c r="G310" s="46">
        <v>20318221</v>
      </c>
      <c r="H310" s="45" t="s">
        <v>364</v>
      </c>
      <c r="I310" s="46">
        <v>1</v>
      </c>
      <c r="J310" s="47">
        <v>93.5</v>
      </c>
      <c r="K310" s="47">
        <v>93.5</v>
      </c>
    </row>
    <row r="311" spans="4:11">
      <c r="D311" s="44">
        <v>46064</v>
      </c>
      <c r="E311" s="45">
        <v>1578144</v>
      </c>
      <c r="F311" s="45" t="s">
        <v>47</v>
      </c>
      <c r="G311" s="46">
        <v>20012726</v>
      </c>
      <c r="H311" s="45" t="s">
        <v>244</v>
      </c>
      <c r="I311" s="46">
        <v>3</v>
      </c>
      <c r="J311" s="47">
        <v>63</v>
      </c>
      <c r="K311" s="47">
        <v>189</v>
      </c>
    </row>
    <row r="312" spans="4:11">
      <c r="D312" s="44">
        <v>46064</v>
      </c>
      <c r="E312" s="45">
        <v>1578144</v>
      </c>
      <c r="F312" s="45" t="s">
        <v>53</v>
      </c>
      <c r="G312" s="46">
        <v>20012704</v>
      </c>
      <c r="H312" s="45" t="s">
        <v>238</v>
      </c>
      <c r="I312" s="46">
        <v>5</v>
      </c>
      <c r="J312" s="47">
        <v>16.5</v>
      </c>
      <c r="K312" s="47">
        <v>82.5</v>
      </c>
    </row>
    <row r="313" spans="4:11">
      <c r="D313" s="44">
        <v>46064</v>
      </c>
      <c r="E313" s="45">
        <v>1578144</v>
      </c>
      <c r="F313" s="45" t="s">
        <v>53</v>
      </c>
      <c r="G313" s="46">
        <v>20345147</v>
      </c>
      <c r="H313" s="45" t="s">
        <v>349</v>
      </c>
      <c r="I313" s="46">
        <v>1</v>
      </c>
      <c r="J313" s="47">
        <v>16.5</v>
      </c>
      <c r="K313" s="47">
        <v>16.5</v>
      </c>
    </row>
    <row r="314" spans="4:11">
      <c r="D314" s="44">
        <v>46064</v>
      </c>
      <c r="E314" s="45">
        <v>1578144</v>
      </c>
      <c r="F314" s="45" t="s">
        <v>53</v>
      </c>
      <c r="G314" s="46">
        <v>20010423</v>
      </c>
      <c r="H314" s="45" t="s">
        <v>381</v>
      </c>
      <c r="I314" s="46">
        <v>1</v>
      </c>
      <c r="J314" s="47">
        <v>16.5</v>
      </c>
      <c r="K314" s="47">
        <v>16.5</v>
      </c>
    </row>
    <row r="315" spans="4:11">
      <c r="D315" s="44">
        <v>46064</v>
      </c>
      <c r="E315" s="45">
        <v>1578144</v>
      </c>
      <c r="F315" s="45" t="s">
        <v>53</v>
      </c>
      <c r="G315" s="46">
        <v>20009951</v>
      </c>
      <c r="H315" s="45" t="s">
        <v>382</v>
      </c>
      <c r="I315" s="46">
        <v>1</v>
      </c>
      <c r="J315" s="47">
        <v>33</v>
      </c>
      <c r="K315" s="47">
        <v>33</v>
      </c>
    </row>
    <row r="316" spans="4:11">
      <c r="D316" s="44">
        <v>46064</v>
      </c>
      <c r="E316" s="45">
        <v>1578144</v>
      </c>
      <c r="F316" s="45" t="s">
        <v>53</v>
      </c>
      <c r="G316" s="46">
        <v>20012709</v>
      </c>
      <c r="H316" s="45" t="s">
        <v>239</v>
      </c>
      <c r="I316" s="46">
        <v>1</v>
      </c>
      <c r="J316" s="47">
        <v>16.5</v>
      </c>
      <c r="K316" s="47">
        <v>16.5</v>
      </c>
    </row>
    <row r="317" spans="4:11">
      <c r="D317" s="44">
        <v>46064</v>
      </c>
      <c r="E317" s="45">
        <v>1578144</v>
      </c>
      <c r="F317" s="45" t="s">
        <v>53</v>
      </c>
      <c r="G317" s="46">
        <v>20012705</v>
      </c>
      <c r="H317" s="45" t="s">
        <v>241</v>
      </c>
      <c r="I317" s="46">
        <v>3</v>
      </c>
      <c r="J317" s="47">
        <v>16.5</v>
      </c>
      <c r="K317" s="47">
        <v>49.5</v>
      </c>
    </row>
    <row r="318" spans="4:11">
      <c r="D318" s="44">
        <v>46064</v>
      </c>
      <c r="E318" s="45">
        <v>1578144</v>
      </c>
      <c r="F318" s="45" t="s">
        <v>53</v>
      </c>
      <c r="G318" s="46">
        <v>20315896</v>
      </c>
      <c r="H318" s="45" t="s">
        <v>383</v>
      </c>
      <c r="I318" s="46">
        <v>1</v>
      </c>
      <c r="J318" s="47">
        <v>33</v>
      </c>
      <c r="K318" s="47">
        <v>33</v>
      </c>
    </row>
    <row r="319" spans="4:11">
      <c r="D319" s="44">
        <v>46064</v>
      </c>
      <c r="E319" s="45">
        <v>1578157</v>
      </c>
      <c r="F319" s="45" t="s">
        <v>77</v>
      </c>
      <c r="G319" s="46">
        <v>20012720</v>
      </c>
      <c r="H319" s="45" t="s">
        <v>341</v>
      </c>
      <c r="I319" s="46">
        <v>1</v>
      </c>
      <c r="J319" s="47">
        <v>28</v>
      </c>
      <c r="K319" s="47">
        <v>28</v>
      </c>
    </row>
    <row r="320" spans="4:11">
      <c r="D320" s="44">
        <v>46064</v>
      </c>
      <c r="E320" s="45">
        <v>1578157</v>
      </c>
      <c r="F320" s="45" t="s">
        <v>77</v>
      </c>
      <c r="G320" s="46">
        <v>20383809</v>
      </c>
      <c r="H320" s="45" t="s">
        <v>358</v>
      </c>
      <c r="I320" s="46">
        <v>1</v>
      </c>
      <c r="J320" s="47">
        <v>28</v>
      </c>
      <c r="K320" s="47">
        <v>28</v>
      </c>
    </row>
    <row r="321" spans="4:11">
      <c r="D321" s="44">
        <v>46064</v>
      </c>
      <c r="E321" s="45">
        <v>1578157</v>
      </c>
      <c r="F321" s="45" t="s">
        <v>77</v>
      </c>
      <c r="G321" s="46">
        <v>20012715</v>
      </c>
      <c r="H321" s="45" t="s">
        <v>355</v>
      </c>
      <c r="I321" s="46">
        <v>1</v>
      </c>
      <c r="J321" s="47">
        <v>28</v>
      </c>
      <c r="K321" s="47">
        <v>28</v>
      </c>
    </row>
    <row r="322" spans="4:11">
      <c r="D322" s="44">
        <v>46064</v>
      </c>
      <c r="E322" s="45">
        <v>1578157</v>
      </c>
      <c r="F322" s="45" t="s">
        <v>77</v>
      </c>
      <c r="G322" s="46">
        <v>20010294</v>
      </c>
      <c r="H322" s="45" t="s">
        <v>356</v>
      </c>
      <c r="I322" s="46">
        <v>1</v>
      </c>
      <c r="J322" s="47">
        <v>44</v>
      </c>
      <c r="K322" s="47">
        <v>44</v>
      </c>
    </row>
    <row r="323" spans="4:11">
      <c r="D323" s="44">
        <v>46064</v>
      </c>
      <c r="E323" s="45">
        <v>1578157</v>
      </c>
      <c r="F323" s="45" t="s">
        <v>77</v>
      </c>
      <c r="G323" s="46">
        <v>20012717</v>
      </c>
      <c r="H323" s="45" t="s">
        <v>343</v>
      </c>
      <c r="I323" s="46">
        <v>1</v>
      </c>
      <c r="J323" s="47">
        <v>28</v>
      </c>
      <c r="K323" s="47">
        <v>28</v>
      </c>
    </row>
    <row r="324" spans="4:11">
      <c r="D324" s="44">
        <v>46064</v>
      </c>
      <c r="E324" s="45">
        <v>1578157</v>
      </c>
      <c r="F324" s="45" t="s">
        <v>77</v>
      </c>
      <c r="G324" s="46">
        <v>20014162</v>
      </c>
      <c r="H324" s="45" t="s">
        <v>242</v>
      </c>
      <c r="I324" s="46">
        <v>1</v>
      </c>
      <c r="J324" s="47">
        <v>28</v>
      </c>
      <c r="K324" s="47">
        <v>28</v>
      </c>
    </row>
    <row r="325" spans="4:11">
      <c r="D325" s="44">
        <v>46064</v>
      </c>
      <c r="E325" s="45">
        <v>1578157</v>
      </c>
      <c r="F325" s="45" t="s">
        <v>77</v>
      </c>
      <c r="G325" s="46">
        <v>20012716</v>
      </c>
      <c r="H325" s="45" t="s">
        <v>345</v>
      </c>
      <c r="I325" s="46">
        <v>2</v>
      </c>
      <c r="J325" s="47">
        <v>28</v>
      </c>
      <c r="K325" s="47">
        <v>56</v>
      </c>
    </row>
    <row r="326" spans="4:11">
      <c r="D326" s="44">
        <v>46064</v>
      </c>
      <c r="E326" s="45">
        <v>1578157</v>
      </c>
      <c r="F326" s="45" t="s">
        <v>77</v>
      </c>
      <c r="G326" s="46">
        <v>20010808</v>
      </c>
      <c r="H326" s="45" t="s">
        <v>346</v>
      </c>
      <c r="I326" s="46">
        <v>1</v>
      </c>
      <c r="J326" s="47">
        <v>25</v>
      </c>
      <c r="K326" s="47">
        <v>25</v>
      </c>
    </row>
    <row r="327" spans="4:11">
      <c r="D327" s="44">
        <v>46064</v>
      </c>
      <c r="E327" s="45">
        <v>1578157</v>
      </c>
      <c r="F327" s="45" t="s">
        <v>77</v>
      </c>
      <c r="G327" s="46">
        <v>20381132</v>
      </c>
      <c r="H327" s="45" t="s">
        <v>384</v>
      </c>
      <c r="I327" s="46">
        <v>1</v>
      </c>
      <c r="J327" s="47">
        <v>22</v>
      </c>
      <c r="K327" s="47">
        <v>22</v>
      </c>
    </row>
    <row r="328" spans="4:11">
      <c r="D328" s="44">
        <v>46064</v>
      </c>
      <c r="E328" s="45">
        <v>1578157</v>
      </c>
      <c r="F328" s="45" t="s">
        <v>77</v>
      </c>
      <c r="G328" s="46">
        <v>20412480</v>
      </c>
      <c r="H328" s="45" t="s">
        <v>385</v>
      </c>
      <c r="I328" s="46">
        <v>1</v>
      </c>
      <c r="J328" s="47">
        <v>88</v>
      </c>
      <c r="K328" s="47">
        <v>88</v>
      </c>
    </row>
    <row r="329" spans="4:11">
      <c r="D329" s="44">
        <v>46064</v>
      </c>
      <c r="E329" s="45">
        <v>1578157</v>
      </c>
      <c r="F329" s="45" t="s">
        <v>310</v>
      </c>
      <c r="G329" s="46">
        <v>20337192</v>
      </c>
      <c r="H329" s="45" t="s">
        <v>386</v>
      </c>
      <c r="I329" s="46">
        <v>1</v>
      </c>
      <c r="J329" s="47">
        <v>35</v>
      </c>
      <c r="K329" s="47">
        <v>35</v>
      </c>
    </row>
    <row r="330" spans="4:11">
      <c r="D330" s="44">
        <v>46065</v>
      </c>
      <c r="E330" s="45">
        <v>1578235</v>
      </c>
      <c r="F330" s="45" t="s">
        <v>235</v>
      </c>
      <c r="G330" s="46">
        <v>20009800</v>
      </c>
      <c r="H330" s="45" t="s">
        <v>249</v>
      </c>
      <c r="I330" s="46">
        <v>1</v>
      </c>
      <c r="J330" s="47">
        <v>217</v>
      </c>
      <c r="K330" s="47">
        <v>217</v>
      </c>
    </row>
    <row r="331" spans="4:11">
      <c r="D331" s="44">
        <v>46065</v>
      </c>
      <c r="E331" s="45">
        <v>1578235</v>
      </c>
      <c r="F331" s="45" t="s">
        <v>53</v>
      </c>
      <c r="G331" s="46">
        <v>20012704</v>
      </c>
      <c r="H331" s="45" t="s">
        <v>238</v>
      </c>
      <c r="I331" s="46">
        <v>1</v>
      </c>
      <c r="J331" s="47">
        <v>16.5</v>
      </c>
      <c r="K331" s="47">
        <v>16.5</v>
      </c>
    </row>
    <row r="332" spans="4:11">
      <c r="D332" s="44">
        <v>46065</v>
      </c>
      <c r="E332" s="45">
        <v>1578235</v>
      </c>
      <c r="F332" s="45" t="s">
        <v>53</v>
      </c>
      <c r="G332" s="46">
        <v>20311843</v>
      </c>
      <c r="H332" s="45" t="s">
        <v>245</v>
      </c>
      <c r="I332" s="46">
        <v>1</v>
      </c>
      <c r="J332" s="47">
        <v>16.5</v>
      </c>
      <c r="K332" s="47">
        <v>16.5</v>
      </c>
    </row>
    <row r="333" spans="4:11">
      <c r="D333" s="44">
        <v>46065</v>
      </c>
      <c r="E333" s="45">
        <v>1578235</v>
      </c>
      <c r="F333" s="45" t="s">
        <v>53</v>
      </c>
      <c r="G333" s="46">
        <v>20411010</v>
      </c>
      <c r="H333" s="45" t="s">
        <v>246</v>
      </c>
      <c r="I333" s="46">
        <v>1</v>
      </c>
      <c r="J333" s="47">
        <v>27.5</v>
      </c>
      <c r="K333" s="47">
        <v>27.5</v>
      </c>
    </row>
    <row r="334" spans="4:11">
      <c r="D334" s="44">
        <v>46065</v>
      </c>
      <c r="E334" s="45">
        <v>1578235</v>
      </c>
      <c r="F334" s="45" t="s">
        <v>53</v>
      </c>
      <c r="G334" s="46">
        <v>20010623</v>
      </c>
      <c r="H334" s="45" t="s">
        <v>289</v>
      </c>
      <c r="I334" s="46">
        <v>1</v>
      </c>
      <c r="J334" s="47">
        <v>16.5</v>
      </c>
      <c r="K334" s="47">
        <v>16.5</v>
      </c>
    </row>
    <row r="335" spans="4:11">
      <c r="D335" s="44">
        <v>46065</v>
      </c>
      <c r="E335" s="45">
        <v>1578235</v>
      </c>
      <c r="F335" s="45" t="s">
        <v>53</v>
      </c>
      <c r="G335" s="46">
        <v>20012709</v>
      </c>
      <c r="H335" s="45" t="s">
        <v>239</v>
      </c>
      <c r="I335" s="46">
        <v>1</v>
      </c>
      <c r="J335" s="47">
        <v>16.5</v>
      </c>
      <c r="K335" s="47">
        <v>16.5</v>
      </c>
    </row>
    <row r="336" spans="4:11">
      <c r="D336" s="44">
        <v>46065</v>
      </c>
      <c r="E336" s="45">
        <v>1578235</v>
      </c>
      <c r="F336" s="45" t="s">
        <v>53</v>
      </c>
      <c r="G336" s="46">
        <v>20010368</v>
      </c>
      <c r="H336" s="45" t="s">
        <v>374</v>
      </c>
      <c r="I336" s="46">
        <v>2</v>
      </c>
      <c r="J336" s="47">
        <v>16.5</v>
      </c>
      <c r="K336" s="47">
        <v>33</v>
      </c>
    </row>
    <row r="337" spans="4:11">
      <c r="D337" s="44">
        <v>46065</v>
      </c>
      <c r="E337" s="45">
        <v>1578414</v>
      </c>
      <c r="F337" s="45" t="s">
        <v>235</v>
      </c>
      <c r="G337" s="46">
        <v>20012729</v>
      </c>
      <c r="H337" s="45" t="s">
        <v>247</v>
      </c>
      <c r="I337" s="46">
        <v>1</v>
      </c>
      <c r="J337" s="47">
        <v>68.5</v>
      </c>
      <c r="K337" s="47">
        <v>68.5</v>
      </c>
    </row>
    <row r="338" spans="4:11">
      <c r="D338" s="44">
        <v>46065</v>
      </c>
      <c r="E338" s="45">
        <v>1578414</v>
      </c>
      <c r="F338" s="45" t="s">
        <v>71</v>
      </c>
      <c r="G338" s="46">
        <v>20326341</v>
      </c>
      <c r="H338" s="45" t="s">
        <v>369</v>
      </c>
      <c r="I338" s="46">
        <v>1</v>
      </c>
      <c r="J338" s="47">
        <v>33</v>
      </c>
      <c r="K338" s="47">
        <v>33</v>
      </c>
    </row>
    <row r="339" spans="4:11">
      <c r="D339" s="44">
        <v>46065</v>
      </c>
      <c r="E339" s="45">
        <v>1578414</v>
      </c>
      <c r="F339" s="45" t="s">
        <v>47</v>
      </c>
      <c r="G339" s="46">
        <v>20318221</v>
      </c>
      <c r="H339" s="45" t="s">
        <v>364</v>
      </c>
      <c r="I339" s="46">
        <v>1</v>
      </c>
      <c r="J339" s="47">
        <v>93.5</v>
      </c>
      <c r="K339" s="47">
        <v>93.5</v>
      </c>
    </row>
    <row r="340" spans="4:11">
      <c r="D340" s="44">
        <v>46065</v>
      </c>
      <c r="E340" s="45">
        <v>1578414</v>
      </c>
      <c r="F340" s="45" t="s">
        <v>47</v>
      </c>
      <c r="G340" s="46">
        <v>20012726</v>
      </c>
      <c r="H340" s="45" t="s">
        <v>244</v>
      </c>
      <c r="I340" s="46">
        <v>1</v>
      </c>
      <c r="J340" s="47">
        <v>63</v>
      </c>
      <c r="K340" s="47">
        <v>63</v>
      </c>
    </row>
    <row r="341" spans="4:11">
      <c r="D341" s="44">
        <v>46065</v>
      </c>
      <c r="E341" s="45">
        <v>1578414</v>
      </c>
      <c r="F341" s="45" t="s">
        <v>53</v>
      </c>
      <c r="G341" s="46">
        <v>20012704</v>
      </c>
      <c r="H341" s="45" t="s">
        <v>238</v>
      </c>
      <c r="I341" s="46">
        <v>4</v>
      </c>
      <c r="J341" s="47">
        <v>16.5</v>
      </c>
      <c r="K341" s="47">
        <v>66</v>
      </c>
    </row>
    <row r="342" spans="4:11">
      <c r="D342" s="44">
        <v>46065</v>
      </c>
      <c r="E342" s="45">
        <v>1578414</v>
      </c>
      <c r="F342" s="45" t="s">
        <v>53</v>
      </c>
      <c r="G342" s="46">
        <v>20411010</v>
      </c>
      <c r="H342" s="45" t="s">
        <v>387</v>
      </c>
      <c r="I342" s="46">
        <v>1</v>
      </c>
      <c r="J342" s="47">
        <v>27.5</v>
      </c>
      <c r="K342" s="47">
        <v>27.5</v>
      </c>
    </row>
    <row r="343" spans="4:11">
      <c r="D343" s="44">
        <v>46065</v>
      </c>
      <c r="E343" s="45">
        <v>1578414</v>
      </c>
      <c r="F343" s="45" t="s">
        <v>53</v>
      </c>
      <c r="G343" s="46">
        <v>20010354</v>
      </c>
      <c r="H343" s="45" t="s">
        <v>285</v>
      </c>
      <c r="I343" s="46">
        <v>1</v>
      </c>
      <c r="J343" s="47">
        <v>16.5</v>
      </c>
      <c r="K343" s="47">
        <v>16.5</v>
      </c>
    </row>
    <row r="344" spans="4:11">
      <c r="D344" s="44">
        <v>46065</v>
      </c>
      <c r="E344" s="45">
        <v>1578414</v>
      </c>
      <c r="F344" s="45" t="s">
        <v>53</v>
      </c>
      <c r="G344" s="46">
        <v>20333025</v>
      </c>
      <c r="H344" s="45" t="s">
        <v>290</v>
      </c>
      <c r="I344" s="46">
        <v>1</v>
      </c>
      <c r="J344" s="47">
        <v>66</v>
      </c>
      <c r="K344" s="47">
        <v>66</v>
      </c>
    </row>
    <row r="345" spans="4:11">
      <c r="D345" s="44">
        <v>46065</v>
      </c>
      <c r="E345" s="45">
        <v>1578414</v>
      </c>
      <c r="F345" s="45" t="s">
        <v>53</v>
      </c>
      <c r="G345" s="46">
        <v>20012709</v>
      </c>
      <c r="H345" s="45" t="s">
        <v>239</v>
      </c>
      <c r="I345" s="46">
        <v>1</v>
      </c>
      <c r="J345" s="47">
        <v>16.5</v>
      </c>
      <c r="K345" s="47">
        <v>16.5</v>
      </c>
    </row>
    <row r="346" spans="4:11">
      <c r="D346" s="44">
        <v>46065</v>
      </c>
      <c r="E346" s="45">
        <v>1578414</v>
      </c>
      <c r="F346" s="45" t="s">
        <v>53</v>
      </c>
      <c r="G346" s="46">
        <v>20010774</v>
      </c>
      <c r="H346" s="45" t="s">
        <v>240</v>
      </c>
      <c r="I346" s="46">
        <v>1</v>
      </c>
      <c r="J346" s="47">
        <v>16.5</v>
      </c>
      <c r="K346" s="47">
        <v>16.5</v>
      </c>
    </row>
    <row r="347" spans="4:11">
      <c r="D347" s="44">
        <v>46065</v>
      </c>
      <c r="E347" s="45">
        <v>1578414</v>
      </c>
      <c r="F347" s="45" t="s">
        <v>59</v>
      </c>
      <c r="G347" s="46">
        <v>20009987</v>
      </c>
      <c r="H347" s="45" t="s">
        <v>388</v>
      </c>
      <c r="I347" s="46">
        <v>87</v>
      </c>
      <c r="J347" s="47">
        <v>2.5</v>
      </c>
      <c r="K347" s="47">
        <v>217.5</v>
      </c>
    </row>
    <row r="348" spans="4:11">
      <c r="D348" s="44">
        <v>46065</v>
      </c>
      <c r="E348" s="45">
        <v>1578415</v>
      </c>
      <c r="F348" s="45" t="s">
        <v>235</v>
      </c>
      <c r="G348" s="46">
        <v>20012731</v>
      </c>
      <c r="H348" s="45" t="s">
        <v>243</v>
      </c>
      <c r="I348" s="46">
        <v>1</v>
      </c>
      <c r="J348" s="47">
        <v>272</v>
      </c>
      <c r="K348" s="47">
        <v>272</v>
      </c>
    </row>
    <row r="349" spans="4:11">
      <c r="D349" s="44">
        <v>46065</v>
      </c>
      <c r="E349" s="45">
        <v>1578500</v>
      </c>
      <c r="F349" s="45" t="s">
        <v>235</v>
      </c>
      <c r="G349" s="46">
        <v>20012731</v>
      </c>
      <c r="H349" s="45" t="s">
        <v>243</v>
      </c>
      <c r="I349" s="46">
        <v>1</v>
      </c>
      <c r="J349" s="47">
        <v>272</v>
      </c>
      <c r="K349" s="47">
        <v>272</v>
      </c>
    </row>
    <row r="350" spans="4:11">
      <c r="D350" s="44">
        <v>46065</v>
      </c>
      <c r="E350" s="45">
        <v>1578500</v>
      </c>
      <c r="F350" s="45" t="s">
        <v>235</v>
      </c>
      <c r="G350" s="46">
        <v>20012732</v>
      </c>
      <c r="H350" s="45" t="s">
        <v>251</v>
      </c>
      <c r="I350" s="46">
        <v>1</v>
      </c>
      <c r="J350" s="47">
        <v>123.5</v>
      </c>
      <c r="K350" s="47">
        <v>123.5</v>
      </c>
    </row>
    <row r="351" spans="4:11">
      <c r="D351" s="44">
        <v>46065</v>
      </c>
      <c r="E351" s="45">
        <v>1578500</v>
      </c>
      <c r="F351" s="45" t="s">
        <v>49</v>
      </c>
      <c r="G351" s="46">
        <v>20412597</v>
      </c>
      <c r="H351" s="45" t="s">
        <v>389</v>
      </c>
      <c r="I351" s="46">
        <v>1</v>
      </c>
      <c r="J351" s="47">
        <v>8</v>
      </c>
      <c r="K351" s="47">
        <v>8</v>
      </c>
    </row>
    <row r="352" spans="4:11">
      <c r="D352" s="44">
        <v>46065</v>
      </c>
      <c r="E352" s="45">
        <v>1578500</v>
      </c>
      <c r="F352" s="45" t="s">
        <v>53</v>
      </c>
      <c r="G352" s="46">
        <v>20012704</v>
      </c>
      <c r="H352" s="45" t="s">
        <v>238</v>
      </c>
      <c r="I352" s="46">
        <v>2</v>
      </c>
      <c r="J352" s="47">
        <v>16.5</v>
      </c>
      <c r="K352" s="47">
        <v>33</v>
      </c>
    </row>
    <row r="353" spans="4:11">
      <c r="D353" s="44">
        <v>46065</v>
      </c>
      <c r="E353" s="45">
        <v>1578500</v>
      </c>
      <c r="F353" s="45" t="s">
        <v>53</v>
      </c>
      <c r="G353" s="46">
        <v>20311843</v>
      </c>
      <c r="H353" s="45" t="s">
        <v>245</v>
      </c>
      <c r="I353" s="46">
        <v>1</v>
      </c>
      <c r="J353" s="47">
        <v>16.5</v>
      </c>
      <c r="K353" s="47">
        <v>16.5</v>
      </c>
    </row>
    <row r="354" spans="4:11">
      <c r="D354" s="44">
        <v>46065</v>
      </c>
      <c r="E354" s="45">
        <v>1578500</v>
      </c>
      <c r="F354" s="45" t="s">
        <v>53</v>
      </c>
      <c r="G354" s="46">
        <v>20338021</v>
      </c>
      <c r="H354" s="45" t="s">
        <v>329</v>
      </c>
      <c r="I354" s="46">
        <v>1</v>
      </c>
      <c r="J354" s="47">
        <v>16.5</v>
      </c>
      <c r="K354" s="47">
        <v>16.5</v>
      </c>
    </row>
    <row r="355" spans="4:11">
      <c r="D355" s="44">
        <v>46065</v>
      </c>
      <c r="E355" s="45">
        <v>1578500</v>
      </c>
      <c r="F355" s="45" t="s">
        <v>53</v>
      </c>
      <c r="G355" s="46">
        <v>20411010</v>
      </c>
      <c r="H355" s="45" t="s">
        <v>387</v>
      </c>
      <c r="I355" s="46">
        <v>1</v>
      </c>
      <c r="J355" s="47">
        <v>27.5</v>
      </c>
      <c r="K355" s="47">
        <v>27.5</v>
      </c>
    </row>
    <row r="356" spans="4:11">
      <c r="D356" s="44">
        <v>46065</v>
      </c>
      <c r="E356" s="45">
        <v>1578500</v>
      </c>
      <c r="F356" s="45" t="s">
        <v>53</v>
      </c>
      <c r="G356" s="46">
        <v>20010802</v>
      </c>
      <c r="H356" s="45" t="s">
        <v>339</v>
      </c>
      <c r="I356" s="46">
        <v>1</v>
      </c>
      <c r="J356" s="47">
        <v>16.5</v>
      </c>
      <c r="K356" s="47">
        <v>16.5</v>
      </c>
    </row>
    <row r="357" spans="4:11">
      <c r="D357" s="44">
        <v>46065</v>
      </c>
      <c r="E357" s="45">
        <v>1578500</v>
      </c>
      <c r="F357" s="45" t="s">
        <v>53</v>
      </c>
      <c r="G357" s="46">
        <v>20010186</v>
      </c>
      <c r="H357" s="45" t="s">
        <v>340</v>
      </c>
      <c r="I357" s="46">
        <v>1</v>
      </c>
      <c r="J357" s="47">
        <v>16.5</v>
      </c>
      <c r="K357" s="47">
        <v>16.5</v>
      </c>
    </row>
    <row r="358" spans="4:11">
      <c r="D358" s="44">
        <v>46065</v>
      </c>
      <c r="E358" s="45">
        <v>1578500</v>
      </c>
      <c r="F358" s="45" t="s">
        <v>53</v>
      </c>
      <c r="G358" s="46">
        <v>20010171</v>
      </c>
      <c r="H358" s="45" t="s">
        <v>302</v>
      </c>
      <c r="I358" s="46">
        <v>1</v>
      </c>
      <c r="J358" s="47">
        <v>22</v>
      </c>
      <c r="K358" s="47">
        <v>22</v>
      </c>
    </row>
    <row r="359" spans="4:11">
      <c r="D359" s="44">
        <v>46065</v>
      </c>
      <c r="E359" s="45">
        <v>1578509</v>
      </c>
      <c r="F359" s="45" t="s">
        <v>77</v>
      </c>
      <c r="G359" s="46">
        <v>20012718</v>
      </c>
      <c r="H359" s="45" t="s">
        <v>307</v>
      </c>
      <c r="I359" s="46">
        <v>1</v>
      </c>
      <c r="J359" s="47">
        <v>35</v>
      </c>
      <c r="K359" s="47">
        <v>35</v>
      </c>
    </row>
    <row r="360" spans="4:11">
      <c r="D360" s="44">
        <v>46065</v>
      </c>
      <c r="E360" s="45">
        <v>1578509</v>
      </c>
      <c r="F360" s="45" t="s">
        <v>310</v>
      </c>
      <c r="G360" s="46">
        <v>20013174</v>
      </c>
      <c r="H360" s="45" t="s">
        <v>311</v>
      </c>
      <c r="I360" s="46">
        <v>1</v>
      </c>
      <c r="J360" s="47">
        <v>28</v>
      </c>
      <c r="K360" s="47">
        <v>28</v>
      </c>
    </row>
    <row r="361" spans="4:11">
      <c r="D361" s="44">
        <v>46065</v>
      </c>
      <c r="E361" s="45">
        <v>1578509</v>
      </c>
      <c r="F361" s="45" t="s">
        <v>310</v>
      </c>
      <c r="G361" s="46">
        <v>20013785</v>
      </c>
      <c r="H361" s="45" t="s">
        <v>312</v>
      </c>
      <c r="I361" s="46">
        <v>1</v>
      </c>
      <c r="J361" s="47">
        <v>88</v>
      </c>
      <c r="K361" s="47">
        <v>88</v>
      </c>
    </row>
    <row r="362" spans="4:11">
      <c r="D362" s="44">
        <v>46066</v>
      </c>
      <c r="E362" s="45">
        <v>1578551</v>
      </c>
      <c r="F362" s="45" t="s">
        <v>235</v>
      </c>
      <c r="G362" s="46">
        <v>20012730</v>
      </c>
      <c r="H362" s="45" t="s">
        <v>336</v>
      </c>
      <c r="I362" s="46">
        <v>1</v>
      </c>
      <c r="J362" s="47">
        <v>118</v>
      </c>
      <c r="K362" s="47">
        <v>118</v>
      </c>
    </row>
    <row r="363" spans="4:11">
      <c r="D363" s="44">
        <v>46066</v>
      </c>
      <c r="E363" s="45">
        <v>1578551</v>
      </c>
      <c r="F363" s="45" t="s">
        <v>235</v>
      </c>
      <c r="G363" s="46">
        <v>20009869</v>
      </c>
      <c r="H363" s="45" t="s">
        <v>390</v>
      </c>
      <c r="I363" s="46">
        <v>1</v>
      </c>
      <c r="J363" s="47">
        <v>52</v>
      </c>
      <c r="K363" s="47">
        <v>52</v>
      </c>
    </row>
    <row r="364" spans="4:11">
      <c r="D364" s="44">
        <v>46066</v>
      </c>
      <c r="E364" s="45">
        <v>1578551</v>
      </c>
      <c r="F364" s="45" t="s">
        <v>235</v>
      </c>
      <c r="G364" s="46">
        <v>20013467</v>
      </c>
      <c r="H364" s="45" t="s">
        <v>363</v>
      </c>
      <c r="I364" s="46">
        <v>1</v>
      </c>
      <c r="J364" s="47">
        <v>415</v>
      </c>
      <c r="K364" s="47">
        <v>415</v>
      </c>
    </row>
    <row r="365" spans="4:11">
      <c r="D365" s="44">
        <v>46066</v>
      </c>
      <c r="E365" s="45">
        <v>1578551</v>
      </c>
      <c r="F365" s="45" t="s">
        <v>235</v>
      </c>
      <c r="G365" s="46">
        <v>20009864</v>
      </c>
      <c r="H365" s="45" t="s">
        <v>236</v>
      </c>
      <c r="I365" s="46">
        <v>1</v>
      </c>
      <c r="J365" s="47">
        <v>52</v>
      </c>
      <c r="K365" s="47">
        <v>52</v>
      </c>
    </row>
    <row r="366" spans="4:11">
      <c r="D366" s="44">
        <v>46066</v>
      </c>
      <c r="E366" s="45">
        <v>1578551</v>
      </c>
      <c r="F366" s="45" t="s">
        <v>53</v>
      </c>
      <c r="G366" s="46">
        <v>20012704</v>
      </c>
      <c r="H366" s="45" t="s">
        <v>238</v>
      </c>
      <c r="I366" s="46">
        <v>1</v>
      </c>
      <c r="J366" s="47">
        <v>16.5</v>
      </c>
      <c r="K366" s="47">
        <v>16.5</v>
      </c>
    </row>
    <row r="367" spans="4:11">
      <c r="D367" s="44">
        <v>46066</v>
      </c>
      <c r="E367" s="45">
        <v>1578551</v>
      </c>
      <c r="F367" s="45" t="s">
        <v>53</v>
      </c>
      <c r="G367" s="46">
        <v>20012709</v>
      </c>
      <c r="H367" s="45" t="s">
        <v>239</v>
      </c>
      <c r="I367" s="46">
        <v>1</v>
      </c>
      <c r="J367" s="47">
        <v>16.5</v>
      </c>
      <c r="K367" s="47">
        <v>16.5</v>
      </c>
    </row>
    <row r="368" spans="4:11">
      <c r="D368" s="44">
        <v>46066</v>
      </c>
      <c r="E368" s="45">
        <v>1578590</v>
      </c>
      <c r="F368" s="45" t="s">
        <v>77</v>
      </c>
      <c r="G368" s="46">
        <v>20012720</v>
      </c>
      <c r="H368" s="45" t="s">
        <v>341</v>
      </c>
      <c r="I368" s="46">
        <v>1</v>
      </c>
      <c r="J368" s="47">
        <v>28</v>
      </c>
      <c r="K368" s="47">
        <v>28</v>
      </c>
    </row>
    <row r="369" spans="4:11">
      <c r="D369" s="44">
        <v>46066</v>
      </c>
      <c r="E369" s="45">
        <v>1578590</v>
      </c>
      <c r="F369" s="45" t="s">
        <v>77</v>
      </c>
      <c r="G369" s="46">
        <v>20012715</v>
      </c>
      <c r="H369" s="45" t="s">
        <v>355</v>
      </c>
      <c r="I369" s="46">
        <v>1</v>
      </c>
      <c r="J369" s="47">
        <v>28</v>
      </c>
      <c r="K369" s="47">
        <v>28</v>
      </c>
    </row>
    <row r="370" spans="4:11">
      <c r="D370" s="44">
        <v>46066</v>
      </c>
      <c r="E370" s="45">
        <v>1578590</v>
      </c>
      <c r="F370" s="45" t="s">
        <v>77</v>
      </c>
      <c r="G370" s="46">
        <v>20010294</v>
      </c>
      <c r="H370" s="45" t="s">
        <v>356</v>
      </c>
      <c r="I370" s="46">
        <v>1</v>
      </c>
      <c r="J370" s="47">
        <v>44</v>
      </c>
      <c r="K370" s="47">
        <v>44</v>
      </c>
    </row>
    <row r="371" spans="4:11">
      <c r="D371" s="44">
        <v>46066</v>
      </c>
      <c r="E371" s="45">
        <v>1578590</v>
      </c>
      <c r="F371" s="45" t="s">
        <v>77</v>
      </c>
      <c r="G371" s="46">
        <v>20012717</v>
      </c>
      <c r="H371" s="45" t="s">
        <v>343</v>
      </c>
      <c r="I371" s="46">
        <v>1</v>
      </c>
      <c r="J371" s="47">
        <v>28</v>
      </c>
      <c r="K371" s="47">
        <v>28</v>
      </c>
    </row>
    <row r="372" spans="4:11">
      <c r="D372" s="44">
        <v>46066</v>
      </c>
      <c r="E372" s="45">
        <v>1578590</v>
      </c>
      <c r="F372" s="45" t="s">
        <v>77</v>
      </c>
      <c r="G372" s="46">
        <v>20014162</v>
      </c>
      <c r="H372" s="45" t="s">
        <v>242</v>
      </c>
      <c r="I372" s="46">
        <v>1</v>
      </c>
      <c r="J372" s="47">
        <v>28</v>
      </c>
      <c r="K372" s="47">
        <v>28</v>
      </c>
    </row>
    <row r="373" spans="4:11">
      <c r="D373" s="44">
        <v>46066</v>
      </c>
      <c r="E373" s="45">
        <v>1578590</v>
      </c>
      <c r="F373" s="45" t="s">
        <v>77</v>
      </c>
      <c r="G373" s="46">
        <v>20012716</v>
      </c>
      <c r="H373" s="45" t="s">
        <v>345</v>
      </c>
      <c r="I373" s="46">
        <v>2</v>
      </c>
      <c r="J373" s="47">
        <v>28</v>
      </c>
      <c r="K373" s="47">
        <v>56</v>
      </c>
    </row>
    <row r="374" spans="4:11">
      <c r="D374" s="44">
        <v>46066</v>
      </c>
      <c r="E374" s="45">
        <v>1578769</v>
      </c>
      <c r="F374" s="45" t="s">
        <v>235</v>
      </c>
      <c r="G374" s="46">
        <v>20012730</v>
      </c>
      <c r="H374" s="45" t="s">
        <v>336</v>
      </c>
      <c r="I374" s="46">
        <v>1</v>
      </c>
      <c r="J374" s="47">
        <v>118</v>
      </c>
      <c r="K374" s="47">
        <v>118</v>
      </c>
    </row>
    <row r="375" spans="4:11">
      <c r="D375" s="44">
        <v>46066</v>
      </c>
      <c r="E375" s="45">
        <v>1578769</v>
      </c>
      <c r="F375" s="45" t="s">
        <v>235</v>
      </c>
      <c r="G375" s="46">
        <v>20012731</v>
      </c>
      <c r="H375" s="45" t="s">
        <v>243</v>
      </c>
      <c r="I375" s="46">
        <v>1</v>
      </c>
      <c r="J375" s="47">
        <v>272</v>
      </c>
      <c r="K375" s="47">
        <v>272</v>
      </c>
    </row>
    <row r="376" spans="4:11">
      <c r="D376" s="44">
        <v>46066</v>
      </c>
      <c r="E376" s="45">
        <v>1578769</v>
      </c>
      <c r="F376" s="45" t="s">
        <v>53</v>
      </c>
      <c r="G376" s="46">
        <v>20012704</v>
      </c>
      <c r="H376" s="45" t="s">
        <v>238</v>
      </c>
      <c r="I376" s="46">
        <v>2</v>
      </c>
      <c r="J376" s="47">
        <v>16.5</v>
      </c>
      <c r="K376" s="47">
        <v>33</v>
      </c>
    </row>
    <row r="377" spans="4:11">
      <c r="D377" s="44">
        <v>46066</v>
      </c>
      <c r="E377" s="45">
        <v>1578769</v>
      </c>
      <c r="F377" s="45" t="s">
        <v>53</v>
      </c>
      <c r="G377" s="46">
        <v>20010319</v>
      </c>
      <c r="H377" s="45" t="s">
        <v>297</v>
      </c>
      <c r="I377" s="46">
        <v>1</v>
      </c>
      <c r="J377" s="47">
        <v>16.5</v>
      </c>
      <c r="K377" s="47">
        <v>16.5</v>
      </c>
    </row>
    <row r="378" spans="4:11">
      <c r="D378" s="44">
        <v>46066</v>
      </c>
      <c r="E378" s="45">
        <v>1578776</v>
      </c>
      <c r="F378" s="45" t="s">
        <v>105</v>
      </c>
      <c r="G378" s="46">
        <v>20367686</v>
      </c>
      <c r="H378" s="45" t="s">
        <v>391</v>
      </c>
      <c r="I378" s="46">
        <v>1</v>
      </c>
      <c r="J378" s="47">
        <v>8</v>
      </c>
      <c r="K378" s="47">
        <v>8</v>
      </c>
    </row>
    <row r="379" ht="25.5" spans="4:11">
      <c r="D379" s="44">
        <v>46066</v>
      </c>
      <c r="E379" s="45">
        <v>1578779</v>
      </c>
      <c r="F379" s="45" t="s">
        <v>77</v>
      </c>
      <c r="G379" s="46">
        <v>20409659</v>
      </c>
      <c r="H379" s="45" t="s">
        <v>342</v>
      </c>
      <c r="I379" s="46">
        <v>1</v>
      </c>
      <c r="J379" s="47">
        <v>28</v>
      </c>
      <c r="K379" s="47">
        <v>28</v>
      </c>
    </row>
    <row r="380" spans="4:11">
      <c r="D380" s="44">
        <v>46066</v>
      </c>
      <c r="E380" s="45">
        <v>1578779</v>
      </c>
      <c r="F380" s="45" t="s">
        <v>77</v>
      </c>
      <c r="G380" s="46">
        <v>20010294</v>
      </c>
      <c r="H380" s="45" t="s">
        <v>356</v>
      </c>
      <c r="I380" s="46">
        <v>1</v>
      </c>
      <c r="J380" s="47">
        <v>44</v>
      </c>
      <c r="K380" s="47">
        <v>44</v>
      </c>
    </row>
    <row r="381" spans="4:11">
      <c r="D381" s="44">
        <v>46066</v>
      </c>
      <c r="E381" s="45">
        <v>1578779</v>
      </c>
      <c r="F381" s="45" t="s">
        <v>77</v>
      </c>
      <c r="G381" s="46">
        <v>20012717</v>
      </c>
      <c r="H381" s="45" t="s">
        <v>343</v>
      </c>
      <c r="I381" s="46">
        <v>1</v>
      </c>
      <c r="J381" s="47">
        <v>28</v>
      </c>
      <c r="K381" s="47">
        <v>28</v>
      </c>
    </row>
    <row r="382" spans="4:11">
      <c r="D382" s="44">
        <v>46066</v>
      </c>
      <c r="E382" s="45">
        <v>1578779</v>
      </c>
      <c r="F382" s="45" t="s">
        <v>77</v>
      </c>
      <c r="G382" s="46">
        <v>20014176</v>
      </c>
      <c r="H382" s="45" t="s">
        <v>344</v>
      </c>
      <c r="I382" s="46">
        <v>1</v>
      </c>
      <c r="J382" s="47">
        <v>28</v>
      </c>
      <c r="K382" s="47">
        <v>28</v>
      </c>
    </row>
    <row r="383" spans="4:11">
      <c r="D383" s="44">
        <v>46066</v>
      </c>
      <c r="E383" s="45">
        <v>1578779</v>
      </c>
      <c r="F383" s="45" t="s">
        <v>77</v>
      </c>
      <c r="G383" s="46">
        <v>20012716</v>
      </c>
      <c r="H383" s="45" t="s">
        <v>345</v>
      </c>
      <c r="I383" s="46">
        <v>1</v>
      </c>
      <c r="J383" s="47">
        <v>28</v>
      </c>
      <c r="K383" s="47">
        <v>28</v>
      </c>
    </row>
    <row r="384" spans="4:11">
      <c r="D384" s="44">
        <v>46066</v>
      </c>
      <c r="E384" s="45">
        <v>1578779</v>
      </c>
      <c r="F384" s="45" t="s">
        <v>77</v>
      </c>
      <c r="G384" s="46">
        <v>20010808</v>
      </c>
      <c r="H384" s="45" t="s">
        <v>346</v>
      </c>
      <c r="I384" s="46">
        <v>1</v>
      </c>
      <c r="J384" s="47">
        <v>25</v>
      </c>
      <c r="K384" s="47">
        <v>25</v>
      </c>
    </row>
    <row r="385" spans="4:11">
      <c r="D385" s="44">
        <v>46066</v>
      </c>
      <c r="E385" s="45">
        <v>1578779</v>
      </c>
      <c r="F385" s="45" t="s">
        <v>310</v>
      </c>
      <c r="G385" s="46">
        <v>20010212</v>
      </c>
      <c r="H385" s="45" t="s">
        <v>357</v>
      </c>
      <c r="I385" s="46">
        <v>1</v>
      </c>
      <c r="J385" s="47">
        <v>28</v>
      </c>
      <c r="K385" s="47">
        <v>28</v>
      </c>
    </row>
    <row r="386" spans="4:11">
      <c r="D386" s="44">
        <v>46067</v>
      </c>
      <c r="E386" s="45">
        <v>1578867</v>
      </c>
      <c r="F386" s="45" t="s">
        <v>235</v>
      </c>
      <c r="G386" s="46">
        <v>20013467</v>
      </c>
      <c r="H386" s="45" t="s">
        <v>363</v>
      </c>
      <c r="I386" s="46">
        <v>1</v>
      </c>
      <c r="J386" s="47">
        <v>415</v>
      </c>
      <c r="K386" s="47">
        <v>415</v>
      </c>
    </row>
    <row r="387" spans="4:11">
      <c r="D387" s="44">
        <v>46067</v>
      </c>
      <c r="E387" s="45">
        <v>1578867</v>
      </c>
      <c r="F387" s="45" t="s">
        <v>235</v>
      </c>
      <c r="G387" s="46">
        <v>20009864</v>
      </c>
      <c r="H387" s="45" t="s">
        <v>236</v>
      </c>
      <c r="I387" s="46">
        <v>1</v>
      </c>
      <c r="J387" s="47">
        <v>52</v>
      </c>
      <c r="K387" s="47">
        <v>52</v>
      </c>
    </row>
    <row r="388" spans="4:11">
      <c r="D388" s="44">
        <v>46067</v>
      </c>
      <c r="E388" s="45">
        <v>1578867</v>
      </c>
      <c r="F388" s="45" t="s">
        <v>47</v>
      </c>
      <c r="G388" s="46">
        <v>20012726</v>
      </c>
      <c r="H388" s="45" t="s">
        <v>244</v>
      </c>
      <c r="I388" s="46">
        <v>2</v>
      </c>
      <c r="J388" s="47">
        <v>63</v>
      </c>
      <c r="K388" s="47">
        <v>126</v>
      </c>
    </row>
    <row r="389" spans="4:11">
      <c r="D389" s="44">
        <v>46067</v>
      </c>
      <c r="E389" s="45">
        <v>1578867</v>
      </c>
      <c r="F389" s="45" t="s">
        <v>53</v>
      </c>
      <c r="G389" s="46">
        <v>20012704</v>
      </c>
      <c r="H389" s="45" t="s">
        <v>238</v>
      </c>
      <c r="I389" s="46">
        <v>1</v>
      </c>
      <c r="J389" s="47">
        <v>16.5</v>
      </c>
      <c r="K389" s="47">
        <v>16.5</v>
      </c>
    </row>
    <row r="390" spans="4:11">
      <c r="D390" s="44">
        <v>46067</v>
      </c>
      <c r="E390" s="45">
        <v>1578867</v>
      </c>
      <c r="F390" s="45" t="s">
        <v>53</v>
      </c>
      <c r="G390" s="46">
        <v>20012709</v>
      </c>
      <c r="H390" s="45" t="s">
        <v>239</v>
      </c>
      <c r="I390" s="46">
        <v>1</v>
      </c>
      <c r="J390" s="47">
        <v>16.5</v>
      </c>
      <c r="K390" s="47">
        <v>16.5</v>
      </c>
    </row>
    <row r="391" spans="4:11">
      <c r="D391" s="44">
        <v>46067</v>
      </c>
      <c r="E391" s="45">
        <v>1578992</v>
      </c>
      <c r="F391" s="45" t="s">
        <v>235</v>
      </c>
      <c r="G391" s="46">
        <v>20012730</v>
      </c>
      <c r="H391" s="45" t="s">
        <v>336</v>
      </c>
      <c r="I391" s="46">
        <v>1</v>
      </c>
      <c r="J391" s="47">
        <v>118</v>
      </c>
      <c r="K391" s="47">
        <v>118</v>
      </c>
    </row>
    <row r="392" spans="4:11">
      <c r="D392" s="44">
        <v>46067</v>
      </c>
      <c r="E392" s="45">
        <v>1578992</v>
      </c>
      <c r="F392" s="45" t="s">
        <v>53</v>
      </c>
      <c r="G392" s="46">
        <v>20012704</v>
      </c>
      <c r="H392" s="45" t="s">
        <v>238</v>
      </c>
      <c r="I392" s="46">
        <v>1</v>
      </c>
      <c r="J392" s="47">
        <v>16.5</v>
      </c>
      <c r="K392" s="47">
        <v>16.5</v>
      </c>
    </row>
    <row r="393" ht="25.5" spans="4:11">
      <c r="D393" s="44">
        <v>46067</v>
      </c>
      <c r="E393" s="45">
        <v>1579008</v>
      </c>
      <c r="F393" s="45" t="s">
        <v>77</v>
      </c>
      <c r="G393" s="46">
        <v>20380669</v>
      </c>
      <c r="H393" s="45" t="s">
        <v>392</v>
      </c>
      <c r="I393" s="46">
        <v>1</v>
      </c>
      <c r="J393" s="47">
        <v>28</v>
      </c>
      <c r="K393" s="47">
        <v>28</v>
      </c>
    </row>
    <row r="394" spans="4:11">
      <c r="D394" s="44">
        <v>46067</v>
      </c>
      <c r="E394" s="45">
        <v>1579008</v>
      </c>
      <c r="F394" s="45" t="s">
        <v>77</v>
      </c>
      <c r="G394" s="46">
        <v>20012715</v>
      </c>
      <c r="H394" s="45" t="s">
        <v>355</v>
      </c>
      <c r="I394" s="46">
        <v>1</v>
      </c>
      <c r="J394" s="47">
        <v>28</v>
      </c>
      <c r="K394" s="47">
        <v>28</v>
      </c>
    </row>
    <row r="395" spans="4:11">
      <c r="D395" s="44">
        <v>46067</v>
      </c>
      <c r="E395" s="45">
        <v>1579008</v>
      </c>
      <c r="F395" s="45" t="s">
        <v>77</v>
      </c>
      <c r="G395" s="46">
        <v>20010294</v>
      </c>
      <c r="H395" s="45" t="s">
        <v>356</v>
      </c>
      <c r="I395" s="46">
        <v>1</v>
      </c>
      <c r="J395" s="47">
        <v>44</v>
      </c>
      <c r="K395" s="47">
        <v>44</v>
      </c>
    </row>
    <row r="396" spans="4:11">
      <c r="D396" s="44">
        <v>46067</v>
      </c>
      <c r="E396" s="45">
        <v>1579008</v>
      </c>
      <c r="F396" s="45" t="s">
        <v>77</v>
      </c>
      <c r="G396" s="46">
        <v>20012717</v>
      </c>
      <c r="H396" s="45" t="s">
        <v>343</v>
      </c>
      <c r="I396" s="46">
        <v>1</v>
      </c>
      <c r="J396" s="47">
        <v>28</v>
      </c>
      <c r="K396" s="47">
        <v>28</v>
      </c>
    </row>
    <row r="397" spans="4:11">
      <c r="D397" s="44">
        <v>46067</v>
      </c>
      <c r="E397" s="45">
        <v>1579008</v>
      </c>
      <c r="F397" s="45" t="s">
        <v>77</v>
      </c>
      <c r="G397" s="46">
        <v>20012716</v>
      </c>
      <c r="H397" s="45" t="s">
        <v>345</v>
      </c>
      <c r="I397" s="46">
        <v>1</v>
      </c>
      <c r="J397" s="47">
        <v>28</v>
      </c>
      <c r="K397" s="47">
        <v>28</v>
      </c>
    </row>
    <row r="398" spans="4:11">
      <c r="D398" s="44">
        <v>46067</v>
      </c>
      <c r="E398" s="45">
        <v>1579008</v>
      </c>
      <c r="F398" s="45" t="s">
        <v>77</v>
      </c>
      <c r="G398" s="46">
        <v>20010808</v>
      </c>
      <c r="H398" s="45" t="s">
        <v>346</v>
      </c>
      <c r="I398" s="46">
        <v>1</v>
      </c>
      <c r="J398" s="47">
        <v>25</v>
      </c>
      <c r="K398" s="47">
        <v>25</v>
      </c>
    </row>
    <row r="399" spans="4:11">
      <c r="D399" s="44">
        <v>46067</v>
      </c>
      <c r="E399" s="45">
        <v>1579008</v>
      </c>
      <c r="F399" s="45" t="s">
        <v>310</v>
      </c>
      <c r="G399" s="46">
        <v>20010212</v>
      </c>
      <c r="H399" s="45" t="s">
        <v>357</v>
      </c>
      <c r="I399" s="46">
        <v>1</v>
      </c>
      <c r="J399" s="47">
        <v>28</v>
      </c>
      <c r="K399" s="47">
        <v>28</v>
      </c>
    </row>
    <row r="400" spans="4:11">
      <c r="D400" s="44">
        <v>46067</v>
      </c>
      <c r="E400" s="45">
        <v>1579021</v>
      </c>
      <c r="F400" s="45" t="s">
        <v>49</v>
      </c>
      <c r="G400" s="46">
        <v>20321770</v>
      </c>
      <c r="H400" s="45" t="s">
        <v>393</v>
      </c>
      <c r="I400" s="46">
        <v>1</v>
      </c>
      <c r="J400" s="47">
        <v>27.5</v>
      </c>
      <c r="K400" s="47">
        <v>27.5</v>
      </c>
    </row>
    <row r="401" ht="24.75" spans="4:11">
      <c r="D401" s="44">
        <v>46067</v>
      </c>
      <c r="E401" s="45">
        <v>1579021</v>
      </c>
      <c r="F401" s="45" t="s">
        <v>323</v>
      </c>
      <c r="G401" s="46">
        <v>20321789</v>
      </c>
      <c r="H401" s="45" t="s">
        <v>324</v>
      </c>
      <c r="I401" s="46">
        <v>1</v>
      </c>
      <c r="J401" s="47">
        <v>381.5</v>
      </c>
      <c r="K401" s="47">
        <v>381.5</v>
      </c>
    </row>
    <row r="402" spans="4:11">
      <c r="D402" s="44">
        <v>46070</v>
      </c>
      <c r="E402" s="45">
        <v>1579140</v>
      </c>
      <c r="F402" s="45" t="s">
        <v>235</v>
      </c>
      <c r="G402" s="46">
        <v>20012730</v>
      </c>
      <c r="H402" s="45" t="s">
        <v>336</v>
      </c>
      <c r="I402" s="46">
        <v>2</v>
      </c>
      <c r="J402" s="47">
        <v>118</v>
      </c>
      <c r="K402" s="47">
        <v>236</v>
      </c>
    </row>
    <row r="403" spans="4:11">
      <c r="D403" s="44">
        <v>46070</v>
      </c>
      <c r="E403" s="45">
        <v>1579140</v>
      </c>
      <c r="F403" s="45" t="s">
        <v>235</v>
      </c>
      <c r="G403" s="46">
        <v>20012731</v>
      </c>
      <c r="H403" s="45" t="s">
        <v>243</v>
      </c>
      <c r="I403" s="46">
        <v>1</v>
      </c>
      <c r="J403" s="47">
        <v>272</v>
      </c>
      <c r="K403" s="47">
        <v>272</v>
      </c>
    </row>
    <row r="404" spans="4:11">
      <c r="D404" s="44">
        <v>46070</v>
      </c>
      <c r="E404" s="45">
        <v>1579140</v>
      </c>
      <c r="F404" s="45" t="s">
        <v>53</v>
      </c>
      <c r="G404" s="46">
        <v>20012704</v>
      </c>
      <c r="H404" s="45" t="s">
        <v>238</v>
      </c>
      <c r="I404" s="46">
        <v>3</v>
      </c>
      <c r="J404" s="47">
        <v>16.5</v>
      </c>
      <c r="K404" s="47">
        <v>49.5</v>
      </c>
    </row>
    <row r="405" spans="4:11">
      <c r="D405" s="44">
        <v>46070</v>
      </c>
      <c r="E405" s="45">
        <v>1579140</v>
      </c>
      <c r="F405" s="45" t="s">
        <v>53</v>
      </c>
      <c r="G405" s="46">
        <v>20411010</v>
      </c>
      <c r="H405" s="45" t="s">
        <v>387</v>
      </c>
      <c r="I405" s="46">
        <v>1</v>
      </c>
      <c r="J405" s="47">
        <v>27.5</v>
      </c>
      <c r="K405" s="47">
        <v>27.5</v>
      </c>
    </row>
    <row r="406" spans="4:11">
      <c r="D406" s="44">
        <v>46070</v>
      </c>
      <c r="E406" s="45">
        <v>1579140</v>
      </c>
      <c r="F406" s="45" t="s">
        <v>53</v>
      </c>
      <c r="G406" s="46">
        <v>20010623</v>
      </c>
      <c r="H406" s="45" t="s">
        <v>289</v>
      </c>
      <c r="I406" s="46">
        <v>1</v>
      </c>
      <c r="J406" s="47">
        <v>16.5</v>
      </c>
      <c r="K406" s="47">
        <v>16.5</v>
      </c>
    </row>
    <row r="407" spans="4:11">
      <c r="D407" s="44">
        <v>46070</v>
      </c>
      <c r="E407" s="45">
        <v>1579140</v>
      </c>
      <c r="F407" s="45" t="s">
        <v>53</v>
      </c>
      <c r="G407" s="46">
        <v>20010368</v>
      </c>
      <c r="H407" s="45" t="s">
        <v>374</v>
      </c>
      <c r="I407" s="46">
        <v>1</v>
      </c>
      <c r="J407" s="47">
        <v>16.5</v>
      </c>
      <c r="K407" s="47">
        <v>16.5</v>
      </c>
    </row>
    <row r="408" ht="25.5" spans="4:11">
      <c r="D408" s="44">
        <v>46070</v>
      </c>
      <c r="E408" s="45">
        <v>1579145</v>
      </c>
      <c r="F408" s="45" t="s">
        <v>77</v>
      </c>
      <c r="G408" s="46">
        <v>20409659</v>
      </c>
      <c r="H408" s="45" t="s">
        <v>342</v>
      </c>
      <c r="I408" s="46">
        <v>2</v>
      </c>
      <c r="J408" s="47">
        <v>28</v>
      </c>
      <c r="K408" s="47">
        <v>56</v>
      </c>
    </row>
    <row r="409" spans="4:11">
      <c r="D409" s="44">
        <v>46070</v>
      </c>
      <c r="E409" s="45">
        <v>1579145</v>
      </c>
      <c r="F409" s="45" t="s">
        <v>77</v>
      </c>
      <c r="G409" s="46">
        <v>20010294</v>
      </c>
      <c r="H409" s="45" t="s">
        <v>356</v>
      </c>
      <c r="I409" s="46">
        <v>1</v>
      </c>
      <c r="J409" s="47">
        <v>44</v>
      </c>
      <c r="K409" s="47">
        <v>44</v>
      </c>
    </row>
    <row r="410" spans="4:11">
      <c r="D410" s="44">
        <v>46070</v>
      </c>
      <c r="E410" s="45">
        <v>1579145</v>
      </c>
      <c r="F410" s="45" t="s">
        <v>77</v>
      </c>
      <c r="G410" s="46">
        <v>20012717</v>
      </c>
      <c r="H410" s="45" t="s">
        <v>343</v>
      </c>
      <c r="I410" s="46">
        <v>1</v>
      </c>
      <c r="J410" s="47">
        <v>28</v>
      </c>
      <c r="K410" s="47">
        <v>28</v>
      </c>
    </row>
    <row r="411" spans="4:11">
      <c r="D411" s="44">
        <v>46070</v>
      </c>
      <c r="E411" s="45">
        <v>1579145</v>
      </c>
      <c r="F411" s="45" t="s">
        <v>77</v>
      </c>
      <c r="G411" s="46">
        <v>20014176</v>
      </c>
      <c r="H411" s="45" t="s">
        <v>344</v>
      </c>
      <c r="I411" s="46">
        <v>2</v>
      </c>
      <c r="J411" s="47">
        <v>28</v>
      </c>
      <c r="K411" s="47">
        <v>56</v>
      </c>
    </row>
    <row r="412" spans="4:11">
      <c r="D412" s="44">
        <v>46070</v>
      </c>
      <c r="E412" s="45">
        <v>1579145</v>
      </c>
      <c r="F412" s="45" t="s">
        <v>77</v>
      </c>
      <c r="G412" s="46">
        <v>20012716</v>
      </c>
      <c r="H412" s="45" t="s">
        <v>345</v>
      </c>
      <c r="I412" s="46">
        <v>2</v>
      </c>
      <c r="J412" s="47">
        <v>28</v>
      </c>
      <c r="K412" s="47">
        <v>56</v>
      </c>
    </row>
    <row r="413" spans="4:11">
      <c r="D413" s="44">
        <v>46070</v>
      </c>
      <c r="E413" s="45">
        <v>1579145</v>
      </c>
      <c r="F413" s="45" t="s">
        <v>77</v>
      </c>
      <c r="G413" s="46">
        <v>20010808</v>
      </c>
      <c r="H413" s="45" t="s">
        <v>346</v>
      </c>
      <c r="I413" s="46">
        <v>1</v>
      </c>
      <c r="J413" s="47">
        <v>25</v>
      </c>
      <c r="K413" s="47">
        <v>25</v>
      </c>
    </row>
    <row r="414" ht="25.5" spans="4:11">
      <c r="D414" s="44">
        <v>46070</v>
      </c>
      <c r="E414" s="45">
        <v>1579145</v>
      </c>
      <c r="F414" s="45" t="s">
        <v>310</v>
      </c>
      <c r="G414" s="46">
        <v>20010686</v>
      </c>
      <c r="H414" s="45" t="s">
        <v>348</v>
      </c>
      <c r="I414" s="46">
        <v>1</v>
      </c>
      <c r="J414" s="47">
        <v>28</v>
      </c>
      <c r="K414" s="47">
        <v>28</v>
      </c>
    </row>
    <row r="415" spans="4:11">
      <c r="D415" s="44">
        <v>46070</v>
      </c>
      <c r="E415" s="45">
        <v>1579145</v>
      </c>
      <c r="F415" s="45" t="s">
        <v>310</v>
      </c>
      <c r="G415" s="46">
        <v>20010212</v>
      </c>
      <c r="H415" s="45" t="s">
        <v>357</v>
      </c>
      <c r="I415" s="46">
        <v>1</v>
      </c>
      <c r="J415" s="47">
        <v>28</v>
      </c>
      <c r="K415" s="47">
        <v>28</v>
      </c>
    </row>
    <row r="416" spans="4:11">
      <c r="D416" s="44">
        <v>46072</v>
      </c>
      <c r="E416" s="45">
        <v>1579253</v>
      </c>
      <c r="F416" s="45" t="s">
        <v>235</v>
      </c>
      <c r="G416" s="46">
        <v>20012730</v>
      </c>
      <c r="H416" s="45" t="s">
        <v>336</v>
      </c>
      <c r="I416" s="46">
        <v>1</v>
      </c>
      <c r="J416" s="47">
        <v>118</v>
      </c>
      <c r="K416" s="47">
        <v>118</v>
      </c>
    </row>
    <row r="417" spans="4:11">
      <c r="D417" s="44">
        <v>46072</v>
      </c>
      <c r="E417" s="45">
        <v>1579253</v>
      </c>
      <c r="F417" s="45" t="s">
        <v>235</v>
      </c>
      <c r="G417" s="46">
        <v>20012732</v>
      </c>
      <c r="H417" s="45" t="s">
        <v>251</v>
      </c>
      <c r="I417" s="46">
        <v>1</v>
      </c>
      <c r="J417" s="47">
        <v>123.5</v>
      </c>
      <c r="K417" s="47">
        <v>123.5</v>
      </c>
    </row>
    <row r="418" spans="4:11">
      <c r="D418" s="44">
        <v>46072</v>
      </c>
      <c r="E418" s="45">
        <v>1579253</v>
      </c>
      <c r="F418" s="45" t="s">
        <v>53</v>
      </c>
      <c r="G418" s="46">
        <v>20012704</v>
      </c>
      <c r="H418" s="45" t="s">
        <v>238</v>
      </c>
      <c r="I418" s="46">
        <v>2</v>
      </c>
      <c r="J418" s="47">
        <v>16.5</v>
      </c>
      <c r="K418" s="47">
        <v>33</v>
      </c>
    </row>
    <row r="419" spans="4:11">
      <c r="D419" s="44">
        <v>46072</v>
      </c>
      <c r="E419" s="45">
        <v>1579253</v>
      </c>
      <c r="F419" s="45" t="s">
        <v>53</v>
      </c>
      <c r="G419" s="46">
        <v>20338021</v>
      </c>
      <c r="H419" s="45" t="s">
        <v>329</v>
      </c>
      <c r="I419" s="46">
        <v>1</v>
      </c>
      <c r="J419" s="47">
        <v>16.5</v>
      </c>
      <c r="K419" s="47">
        <v>16.5</v>
      </c>
    </row>
    <row r="420" spans="4:11">
      <c r="D420" s="44">
        <v>46072</v>
      </c>
      <c r="E420" s="45">
        <v>1579270</v>
      </c>
      <c r="F420" s="45" t="s">
        <v>77</v>
      </c>
      <c r="G420" s="46">
        <v>20012720</v>
      </c>
      <c r="H420" s="45" t="s">
        <v>341</v>
      </c>
      <c r="I420" s="46">
        <v>1</v>
      </c>
      <c r="J420" s="47">
        <v>28</v>
      </c>
      <c r="K420" s="47">
        <v>28</v>
      </c>
    </row>
    <row r="421" spans="4:11">
      <c r="D421" s="44">
        <v>46072</v>
      </c>
      <c r="E421" s="45">
        <v>1579270</v>
      </c>
      <c r="F421" s="45" t="s">
        <v>77</v>
      </c>
      <c r="G421" s="46">
        <v>20383809</v>
      </c>
      <c r="H421" s="45" t="s">
        <v>358</v>
      </c>
      <c r="I421" s="46">
        <v>1</v>
      </c>
      <c r="J421" s="47">
        <v>28</v>
      </c>
      <c r="K421" s="47">
        <v>28</v>
      </c>
    </row>
    <row r="422" spans="4:11">
      <c r="D422" s="44">
        <v>46072</v>
      </c>
      <c r="E422" s="45">
        <v>1579270</v>
      </c>
      <c r="F422" s="45" t="s">
        <v>77</v>
      </c>
      <c r="G422" s="46">
        <v>20010294</v>
      </c>
      <c r="H422" s="45" t="s">
        <v>356</v>
      </c>
      <c r="I422" s="46">
        <v>1</v>
      </c>
      <c r="J422" s="47">
        <v>44</v>
      </c>
      <c r="K422" s="47">
        <v>44</v>
      </c>
    </row>
    <row r="423" spans="4:11">
      <c r="D423" s="44">
        <v>46072</v>
      </c>
      <c r="E423" s="45">
        <v>1579270</v>
      </c>
      <c r="F423" s="45" t="s">
        <v>77</v>
      </c>
      <c r="G423" s="46">
        <v>20012717</v>
      </c>
      <c r="H423" s="45" t="s">
        <v>343</v>
      </c>
      <c r="I423" s="46">
        <v>1</v>
      </c>
      <c r="J423" s="47">
        <v>28</v>
      </c>
      <c r="K423" s="47">
        <v>28</v>
      </c>
    </row>
    <row r="424" spans="4:11">
      <c r="D424" s="44">
        <v>46072</v>
      </c>
      <c r="E424" s="45">
        <v>1579270</v>
      </c>
      <c r="F424" s="45" t="s">
        <v>77</v>
      </c>
      <c r="G424" s="46">
        <v>20012716</v>
      </c>
      <c r="H424" s="45" t="s">
        <v>345</v>
      </c>
      <c r="I424" s="46">
        <v>2</v>
      </c>
      <c r="J424" s="47">
        <v>28</v>
      </c>
      <c r="K424" s="47">
        <v>56</v>
      </c>
    </row>
    <row r="425" spans="4:11">
      <c r="D425" s="44">
        <v>46072</v>
      </c>
      <c r="E425" s="45">
        <v>1579270</v>
      </c>
      <c r="F425" s="45" t="s">
        <v>77</v>
      </c>
      <c r="G425" s="46">
        <v>20010808</v>
      </c>
      <c r="H425" s="45" t="s">
        <v>346</v>
      </c>
      <c r="I425" s="46">
        <v>1</v>
      </c>
      <c r="J425" s="47">
        <v>25</v>
      </c>
      <c r="K425" s="47">
        <v>25</v>
      </c>
    </row>
    <row r="426" ht="25.5" spans="4:11">
      <c r="D426" s="44">
        <v>46074</v>
      </c>
      <c r="E426" s="45">
        <v>1579374</v>
      </c>
      <c r="F426" s="45" t="s">
        <v>77</v>
      </c>
      <c r="G426" s="46">
        <v>20409659</v>
      </c>
      <c r="H426" s="45" t="s">
        <v>342</v>
      </c>
      <c r="I426" s="46">
        <v>1</v>
      </c>
      <c r="J426" s="47">
        <v>28</v>
      </c>
      <c r="K426" s="47">
        <v>28</v>
      </c>
    </row>
    <row r="427" spans="4:11">
      <c r="D427" s="44">
        <v>46074</v>
      </c>
      <c r="E427" s="45">
        <v>1579374</v>
      </c>
      <c r="F427" s="45" t="s">
        <v>77</v>
      </c>
      <c r="G427" s="46">
        <v>20012715</v>
      </c>
      <c r="H427" s="45" t="s">
        <v>355</v>
      </c>
      <c r="I427" s="46">
        <v>2</v>
      </c>
      <c r="J427" s="47">
        <v>28</v>
      </c>
      <c r="K427" s="47">
        <v>56</v>
      </c>
    </row>
    <row r="428" spans="4:11">
      <c r="D428" s="44">
        <v>46074</v>
      </c>
      <c r="E428" s="45">
        <v>1579374</v>
      </c>
      <c r="F428" s="45" t="s">
        <v>77</v>
      </c>
      <c r="G428" s="46">
        <v>20010294</v>
      </c>
      <c r="H428" s="45" t="s">
        <v>356</v>
      </c>
      <c r="I428" s="46">
        <v>1</v>
      </c>
      <c r="J428" s="47">
        <v>44</v>
      </c>
      <c r="K428" s="47">
        <v>44</v>
      </c>
    </row>
    <row r="429" spans="4:11">
      <c r="D429" s="44">
        <v>46074</v>
      </c>
      <c r="E429" s="45">
        <v>1579374</v>
      </c>
      <c r="F429" s="45" t="s">
        <v>77</v>
      </c>
      <c r="G429" s="46">
        <v>20012717</v>
      </c>
      <c r="H429" s="45" t="s">
        <v>343</v>
      </c>
      <c r="I429" s="46">
        <v>2</v>
      </c>
      <c r="J429" s="47">
        <v>28</v>
      </c>
      <c r="K429" s="47">
        <v>56</v>
      </c>
    </row>
    <row r="430" spans="4:11">
      <c r="D430" s="44">
        <v>46074</v>
      </c>
      <c r="E430" s="45">
        <v>1579374</v>
      </c>
      <c r="F430" s="45" t="s">
        <v>77</v>
      </c>
      <c r="G430" s="46">
        <v>20014162</v>
      </c>
      <c r="H430" s="45" t="s">
        <v>242</v>
      </c>
      <c r="I430" s="46">
        <v>1</v>
      </c>
      <c r="J430" s="47">
        <v>28</v>
      </c>
      <c r="K430" s="47">
        <v>28</v>
      </c>
    </row>
    <row r="431" spans="4:11">
      <c r="D431" s="44">
        <v>46074</v>
      </c>
      <c r="E431" s="45">
        <v>1579374</v>
      </c>
      <c r="F431" s="45" t="s">
        <v>77</v>
      </c>
      <c r="G431" s="46">
        <v>20012716</v>
      </c>
      <c r="H431" s="45" t="s">
        <v>345</v>
      </c>
      <c r="I431" s="46">
        <v>2</v>
      </c>
      <c r="J431" s="47">
        <v>28</v>
      </c>
      <c r="K431" s="47">
        <v>56</v>
      </c>
    </row>
    <row r="432" spans="4:11">
      <c r="D432" s="44">
        <v>46074</v>
      </c>
      <c r="E432" s="45">
        <v>1579374</v>
      </c>
      <c r="F432" s="45" t="s">
        <v>77</v>
      </c>
      <c r="G432" s="46">
        <v>20010808</v>
      </c>
      <c r="H432" s="45" t="s">
        <v>346</v>
      </c>
      <c r="I432" s="46">
        <v>1</v>
      </c>
      <c r="J432" s="47">
        <v>25</v>
      </c>
      <c r="K432" s="47">
        <v>25</v>
      </c>
    </row>
    <row r="433" ht="25.5" spans="4:11">
      <c r="D433" s="44">
        <v>46074</v>
      </c>
      <c r="E433" s="45">
        <v>1579374</v>
      </c>
      <c r="F433" s="45" t="s">
        <v>310</v>
      </c>
      <c r="G433" s="46">
        <v>20010686</v>
      </c>
      <c r="H433" s="45" t="s">
        <v>348</v>
      </c>
      <c r="I433" s="46">
        <v>1</v>
      </c>
      <c r="J433" s="47">
        <v>28</v>
      </c>
      <c r="K433" s="47">
        <v>28</v>
      </c>
    </row>
    <row r="434" spans="4:11">
      <c r="D434" s="44">
        <v>46074</v>
      </c>
      <c r="E434" s="45">
        <v>1579374</v>
      </c>
      <c r="F434" s="45" t="s">
        <v>310</v>
      </c>
      <c r="G434" s="46">
        <v>20010212</v>
      </c>
      <c r="H434" s="45" t="s">
        <v>357</v>
      </c>
      <c r="I434" s="46">
        <v>1</v>
      </c>
      <c r="J434" s="47">
        <v>28</v>
      </c>
      <c r="K434" s="47">
        <v>28</v>
      </c>
    </row>
    <row r="435" spans="4:11">
      <c r="D435" s="44">
        <v>46074</v>
      </c>
      <c r="E435" s="45">
        <v>1579399</v>
      </c>
      <c r="F435" s="45" t="s">
        <v>235</v>
      </c>
      <c r="G435" s="46">
        <v>20012730</v>
      </c>
      <c r="H435" s="45" t="s">
        <v>336</v>
      </c>
      <c r="I435" s="46">
        <v>2</v>
      </c>
      <c r="J435" s="47">
        <v>118</v>
      </c>
      <c r="K435" s="47">
        <v>236</v>
      </c>
    </row>
    <row r="436" spans="4:11">
      <c r="D436" s="44">
        <v>46074</v>
      </c>
      <c r="E436" s="45">
        <v>1579399</v>
      </c>
      <c r="F436" s="45" t="s">
        <v>47</v>
      </c>
      <c r="G436" s="46">
        <v>20012726</v>
      </c>
      <c r="H436" s="45" t="s">
        <v>244</v>
      </c>
      <c r="I436" s="46">
        <v>1</v>
      </c>
      <c r="J436" s="47">
        <v>63</v>
      </c>
      <c r="K436" s="47">
        <v>63</v>
      </c>
    </row>
    <row r="437" spans="4:11">
      <c r="D437" s="44">
        <v>46074</v>
      </c>
      <c r="E437" s="45">
        <v>1579399</v>
      </c>
      <c r="F437" s="45" t="s">
        <v>53</v>
      </c>
      <c r="G437" s="46">
        <v>20012704</v>
      </c>
      <c r="H437" s="45" t="s">
        <v>238</v>
      </c>
      <c r="I437" s="46">
        <v>3</v>
      </c>
      <c r="J437" s="47">
        <v>16.5</v>
      </c>
      <c r="K437" s="47">
        <v>49.5</v>
      </c>
    </row>
    <row r="438" spans="4:11">
      <c r="D438" s="44">
        <v>46074</v>
      </c>
      <c r="E438" s="45">
        <v>1579399</v>
      </c>
      <c r="F438" s="45" t="s">
        <v>53</v>
      </c>
      <c r="G438" s="46">
        <v>20012705</v>
      </c>
      <c r="H438" s="45" t="s">
        <v>241</v>
      </c>
      <c r="I438" s="46">
        <v>1</v>
      </c>
      <c r="J438" s="47">
        <v>16.5</v>
      </c>
      <c r="K438" s="47">
        <v>16.5</v>
      </c>
    </row>
    <row r="439" spans="4:11">
      <c r="D439" s="44">
        <v>46076</v>
      </c>
      <c r="E439" s="45">
        <v>1579540</v>
      </c>
      <c r="F439" s="45" t="s">
        <v>235</v>
      </c>
      <c r="G439" s="46">
        <v>20012730</v>
      </c>
      <c r="H439" s="45" t="s">
        <v>336</v>
      </c>
      <c r="I439" s="46">
        <v>2</v>
      </c>
      <c r="J439" s="47">
        <v>118</v>
      </c>
      <c r="K439" s="47">
        <v>236</v>
      </c>
    </row>
    <row r="440" spans="4:11">
      <c r="D440" s="44">
        <v>46076</v>
      </c>
      <c r="E440" s="45">
        <v>1579540</v>
      </c>
      <c r="F440" s="45" t="s">
        <v>235</v>
      </c>
      <c r="G440" s="46">
        <v>20010142</v>
      </c>
      <c r="H440" s="45" t="s">
        <v>362</v>
      </c>
      <c r="I440" s="46">
        <v>1</v>
      </c>
      <c r="J440" s="47">
        <v>250</v>
      </c>
      <c r="K440" s="47">
        <v>250</v>
      </c>
    </row>
    <row r="441" spans="4:11">
      <c r="D441" s="44">
        <v>46076</v>
      </c>
      <c r="E441" s="45">
        <v>1579540</v>
      </c>
      <c r="F441" s="45" t="s">
        <v>235</v>
      </c>
      <c r="G441" s="46">
        <v>20012732</v>
      </c>
      <c r="H441" s="45" t="s">
        <v>251</v>
      </c>
      <c r="I441" s="46">
        <v>1</v>
      </c>
      <c r="J441" s="47">
        <v>123.5</v>
      </c>
      <c r="K441" s="47">
        <v>123.5</v>
      </c>
    </row>
    <row r="442" spans="4:11">
      <c r="D442" s="44">
        <v>46076</v>
      </c>
      <c r="E442" s="45">
        <v>1579540</v>
      </c>
      <c r="F442" s="45" t="s">
        <v>47</v>
      </c>
      <c r="G442" s="46">
        <v>20318221</v>
      </c>
      <c r="H442" s="45" t="s">
        <v>364</v>
      </c>
      <c r="I442" s="46">
        <v>1</v>
      </c>
      <c r="J442" s="47">
        <v>93.5</v>
      </c>
      <c r="K442" s="47">
        <v>93.5</v>
      </c>
    </row>
    <row r="443" spans="4:11">
      <c r="D443" s="44">
        <v>46076</v>
      </c>
      <c r="E443" s="45">
        <v>1579540</v>
      </c>
      <c r="F443" s="45" t="s">
        <v>53</v>
      </c>
      <c r="G443" s="46">
        <v>20012704</v>
      </c>
      <c r="H443" s="45" t="s">
        <v>238</v>
      </c>
      <c r="I443" s="46">
        <v>6</v>
      </c>
      <c r="J443" s="47">
        <v>16.5</v>
      </c>
      <c r="K443" s="47">
        <v>99</v>
      </c>
    </row>
    <row r="444" spans="4:11">
      <c r="D444" s="44">
        <v>46076</v>
      </c>
      <c r="E444" s="45">
        <v>1579540</v>
      </c>
      <c r="F444" s="45" t="s">
        <v>53</v>
      </c>
      <c r="G444" s="46">
        <v>20338021</v>
      </c>
      <c r="H444" s="45" t="s">
        <v>329</v>
      </c>
      <c r="I444" s="46">
        <v>1</v>
      </c>
      <c r="J444" s="47">
        <v>16.5</v>
      </c>
      <c r="K444" s="47">
        <v>16.5</v>
      </c>
    </row>
    <row r="445" spans="4:11">
      <c r="D445" s="44">
        <v>46076</v>
      </c>
      <c r="E445" s="45">
        <v>1579540</v>
      </c>
      <c r="F445" s="45" t="s">
        <v>53</v>
      </c>
      <c r="G445" s="46">
        <v>20012709</v>
      </c>
      <c r="H445" s="45" t="s">
        <v>239</v>
      </c>
      <c r="I445" s="46">
        <v>3</v>
      </c>
      <c r="J445" s="47">
        <v>16.5</v>
      </c>
      <c r="K445" s="47">
        <v>49.5</v>
      </c>
    </row>
    <row r="446" spans="4:11">
      <c r="D446" s="44">
        <v>46076</v>
      </c>
      <c r="E446" s="45">
        <v>1579555</v>
      </c>
      <c r="F446" s="45" t="s">
        <v>77</v>
      </c>
      <c r="G446" s="46">
        <v>20012720</v>
      </c>
      <c r="H446" s="45" t="s">
        <v>341</v>
      </c>
      <c r="I446" s="46">
        <v>1</v>
      </c>
      <c r="J446" s="47">
        <v>28</v>
      </c>
      <c r="K446" s="47">
        <v>28</v>
      </c>
    </row>
    <row r="447" ht="25.5" spans="4:11">
      <c r="D447" s="44">
        <v>46076</v>
      </c>
      <c r="E447" s="45">
        <v>1579555</v>
      </c>
      <c r="F447" s="45" t="s">
        <v>77</v>
      </c>
      <c r="G447" s="46">
        <v>20409660</v>
      </c>
      <c r="H447" s="45" t="s">
        <v>394</v>
      </c>
      <c r="I447" s="46">
        <v>1</v>
      </c>
      <c r="J447" s="47">
        <v>28</v>
      </c>
      <c r="K447" s="47">
        <v>28</v>
      </c>
    </row>
    <row r="448" ht="25.5" spans="4:11">
      <c r="D448" s="44">
        <v>46076</v>
      </c>
      <c r="E448" s="45">
        <v>1579555</v>
      </c>
      <c r="F448" s="45" t="s">
        <v>77</v>
      </c>
      <c r="G448" s="46">
        <v>20409659</v>
      </c>
      <c r="H448" s="45" t="s">
        <v>342</v>
      </c>
      <c r="I448" s="46">
        <v>1</v>
      </c>
      <c r="J448" s="47">
        <v>28</v>
      </c>
      <c r="K448" s="47">
        <v>28</v>
      </c>
    </row>
    <row r="449" spans="4:11">
      <c r="D449" s="44">
        <v>46076</v>
      </c>
      <c r="E449" s="45">
        <v>1579555</v>
      </c>
      <c r="F449" s="45" t="s">
        <v>77</v>
      </c>
      <c r="G449" s="46">
        <v>20010294</v>
      </c>
      <c r="H449" s="45" t="s">
        <v>356</v>
      </c>
      <c r="I449" s="46">
        <v>2</v>
      </c>
      <c r="J449" s="47">
        <v>44</v>
      </c>
      <c r="K449" s="47">
        <v>88</v>
      </c>
    </row>
    <row r="450" spans="4:11">
      <c r="D450" s="44">
        <v>46076</v>
      </c>
      <c r="E450" s="45">
        <v>1579555</v>
      </c>
      <c r="F450" s="45" t="s">
        <v>77</v>
      </c>
      <c r="G450" s="46">
        <v>20012717</v>
      </c>
      <c r="H450" s="45" t="s">
        <v>343</v>
      </c>
      <c r="I450" s="46">
        <v>2</v>
      </c>
      <c r="J450" s="47">
        <v>28</v>
      </c>
      <c r="K450" s="47">
        <v>56</v>
      </c>
    </row>
    <row r="451" spans="4:11">
      <c r="D451" s="44">
        <v>46076</v>
      </c>
      <c r="E451" s="45">
        <v>1579555</v>
      </c>
      <c r="F451" s="45" t="s">
        <v>77</v>
      </c>
      <c r="G451" s="46">
        <v>20014176</v>
      </c>
      <c r="H451" s="45" t="s">
        <v>344</v>
      </c>
      <c r="I451" s="46">
        <v>2</v>
      </c>
      <c r="J451" s="47">
        <v>28</v>
      </c>
      <c r="K451" s="47">
        <v>56</v>
      </c>
    </row>
    <row r="452" spans="4:11">
      <c r="D452" s="44">
        <v>46076</v>
      </c>
      <c r="E452" s="45">
        <v>1579555</v>
      </c>
      <c r="F452" s="45" t="s">
        <v>77</v>
      </c>
      <c r="G452" s="46">
        <v>20014162</v>
      </c>
      <c r="H452" s="45" t="s">
        <v>242</v>
      </c>
      <c r="I452" s="46">
        <v>1</v>
      </c>
      <c r="J452" s="47">
        <v>28</v>
      </c>
      <c r="K452" s="47">
        <v>28</v>
      </c>
    </row>
    <row r="453" spans="4:11">
      <c r="D453" s="44">
        <v>46076</v>
      </c>
      <c r="E453" s="45">
        <v>1579555</v>
      </c>
      <c r="F453" s="45" t="s">
        <v>77</v>
      </c>
      <c r="G453" s="46">
        <v>20012716</v>
      </c>
      <c r="H453" s="45" t="s">
        <v>345</v>
      </c>
      <c r="I453" s="46">
        <v>2</v>
      </c>
      <c r="J453" s="47">
        <v>28</v>
      </c>
      <c r="K453" s="47">
        <v>56</v>
      </c>
    </row>
    <row r="454" spans="4:11">
      <c r="D454" s="44">
        <v>46076</v>
      </c>
      <c r="E454" s="45">
        <v>1579555</v>
      </c>
      <c r="F454" s="45" t="s">
        <v>77</v>
      </c>
      <c r="G454" s="46">
        <v>20010808</v>
      </c>
      <c r="H454" s="45" t="s">
        <v>346</v>
      </c>
      <c r="I454" s="46">
        <v>1</v>
      </c>
      <c r="J454" s="47">
        <v>25</v>
      </c>
      <c r="K454" s="47">
        <v>25</v>
      </c>
    </row>
    <row r="455" spans="4:11">
      <c r="D455" s="44">
        <v>46076</v>
      </c>
      <c r="E455" s="45">
        <v>1579555</v>
      </c>
      <c r="F455" s="45" t="s">
        <v>310</v>
      </c>
      <c r="G455" s="46">
        <v>20010212</v>
      </c>
      <c r="H455" s="45" t="s">
        <v>357</v>
      </c>
      <c r="I455" s="46">
        <v>1</v>
      </c>
      <c r="J455" s="47">
        <v>28</v>
      </c>
      <c r="K455" s="47">
        <v>28</v>
      </c>
    </row>
    <row r="456" spans="4:11">
      <c r="D456" s="44">
        <v>46077</v>
      </c>
      <c r="E456" s="45">
        <v>1579599</v>
      </c>
      <c r="F456" s="45" t="s">
        <v>235</v>
      </c>
      <c r="G456" s="46">
        <v>20012730</v>
      </c>
      <c r="H456" s="45" t="s">
        <v>336</v>
      </c>
      <c r="I456" s="46">
        <v>2</v>
      </c>
      <c r="J456" s="47">
        <v>118</v>
      </c>
      <c r="K456" s="47">
        <v>236</v>
      </c>
    </row>
    <row r="457" spans="4:11">
      <c r="D457" s="44">
        <v>46077</v>
      </c>
      <c r="E457" s="45">
        <v>1579599</v>
      </c>
      <c r="F457" s="45" t="s">
        <v>235</v>
      </c>
      <c r="G457" s="46">
        <v>20012731</v>
      </c>
      <c r="H457" s="45" t="s">
        <v>243</v>
      </c>
      <c r="I457" s="46">
        <v>1</v>
      </c>
      <c r="J457" s="47">
        <v>272</v>
      </c>
      <c r="K457" s="47">
        <v>272</v>
      </c>
    </row>
    <row r="458" spans="4:11">
      <c r="D458" s="44">
        <v>46077</v>
      </c>
      <c r="E458" s="45">
        <v>1579599</v>
      </c>
      <c r="F458" s="45" t="s">
        <v>235</v>
      </c>
      <c r="G458" s="46">
        <v>20009800</v>
      </c>
      <c r="H458" s="45" t="s">
        <v>249</v>
      </c>
      <c r="I458" s="46">
        <v>1</v>
      </c>
      <c r="J458" s="47">
        <v>217</v>
      </c>
      <c r="K458" s="47">
        <v>217</v>
      </c>
    </row>
    <row r="459" spans="4:11">
      <c r="D459" s="44">
        <v>46077</v>
      </c>
      <c r="E459" s="45">
        <v>1579599</v>
      </c>
      <c r="F459" s="45" t="s">
        <v>235</v>
      </c>
      <c r="G459" s="46">
        <v>20012732</v>
      </c>
      <c r="H459" s="45" t="s">
        <v>251</v>
      </c>
      <c r="I459" s="46">
        <v>2</v>
      </c>
      <c r="J459" s="47">
        <v>123.5</v>
      </c>
      <c r="K459" s="47">
        <v>247</v>
      </c>
    </row>
    <row r="460" spans="4:11">
      <c r="D460" s="44">
        <v>46077</v>
      </c>
      <c r="E460" s="45">
        <v>1579599</v>
      </c>
      <c r="F460" s="45" t="s">
        <v>53</v>
      </c>
      <c r="G460" s="46">
        <v>20012704</v>
      </c>
      <c r="H460" s="45" t="s">
        <v>238</v>
      </c>
      <c r="I460" s="46">
        <v>5</v>
      </c>
      <c r="J460" s="47">
        <v>16.5</v>
      </c>
      <c r="K460" s="47">
        <v>82.5</v>
      </c>
    </row>
    <row r="461" spans="4:11">
      <c r="D461" s="44">
        <v>46077</v>
      </c>
      <c r="E461" s="45">
        <v>1579599</v>
      </c>
      <c r="F461" s="45" t="s">
        <v>53</v>
      </c>
      <c r="G461" s="46">
        <v>20338021</v>
      </c>
      <c r="H461" s="45" t="s">
        <v>329</v>
      </c>
      <c r="I461" s="46">
        <v>2</v>
      </c>
      <c r="J461" s="47">
        <v>16.5</v>
      </c>
      <c r="K461" s="47">
        <v>33</v>
      </c>
    </row>
    <row r="462" spans="4:11">
      <c r="D462" s="44">
        <v>46077</v>
      </c>
      <c r="E462" s="45">
        <v>1579599</v>
      </c>
      <c r="F462" s="45" t="s">
        <v>53</v>
      </c>
      <c r="G462" s="46">
        <v>20012023</v>
      </c>
      <c r="H462" s="45" t="s">
        <v>372</v>
      </c>
      <c r="I462" s="46">
        <v>1</v>
      </c>
      <c r="J462" s="47">
        <v>16.5</v>
      </c>
      <c r="K462" s="47">
        <v>16.5</v>
      </c>
    </row>
    <row r="463" spans="4:11">
      <c r="D463" s="44">
        <v>46077</v>
      </c>
      <c r="E463" s="45">
        <v>1579599</v>
      </c>
      <c r="F463" s="45" t="s">
        <v>53</v>
      </c>
      <c r="G463" s="46">
        <v>20411010</v>
      </c>
      <c r="H463" s="45" t="s">
        <v>387</v>
      </c>
      <c r="I463" s="46">
        <v>1</v>
      </c>
      <c r="J463" s="47">
        <v>27.5</v>
      </c>
      <c r="K463" s="47">
        <v>27.5</v>
      </c>
    </row>
    <row r="464" spans="4:11">
      <c r="D464" s="44">
        <v>46077</v>
      </c>
      <c r="E464" s="45">
        <v>1579599</v>
      </c>
      <c r="F464" s="45" t="s">
        <v>53</v>
      </c>
      <c r="G464" s="46">
        <v>20010354</v>
      </c>
      <c r="H464" s="45" t="s">
        <v>285</v>
      </c>
      <c r="I464" s="46">
        <v>1</v>
      </c>
      <c r="J464" s="47">
        <v>16.5</v>
      </c>
      <c r="K464" s="47">
        <v>16.5</v>
      </c>
    </row>
    <row r="465" spans="4:11">
      <c r="D465" s="44">
        <v>46077</v>
      </c>
      <c r="E465" s="45">
        <v>1579599</v>
      </c>
      <c r="F465" s="45" t="s">
        <v>53</v>
      </c>
      <c r="G465" s="46">
        <v>20014718</v>
      </c>
      <c r="H465" s="45" t="s">
        <v>395</v>
      </c>
      <c r="I465" s="46">
        <v>1</v>
      </c>
      <c r="J465" s="47">
        <v>16.5</v>
      </c>
      <c r="K465" s="47">
        <v>16.5</v>
      </c>
    </row>
    <row r="466" spans="4:11">
      <c r="D466" s="44">
        <v>46077</v>
      </c>
      <c r="E466" s="45">
        <v>1579599</v>
      </c>
      <c r="F466" s="45" t="s">
        <v>53</v>
      </c>
      <c r="G466" s="46">
        <v>20010774</v>
      </c>
      <c r="H466" s="45" t="s">
        <v>240</v>
      </c>
      <c r="I466" s="46">
        <v>1</v>
      </c>
      <c r="J466" s="47">
        <v>16.5</v>
      </c>
      <c r="K466" s="47">
        <v>16.5</v>
      </c>
    </row>
    <row r="467" spans="4:11">
      <c r="D467" s="44">
        <v>46077</v>
      </c>
      <c r="E467" s="45">
        <v>1579599</v>
      </c>
      <c r="F467" s="45" t="s">
        <v>53</v>
      </c>
      <c r="G467" s="46">
        <v>20010617</v>
      </c>
      <c r="H467" s="45" t="s">
        <v>299</v>
      </c>
      <c r="I467" s="46">
        <v>1</v>
      </c>
      <c r="J467" s="47">
        <v>16.5</v>
      </c>
      <c r="K467" s="47">
        <v>16.5</v>
      </c>
    </row>
    <row r="468" spans="4:11">
      <c r="D468" s="44">
        <v>46077</v>
      </c>
      <c r="E468" s="45">
        <v>1579614</v>
      </c>
      <c r="F468" s="45" t="s">
        <v>77</v>
      </c>
      <c r="G468" s="46">
        <v>20012715</v>
      </c>
      <c r="H468" s="45" t="s">
        <v>355</v>
      </c>
      <c r="I468" s="46">
        <v>2</v>
      </c>
      <c r="J468" s="47">
        <v>28</v>
      </c>
      <c r="K468" s="47">
        <v>56</v>
      </c>
    </row>
    <row r="469" spans="4:11">
      <c r="D469" s="44">
        <v>46077</v>
      </c>
      <c r="E469" s="45">
        <v>1579614</v>
      </c>
      <c r="F469" s="45" t="s">
        <v>77</v>
      </c>
      <c r="G469" s="46">
        <v>20010294</v>
      </c>
      <c r="H469" s="45" t="s">
        <v>356</v>
      </c>
      <c r="I469" s="46">
        <v>2</v>
      </c>
      <c r="J469" s="47">
        <v>44</v>
      </c>
      <c r="K469" s="47">
        <v>88</v>
      </c>
    </row>
    <row r="470" spans="4:11">
      <c r="D470" s="44">
        <v>46077</v>
      </c>
      <c r="E470" s="45">
        <v>1579614</v>
      </c>
      <c r="F470" s="45" t="s">
        <v>77</v>
      </c>
      <c r="G470" s="46">
        <v>20012717</v>
      </c>
      <c r="H470" s="45" t="s">
        <v>343</v>
      </c>
      <c r="I470" s="46">
        <v>2</v>
      </c>
      <c r="J470" s="47">
        <v>28</v>
      </c>
      <c r="K470" s="47">
        <v>56</v>
      </c>
    </row>
    <row r="471" spans="4:11">
      <c r="D471" s="44">
        <v>46077</v>
      </c>
      <c r="E471" s="45">
        <v>1579614</v>
      </c>
      <c r="F471" s="45" t="s">
        <v>77</v>
      </c>
      <c r="G471" s="46">
        <v>20014167</v>
      </c>
      <c r="H471" s="45" t="s">
        <v>359</v>
      </c>
      <c r="I471" s="46">
        <v>1</v>
      </c>
      <c r="J471" s="47">
        <v>28</v>
      </c>
      <c r="K471" s="47">
        <v>28</v>
      </c>
    </row>
    <row r="472" spans="4:11">
      <c r="D472" s="44">
        <v>46077</v>
      </c>
      <c r="E472" s="45">
        <v>1579614</v>
      </c>
      <c r="F472" s="45" t="s">
        <v>77</v>
      </c>
      <c r="G472" s="46">
        <v>20014162</v>
      </c>
      <c r="H472" s="45" t="s">
        <v>242</v>
      </c>
      <c r="I472" s="46">
        <v>2</v>
      </c>
      <c r="J472" s="47">
        <v>28</v>
      </c>
      <c r="K472" s="47">
        <v>56</v>
      </c>
    </row>
    <row r="473" spans="4:11">
      <c r="D473" s="44">
        <v>46077</v>
      </c>
      <c r="E473" s="45">
        <v>1579614</v>
      </c>
      <c r="F473" s="45" t="s">
        <v>77</v>
      </c>
      <c r="G473" s="46">
        <v>20012716</v>
      </c>
      <c r="H473" s="45" t="s">
        <v>345</v>
      </c>
      <c r="I473" s="46">
        <v>2</v>
      </c>
      <c r="J473" s="47">
        <v>28</v>
      </c>
      <c r="K473" s="47">
        <v>56</v>
      </c>
    </row>
    <row r="474" spans="4:11">
      <c r="D474" s="44">
        <v>46077</v>
      </c>
      <c r="E474" s="45">
        <v>1579614</v>
      </c>
      <c r="F474" s="45" t="s">
        <v>77</v>
      </c>
      <c r="G474" s="46">
        <v>20010808</v>
      </c>
      <c r="H474" s="45" t="s">
        <v>346</v>
      </c>
      <c r="I474" s="46">
        <v>2</v>
      </c>
      <c r="J474" s="47">
        <v>25</v>
      </c>
      <c r="K474" s="47">
        <v>50</v>
      </c>
    </row>
    <row r="475" ht="25.5" spans="4:11">
      <c r="D475" s="44">
        <v>46077</v>
      </c>
      <c r="E475" s="45">
        <v>1579614</v>
      </c>
      <c r="F475" s="45" t="s">
        <v>310</v>
      </c>
      <c r="G475" s="46">
        <v>20010686</v>
      </c>
      <c r="H475" s="45" t="s">
        <v>348</v>
      </c>
      <c r="I475" s="46">
        <v>1</v>
      </c>
      <c r="J475" s="47">
        <v>28</v>
      </c>
      <c r="K475" s="47">
        <v>28</v>
      </c>
    </row>
    <row r="476" spans="4:11">
      <c r="D476" s="44">
        <v>46077</v>
      </c>
      <c r="E476" s="45">
        <v>1579614</v>
      </c>
      <c r="F476" s="45" t="s">
        <v>310</v>
      </c>
      <c r="G476" s="46">
        <v>20010212</v>
      </c>
      <c r="H476" s="45" t="s">
        <v>357</v>
      </c>
      <c r="I476" s="46">
        <v>1</v>
      </c>
      <c r="J476" s="47">
        <v>28</v>
      </c>
      <c r="K476" s="47">
        <v>28</v>
      </c>
    </row>
    <row r="477" spans="4:11">
      <c r="D477" s="44">
        <v>46077</v>
      </c>
      <c r="E477" s="45">
        <v>1579765</v>
      </c>
      <c r="F477" s="45" t="s">
        <v>235</v>
      </c>
      <c r="G477" s="46">
        <v>20012730</v>
      </c>
      <c r="H477" s="45" t="s">
        <v>336</v>
      </c>
      <c r="I477" s="46">
        <v>2</v>
      </c>
      <c r="J477" s="47">
        <v>118</v>
      </c>
      <c r="K477" s="47">
        <v>236</v>
      </c>
    </row>
    <row r="478" spans="4:11">
      <c r="D478" s="44">
        <v>46077</v>
      </c>
      <c r="E478" s="45">
        <v>1579765</v>
      </c>
      <c r="F478" s="45" t="s">
        <v>235</v>
      </c>
      <c r="G478" s="46">
        <v>20012729</v>
      </c>
      <c r="H478" s="45" t="s">
        <v>247</v>
      </c>
      <c r="I478" s="46">
        <v>1</v>
      </c>
      <c r="J478" s="47">
        <v>68.5</v>
      </c>
      <c r="K478" s="47">
        <v>68.5</v>
      </c>
    </row>
    <row r="479" spans="4:11">
      <c r="D479" s="44">
        <v>46077</v>
      </c>
      <c r="E479" s="45">
        <v>1579765</v>
      </c>
      <c r="F479" s="45" t="s">
        <v>49</v>
      </c>
      <c r="G479" s="46">
        <v>20013921</v>
      </c>
      <c r="H479" s="45" t="s">
        <v>320</v>
      </c>
      <c r="I479" s="46">
        <v>2</v>
      </c>
      <c r="J479" s="47">
        <v>8</v>
      </c>
      <c r="K479" s="47">
        <v>16</v>
      </c>
    </row>
    <row r="480" spans="4:11">
      <c r="D480" s="44">
        <v>46077</v>
      </c>
      <c r="E480" s="45">
        <v>1579765</v>
      </c>
      <c r="F480" s="45" t="s">
        <v>49</v>
      </c>
      <c r="G480" s="46">
        <v>20331249</v>
      </c>
      <c r="H480" s="45" t="s">
        <v>321</v>
      </c>
      <c r="I480" s="46">
        <v>1</v>
      </c>
      <c r="J480" s="47">
        <v>8</v>
      </c>
      <c r="K480" s="47">
        <v>8</v>
      </c>
    </row>
    <row r="481" spans="4:11">
      <c r="D481" s="44">
        <v>46077</v>
      </c>
      <c r="E481" s="45">
        <v>1579765</v>
      </c>
      <c r="F481" s="45" t="s">
        <v>49</v>
      </c>
      <c r="G481" s="46">
        <v>20359275</v>
      </c>
      <c r="H481" s="45" t="s">
        <v>396</v>
      </c>
      <c r="I481" s="46">
        <v>1</v>
      </c>
      <c r="J481" s="47">
        <v>16.5</v>
      </c>
      <c r="K481" s="47">
        <v>16.5</v>
      </c>
    </row>
    <row r="482" spans="4:11">
      <c r="D482" s="44">
        <v>46077</v>
      </c>
      <c r="E482" s="45">
        <v>1579765</v>
      </c>
      <c r="F482" s="45" t="s">
        <v>47</v>
      </c>
      <c r="G482" s="46">
        <v>20011536</v>
      </c>
      <c r="H482" s="45" t="s">
        <v>325</v>
      </c>
      <c r="I482" s="46">
        <v>1</v>
      </c>
      <c r="J482" s="47">
        <v>66</v>
      </c>
      <c r="K482" s="47">
        <v>66</v>
      </c>
    </row>
    <row r="483" spans="4:11">
      <c r="D483" s="44">
        <v>46077</v>
      </c>
      <c r="E483" s="45">
        <v>1579765</v>
      </c>
      <c r="F483" s="45" t="s">
        <v>47</v>
      </c>
      <c r="G483" s="46">
        <v>20328677</v>
      </c>
      <c r="H483" s="45" t="s">
        <v>327</v>
      </c>
      <c r="I483" s="46">
        <v>2</v>
      </c>
      <c r="J483" s="47">
        <v>27.5</v>
      </c>
      <c r="K483" s="47">
        <v>55</v>
      </c>
    </row>
    <row r="484" spans="4:11">
      <c r="D484" s="44">
        <v>46077</v>
      </c>
      <c r="E484" s="45">
        <v>1579765</v>
      </c>
      <c r="F484" s="45" t="s">
        <v>53</v>
      </c>
      <c r="G484" s="46">
        <v>20012704</v>
      </c>
      <c r="H484" s="45" t="s">
        <v>238</v>
      </c>
      <c r="I484" s="46">
        <v>7</v>
      </c>
      <c r="J484" s="47">
        <v>16.5</v>
      </c>
      <c r="K484" s="47">
        <v>115.5</v>
      </c>
    </row>
    <row r="485" spans="4:11">
      <c r="D485" s="44">
        <v>46077</v>
      </c>
      <c r="E485" s="45">
        <v>1579765</v>
      </c>
      <c r="F485" s="45" t="s">
        <v>53</v>
      </c>
      <c r="G485" s="46">
        <v>20333025</v>
      </c>
      <c r="H485" s="45" t="s">
        <v>290</v>
      </c>
      <c r="I485" s="46">
        <v>1</v>
      </c>
      <c r="J485" s="47">
        <v>66</v>
      </c>
      <c r="K485" s="47">
        <v>66</v>
      </c>
    </row>
    <row r="486" spans="4:11">
      <c r="D486" s="44">
        <v>46077</v>
      </c>
      <c r="E486" s="45">
        <v>1579765</v>
      </c>
      <c r="F486" s="45" t="s">
        <v>53</v>
      </c>
      <c r="G486" s="46">
        <v>20359973</v>
      </c>
      <c r="H486" s="45" t="s">
        <v>330</v>
      </c>
      <c r="I486" s="46">
        <v>1</v>
      </c>
      <c r="J486" s="47">
        <v>33</v>
      </c>
      <c r="K486" s="47">
        <v>33</v>
      </c>
    </row>
    <row r="487" spans="4:11">
      <c r="D487" s="44">
        <v>46077</v>
      </c>
      <c r="E487" s="45">
        <v>1579832</v>
      </c>
      <c r="F487" s="45" t="s">
        <v>47</v>
      </c>
      <c r="G487" s="46">
        <v>20012446</v>
      </c>
      <c r="H487" s="45" t="s">
        <v>326</v>
      </c>
      <c r="I487" s="46">
        <v>1</v>
      </c>
      <c r="J487" s="47">
        <v>60.5</v>
      </c>
      <c r="K487" s="47">
        <v>60.5</v>
      </c>
    </row>
    <row r="488" spans="4:11">
      <c r="D488" s="44">
        <v>46077</v>
      </c>
      <c r="E488" s="45">
        <v>1579832</v>
      </c>
      <c r="F488" s="45" t="s">
        <v>53</v>
      </c>
      <c r="G488" s="46">
        <v>20010443</v>
      </c>
      <c r="H488" s="45" t="s">
        <v>328</v>
      </c>
      <c r="I488" s="46">
        <v>1</v>
      </c>
      <c r="J488" s="47">
        <v>16.5</v>
      </c>
      <c r="K488" s="47">
        <v>16.5</v>
      </c>
    </row>
    <row r="489" ht="25.5" spans="4:11">
      <c r="D489" s="44">
        <v>46077</v>
      </c>
      <c r="E489" s="45">
        <v>1579837</v>
      </c>
      <c r="F489" s="45" t="s">
        <v>77</v>
      </c>
      <c r="G489" s="46">
        <v>20409659</v>
      </c>
      <c r="H489" s="45" t="s">
        <v>342</v>
      </c>
      <c r="I489" s="46">
        <v>1</v>
      </c>
      <c r="J489" s="47">
        <v>28</v>
      </c>
      <c r="K489" s="47">
        <v>28</v>
      </c>
    </row>
    <row r="490" spans="4:11">
      <c r="D490" s="44">
        <v>46077</v>
      </c>
      <c r="E490" s="45">
        <v>1579837</v>
      </c>
      <c r="F490" s="45" t="s">
        <v>77</v>
      </c>
      <c r="G490" s="46">
        <v>20012715</v>
      </c>
      <c r="H490" s="45" t="s">
        <v>355</v>
      </c>
      <c r="I490" s="46">
        <v>2</v>
      </c>
      <c r="J490" s="47">
        <v>28</v>
      </c>
      <c r="K490" s="47">
        <v>56</v>
      </c>
    </row>
    <row r="491" spans="4:11">
      <c r="D491" s="44">
        <v>46077</v>
      </c>
      <c r="E491" s="45">
        <v>1579837</v>
      </c>
      <c r="F491" s="45" t="s">
        <v>77</v>
      </c>
      <c r="G491" s="46">
        <v>20010294</v>
      </c>
      <c r="H491" s="45" t="s">
        <v>356</v>
      </c>
      <c r="I491" s="46">
        <v>1</v>
      </c>
      <c r="J491" s="47">
        <v>44</v>
      </c>
      <c r="K491" s="47">
        <v>44</v>
      </c>
    </row>
    <row r="492" spans="4:11">
      <c r="D492" s="44">
        <v>46077</v>
      </c>
      <c r="E492" s="45">
        <v>1579837</v>
      </c>
      <c r="F492" s="45" t="s">
        <v>77</v>
      </c>
      <c r="G492" s="46">
        <v>20012717</v>
      </c>
      <c r="H492" s="45" t="s">
        <v>343</v>
      </c>
      <c r="I492" s="46">
        <v>2</v>
      </c>
      <c r="J492" s="47">
        <v>28</v>
      </c>
      <c r="K492" s="47">
        <v>56</v>
      </c>
    </row>
    <row r="493" spans="4:11">
      <c r="D493" s="44">
        <v>46077</v>
      </c>
      <c r="E493" s="45">
        <v>1579837</v>
      </c>
      <c r="F493" s="45" t="s">
        <v>77</v>
      </c>
      <c r="G493" s="46">
        <v>20012718</v>
      </c>
      <c r="H493" s="45" t="s">
        <v>307</v>
      </c>
      <c r="I493" s="46">
        <v>1</v>
      </c>
      <c r="J493" s="47">
        <v>35</v>
      </c>
      <c r="K493" s="47">
        <v>35</v>
      </c>
    </row>
    <row r="494" spans="4:11">
      <c r="D494" s="44">
        <v>46077</v>
      </c>
      <c r="E494" s="45">
        <v>1579837</v>
      </c>
      <c r="F494" s="45" t="s">
        <v>77</v>
      </c>
      <c r="G494" s="46">
        <v>20012716</v>
      </c>
      <c r="H494" s="45" t="s">
        <v>345</v>
      </c>
      <c r="I494" s="46">
        <v>2</v>
      </c>
      <c r="J494" s="47">
        <v>28</v>
      </c>
      <c r="K494" s="47">
        <v>56</v>
      </c>
    </row>
    <row r="495" spans="4:11">
      <c r="D495" s="44">
        <v>46077</v>
      </c>
      <c r="E495" s="45">
        <v>1579837</v>
      </c>
      <c r="F495" s="45" t="s">
        <v>77</v>
      </c>
      <c r="G495" s="46">
        <v>20010808</v>
      </c>
      <c r="H495" s="45" t="s">
        <v>346</v>
      </c>
      <c r="I495" s="46">
        <v>1</v>
      </c>
      <c r="J495" s="47">
        <v>25</v>
      </c>
      <c r="K495" s="47">
        <v>25</v>
      </c>
    </row>
    <row r="496" spans="4:11">
      <c r="D496" s="44">
        <v>46077</v>
      </c>
      <c r="E496" s="45">
        <v>1579837</v>
      </c>
      <c r="F496" s="45" t="s">
        <v>310</v>
      </c>
      <c r="G496" s="46">
        <v>20012719</v>
      </c>
      <c r="H496" s="45" t="s">
        <v>333</v>
      </c>
      <c r="I496" s="46">
        <v>1</v>
      </c>
      <c r="J496" s="47">
        <v>66</v>
      </c>
      <c r="K496" s="47">
        <v>66</v>
      </c>
    </row>
    <row r="497" spans="4:11">
      <c r="D497" s="44">
        <v>46077</v>
      </c>
      <c r="E497" s="45">
        <v>1579837</v>
      </c>
      <c r="F497" s="45" t="s">
        <v>310</v>
      </c>
      <c r="G497" s="46">
        <v>20013174</v>
      </c>
      <c r="H497" s="45" t="s">
        <v>311</v>
      </c>
      <c r="I497" s="46">
        <v>1</v>
      </c>
      <c r="J497" s="47">
        <v>28</v>
      </c>
      <c r="K497" s="47">
        <v>28</v>
      </c>
    </row>
    <row r="498" spans="4:11">
      <c r="D498" s="44">
        <v>46077</v>
      </c>
      <c r="E498" s="45">
        <v>1579837</v>
      </c>
      <c r="F498" s="45" t="s">
        <v>310</v>
      </c>
      <c r="G498" s="46">
        <v>20013785</v>
      </c>
      <c r="H498" s="45" t="s">
        <v>312</v>
      </c>
      <c r="I498" s="46">
        <v>1</v>
      </c>
      <c r="J498" s="47">
        <v>88</v>
      </c>
      <c r="K498" s="47">
        <v>88</v>
      </c>
    </row>
    <row r="499" spans="4:11">
      <c r="D499" s="44">
        <v>46077</v>
      </c>
      <c r="E499" s="45">
        <v>1579837</v>
      </c>
      <c r="F499" s="45" t="s">
        <v>310</v>
      </c>
      <c r="G499" s="46">
        <v>20010212</v>
      </c>
      <c r="H499" s="45" t="s">
        <v>357</v>
      </c>
      <c r="I499" s="46">
        <v>2</v>
      </c>
      <c r="J499" s="47">
        <v>28</v>
      </c>
      <c r="K499" s="47">
        <v>56</v>
      </c>
    </row>
    <row r="500" spans="4:11">
      <c r="D500" s="44">
        <v>46078</v>
      </c>
      <c r="E500" s="45">
        <v>1579865</v>
      </c>
      <c r="F500" s="45" t="s">
        <v>77</v>
      </c>
      <c r="G500" s="46">
        <v>20012720</v>
      </c>
      <c r="H500" s="45" t="s">
        <v>341</v>
      </c>
      <c r="I500" s="46">
        <v>1</v>
      </c>
      <c r="J500" s="47">
        <v>28</v>
      </c>
      <c r="K500" s="47">
        <v>28</v>
      </c>
    </row>
    <row r="501" spans="4:11">
      <c r="D501" s="44">
        <v>46078</v>
      </c>
      <c r="E501" s="45">
        <v>1579865</v>
      </c>
      <c r="F501" s="45" t="s">
        <v>77</v>
      </c>
      <c r="G501" s="46">
        <v>20012715</v>
      </c>
      <c r="H501" s="45" t="s">
        <v>355</v>
      </c>
      <c r="I501" s="46">
        <v>1</v>
      </c>
      <c r="J501" s="47">
        <v>28</v>
      </c>
      <c r="K501" s="47">
        <v>28</v>
      </c>
    </row>
    <row r="502" spans="4:11">
      <c r="D502" s="44">
        <v>46078</v>
      </c>
      <c r="E502" s="45">
        <v>1579865</v>
      </c>
      <c r="F502" s="45" t="s">
        <v>77</v>
      </c>
      <c r="G502" s="46">
        <v>20010294</v>
      </c>
      <c r="H502" s="45" t="s">
        <v>356</v>
      </c>
      <c r="I502" s="46">
        <v>1</v>
      </c>
      <c r="J502" s="47">
        <v>44</v>
      </c>
      <c r="K502" s="47">
        <v>44</v>
      </c>
    </row>
    <row r="503" spans="4:11">
      <c r="D503" s="44">
        <v>46078</v>
      </c>
      <c r="E503" s="45">
        <v>1579865</v>
      </c>
      <c r="F503" s="45" t="s">
        <v>77</v>
      </c>
      <c r="G503" s="46">
        <v>20012717</v>
      </c>
      <c r="H503" s="45" t="s">
        <v>343</v>
      </c>
      <c r="I503" s="46">
        <v>1</v>
      </c>
      <c r="J503" s="47">
        <v>28</v>
      </c>
      <c r="K503" s="47">
        <v>28</v>
      </c>
    </row>
    <row r="504" spans="4:11">
      <c r="D504" s="44">
        <v>46078</v>
      </c>
      <c r="E504" s="45">
        <v>1579865</v>
      </c>
      <c r="F504" s="45" t="s">
        <v>77</v>
      </c>
      <c r="G504" s="46">
        <v>20014162</v>
      </c>
      <c r="H504" s="45" t="s">
        <v>242</v>
      </c>
      <c r="I504" s="46">
        <v>1</v>
      </c>
      <c r="J504" s="47">
        <v>28</v>
      </c>
      <c r="K504" s="47">
        <v>28</v>
      </c>
    </row>
    <row r="505" spans="4:11">
      <c r="D505" s="44">
        <v>46078</v>
      </c>
      <c r="E505" s="45">
        <v>1579865</v>
      </c>
      <c r="F505" s="45" t="s">
        <v>77</v>
      </c>
      <c r="G505" s="46">
        <v>20012716</v>
      </c>
      <c r="H505" s="45" t="s">
        <v>345</v>
      </c>
      <c r="I505" s="46">
        <v>1</v>
      </c>
      <c r="J505" s="47">
        <v>28</v>
      </c>
      <c r="K505" s="47">
        <v>28</v>
      </c>
    </row>
    <row r="506" spans="4:11">
      <c r="D506" s="44">
        <v>46078</v>
      </c>
      <c r="E506" s="45">
        <v>1579865</v>
      </c>
      <c r="F506" s="45" t="s">
        <v>77</v>
      </c>
      <c r="G506" s="46">
        <v>20010808</v>
      </c>
      <c r="H506" s="45" t="s">
        <v>346</v>
      </c>
      <c r="I506" s="46">
        <v>1</v>
      </c>
      <c r="J506" s="47">
        <v>25</v>
      </c>
      <c r="K506" s="47">
        <v>25</v>
      </c>
    </row>
    <row r="507" spans="4:11">
      <c r="D507" s="44">
        <v>46078</v>
      </c>
      <c r="E507" s="45">
        <v>1579867</v>
      </c>
      <c r="F507" s="45" t="s">
        <v>235</v>
      </c>
      <c r="G507" s="46">
        <v>20012730</v>
      </c>
      <c r="H507" s="45" t="s">
        <v>336</v>
      </c>
      <c r="I507" s="46">
        <v>1</v>
      </c>
      <c r="J507" s="47">
        <v>118</v>
      </c>
      <c r="K507" s="47">
        <v>118</v>
      </c>
    </row>
    <row r="508" spans="4:11">
      <c r="D508" s="44">
        <v>46078</v>
      </c>
      <c r="E508" s="45">
        <v>1579867</v>
      </c>
      <c r="F508" s="45" t="s">
        <v>235</v>
      </c>
      <c r="G508" s="46">
        <v>20012732</v>
      </c>
      <c r="H508" s="45" t="s">
        <v>251</v>
      </c>
      <c r="I508" s="46">
        <v>4</v>
      </c>
      <c r="J508" s="47">
        <v>123.5</v>
      </c>
      <c r="K508" s="47">
        <v>494</v>
      </c>
    </row>
    <row r="509" spans="4:11">
      <c r="D509" s="44">
        <v>46078</v>
      </c>
      <c r="E509" s="45">
        <v>1579867</v>
      </c>
      <c r="F509" s="45" t="s">
        <v>47</v>
      </c>
      <c r="G509" s="46">
        <v>20012726</v>
      </c>
      <c r="H509" s="45" t="s">
        <v>244</v>
      </c>
      <c r="I509" s="46">
        <v>1</v>
      </c>
      <c r="J509" s="47">
        <v>63</v>
      </c>
      <c r="K509" s="47">
        <v>63</v>
      </c>
    </row>
    <row r="510" spans="4:11">
      <c r="D510" s="44">
        <v>46078</v>
      </c>
      <c r="E510" s="45">
        <v>1579867</v>
      </c>
      <c r="F510" s="45" t="s">
        <v>53</v>
      </c>
      <c r="G510" s="46">
        <v>20012704</v>
      </c>
      <c r="H510" s="45" t="s">
        <v>238</v>
      </c>
      <c r="I510" s="46">
        <v>5</v>
      </c>
      <c r="J510" s="47">
        <v>16.5</v>
      </c>
      <c r="K510" s="47">
        <v>82.5</v>
      </c>
    </row>
    <row r="511" spans="4:11">
      <c r="D511" s="44">
        <v>46078</v>
      </c>
      <c r="E511" s="45">
        <v>1579867</v>
      </c>
      <c r="F511" s="45" t="s">
        <v>53</v>
      </c>
      <c r="G511" s="46">
        <v>20338021</v>
      </c>
      <c r="H511" s="45" t="s">
        <v>329</v>
      </c>
      <c r="I511" s="46">
        <v>2</v>
      </c>
      <c r="J511" s="47">
        <v>16.5</v>
      </c>
      <c r="K511" s="47">
        <v>33</v>
      </c>
    </row>
    <row r="512" spans="4:11">
      <c r="D512" s="44">
        <v>46078</v>
      </c>
      <c r="E512" s="45">
        <v>1579867</v>
      </c>
      <c r="F512" s="45" t="s">
        <v>53</v>
      </c>
      <c r="G512" s="46">
        <v>20012705</v>
      </c>
      <c r="H512" s="45" t="s">
        <v>241</v>
      </c>
      <c r="I512" s="46">
        <v>1</v>
      </c>
      <c r="J512" s="47">
        <v>16.5</v>
      </c>
      <c r="K512" s="47">
        <v>16.5</v>
      </c>
    </row>
    <row r="513" spans="4:11">
      <c r="D513" s="44">
        <v>46078</v>
      </c>
      <c r="E513" s="45">
        <v>1580123</v>
      </c>
      <c r="F513" s="45" t="s">
        <v>235</v>
      </c>
      <c r="G513" s="46">
        <v>20012730</v>
      </c>
      <c r="H513" s="45" t="s">
        <v>336</v>
      </c>
      <c r="I513" s="46">
        <v>1</v>
      </c>
      <c r="J513" s="47">
        <v>118</v>
      </c>
      <c r="K513" s="47">
        <v>118</v>
      </c>
    </row>
    <row r="514" spans="4:11">
      <c r="D514" s="44">
        <v>46078</v>
      </c>
      <c r="E514" s="45">
        <v>1580123</v>
      </c>
      <c r="F514" s="45" t="s">
        <v>235</v>
      </c>
      <c r="G514" s="46">
        <v>20010628</v>
      </c>
      <c r="H514" s="45" t="s">
        <v>397</v>
      </c>
      <c r="I514" s="46">
        <v>1</v>
      </c>
      <c r="J514" s="47">
        <v>52</v>
      </c>
      <c r="K514" s="47">
        <v>52</v>
      </c>
    </row>
    <row r="515" spans="4:11">
      <c r="D515" s="44">
        <v>46078</v>
      </c>
      <c r="E515" s="45">
        <v>1580123</v>
      </c>
      <c r="F515" s="45" t="s">
        <v>235</v>
      </c>
      <c r="G515" s="46">
        <v>20010546</v>
      </c>
      <c r="H515" s="45" t="s">
        <v>398</v>
      </c>
      <c r="I515" s="46">
        <v>1</v>
      </c>
      <c r="J515" s="47">
        <v>41</v>
      </c>
      <c r="K515" s="47">
        <v>41</v>
      </c>
    </row>
    <row r="516" spans="4:11">
      <c r="D516" s="44">
        <v>46078</v>
      </c>
      <c r="E516" s="45">
        <v>1580123</v>
      </c>
      <c r="F516" s="45" t="s">
        <v>235</v>
      </c>
      <c r="G516" s="46">
        <v>20012732</v>
      </c>
      <c r="H516" s="45" t="s">
        <v>251</v>
      </c>
      <c r="I516" s="46">
        <v>2</v>
      </c>
      <c r="J516" s="47">
        <v>123.5</v>
      </c>
      <c r="K516" s="47">
        <v>247</v>
      </c>
    </row>
    <row r="517" spans="4:11">
      <c r="D517" s="44">
        <v>46078</v>
      </c>
      <c r="E517" s="45">
        <v>1580123</v>
      </c>
      <c r="F517" s="45" t="s">
        <v>49</v>
      </c>
      <c r="G517" s="46">
        <v>20362400</v>
      </c>
      <c r="H517" s="45" t="s">
        <v>399</v>
      </c>
      <c r="I517" s="46">
        <v>1</v>
      </c>
      <c r="J517" s="47">
        <v>8</v>
      </c>
      <c r="K517" s="47">
        <v>8</v>
      </c>
    </row>
    <row r="518" spans="4:11">
      <c r="D518" s="44">
        <v>46078</v>
      </c>
      <c r="E518" s="45">
        <v>1580123</v>
      </c>
      <c r="F518" s="45" t="s">
        <v>49</v>
      </c>
      <c r="G518" s="46">
        <v>20015226</v>
      </c>
      <c r="H518" s="45" t="s">
        <v>98</v>
      </c>
      <c r="I518" s="46">
        <v>1</v>
      </c>
      <c r="J518" s="47">
        <v>8</v>
      </c>
      <c r="K518" s="47">
        <v>8</v>
      </c>
    </row>
    <row r="519" spans="4:11">
      <c r="D519" s="44">
        <v>46078</v>
      </c>
      <c r="E519" s="45">
        <v>1580123</v>
      </c>
      <c r="F519" s="45" t="s">
        <v>49</v>
      </c>
      <c r="G519" s="46">
        <v>20345725</v>
      </c>
      <c r="H519" s="45" t="s">
        <v>400</v>
      </c>
      <c r="I519" s="46">
        <v>7</v>
      </c>
      <c r="J519" s="47">
        <v>8</v>
      </c>
      <c r="K519" s="47">
        <v>56</v>
      </c>
    </row>
    <row r="520" spans="4:11">
      <c r="D520" s="44">
        <v>46078</v>
      </c>
      <c r="E520" s="45">
        <v>1580123</v>
      </c>
      <c r="F520" s="45" t="s">
        <v>49</v>
      </c>
      <c r="G520" s="46">
        <v>20310494</v>
      </c>
      <c r="H520" s="45" t="s">
        <v>401</v>
      </c>
      <c r="I520" s="46">
        <v>1</v>
      </c>
      <c r="J520" s="47">
        <v>8</v>
      </c>
      <c r="K520" s="47">
        <v>8</v>
      </c>
    </row>
    <row r="521" spans="4:11">
      <c r="D521" s="44">
        <v>46078</v>
      </c>
      <c r="E521" s="45">
        <v>1580123</v>
      </c>
      <c r="F521" s="45" t="s">
        <v>49</v>
      </c>
      <c r="G521" s="46">
        <v>20303808</v>
      </c>
      <c r="H521" s="45" t="s">
        <v>402</v>
      </c>
      <c r="I521" s="46">
        <v>6</v>
      </c>
      <c r="J521" s="47">
        <v>8</v>
      </c>
      <c r="K521" s="47">
        <v>48</v>
      </c>
    </row>
    <row r="522" spans="4:11">
      <c r="D522" s="44">
        <v>46078</v>
      </c>
      <c r="E522" s="45">
        <v>1580123</v>
      </c>
      <c r="F522" s="45" t="s">
        <v>49</v>
      </c>
      <c r="G522" s="46">
        <v>20011228</v>
      </c>
      <c r="H522" s="45" t="s">
        <v>403</v>
      </c>
      <c r="I522" s="46">
        <v>12</v>
      </c>
      <c r="J522" s="47">
        <v>8</v>
      </c>
      <c r="K522" s="47">
        <v>96</v>
      </c>
    </row>
    <row r="523" spans="4:11">
      <c r="D523" s="44">
        <v>46078</v>
      </c>
      <c r="E523" s="45">
        <v>1580123</v>
      </c>
      <c r="F523" s="45" t="s">
        <v>49</v>
      </c>
      <c r="G523" s="46">
        <v>20315903</v>
      </c>
      <c r="H523" s="45" t="s">
        <v>338</v>
      </c>
      <c r="I523" s="46">
        <v>2</v>
      </c>
      <c r="J523" s="47">
        <v>5.5</v>
      </c>
      <c r="K523" s="47">
        <v>11</v>
      </c>
    </row>
    <row r="524" spans="4:11">
      <c r="D524" s="44">
        <v>46078</v>
      </c>
      <c r="E524" s="45">
        <v>1580123</v>
      </c>
      <c r="F524" s="45" t="s">
        <v>47</v>
      </c>
      <c r="G524" s="46">
        <v>20318221</v>
      </c>
      <c r="H524" s="45" t="s">
        <v>364</v>
      </c>
      <c r="I524" s="46">
        <v>1</v>
      </c>
      <c r="J524" s="47">
        <v>93.5</v>
      </c>
      <c r="K524" s="47">
        <v>93.5</v>
      </c>
    </row>
    <row r="525" spans="4:11">
      <c r="D525" s="44">
        <v>46078</v>
      </c>
      <c r="E525" s="45">
        <v>1580123</v>
      </c>
      <c r="F525" s="45" t="s">
        <v>47</v>
      </c>
      <c r="G525" s="46">
        <v>20012726</v>
      </c>
      <c r="H525" s="45" t="s">
        <v>244</v>
      </c>
      <c r="I525" s="46">
        <v>6</v>
      </c>
      <c r="J525" s="47">
        <v>63</v>
      </c>
      <c r="K525" s="47">
        <v>378</v>
      </c>
    </row>
    <row r="526" spans="4:11">
      <c r="D526" s="44">
        <v>46078</v>
      </c>
      <c r="E526" s="45">
        <v>1580123</v>
      </c>
      <c r="F526" s="45" t="s">
        <v>47</v>
      </c>
      <c r="G526" s="46">
        <v>20009876</v>
      </c>
      <c r="H526" s="45" t="s">
        <v>404</v>
      </c>
      <c r="I526" s="46">
        <v>1</v>
      </c>
      <c r="J526" s="47">
        <v>99</v>
      </c>
      <c r="K526" s="47">
        <v>99</v>
      </c>
    </row>
    <row r="527" spans="4:11">
      <c r="D527" s="44">
        <v>46078</v>
      </c>
      <c r="E527" s="45">
        <v>1580123</v>
      </c>
      <c r="F527" s="45" t="s">
        <v>53</v>
      </c>
      <c r="G527" s="46">
        <v>20012704</v>
      </c>
      <c r="H527" s="45" t="s">
        <v>238</v>
      </c>
      <c r="I527" s="46">
        <v>11</v>
      </c>
      <c r="J527" s="47">
        <v>16.5</v>
      </c>
      <c r="K527" s="47">
        <v>181.5</v>
      </c>
    </row>
    <row r="528" spans="4:11">
      <c r="D528" s="44">
        <v>46078</v>
      </c>
      <c r="E528" s="45">
        <v>1580123</v>
      </c>
      <c r="F528" s="45" t="s">
        <v>53</v>
      </c>
      <c r="G528" s="46">
        <v>20338021</v>
      </c>
      <c r="H528" s="45" t="s">
        <v>329</v>
      </c>
      <c r="I528" s="46">
        <v>1</v>
      </c>
      <c r="J528" s="47">
        <v>16.5</v>
      </c>
      <c r="K528" s="47">
        <v>16.5</v>
      </c>
    </row>
    <row r="529" spans="4:11">
      <c r="D529" s="44">
        <v>46078</v>
      </c>
      <c r="E529" s="45">
        <v>1580123</v>
      </c>
      <c r="F529" s="45" t="s">
        <v>53</v>
      </c>
      <c r="G529" s="46">
        <v>20313726</v>
      </c>
      <c r="H529" s="45" t="s">
        <v>373</v>
      </c>
      <c r="I529" s="46">
        <v>1</v>
      </c>
      <c r="J529" s="47">
        <v>16.5</v>
      </c>
      <c r="K529" s="47">
        <v>16.5</v>
      </c>
    </row>
    <row r="530" spans="4:11">
      <c r="D530" s="44">
        <v>46078</v>
      </c>
      <c r="E530" s="45">
        <v>1580123</v>
      </c>
      <c r="F530" s="45" t="s">
        <v>53</v>
      </c>
      <c r="G530" s="46">
        <v>20012709</v>
      </c>
      <c r="H530" s="45" t="s">
        <v>239</v>
      </c>
      <c r="I530" s="46">
        <v>1</v>
      </c>
      <c r="J530" s="47">
        <v>16.5</v>
      </c>
      <c r="K530" s="47">
        <v>16.5</v>
      </c>
    </row>
    <row r="531" spans="4:11">
      <c r="D531" s="44">
        <v>46078</v>
      </c>
      <c r="E531" s="45">
        <v>1580123</v>
      </c>
      <c r="F531" s="45" t="s">
        <v>53</v>
      </c>
      <c r="G531" s="46">
        <v>20011464</v>
      </c>
      <c r="H531" s="45" t="s">
        <v>295</v>
      </c>
      <c r="I531" s="46">
        <v>1</v>
      </c>
      <c r="J531" s="47">
        <v>22</v>
      </c>
      <c r="K531" s="47">
        <v>22</v>
      </c>
    </row>
    <row r="532" spans="4:11">
      <c r="D532" s="44">
        <v>46078</v>
      </c>
      <c r="E532" s="45">
        <v>1580123</v>
      </c>
      <c r="F532" s="45" t="s">
        <v>53</v>
      </c>
      <c r="G532" s="46">
        <v>20395280</v>
      </c>
      <c r="H532" s="45" t="s">
        <v>405</v>
      </c>
      <c r="I532" s="46">
        <v>1</v>
      </c>
      <c r="J532" s="47">
        <v>16.5</v>
      </c>
      <c r="K532" s="47">
        <v>16.5</v>
      </c>
    </row>
    <row r="533" spans="4:11">
      <c r="D533" s="44">
        <v>46078</v>
      </c>
      <c r="E533" s="45">
        <v>1580126</v>
      </c>
      <c r="F533" s="45" t="s">
        <v>105</v>
      </c>
      <c r="G533" s="46">
        <v>20320877</v>
      </c>
      <c r="H533" s="45" t="s">
        <v>406</v>
      </c>
      <c r="I533" s="46">
        <v>1</v>
      </c>
      <c r="J533" s="47">
        <v>8</v>
      </c>
      <c r="K533" s="47">
        <v>8</v>
      </c>
    </row>
    <row r="534" ht="25.5" spans="4:11">
      <c r="D534" s="44">
        <v>46079</v>
      </c>
      <c r="E534" s="45">
        <v>1580168</v>
      </c>
      <c r="F534" s="45" t="s">
        <v>77</v>
      </c>
      <c r="G534" s="46">
        <v>20409660</v>
      </c>
      <c r="H534" s="45" t="s">
        <v>394</v>
      </c>
      <c r="I534" s="46">
        <v>1</v>
      </c>
      <c r="J534" s="47">
        <v>28</v>
      </c>
      <c r="K534" s="47">
        <v>28</v>
      </c>
    </row>
    <row r="535" spans="4:11">
      <c r="D535" s="44">
        <v>46079</v>
      </c>
      <c r="E535" s="45">
        <v>1580168</v>
      </c>
      <c r="F535" s="45" t="s">
        <v>77</v>
      </c>
      <c r="G535" s="46">
        <v>20329021</v>
      </c>
      <c r="H535" s="45" t="s">
        <v>407</v>
      </c>
      <c r="I535" s="46">
        <v>1</v>
      </c>
      <c r="J535" s="47">
        <v>22</v>
      </c>
      <c r="K535" s="47">
        <v>22</v>
      </c>
    </row>
    <row r="536" spans="4:11">
      <c r="D536" s="44">
        <v>46079</v>
      </c>
      <c r="E536" s="45">
        <v>1580168</v>
      </c>
      <c r="F536" s="45" t="s">
        <v>77</v>
      </c>
      <c r="G536" s="46">
        <v>20372469</v>
      </c>
      <c r="H536" s="45" t="s">
        <v>408</v>
      </c>
      <c r="I536" s="46">
        <v>3</v>
      </c>
      <c r="J536" s="47">
        <v>22</v>
      </c>
      <c r="K536" s="47">
        <v>66</v>
      </c>
    </row>
    <row r="537" spans="4:11">
      <c r="D537" s="44">
        <v>46079</v>
      </c>
      <c r="E537" s="45">
        <v>1580168</v>
      </c>
      <c r="F537" s="45" t="s">
        <v>77</v>
      </c>
      <c r="G537" s="46">
        <v>20010609</v>
      </c>
      <c r="H537" s="45" t="s">
        <v>409</v>
      </c>
      <c r="I537" s="46">
        <v>1</v>
      </c>
      <c r="J537" s="47">
        <v>35</v>
      </c>
      <c r="K537" s="47">
        <v>35</v>
      </c>
    </row>
    <row r="538" ht="25.5" spans="4:11">
      <c r="D538" s="44">
        <v>46079</v>
      </c>
      <c r="E538" s="45">
        <v>1580168</v>
      </c>
      <c r="F538" s="45" t="s">
        <v>77</v>
      </c>
      <c r="G538" s="46">
        <v>20395109</v>
      </c>
      <c r="H538" s="45" t="s">
        <v>410</v>
      </c>
      <c r="I538" s="46">
        <v>1</v>
      </c>
      <c r="J538" s="47">
        <v>28</v>
      </c>
      <c r="K538" s="47">
        <v>28</v>
      </c>
    </row>
    <row r="539" spans="4:11">
      <c r="D539" s="44">
        <v>46079</v>
      </c>
      <c r="E539" s="45">
        <v>1580168</v>
      </c>
      <c r="F539" s="45" t="s">
        <v>77</v>
      </c>
      <c r="G539" s="46">
        <v>20009952</v>
      </c>
      <c r="H539" s="45" t="s">
        <v>411</v>
      </c>
      <c r="I539" s="46">
        <v>1</v>
      </c>
      <c r="J539" s="47">
        <v>25</v>
      </c>
      <c r="K539" s="47">
        <v>25</v>
      </c>
    </row>
    <row r="540" spans="4:11">
      <c r="D540" s="44">
        <v>46079</v>
      </c>
      <c r="E540" s="45">
        <v>1580168</v>
      </c>
      <c r="F540" s="45" t="s">
        <v>77</v>
      </c>
      <c r="G540" s="46">
        <v>20012715</v>
      </c>
      <c r="H540" s="45" t="s">
        <v>355</v>
      </c>
      <c r="I540" s="46">
        <v>1</v>
      </c>
      <c r="J540" s="47">
        <v>28</v>
      </c>
      <c r="K540" s="47">
        <v>28</v>
      </c>
    </row>
    <row r="541" spans="4:11">
      <c r="D541" s="44">
        <v>46079</v>
      </c>
      <c r="E541" s="45">
        <v>1580168</v>
      </c>
      <c r="F541" s="45" t="s">
        <v>77</v>
      </c>
      <c r="G541" s="46">
        <v>20010294</v>
      </c>
      <c r="H541" s="45" t="s">
        <v>356</v>
      </c>
      <c r="I541" s="46">
        <v>1</v>
      </c>
      <c r="J541" s="47">
        <v>44</v>
      </c>
      <c r="K541" s="47">
        <v>44</v>
      </c>
    </row>
    <row r="542" spans="4:11">
      <c r="D542" s="44">
        <v>46079</v>
      </c>
      <c r="E542" s="45">
        <v>1580168</v>
      </c>
      <c r="F542" s="45" t="s">
        <v>77</v>
      </c>
      <c r="G542" s="46">
        <v>20012717</v>
      </c>
      <c r="H542" s="45" t="s">
        <v>343</v>
      </c>
      <c r="I542" s="46">
        <v>1</v>
      </c>
      <c r="J542" s="47">
        <v>28</v>
      </c>
      <c r="K542" s="47">
        <v>28</v>
      </c>
    </row>
    <row r="543" spans="4:11">
      <c r="D543" s="44">
        <v>46079</v>
      </c>
      <c r="E543" s="45">
        <v>1580168</v>
      </c>
      <c r="F543" s="45" t="s">
        <v>77</v>
      </c>
      <c r="G543" s="46">
        <v>20012716</v>
      </c>
      <c r="H543" s="45" t="s">
        <v>345</v>
      </c>
      <c r="I543" s="46">
        <v>1</v>
      </c>
      <c r="J543" s="47">
        <v>28</v>
      </c>
      <c r="K543" s="47">
        <v>28</v>
      </c>
    </row>
    <row r="544" spans="4:11">
      <c r="D544" s="44">
        <v>46079</v>
      </c>
      <c r="E544" s="45">
        <v>1580168</v>
      </c>
      <c r="F544" s="45" t="s">
        <v>77</v>
      </c>
      <c r="G544" s="46">
        <v>20010808</v>
      </c>
      <c r="H544" s="45" t="s">
        <v>346</v>
      </c>
      <c r="I544" s="46">
        <v>1</v>
      </c>
      <c r="J544" s="47">
        <v>25</v>
      </c>
      <c r="K544" s="47">
        <v>25</v>
      </c>
    </row>
    <row r="545" ht="25.5" spans="4:11">
      <c r="D545" s="44">
        <v>46079</v>
      </c>
      <c r="E545" s="45">
        <v>1580168</v>
      </c>
      <c r="F545" s="45" t="s">
        <v>310</v>
      </c>
      <c r="G545" s="46">
        <v>20010686</v>
      </c>
      <c r="H545" s="45" t="s">
        <v>348</v>
      </c>
      <c r="I545" s="46">
        <v>1</v>
      </c>
      <c r="J545" s="47">
        <v>28</v>
      </c>
      <c r="K545" s="47">
        <v>28</v>
      </c>
    </row>
    <row r="546" spans="4:11">
      <c r="D546" s="44">
        <v>46079</v>
      </c>
      <c r="E546" s="45">
        <v>1580215</v>
      </c>
      <c r="F546" s="45" t="s">
        <v>313</v>
      </c>
      <c r="G546" s="46">
        <v>20358347</v>
      </c>
      <c r="H546" s="45" t="s">
        <v>412</v>
      </c>
      <c r="I546" s="46">
        <v>1</v>
      </c>
      <c r="J546" s="47">
        <v>35</v>
      </c>
      <c r="K546" s="47">
        <v>35</v>
      </c>
    </row>
    <row r="547" spans="4:11">
      <c r="D547" s="44">
        <v>46079</v>
      </c>
      <c r="E547" s="45">
        <v>1580215</v>
      </c>
      <c r="F547" s="45" t="s">
        <v>313</v>
      </c>
      <c r="G547" s="46">
        <v>20330140</v>
      </c>
      <c r="H547" s="45" t="s">
        <v>413</v>
      </c>
      <c r="I547" s="46">
        <v>1</v>
      </c>
      <c r="J547" s="47">
        <v>300</v>
      </c>
      <c r="K547" s="47">
        <v>300</v>
      </c>
    </row>
    <row r="548" spans="4:11">
      <c r="D548" s="44">
        <v>46079</v>
      </c>
      <c r="E548" s="45">
        <v>1580215</v>
      </c>
      <c r="F548" s="45" t="s">
        <v>313</v>
      </c>
      <c r="G548" s="46">
        <v>20413528</v>
      </c>
      <c r="H548" s="45" t="s">
        <v>414</v>
      </c>
      <c r="I548" s="46">
        <v>1</v>
      </c>
      <c r="J548" s="47">
        <v>28</v>
      </c>
      <c r="K548" s="47">
        <v>28</v>
      </c>
    </row>
    <row r="549" spans="4:11">
      <c r="D549" s="44">
        <v>46079</v>
      </c>
      <c r="E549" s="45">
        <v>1580215</v>
      </c>
      <c r="F549" s="45" t="s">
        <v>313</v>
      </c>
      <c r="G549" s="46">
        <v>20010846</v>
      </c>
      <c r="H549" s="45" t="s">
        <v>415</v>
      </c>
      <c r="I549" s="46">
        <v>2</v>
      </c>
      <c r="J549" s="47">
        <v>25</v>
      </c>
      <c r="K549" s="47">
        <v>50</v>
      </c>
    </row>
    <row r="550" spans="4:11">
      <c r="D550" s="44">
        <v>46079</v>
      </c>
      <c r="E550" s="45">
        <v>1580432</v>
      </c>
      <c r="F550" s="45" t="s">
        <v>235</v>
      </c>
      <c r="G550" s="46">
        <v>20012730</v>
      </c>
      <c r="H550" s="45" t="s">
        <v>336</v>
      </c>
      <c r="I550" s="46">
        <v>2</v>
      </c>
      <c r="J550" s="47">
        <v>118</v>
      </c>
      <c r="K550" s="47">
        <v>236</v>
      </c>
    </row>
    <row r="551" spans="4:11">
      <c r="D551" s="44">
        <v>46079</v>
      </c>
      <c r="E551" s="45">
        <v>1580432</v>
      </c>
      <c r="F551" s="45" t="s">
        <v>235</v>
      </c>
      <c r="G551" s="46">
        <v>20012729</v>
      </c>
      <c r="H551" s="45" t="s">
        <v>247</v>
      </c>
      <c r="I551" s="46">
        <v>1</v>
      </c>
      <c r="J551" s="47">
        <v>68.5</v>
      </c>
      <c r="K551" s="47">
        <v>68.5</v>
      </c>
    </row>
    <row r="552" spans="4:11">
      <c r="D552" s="44">
        <v>46079</v>
      </c>
      <c r="E552" s="45">
        <v>1580432</v>
      </c>
      <c r="F552" s="45" t="s">
        <v>235</v>
      </c>
      <c r="G552" s="46">
        <v>20009800</v>
      </c>
      <c r="H552" s="45" t="s">
        <v>249</v>
      </c>
      <c r="I552" s="46">
        <v>1</v>
      </c>
      <c r="J552" s="47">
        <v>217</v>
      </c>
      <c r="K552" s="47">
        <v>217</v>
      </c>
    </row>
    <row r="553" spans="4:11">
      <c r="D553" s="44">
        <v>46079</v>
      </c>
      <c r="E553" s="45">
        <v>1580432</v>
      </c>
      <c r="F553" s="45" t="s">
        <v>49</v>
      </c>
      <c r="G553" s="46">
        <v>20330138</v>
      </c>
      <c r="H553" s="45" t="s">
        <v>416</v>
      </c>
      <c r="I553" s="46">
        <v>1</v>
      </c>
      <c r="J553" s="47">
        <v>8</v>
      </c>
      <c r="K553" s="47">
        <v>8</v>
      </c>
    </row>
    <row r="554" spans="4:11">
      <c r="D554" s="44">
        <v>46079</v>
      </c>
      <c r="E554" s="45">
        <v>1580432</v>
      </c>
      <c r="F554" s="45" t="s">
        <v>49</v>
      </c>
      <c r="G554" s="46">
        <v>20331249</v>
      </c>
      <c r="H554" s="45" t="s">
        <v>321</v>
      </c>
      <c r="I554" s="46">
        <v>2</v>
      </c>
      <c r="J554" s="47">
        <v>8</v>
      </c>
      <c r="K554" s="47">
        <v>16</v>
      </c>
    </row>
    <row r="555" spans="4:11">
      <c r="D555" s="44">
        <v>46079</v>
      </c>
      <c r="E555" s="45">
        <v>1580432</v>
      </c>
      <c r="F555" s="45" t="s">
        <v>47</v>
      </c>
      <c r="G555" s="46">
        <v>20011536</v>
      </c>
      <c r="H555" s="45" t="s">
        <v>325</v>
      </c>
      <c r="I555" s="46">
        <v>2</v>
      </c>
      <c r="J555" s="47">
        <v>66</v>
      </c>
      <c r="K555" s="47">
        <v>132</v>
      </c>
    </row>
    <row r="556" spans="4:11">
      <c r="D556" s="44">
        <v>46079</v>
      </c>
      <c r="E556" s="45">
        <v>1580432</v>
      </c>
      <c r="F556" s="45" t="s">
        <v>47</v>
      </c>
      <c r="G556" s="46">
        <v>20318221</v>
      </c>
      <c r="H556" s="45" t="s">
        <v>364</v>
      </c>
      <c r="I556" s="46">
        <v>1</v>
      </c>
      <c r="J556" s="47">
        <v>93.5</v>
      </c>
      <c r="K556" s="47">
        <v>93.5</v>
      </c>
    </row>
    <row r="557" spans="4:11">
      <c r="D557" s="44">
        <v>46079</v>
      </c>
      <c r="E557" s="45">
        <v>1580432</v>
      </c>
      <c r="F557" s="45" t="s">
        <v>47</v>
      </c>
      <c r="G557" s="46">
        <v>20012726</v>
      </c>
      <c r="H557" s="45" t="s">
        <v>244</v>
      </c>
      <c r="I557" s="46">
        <v>1</v>
      </c>
      <c r="J557" s="47">
        <v>63</v>
      </c>
      <c r="K557" s="47">
        <v>63</v>
      </c>
    </row>
    <row r="558" spans="4:11">
      <c r="D558" s="44">
        <v>46079</v>
      </c>
      <c r="E558" s="45">
        <v>1580432</v>
      </c>
      <c r="F558" s="45" t="s">
        <v>47</v>
      </c>
      <c r="G558" s="46">
        <v>20328677</v>
      </c>
      <c r="H558" s="45" t="s">
        <v>327</v>
      </c>
      <c r="I558" s="46">
        <v>1</v>
      </c>
      <c r="J558" s="47">
        <v>27.5</v>
      </c>
      <c r="K558" s="47">
        <v>27.5</v>
      </c>
    </row>
    <row r="559" spans="4:11">
      <c r="D559" s="44">
        <v>46079</v>
      </c>
      <c r="E559" s="45">
        <v>1580432</v>
      </c>
      <c r="F559" s="45" t="s">
        <v>53</v>
      </c>
      <c r="G559" s="46">
        <v>20012704</v>
      </c>
      <c r="H559" s="45" t="s">
        <v>238</v>
      </c>
      <c r="I559" s="46">
        <v>3</v>
      </c>
      <c r="J559" s="47">
        <v>16.5</v>
      </c>
      <c r="K559" s="47">
        <v>49.5</v>
      </c>
    </row>
    <row r="560" spans="4:11">
      <c r="D560" s="44">
        <v>46079</v>
      </c>
      <c r="E560" s="45">
        <v>1580432</v>
      </c>
      <c r="F560" s="45" t="s">
        <v>53</v>
      </c>
      <c r="G560" s="46">
        <v>20012709</v>
      </c>
      <c r="H560" s="45" t="s">
        <v>239</v>
      </c>
      <c r="I560" s="46">
        <v>1</v>
      </c>
      <c r="J560" s="47">
        <v>16.5</v>
      </c>
      <c r="K560" s="47">
        <v>16.5</v>
      </c>
    </row>
    <row r="561" spans="4:11">
      <c r="D561" s="44">
        <v>46079</v>
      </c>
      <c r="E561" s="45">
        <v>1580432</v>
      </c>
      <c r="F561" s="45" t="s">
        <v>53</v>
      </c>
      <c r="G561" s="46">
        <v>20359973</v>
      </c>
      <c r="H561" s="45" t="s">
        <v>330</v>
      </c>
      <c r="I561" s="46">
        <v>2</v>
      </c>
      <c r="J561" s="47">
        <v>33</v>
      </c>
      <c r="K561" s="47">
        <v>66</v>
      </c>
    </row>
    <row r="562" spans="4:11">
      <c r="D562" s="44">
        <v>46079</v>
      </c>
      <c r="E562" s="45">
        <v>1580459</v>
      </c>
      <c r="F562" s="45" t="s">
        <v>53</v>
      </c>
      <c r="G562" s="46">
        <v>20012704</v>
      </c>
      <c r="H562" s="45" t="s">
        <v>238</v>
      </c>
      <c r="I562" s="46">
        <v>6</v>
      </c>
      <c r="J562" s="47">
        <v>16.5</v>
      </c>
      <c r="K562" s="47">
        <v>99</v>
      </c>
    </row>
    <row r="563" spans="4:11">
      <c r="D563" s="44">
        <v>46079</v>
      </c>
      <c r="E563" s="45">
        <v>1580459</v>
      </c>
      <c r="F563" s="45" t="s">
        <v>53</v>
      </c>
      <c r="G563" s="46">
        <v>20313726</v>
      </c>
      <c r="H563" s="45" t="s">
        <v>373</v>
      </c>
      <c r="I563" s="46">
        <v>1</v>
      </c>
      <c r="J563" s="47">
        <v>16.5</v>
      </c>
      <c r="K563" s="47">
        <v>16.5</v>
      </c>
    </row>
    <row r="564" spans="4:11">
      <c r="D564" s="44">
        <v>46079</v>
      </c>
      <c r="E564" s="45">
        <v>1580459</v>
      </c>
      <c r="F564" s="45" t="s">
        <v>53</v>
      </c>
      <c r="G564" s="46">
        <v>20333025</v>
      </c>
      <c r="H564" s="45" t="s">
        <v>290</v>
      </c>
      <c r="I564" s="46">
        <v>1</v>
      </c>
      <c r="J564" s="47">
        <v>66</v>
      </c>
      <c r="K564" s="47">
        <v>66</v>
      </c>
    </row>
    <row r="565" spans="4:11">
      <c r="D565" s="44">
        <v>46079</v>
      </c>
      <c r="E565" s="45">
        <v>1580459</v>
      </c>
      <c r="F565" s="45" t="s">
        <v>53</v>
      </c>
      <c r="G565" s="46">
        <v>20010617</v>
      </c>
      <c r="H565" s="45" t="s">
        <v>299</v>
      </c>
      <c r="I565" s="46">
        <v>1</v>
      </c>
      <c r="J565" s="47">
        <v>16.5</v>
      </c>
      <c r="K565" s="47">
        <v>16.5</v>
      </c>
    </row>
    <row r="566" spans="4:11">
      <c r="D566" s="44">
        <v>46079</v>
      </c>
      <c r="E566" s="45">
        <v>1580499</v>
      </c>
      <c r="F566" s="45" t="s">
        <v>235</v>
      </c>
      <c r="G566" s="46">
        <v>20012730</v>
      </c>
      <c r="H566" s="45" t="s">
        <v>336</v>
      </c>
      <c r="I566" s="46">
        <v>3</v>
      </c>
      <c r="J566" s="47">
        <v>118</v>
      </c>
      <c r="K566" s="47">
        <v>354</v>
      </c>
    </row>
    <row r="567" spans="4:11">
      <c r="D567" s="44">
        <v>46079</v>
      </c>
      <c r="E567" s="45">
        <v>1580499</v>
      </c>
      <c r="F567" s="45" t="s">
        <v>235</v>
      </c>
      <c r="G567" s="46">
        <v>20012731</v>
      </c>
      <c r="H567" s="45" t="s">
        <v>243</v>
      </c>
      <c r="I567" s="46">
        <v>2</v>
      </c>
      <c r="J567" s="47">
        <v>272</v>
      </c>
      <c r="K567" s="47">
        <v>544</v>
      </c>
    </row>
    <row r="568" spans="4:11">
      <c r="D568" s="44">
        <v>46079</v>
      </c>
      <c r="E568" s="45">
        <v>1580499</v>
      </c>
      <c r="F568" s="45" t="s">
        <v>235</v>
      </c>
      <c r="G568" s="46">
        <v>20012732</v>
      </c>
      <c r="H568" s="45" t="s">
        <v>251</v>
      </c>
      <c r="I568" s="46">
        <v>1</v>
      </c>
      <c r="J568" s="47">
        <v>123.5</v>
      </c>
      <c r="K568" s="47">
        <v>123.5</v>
      </c>
    </row>
    <row r="569" spans="4:11">
      <c r="D569" s="44">
        <v>46079</v>
      </c>
      <c r="E569" s="45">
        <v>1580499</v>
      </c>
      <c r="F569" s="45" t="s">
        <v>49</v>
      </c>
      <c r="G569" s="46">
        <v>20359275</v>
      </c>
      <c r="H569" s="45" t="s">
        <v>396</v>
      </c>
      <c r="I569" s="46">
        <v>1</v>
      </c>
      <c r="J569" s="47">
        <v>16.5</v>
      </c>
      <c r="K569" s="47">
        <v>16.5</v>
      </c>
    </row>
    <row r="570" spans="4:11">
      <c r="D570" s="44">
        <v>46079</v>
      </c>
      <c r="E570" s="45">
        <v>1580499</v>
      </c>
      <c r="F570" s="45" t="s">
        <v>47</v>
      </c>
      <c r="G570" s="46">
        <v>20012726</v>
      </c>
      <c r="H570" s="45" t="s">
        <v>244</v>
      </c>
      <c r="I570" s="46">
        <v>1</v>
      </c>
      <c r="J570" s="47">
        <v>63</v>
      </c>
      <c r="K570" s="47">
        <v>63</v>
      </c>
    </row>
    <row r="571" spans="4:11">
      <c r="D571" s="44">
        <v>46079</v>
      </c>
      <c r="E571" s="45">
        <v>1580499</v>
      </c>
      <c r="F571" s="45" t="s">
        <v>47</v>
      </c>
      <c r="G571" s="46">
        <v>20012446</v>
      </c>
      <c r="H571" s="45" t="s">
        <v>326</v>
      </c>
      <c r="I571" s="46">
        <v>2</v>
      </c>
      <c r="J571" s="47">
        <v>60.5</v>
      </c>
      <c r="K571" s="47">
        <v>121</v>
      </c>
    </row>
    <row r="572" spans="4:11">
      <c r="D572" s="44">
        <v>46079</v>
      </c>
      <c r="E572" s="45">
        <v>1580499</v>
      </c>
      <c r="F572" s="45" t="s">
        <v>53</v>
      </c>
      <c r="G572" s="46">
        <v>20413720</v>
      </c>
      <c r="H572" s="45" t="s">
        <v>417</v>
      </c>
      <c r="I572" s="46">
        <v>1</v>
      </c>
      <c r="J572" s="47">
        <v>49.5</v>
      </c>
      <c r="K572" s="47">
        <v>49.5</v>
      </c>
    </row>
    <row r="573" spans="4:11">
      <c r="D573" s="44">
        <v>46079</v>
      </c>
      <c r="E573" s="45">
        <v>1580500</v>
      </c>
      <c r="F573" s="45" t="s">
        <v>105</v>
      </c>
      <c r="G573" s="46">
        <v>20336532</v>
      </c>
      <c r="H573" s="45" t="s">
        <v>376</v>
      </c>
      <c r="I573" s="46">
        <v>1</v>
      </c>
      <c r="J573" s="47">
        <v>8</v>
      </c>
      <c r="K573" s="47">
        <v>8</v>
      </c>
    </row>
    <row r="574" ht="25.5" spans="4:11">
      <c r="D574" s="44">
        <v>46080</v>
      </c>
      <c r="E574" s="45">
        <v>1580551</v>
      </c>
      <c r="F574" s="45" t="s">
        <v>49</v>
      </c>
      <c r="G574" s="46">
        <v>20012468</v>
      </c>
      <c r="H574" s="45" t="s">
        <v>257</v>
      </c>
      <c r="I574" s="46">
        <v>11</v>
      </c>
      <c r="J574" s="47">
        <v>22</v>
      </c>
      <c r="K574" s="47">
        <v>242</v>
      </c>
    </row>
    <row r="575" spans="4:11">
      <c r="D575" s="44">
        <v>46080</v>
      </c>
      <c r="E575" s="45">
        <v>1580551</v>
      </c>
      <c r="F575" s="45" t="s">
        <v>49</v>
      </c>
      <c r="G575" s="46">
        <v>20312778</v>
      </c>
      <c r="H575" s="45" t="s">
        <v>277</v>
      </c>
      <c r="I575" s="46">
        <v>1</v>
      </c>
      <c r="J575" s="47">
        <v>8</v>
      </c>
      <c r="K575" s="47">
        <v>8</v>
      </c>
    </row>
    <row r="576" spans="4:11">
      <c r="D576" s="44">
        <v>46080</v>
      </c>
      <c r="E576" s="45">
        <v>1580551</v>
      </c>
      <c r="F576" s="45" t="s">
        <v>53</v>
      </c>
      <c r="G576" s="46">
        <v>20012704</v>
      </c>
      <c r="H576" s="45" t="s">
        <v>238</v>
      </c>
      <c r="I576" s="46">
        <v>7</v>
      </c>
      <c r="J576" s="47">
        <v>16.5</v>
      </c>
      <c r="K576" s="47">
        <v>115.5</v>
      </c>
    </row>
    <row r="577" spans="4:11">
      <c r="D577" s="44">
        <v>46080</v>
      </c>
      <c r="E577" s="45">
        <v>1580551</v>
      </c>
      <c r="F577" s="45" t="s">
        <v>53</v>
      </c>
      <c r="G577" s="46">
        <v>20010354</v>
      </c>
      <c r="H577" s="45" t="s">
        <v>285</v>
      </c>
      <c r="I577" s="46">
        <v>1</v>
      </c>
      <c r="J577" s="47">
        <v>16.5</v>
      </c>
      <c r="K577" s="47">
        <v>16.5</v>
      </c>
    </row>
    <row r="578" spans="4:11">
      <c r="D578" s="44">
        <v>46080</v>
      </c>
      <c r="E578" s="45">
        <v>1580551</v>
      </c>
      <c r="F578" s="45" t="s">
        <v>53</v>
      </c>
      <c r="G578" s="46">
        <v>20011464</v>
      </c>
      <c r="H578" s="45" t="s">
        <v>295</v>
      </c>
      <c r="I578" s="46">
        <v>1</v>
      </c>
      <c r="J578" s="47">
        <v>22</v>
      </c>
      <c r="K578" s="47">
        <v>22</v>
      </c>
    </row>
    <row r="579" spans="4:11">
      <c r="D579" s="44">
        <v>46080</v>
      </c>
      <c r="E579" s="45">
        <v>1580551</v>
      </c>
      <c r="F579" s="45" t="s">
        <v>53</v>
      </c>
      <c r="G579" s="46">
        <v>20010774</v>
      </c>
      <c r="H579" s="45" t="s">
        <v>240</v>
      </c>
      <c r="I579" s="46">
        <v>1</v>
      </c>
      <c r="J579" s="47">
        <v>16.5</v>
      </c>
      <c r="K579" s="47">
        <v>16.5</v>
      </c>
    </row>
    <row r="580" spans="4:11">
      <c r="D580" s="44">
        <v>46080</v>
      </c>
      <c r="E580" s="45">
        <v>1580567</v>
      </c>
      <c r="F580" s="45" t="s">
        <v>77</v>
      </c>
      <c r="G580" s="46">
        <v>20012720</v>
      </c>
      <c r="H580" s="45" t="s">
        <v>341</v>
      </c>
      <c r="I580" s="46">
        <v>1</v>
      </c>
      <c r="J580" s="47">
        <v>28</v>
      </c>
      <c r="K580" s="47">
        <v>28</v>
      </c>
    </row>
    <row r="581" spans="4:11">
      <c r="D581" s="44">
        <v>46080</v>
      </c>
      <c r="E581" s="45">
        <v>1580567</v>
      </c>
      <c r="F581" s="45" t="s">
        <v>77</v>
      </c>
      <c r="G581" s="46">
        <v>20010664</v>
      </c>
      <c r="H581" s="45" t="s">
        <v>367</v>
      </c>
      <c r="I581" s="46">
        <v>2</v>
      </c>
      <c r="J581" s="47">
        <v>25</v>
      </c>
      <c r="K581" s="47">
        <v>50</v>
      </c>
    </row>
    <row r="582" spans="4:11">
      <c r="D582" s="44">
        <v>46080</v>
      </c>
      <c r="E582" s="45">
        <v>1580567</v>
      </c>
      <c r="F582" s="45" t="s">
        <v>77</v>
      </c>
      <c r="G582" s="46">
        <v>20012715</v>
      </c>
      <c r="H582" s="45" t="s">
        <v>355</v>
      </c>
      <c r="I582" s="46">
        <v>4</v>
      </c>
      <c r="J582" s="47">
        <v>28</v>
      </c>
      <c r="K582" s="47">
        <v>112</v>
      </c>
    </row>
    <row r="583" spans="4:11">
      <c r="D583" s="44">
        <v>46080</v>
      </c>
      <c r="E583" s="45">
        <v>1580567</v>
      </c>
      <c r="F583" s="45" t="s">
        <v>77</v>
      </c>
      <c r="G583" s="46">
        <v>20010294</v>
      </c>
      <c r="H583" s="45" t="s">
        <v>356</v>
      </c>
      <c r="I583" s="46">
        <v>3</v>
      </c>
      <c r="J583" s="47">
        <v>44</v>
      </c>
      <c r="K583" s="47">
        <v>132</v>
      </c>
    </row>
    <row r="584" spans="4:11">
      <c r="D584" s="44">
        <v>46080</v>
      </c>
      <c r="E584" s="45">
        <v>1580567</v>
      </c>
      <c r="F584" s="45" t="s">
        <v>77</v>
      </c>
      <c r="G584" s="46">
        <v>20012717</v>
      </c>
      <c r="H584" s="45" t="s">
        <v>343</v>
      </c>
      <c r="I584" s="46">
        <v>5</v>
      </c>
      <c r="J584" s="47">
        <v>28</v>
      </c>
      <c r="K584" s="47">
        <v>140</v>
      </c>
    </row>
    <row r="585" spans="4:11">
      <c r="D585" s="44">
        <v>46080</v>
      </c>
      <c r="E585" s="45">
        <v>1580567</v>
      </c>
      <c r="F585" s="45" t="s">
        <v>77</v>
      </c>
      <c r="G585" s="46">
        <v>20014176</v>
      </c>
      <c r="H585" s="45" t="s">
        <v>344</v>
      </c>
      <c r="I585" s="46">
        <v>1</v>
      </c>
      <c r="J585" s="47">
        <v>28</v>
      </c>
      <c r="K585" s="47">
        <v>28</v>
      </c>
    </row>
    <row r="586" spans="4:11">
      <c r="D586" s="44">
        <v>46080</v>
      </c>
      <c r="E586" s="45">
        <v>1580567</v>
      </c>
      <c r="F586" s="45" t="s">
        <v>77</v>
      </c>
      <c r="G586" s="46">
        <v>20012718</v>
      </c>
      <c r="H586" s="45" t="s">
        <v>307</v>
      </c>
      <c r="I586" s="46">
        <v>1</v>
      </c>
      <c r="J586" s="47">
        <v>35</v>
      </c>
      <c r="K586" s="47">
        <v>35</v>
      </c>
    </row>
    <row r="587" spans="4:11">
      <c r="D587" s="44">
        <v>46080</v>
      </c>
      <c r="E587" s="45">
        <v>1580567</v>
      </c>
      <c r="F587" s="45" t="s">
        <v>77</v>
      </c>
      <c r="G587" s="46">
        <v>20014162</v>
      </c>
      <c r="H587" s="45" t="s">
        <v>242</v>
      </c>
      <c r="I587" s="46">
        <v>1</v>
      </c>
      <c r="J587" s="47">
        <v>28</v>
      </c>
      <c r="K587" s="47">
        <v>28</v>
      </c>
    </row>
    <row r="588" spans="4:11">
      <c r="D588" s="44">
        <v>46080</v>
      </c>
      <c r="E588" s="45">
        <v>1580567</v>
      </c>
      <c r="F588" s="45" t="s">
        <v>77</v>
      </c>
      <c r="G588" s="46">
        <v>20012716</v>
      </c>
      <c r="H588" s="45" t="s">
        <v>345</v>
      </c>
      <c r="I588" s="46">
        <v>5</v>
      </c>
      <c r="J588" s="47">
        <v>28</v>
      </c>
      <c r="K588" s="47">
        <v>140</v>
      </c>
    </row>
    <row r="589" spans="4:11">
      <c r="D589" s="44">
        <v>46080</v>
      </c>
      <c r="E589" s="45">
        <v>1580567</v>
      </c>
      <c r="F589" s="45" t="s">
        <v>77</v>
      </c>
      <c r="G589" s="46">
        <v>20010808</v>
      </c>
      <c r="H589" s="45" t="s">
        <v>346</v>
      </c>
      <c r="I589" s="46">
        <v>5</v>
      </c>
      <c r="J589" s="47">
        <v>25</v>
      </c>
      <c r="K589" s="47">
        <v>125</v>
      </c>
    </row>
    <row r="590" spans="4:11">
      <c r="D590" s="44">
        <v>46080</v>
      </c>
      <c r="E590" s="45">
        <v>1580567</v>
      </c>
      <c r="F590" s="45" t="s">
        <v>310</v>
      </c>
      <c r="G590" s="46">
        <v>20012719</v>
      </c>
      <c r="H590" s="45" t="s">
        <v>333</v>
      </c>
      <c r="I590" s="46">
        <v>1</v>
      </c>
      <c r="J590" s="47">
        <v>66</v>
      </c>
      <c r="K590" s="47">
        <v>66</v>
      </c>
    </row>
    <row r="591" ht="25.5" spans="4:11">
      <c r="D591" s="44">
        <v>46080</v>
      </c>
      <c r="E591" s="45">
        <v>1580567</v>
      </c>
      <c r="F591" s="45" t="s">
        <v>310</v>
      </c>
      <c r="G591" s="46">
        <v>20010686</v>
      </c>
      <c r="H591" s="45" t="s">
        <v>348</v>
      </c>
      <c r="I591" s="46">
        <v>1</v>
      </c>
      <c r="J591" s="47">
        <v>28</v>
      </c>
      <c r="K591" s="47">
        <v>28</v>
      </c>
    </row>
    <row r="592" spans="4:11">
      <c r="D592" s="44">
        <v>46080</v>
      </c>
      <c r="E592" s="45">
        <v>1580567</v>
      </c>
      <c r="F592" s="45" t="s">
        <v>310</v>
      </c>
      <c r="G592" s="46">
        <v>20013174</v>
      </c>
      <c r="H592" s="45" t="s">
        <v>418</v>
      </c>
      <c r="I592" s="46">
        <v>1</v>
      </c>
      <c r="J592" s="47">
        <v>28</v>
      </c>
      <c r="K592" s="47">
        <v>28</v>
      </c>
    </row>
    <row r="593" spans="4:11">
      <c r="D593" s="44">
        <v>46080</v>
      </c>
      <c r="E593" s="45">
        <v>1580567</v>
      </c>
      <c r="F593" s="45" t="s">
        <v>310</v>
      </c>
      <c r="G593" s="46">
        <v>20013785</v>
      </c>
      <c r="H593" s="45" t="s">
        <v>312</v>
      </c>
      <c r="I593" s="46">
        <v>1</v>
      </c>
      <c r="J593" s="47">
        <v>88</v>
      </c>
      <c r="K593" s="47">
        <v>88</v>
      </c>
    </row>
    <row r="594" spans="4:11">
      <c r="D594" s="44">
        <v>46080</v>
      </c>
      <c r="E594" s="45">
        <v>1580567</v>
      </c>
      <c r="F594" s="45" t="s">
        <v>310</v>
      </c>
      <c r="G594" s="46">
        <v>20329745</v>
      </c>
      <c r="H594" s="45" t="s">
        <v>368</v>
      </c>
      <c r="I594" s="46">
        <v>1</v>
      </c>
      <c r="J594" s="47">
        <v>28</v>
      </c>
      <c r="K594" s="47">
        <v>28</v>
      </c>
    </row>
    <row r="595" spans="4:11">
      <c r="D595" s="44">
        <v>46080</v>
      </c>
      <c r="E595" s="45">
        <v>1580567</v>
      </c>
      <c r="F595" s="45" t="s">
        <v>310</v>
      </c>
      <c r="G595" s="46">
        <v>20010212</v>
      </c>
      <c r="H595" s="45" t="s">
        <v>357</v>
      </c>
      <c r="I595" s="46">
        <v>2</v>
      </c>
      <c r="J595" s="47">
        <v>28</v>
      </c>
      <c r="K595" s="47">
        <v>56</v>
      </c>
    </row>
    <row r="596" spans="4:11">
      <c r="D596" s="44">
        <v>46080</v>
      </c>
      <c r="E596" s="45">
        <v>1580776</v>
      </c>
      <c r="F596" s="45" t="s">
        <v>77</v>
      </c>
      <c r="G596" s="46">
        <v>20383809</v>
      </c>
      <c r="H596" s="45" t="s">
        <v>358</v>
      </c>
      <c r="I596" s="46">
        <v>1</v>
      </c>
      <c r="J596" s="47">
        <v>28</v>
      </c>
      <c r="K596" s="47">
        <v>28</v>
      </c>
    </row>
    <row r="597" spans="4:11">
      <c r="D597" s="44">
        <v>46080</v>
      </c>
      <c r="E597" s="45">
        <v>1580776</v>
      </c>
      <c r="F597" s="45" t="s">
        <v>77</v>
      </c>
      <c r="G597" s="46">
        <v>20012715</v>
      </c>
      <c r="H597" s="45" t="s">
        <v>355</v>
      </c>
      <c r="I597" s="46">
        <v>1</v>
      </c>
      <c r="J597" s="47">
        <v>28</v>
      </c>
      <c r="K597" s="47">
        <v>28</v>
      </c>
    </row>
    <row r="598" spans="4:11">
      <c r="D598" s="44">
        <v>46080</v>
      </c>
      <c r="E598" s="45">
        <v>1580776</v>
      </c>
      <c r="F598" s="45" t="s">
        <v>77</v>
      </c>
      <c r="G598" s="46">
        <v>20010294</v>
      </c>
      <c r="H598" s="45" t="s">
        <v>356</v>
      </c>
      <c r="I598" s="46">
        <v>1</v>
      </c>
      <c r="J598" s="47">
        <v>44</v>
      </c>
      <c r="K598" s="47">
        <v>44</v>
      </c>
    </row>
    <row r="599" spans="4:11">
      <c r="D599" s="44">
        <v>46080</v>
      </c>
      <c r="E599" s="45">
        <v>1580776</v>
      </c>
      <c r="F599" s="45" t="s">
        <v>77</v>
      </c>
      <c r="G599" s="46">
        <v>20012717</v>
      </c>
      <c r="H599" s="45" t="s">
        <v>343</v>
      </c>
      <c r="I599" s="46">
        <v>1</v>
      </c>
      <c r="J599" s="47">
        <v>28</v>
      </c>
      <c r="K599" s="47">
        <v>28</v>
      </c>
    </row>
    <row r="600" spans="4:11">
      <c r="D600" s="44">
        <v>46080</v>
      </c>
      <c r="E600" s="45">
        <v>1580776</v>
      </c>
      <c r="F600" s="45" t="s">
        <v>77</v>
      </c>
      <c r="G600" s="46">
        <v>20010663</v>
      </c>
      <c r="H600" s="45" t="s">
        <v>419</v>
      </c>
      <c r="I600" s="46">
        <v>1</v>
      </c>
      <c r="J600" s="47">
        <v>28</v>
      </c>
      <c r="K600" s="47">
        <v>28</v>
      </c>
    </row>
    <row r="601" spans="4:11">
      <c r="D601" s="44">
        <v>46080</v>
      </c>
      <c r="E601" s="45">
        <v>1580776</v>
      </c>
      <c r="F601" s="45" t="s">
        <v>77</v>
      </c>
      <c r="G601" s="46">
        <v>20012718</v>
      </c>
      <c r="H601" s="45" t="s">
        <v>307</v>
      </c>
      <c r="I601" s="46">
        <v>1</v>
      </c>
      <c r="J601" s="47">
        <v>35</v>
      </c>
      <c r="K601" s="47">
        <v>35</v>
      </c>
    </row>
    <row r="602" spans="4:11">
      <c r="D602" s="44">
        <v>46080</v>
      </c>
      <c r="E602" s="45">
        <v>1580776</v>
      </c>
      <c r="F602" s="45" t="s">
        <v>77</v>
      </c>
      <c r="G602" s="46">
        <v>20012716</v>
      </c>
      <c r="H602" s="45" t="s">
        <v>345</v>
      </c>
      <c r="I602" s="46">
        <v>1</v>
      </c>
      <c r="J602" s="47">
        <v>28</v>
      </c>
      <c r="K602" s="47">
        <v>28</v>
      </c>
    </row>
    <row r="603" spans="4:11">
      <c r="D603" s="44">
        <v>46080</v>
      </c>
      <c r="E603" s="45">
        <v>1580776</v>
      </c>
      <c r="F603" s="45" t="s">
        <v>77</v>
      </c>
      <c r="G603" s="46">
        <v>20010808</v>
      </c>
      <c r="H603" s="45" t="s">
        <v>346</v>
      </c>
      <c r="I603" s="46">
        <v>1</v>
      </c>
      <c r="J603" s="47">
        <v>25</v>
      </c>
      <c r="K603" s="47">
        <v>25</v>
      </c>
    </row>
    <row r="604" spans="4:11">
      <c r="D604" s="44">
        <v>46080</v>
      </c>
      <c r="E604" s="45">
        <v>1580776</v>
      </c>
      <c r="F604" s="45" t="s">
        <v>310</v>
      </c>
      <c r="G604" s="46">
        <v>20012719</v>
      </c>
      <c r="H604" s="45" t="s">
        <v>333</v>
      </c>
      <c r="I604" s="46">
        <v>1</v>
      </c>
      <c r="J604" s="47">
        <v>66</v>
      </c>
      <c r="K604" s="47">
        <v>66</v>
      </c>
    </row>
    <row r="605" spans="4:11">
      <c r="D605" s="44">
        <v>46080</v>
      </c>
      <c r="E605" s="45">
        <v>1580776</v>
      </c>
      <c r="F605" s="45" t="s">
        <v>310</v>
      </c>
      <c r="G605" s="46">
        <v>20013174</v>
      </c>
      <c r="H605" s="45" t="s">
        <v>418</v>
      </c>
      <c r="I605" s="46">
        <v>1</v>
      </c>
      <c r="J605" s="47">
        <v>28</v>
      </c>
      <c r="K605" s="47">
        <v>28</v>
      </c>
    </row>
    <row r="606" spans="4:11">
      <c r="D606" s="44">
        <v>46080</v>
      </c>
      <c r="E606" s="45">
        <v>1580776</v>
      </c>
      <c r="F606" s="45" t="s">
        <v>310</v>
      </c>
      <c r="G606" s="46">
        <v>20013785</v>
      </c>
      <c r="H606" s="45" t="s">
        <v>312</v>
      </c>
      <c r="I606" s="46">
        <v>1</v>
      </c>
      <c r="J606" s="47">
        <v>88</v>
      </c>
      <c r="K606" s="47">
        <v>88</v>
      </c>
    </row>
    <row r="607" spans="4:11">
      <c r="D607" s="44">
        <v>46080</v>
      </c>
      <c r="E607" s="45">
        <v>1580776</v>
      </c>
      <c r="F607" s="45" t="s">
        <v>310</v>
      </c>
      <c r="G607" s="46">
        <v>20010212</v>
      </c>
      <c r="H607" s="45" t="s">
        <v>357</v>
      </c>
      <c r="I607" s="46">
        <v>1</v>
      </c>
      <c r="J607" s="47">
        <v>28</v>
      </c>
      <c r="K607" s="47">
        <v>28</v>
      </c>
    </row>
    <row r="608" spans="4:11">
      <c r="D608" s="44">
        <v>46080</v>
      </c>
      <c r="E608" s="45">
        <v>1580811</v>
      </c>
      <c r="F608" s="45" t="s">
        <v>235</v>
      </c>
      <c r="G608" s="46">
        <v>20012730</v>
      </c>
      <c r="H608" s="45" t="s">
        <v>336</v>
      </c>
      <c r="I608" s="46">
        <v>1</v>
      </c>
      <c r="J608" s="47">
        <v>118</v>
      </c>
      <c r="K608" s="47">
        <v>118</v>
      </c>
    </row>
    <row r="609" spans="4:11">
      <c r="D609" s="44">
        <v>46080</v>
      </c>
      <c r="E609" s="45">
        <v>1580811</v>
      </c>
      <c r="F609" s="45" t="s">
        <v>235</v>
      </c>
      <c r="G609" s="46">
        <v>20012729</v>
      </c>
      <c r="H609" s="45" t="s">
        <v>247</v>
      </c>
      <c r="I609" s="46">
        <v>1</v>
      </c>
      <c r="J609" s="47">
        <v>68.5</v>
      </c>
      <c r="K609" s="47">
        <v>68.5</v>
      </c>
    </row>
    <row r="610" spans="4:11">
      <c r="D610" s="44">
        <v>46080</v>
      </c>
      <c r="E610" s="45">
        <v>1580811</v>
      </c>
      <c r="F610" s="45" t="s">
        <v>235</v>
      </c>
      <c r="G610" s="46">
        <v>20010546</v>
      </c>
      <c r="H610" s="45" t="s">
        <v>398</v>
      </c>
      <c r="I610" s="46">
        <v>1</v>
      </c>
      <c r="J610" s="47">
        <v>41</v>
      </c>
      <c r="K610" s="47">
        <v>41</v>
      </c>
    </row>
    <row r="611" spans="4:11">
      <c r="D611" s="44">
        <v>46080</v>
      </c>
      <c r="E611" s="45">
        <v>1580811</v>
      </c>
      <c r="F611" s="45" t="s">
        <v>47</v>
      </c>
      <c r="G611" s="46">
        <v>20012726</v>
      </c>
      <c r="H611" s="45" t="s">
        <v>244</v>
      </c>
      <c r="I611" s="46">
        <v>1</v>
      </c>
      <c r="J611" s="47">
        <v>63</v>
      </c>
      <c r="K611" s="47">
        <v>63</v>
      </c>
    </row>
    <row r="612" spans="4:11">
      <c r="D612" s="44">
        <v>46080</v>
      </c>
      <c r="E612" s="45">
        <v>1580811</v>
      </c>
      <c r="F612" s="45" t="s">
        <v>53</v>
      </c>
      <c r="G612" s="46">
        <v>20012704</v>
      </c>
      <c r="H612" s="45" t="s">
        <v>238</v>
      </c>
      <c r="I612" s="46">
        <v>5</v>
      </c>
      <c r="J612" s="47">
        <v>16.5</v>
      </c>
      <c r="K612" s="47">
        <v>82.5</v>
      </c>
    </row>
    <row r="613" spans="4:11">
      <c r="D613" s="44">
        <v>46080</v>
      </c>
      <c r="E613" s="45">
        <v>1580811</v>
      </c>
      <c r="F613" s="45" t="s">
        <v>53</v>
      </c>
      <c r="G613" s="46">
        <v>20333025</v>
      </c>
      <c r="H613" s="45" t="s">
        <v>290</v>
      </c>
      <c r="I613" s="46">
        <v>1</v>
      </c>
      <c r="J613" s="47">
        <v>66</v>
      </c>
      <c r="K613" s="47">
        <v>66</v>
      </c>
    </row>
    <row r="614" spans="4:11">
      <c r="D614" s="44">
        <v>46080</v>
      </c>
      <c r="E614" s="45">
        <v>1580811</v>
      </c>
      <c r="F614" s="45" t="s">
        <v>53</v>
      </c>
      <c r="G614" s="46">
        <v>20010188</v>
      </c>
      <c r="H614" s="45" t="s">
        <v>420</v>
      </c>
      <c r="I614" s="46">
        <v>1</v>
      </c>
      <c r="J614" s="47">
        <v>16.5</v>
      </c>
      <c r="K614" s="47">
        <v>16.5</v>
      </c>
    </row>
    <row r="615" spans="4:11">
      <c r="D615" s="44">
        <v>46080</v>
      </c>
      <c r="E615" s="45">
        <v>1580857</v>
      </c>
      <c r="F615" s="45" t="s">
        <v>235</v>
      </c>
      <c r="G615" s="46">
        <v>20012730</v>
      </c>
      <c r="H615" s="45" t="s">
        <v>336</v>
      </c>
      <c r="I615" s="46">
        <v>1</v>
      </c>
      <c r="J615" s="47">
        <v>118</v>
      </c>
      <c r="K615" s="47">
        <v>118</v>
      </c>
    </row>
    <row r="616" spans="4:11">
      <c r="D616" s="44">
        <v>46080</v>
      </c>
      <c r="E616" s="45">
        <v>1580857</v>
      </c>
      <c r="F616" s="45" t="s">
        <v>235</v>
      </c>
      <c r="G616" s="46">
        <v>20009800</v>
      </c>
      <c r="H616" s="45" t="s">
        <v>249</v>
      </c>
      <c r="I616" s="46">
        <v>1</v>
      </c>
      <c r="J616" s="47">
        <v>217</v>
      </c>
      <c r="K616" s="47">
        <v>217</v>
      </c>
    </row>
    <row r="617" spans="4:11">
      <c r="D617" s="44">
        <v>46080</v>
      </c>
      <c r="E617" s="45">
        <v>1580857</v>
      </c>
      <c r="F617" s="45" t="s">
        <v>235</v>
      </c>
      <c r="G617" s="46">
        <v>20013467</v>
      </c>
      <c r="H617" s="45" t="s">
        <v>363</v>
      </c>
      <c r="I617" s="46">
        <v>1</v>
      </c>
      <c r="J617" s="47">
        <v>415</v>
      </c>
      <c r="K617" s="47">
        <v>415</v>
      </c>
    </row>
    <row r="618" spans="4:11">
      <c r="D618" s="44">
        <v>46080</v>
      </c>
      <c r="E618" s="45">
        <v>1580857</v>
      </c>
      <c r="F618" s="45" t="s">
        <v>235</v>
      </c>
      <c r="G618" s="46">
        <v>20009864</v>
      </c>
      <c r="H618" s="45" t="s">
        <v>236</v>
      </c>
      <c r="I618" s="46">
        <v>1</v>
      </c>
      <c r="J618" s="47">
        <v>52</v>
      </c>
      <c r="K618" s="47">
        <v>52</v>
      </c>
    </row>
    <row r="619" ht="25.5" spans="4:11">
      <c r="D619" s="44">
        <v>46080</v>
      </c>
      <c r="E619" s="45">
        <v>1580857</v>
      </c>
      <c r="F619" s="45" t="s">
        <v>49</v>
      </c>
      <c r="G619" s="46">
        <v>20012468</v>
      </c>
      <c r="H619" s="45" t="s">
        <v>257</v>
      </c>
      <c r="I619" s="46">
        <v>16</v>
      </c>
      <c r="J619" s="47">
        <v>22</v>
      </c>
      <c r="K619" s="47">
        <v>352</v>
      </c>
    </row>
    <row r="620" spans="4:11">
      <c r="D620" s="44">
        <v>46080</v>
      </c>
      <c r="E620" s="45">
        <v>1580857</v>
      </c>
      <c r="F620" s="45" t="s">
        <v>49</v>
      </c>
      <c r="G620" s="46">
        <v>20359275</v>
      </c>
      <c r="H620" s="45" t="s">
        <v>396</v>
      </c>
      <c r="I620" s="46">
        <v>2</v>
      </c>
      <c r="J620" s="47">
        <v>16.5</v>
      </c>
      <c r="K620" s="47">
        <v>33</v>
      </c>
    </row>
    <row r="621" spans="4:11">
      <c r="D621" s="44">
        <v>46080</v>
      </c>
      <c r="E621" s="45">
        <v>1580857</v>
      </c>
      <c r="F621" s="45" t="s">
        <v>49</v>
      </c>
      <c r="G621" s="46">
        <v>20315903</v>
      </c>
      <c r="H621" s="45" t="s">
        <v>338</v>
      </c>
      <c r="I621" s="46">
        <v>1</v>
      </c>
      <c r="J621" s="47">
        <v>5.5</v>
      </c>
      <c r="K621" s="47">
        <v>5.5</v>
      </c>
    </row>
    <row r="622" spans="4:11">
      <c r="D622" s="44">
        <v>46080</v>
      </c>
      <c r="E622" s="45">
        <v>1580857</v>
      </c>
      <c r="F622" s="45" t="s">
        <v>53</v>
      </c>
      <c r="G622" s="46">
        <v>20012704</v>
      </c>
      <c r="H622" s="45" t="s">
        <v>238</v>
      </c>
      <c r="I622" s="46">
        <v>4</v>
      </c>
      <c r="J622" s="47">
        <v>16.5</v>
      </c>
      <c r="K622" s="47">
        <v>66</v>
      </c>
    </row>
    <row r="623" spans="4:11">
      <c r="D623" s="44">
        <v>46080</v>
      </c>
      <c r="E623" s="45">
        <v>1580857</v>
      </c>
      <c r="F623" s="45" t="s">
        <v>53</v>
      </c>
      <c r="G623" s="46">
        <v>20012709</v>
      </c>
      <c r="H623" s="45" t="s">
        <v>239</v>
      </c>
      <c r="I623" s="46">
        <v>1</v>
      </c>
      <c r="J623" s="47">
        <v>16.5</v>
      </c>
      <c r="K623" s="47">
        <v>16.5</v>
      </c>
    </row>
    <row r="624" spans="4:11">
      <c r="D624" s="44">
        <v>46080</v>
      </c>
      <c r="E624" s="45">
        <v>1580857</v>
      </c>
      <c r="F624" s="45" t="s">
        <v>53</v>
      </c>
      <c r="G624" s="46">
        <v>20010369</v>
      </c>
      <c r="H624" s="45" t="s">
        <v>421</v>
      </c>
      <c r="I624" s="46">
        <v>1</v>
      </c>
      <c r="J624" s="47">
        <v>16.5</v>
      </c>
      <c r="K624" s="47">
        <v>16.5</v>
      </c>
    </row>
    <row r="625" spans="4:11">
      <c r="D625" s="44">
        <v>46080</v>
      </c>
      <c r="E625" s="45">
        <v>1580857</v>
      </c>
      <c r="F625" s="45" t="s">
        <v>53</v>
      </c>
      <c r="G625" s="46">
        <v>20377079</v>
      </c>
      <c r="H625" s="45" t="s">
        <v>301</v>
      </c>
      <c r="I625" s="46">
        <v>1</v>
      </c>
      <c r="J625" s="47">
        <v>16.5</v>
      </c>
      <c r="K625" s="47">
        <v>16.5</v>
      </c>
    </row>
    <row r="626" spans="4:11">
      <c r="D626" s="44">
        <v>46080</v>
      </c>
      <c r="E626" s="45">
        <v>1580877</v>
      </c>
      <c r="F626" s="45" t="s">
        <v>47</v>
      </c>
      <c r="G626" s="46">
        <v>20012726</v>
      </c>
      <c r="H626" s="45" t="s">
        <v>244</v>
      </c>
      <c r="I626" s="46">
        <v>1</v>
      </c>
      <c r="J626" s="47">
        <v>63</v>
      </c>
      <c r="K626" s="47">
        <v>63</v>
      </c>
    </row>
    <row r="627" spans="4:11">
      <c r="D627" s="44">
        <v>46081</v>
      </c>
      <c r="E627" s="45">
        <v>1580898</v>
      </c>
      <c r="F627" s="45" t="s">
        <v>77</v>
      </c>
      <c r="G627" s="46">
        <v>20325019</v>
      </c>
      <c r="H627" s="45" t="s">
        <v>365</v>
      </c>
      <c r="I627" s="46">
        <v>1</v>
      </c>
      <c r="J627" s="47">
        <v>25</v>
      </c>
      <c r="K627" s="47">
        <v>25</v>
      </c>
    </row>
    <row r="628" spans="4:11">
      <c r="D628" s="44">
        <v>46081</v>
      </c>
      <c r="E628" s="45">
        <v>1580898</v>
      </c>
      <c r="F628" s="45" t="s">
        <v>77</v>
      </c>
      <c r="G628" s="46">
        <v>20325093</v>
      </c>
      <c r="H628" s="45" t="s">
        <v>304</v>
      </c>
      <c r="I628" s="46">
        <v>1</v>
      </c>
      <c r="J628" s="47">
        <v>28</v>
      </c>
      <c r="K628" s="47">
        <v>28</v>
      </c>
    </row>
    <row r="629" spans="4:11">
      <c r="D629" s="44">
        <v>46081</v>
      </c>
      <c r="E629" s="45">
        <v>1580898</v>
      </c>
      <c r="F629" s="45" t="s">
        <v>77</v>
      </c>
      <c r="G629" s="46">
        <v>20345153</v>
      </c>
      <c r="H629" s="45" t="s">
        <v>422</v>
      </c>
      <c r="I629" s="46">
        <v>1</v>
      </c>
      <c r="J629" s="47">
        <v>28</v>
      </c>
      <c r="K629" s="47">
        <v>28</v>
      </c>
    </row>
    <row r="630" spans="4:11">
      <c r="D630" s="44">
        <v>46081</v>
      </c>
      <c r="E630" s="45">
        <v>1580898</v>
      </c>
      <c r="F630" s="45" t="s">
        <v>77</v>
      </c>
      <c r="G630" s="46">
        <v>20010664</v>
      </c>
      <c r="H630" s="45" t="s">
        <v>367</v>
      </c>
      <c r="I630" s="46">
        <v>1</v>
      </c>
      <c r="J630" s="47">
        <v>25</v>
      </c>
      <c r="K630" s="47">
        <v>25</v>
      </c>
    </row>
    <row r="631" spans="4:11">
      <c r="D631" s="44">
        <v>46081</v>
      </c>
      <c r="E631" s="45">
        <v>1580898</v>
      </c>
      <c r="F631" s="45" t="s">
        <v>77</v>
      </c>
      <c r="G631" s="46">
        <v>20010294</v>
      </c>
      <c r="H631" s="45" t="s">
        <v>356</v>
      </c>
      <c r="I631" s="46">
        <v>2</v>
      </c>
      <c r="J631" s="47">
        <v>44</v>
      </c>
      <c r="K631" s="47">
        <v>88</v>
      </c>
    </row>
    <row r="632" spans="4:11">
      <c r="D632" s="44">
        <v>46081</v>
      </c>
      <c r="E632" s="45">
        <v>1580898</v>
      </c>
      <c r="F632" s="45" t="s">
        <v>77</v>
      </c>
      <c r="G632" s="46">
        <v>20012717</v>
      </c>
      <c r="H632" s="45" t="s">
        <v>343</v>
      </c>
      <c r="I632" s="46">
        <v>3</v>
      </c>
      <c r="J632" s="47">
        <v>28</v>
      </c>
      <c r="K632" s="47">
        <v>84</v>
      </c>
    </row>
    <row r="633" spans="4:11">
      <c r="D633" s="44">
        <v>46081</v>
      </c>
      <c r="E633" s="45">
        <v>1580898</v>
      </c>
      <c r="F633" s="45" t="s">
        <v>77</v>
      </c>
      <c r="G633" s="46">
        <v>20014176</v>
      </c>
      <c r="H633" s="45" t="s">
        <v>344</v>
      </c>
      <c r="I633" s="46">
        <v>2</v>
      </c>
      <c r="J633" s="47">
        <v>28</v>
      </c>
      <c r="K633" s="47">
        <v>56</v>
      </c>
    </row>
    <row r="634" spans="4:11">
      <c r="D634" s="44">
        <v>46081</v>
      </c>
      <c r="E634" s="45">
        <v>1580898</v>
      </c>
      <c r="F634" s="45" t="s">
        <v>77</v>
      </c>
      <c r="G634" s="46">
        <v>20012716</v>
      </c>
      <c r="H634" s="45" t="s">
        <v>345</v>
      </c>
      <c r="I634" s="46">
        <v>3</v>
      </c>
      <c r="J634" s="47">
        <v>28</v>
      </c>
      <c r="K634" s="47">
        <v>84</v>
      </c>
    </row>
    <row r="635" spans="4:11">
      <c r="D635" s="44">
        <v>46081</v>
      </c>
      <c r="E635" s="45">
        <v>1580898</v>
      </c>
      <c r="F635" s="45" t="s">
        <v>77</v>
      </c>
      <c r="G635" s="46">
        <v>20010808</v>
      </c>
      <c r="H635" s="45" t="s">
        <v>346</v>
      </c>
      <c r="I635" s="46">
        <v>2</v>
      </c>
      <c r="J635" s="47">
        <v>25</v>
      </c>
      <c r="K635" s="47">
        <v>50</v>
      </c>
    </row>
    <row r="636" spans="4:11">
      <c r="D636" s="44">
        <v>46081</v>
      </c>
      <c r="E636" s="45">
        <v>1580898</v>
      </c>
      <c r="F636" s="45" t="s">
        <v>310</v>
      </c>
      <c r="G636" s="46">
        <v>20329745</v>
      </c>
      <c r="H636" s="45" t="s">
        <v>368</v>
      </c>
      <c r="I636" s="46">
        <v>1</v>
      </c>
      <c r="J636" s="47">
        <v>28</v>
      </c>
      <c r="K636" s="47">
        <v>28</v>
      </c>
    </row>
    <row r="637" spans="4:11">
      <c r="D637" s="44">
        <v>46081</v>
      </c>
      <c r="E637" s="45">
        <v>1580898</v>
      </c>
      <c r="F637" s="45" t="s">
        <v>310</v>
      </c>
      <c r="G637" s="46">
        <v>20010212</v>
      </c>
      <c r="H637" s="45" t="s">
        <v>357</v>
      </c>
      <c r="I637" s="46">
        <v>1</v>
      </c>
      <c r="J637" s="47">
        <v>28</v>
      </c>
      <c r="K637" s="47">
        <v>28</v>
      </c>
    </row>
    <row r="638" spans="4:11">
      <c r="D638" s="44">
        <v>46081</v>
      </c>
      <c r="E638" s="45">
        <v>1580932</v>
      </c>
      <c r="F638" s="45" t="s">
        <v>313</v>
      </c>
      <c r="G638" s="46">
        <v>20010745</v>
      </c>
      <c r="H638" s="45" t="s">
        <v>423</v>
      </c>
      <c r="I638" s="46">
        <v>1</v>
      </c>
      <c r="J638" s="47">
        <v>300</v>
      </c>
      <c r="K638" s="47">
        <v>300</v>
      </c>
    </row>
    <row r="639" spans="4:11">
      <c r="D639" s="44">
        <v>46081</v>
      </c>
      <c r="E639" s="45">
        <v>1580932</v>
      </c>
      <c r="F639" s="45" t="s">
        <v>313</v>
      </c>
      <c r="G639" s="46">
        <v>20413893</v>
      </c>
      <c r="H639" s="45" t="s">
        <v>424</v>
      </c>
      <c r="I639" s="46">
        <v>1</v>
      </c>
      <c r="J639" s="47">
        <v>300</v>
      </c>
      <c r="K639" s="47">
        <v>300</v>
      </c>
    </row>
    <row r="640" spans="4:11">
      <c r="D640" s="44">
        <v>46081</v>
      </c>
      <c r="E640" s="45">
        <v>1580976</v>
      </c>
      <c r="F640" s="45" t="s">
        <v>235</v>
      </c>
      <c r="G640" s="46">
        <v>20012729</v>
      </c>
      <c r="H640" s="45" t="s">
        <v>247</v>
      </c>
      <c r="I640" s="46">
        <v>1</v>
      </c>
      <c r="J640" s="47">
        <v>68.5</v>
      </c>
      <c r="K640" s="47">
        <v>68.5</v>
      </c>
    </row>
    <row r="641" spans="4:11">
      <c r="D641" s="44">
        <v>46081</v>
      </c>
      <c r="E641" s="45">
        <v>1580976</v>
      </c>
      <c r="F641" s="45" t="s">
        <v>47</v>
      </c>
      <c r="G641" s="46">
        <v>20012726</v>
      </c>
      <c r="H641" s="45" t="s">
        <v>244</v>
      </c>
      <c r="I641" s="46">
        <v>1</v>
      </c>
      <c r="J641" s="47">
        <v>63</v>
      </c>
      <c r="K641" s="47">
        <v>63</v>
      </c>
    </row>
    <row r="642" spans="4:11">
      <c r="D642" s="44">
        <v>46081</v>
      </c>
      <c r="E642" s="45">
        <v>1580976</v>
      </c>
      <c r="F642" s="45" t="s">
        <v>53</v>
      </c>
      <c r="G642" s="46">
        <v>20012704</v>
      </c>
      <c r="H642" s="45" t="s">
        <v>238</v>
      </c>
      <c r="I642" s="46">
        <v>1</v>
      </c>
      <c r="J642" s="47">
        <v>16.5</v>
      </c>
      <c r="K642" s="47">
        <v>16.5</v>
      </c>
    </row>
    <row r="643" spans="4:11">
      <c r="D643" s="44">
        <v>46081</v>
      </c>
      <c r="E643" s="45">
        <v>1580976</v>
      </c>
      <c r="F643" s="45" t="s">
        <v>53</v>
      </c>
      <c r="G643" s="46">
        <v>20010623</v>
      </c>
      <c r="H643" s="45" t="s">
        <v>289</v>
      </c>
      <c r="I643" s="46">
        <v>1</v>
      </c>
      <c r="J643" s="47">
        <v>16.5</v>
      </c>
      <c r="K643" s="47">
        <v>16.5</v>
      </c>
    </row>
    <row r="644" spans="4:11">
      <c r="D644" s="44">
        <v>46081</v>
      </c>
      <c r="E644" s="45">
        <v>1580979</v>
      </c>
      <c r="F644" s="45" t="s">
        <v>77</v>
      </c>
      <c r="G644" s="46">
        <v>20012718</v>
      </c>
      <c r="H644" s="45" t="s">
        <v>307</v>
      </c>
      <c r="I644" s="46">
        <v>1</v>
      </c>
      <c r="J644" s="47">
        <v>35</v>
      </c>
      <c r="K644" s="47">
        <v>35</v>
      </c>
    </row>
    <row r="645" spans="4:11">
      <c r="D645" s="44">
        <v>46081</v>
      </c>
      <c r="E645" s="45">
        <v>1580979</v>
      </c>
      <c r="F645" s="45" t="s">
        <v>310</v>
      </c>
      <c r="G645" s="46">
        <v>20013174</v>
      </c>
      <c r="H645" s="45" t="s">
        <v>418</v>
      </c>
      <c r="I645" s="46">
        <v>1</v>
      </c>
      <c r="J645" s="47">
        <v>28</v>
      </c>
      <c r="K645" s="47">
        <v>28</v>
      </c>
    </row>
    <row r="646" spans="4:11">
      <c r="D646" s="44">
        <v>46081</v>
      </c>
      <c r="E646" s="45">
        <v>1580979</v>
      </c>
      <c r="F646" s="45" t="s">
        <v>310</v>
      </c>
      <c r="G646" s="46">
        <v>20013785</v>
      </c>
      <c r="H646" s="45" t="s">
        <v>312</v>
      </c>
      <c r="I646" s="46">
        <v>1</v>
      </c>
      <c r="J646" s="47">
        <v>88</v>
      </c>
      <c r="K646" s="47">
        <v>88</v>
      </c>
    </row>
    <row r="647" spans="4:11">
      <c r="D647" s="44">
        <v>46081</v>
      </c>
      <c r="E647" s="45">
        <v>1581125</v>
      </c>
      <c r="F647" s="45" t="s">
        <v>235</v>
      </c>
      <c r="G647" s="46">
        <v>20012730</v>
      </c>
      <c r="H647" s="45" t="s">
        <v>336</v>
      </c>
      <c r="I647" s="46">
        <v>1</v>
      </c>
      <c r="J647" s="47">
        <v>118</v>
      </c>
      <c r="K647" s="47">
        <v>118</v>
      </c>
    </row>
    <row r="648" spans="4:11">
      <c r="D648" s="44">
        <v>46081</v>
      </c>
      <c r="E648" s="45">
        <v>1581125</v>
      </c>
      <c r="F648" s="45" t="s">
        <v>235</v>
      </c>
      <c r="G648" s="46">
        <v>20012731</v>
      </c>
      <c r="H648" s="45" t="s">
        <v>243</v>
      </c>
      <c r="I648" s="46">
        <v>1</v>
      </c>
      <c r="J648" s="47">
        <v>272</v>
      </c>
      <c r="K648" s="47">
        <v>272</v>
      </c>
    </row>
    <row r="649" spans="4:11">
      <c r="D649" s="44">
        <v>46081</v>
      </c>
      <c r="E649" s="45">
        <v>1581125</v>
      </c>
      <c r="F649" s="45" t="s">
        <v>49</v>
      </c>
      <c r="G649" s="46">
        <v>20010460</v>
      </c>
      <c r="H649" s="45" t="s">
        <v>425</v>
      </c>
      <c r="I649" s="46">
        <v>1</v>
      </c>
      <c r="J649" s="47">
        <v>8</v>
      </c>
      <c r="K649" s="47">
        <v>8</v>
      </c>
    </row>
    <row r="650" spans="4:11">
      <c r="D650" s="44">
        <v>46081</v>
      </c>
      <c r="E650" s="45">
        <v>1581125</v>
      </c>
      <c r="F650" s="45" t="s">
        <v>47</v>
      </c>
      <c r="G650" s="46">
        <v>20012726</v>
      </c>
      <c r="H650" s="45" t="s">
        <v>244</v>
      </c>
      <c r="I650" s="46">
        <v>1</v>
      </c>
      <c r="J650" s="47">
        <v>63</v>
      </c>
      <c r="K650" s="47">
        <v>63</v>
      </c>
    </row>
    <row r="651" spans="4:11">
      <c r="D651" s="44">
        <v>46081</v>
      </c>
      <c r="E651" s="45">
        <v>1581125</v>
      </c>
      <c r="F651" s="45" t="s">
        <v>53</v>
      </c>
      <c r="G651" s="46">
        <v>20012704</v>
      </c>
      <c r="H651" s="45" t="s">
        <v>238</v>
      </c>
      <c r="I651" s="46">
        <v>3</v>
      </c>
      <c r="J651" s="47">
        <v>16.5</v>
      </c>
      <c r="K651" s="47">
        <v>49.5</v>
      </c>
    </row>
    <row r="652" spans="4:11">
      <c r="D652" s="44">
        <v>46081</v>
      </c>
      <c r="E652" s="45">
        <v>1581125</v>
      </c>
      <c r="F652" s="45" t="s">
        <v>53</v>
      </c>
      <c r="G652" s="46">
        <v>20010774</v>
      </c>
      <c r="H652" s="45" t="s">
        <v>240</v>
      </c>
      <c r="I652" s="46">
        <v>1</v>
      </c>
      <c r="J652" s="47">
        <v>16.5</v>
      </c>
      <c r="K652" s="47">
        <v>16.5</v>
      </c>
    </row>
    <row r="653" spans="4:11">
      <c r="D653" s="44">
        <v>46081</v>
      </c>
      <c r="E653" s="45">
        <v>1581126</v>
      </c>
      <c r="F653" s="45" t="s">
        <v>53</v>
      </c>
      <c r="G653" s="46">
        <v>20011464</v>
      </c>
      <c r="H653" s="45" t="s">
        <v>295</v>
      </c>
      <c r="I653" s="46">
        <v>1</v>
      </c>
      <c r="J653" s="47">
        <v>22</v>
      </c>
      <c r="K653" s="47">
        <v>22</v>
      </c>
    </row>
    <row r="654" spans="4:11">
      <c r="D654" s="44">
        <v>46081</v>
      </c>
      <c r="E654" s="45">
        <v>1581127</v>
      </c>
      <c r="F654" s="45" t="s">
        <v>53</v>
      </c>
      <c r="G654" s="46">
        <v>20012704</v>
      </c>
      <c r="H654" s="45" t="s">
        <v>238</v>
      </c>
      <c r="I654" s="46">
        <v>1</v>
      </c>
      <c r="J654" s="47">
        <v>16.5</v>
      </c>
      <c r="K654" s="47">
        <v>16.5</v>
      </c>
    </row>
    <row r="655" spans="4:11">
      <c r="D655" s="44">
        <v>46081</v>
      </c>
      <c r="E655" s="45">
        <v>1581171</v>
      </c>
      <c r="F655" s="45" t="s">
        <v>77</v>
      </c>
      <c r="G655" s="46">
        <v>20012720</v>
      </c>
      <c r="H655" s="45" t="s">
        <v>341</v>
      </c>
      <c r="I655" s="46">
        <v>1</v>
      </c>
      <c r="J655" s="47">
        <v>28</v>
      </c>
      <c r="K655" s="47">
        <v>28</v>
      </c>
    </row>
    <row r="656" spans="4:11">
      <c r="D656" s="44">
        <v>46081</v>
      </c>
      <c r="E656" s="45">
        <v>1581171</v>
      </c>
      <c r="F656" s="45" t="s">
        <v>77</v>
      </c>
      <c r="G656" s="46">
        <v>20401876</v>
      </c>
      <c r="H656" s="45" t="s">
        <v>426</v>
      </c>
      <c r="I656" s="46">
        <v>1</v>
      </c>
      <c r="J656" s="47">
        <v>28</v>
      </c>
      <c r="K656" s="47">
        <v>28</v>
      </c>
    </row>
    <row r="657" spans="4:11">
      <c r="D657" s="44">
        <v>46081</v>
      </c>
      <c r="E657" s="45">
        <v>1581171</v>
      </c>
      <c r="F657" s="45" t="s">
        <v>77</v>
      </c>
      <c r="G657" s="46">
        <v>20012715</v>
      </c>
      <c r="H657" s="45" t="s">
        <v>355</v>
      </c>
      <c r="I657" s="46">
        <v>1</v>
      </c>
      <c r="J657" s="47">
        <v>28</v>
      </c>
      <c r="K657" s="47">
        <v>28</v>
      </c>
    </row>
    <row r="658" spans="4:11">
      <c r="D658" s="44">
        <v>46081</v>
      </c>
      <c r="E658" s="45">
        <v>1581171</v>
      </c>
      <c r="F658" s="45" t="s">
        <v>77</v>
      </c>
      <c r="G658" s="46">
        <v>20010294</v>
      </c>
      <c r="H658" s="45" t="s">
        <v>356</v>
      </c>
      <c r="I658" s="46">
        <v>1</v>
      </c>
      <c r="J658" s="47">
        <v>44</v>
      </c>
      <c r="K658" s="47">
        <v>44</v>
      </c>
    </row>
    <row r="659" spans="4:11">
      <c r="D659" s="44">
        <v>46081</v>
      </c>
      <c r="E659" s="45">
        <v>1581171</v>
      </c>
      <c r="F659" s="45" t="s">
        <v>77</v>
      </c>
      <c r="G659" s="46">
        <v>20012717</v>
      </c>
      <c r="H659" s="45" t="s">
        <v>343</v>
      </c>
      <c r="I659" s="46">
        <v>1</v>
      </c>
      <c r="J659" s="47">
        <v>28</v>
      </c>
      <c r="K659" s="47">
        <v>28</v>
      </c>
    </row>
    <row r="660" spans="4:11">
      <c r="D660" s="44">
        <v>46081</v>
      </c>
      <c r="E660" s="45">
        <v>1581171</v>
      </c>
      <c r="F660" s="45" t="s">
        <v>77</v>
      </c>
      <c r="G660" s="46">
        <v>20012716</v>
      </c>
      <c r="H660" s="45" t="s">
        <v>345</v>
      </c>
      <c r="I660" s="46">
        <v>1</v>
      </c>
      <c r="J660" s="47">
        <v>28</v>
      </c>
      <c r="K660" s="47">
        <v>28</v>
      </c>
    </row>
    <row r="661" spans="4:11">
      <c r="D661" s="44">
        <v>46081</v>
      </c>
      <c r="E661" s="45">
        <v>1581171</v>
      </c>
      <c r="F661" s="45" t="s">
        <v>331</v>
      </c>
      <c r="G661" s="46">
        <v>20010856</v>
      </c>
      <c r="H661" s="45" t="s">
        <v>427</v>
      </c>
      <c r="I661" s="46">
        <v>1</v>
      </c>
      <c r="J661" s="47">
        <v>231</v>
      </c>
      <c r="K661" s="47">
        <v>231</v>
      </c>
    </row>
    <row r="662" spans="4:11">
      <c r="D662" s="44">
        <v>46081</v>
      </c>
      <c r="E662" s="45">
        <v>1581212</v>
      </c>
      <c r="F662" s="45" t="s">
        <v>105</v>
      </c>
      <c r="G662" s="46">
        <v>20362404</v>
      </c>
      <c r="H662" s="45" t="s">
        <v>335</v>
      </c>
      <c r="I662" s="46">
        <v>1</v>
      </c>
      <c r="J662" s="47">
        <v>8</v>
      </c>
      <c r="K662" s="47">
        <v>8</v>
      </c>
    </row>
    <row r="663" spans="4:11">
      <c r="D663" s="44">
        <v>46081</v>
      </c>
      <c r="E663" s="45">
        <v>1581216</v>
      </c>
      <c r="F663" s="45" t="s">
        <v>77</v>
      </c>
      <c r="G663" s="46">
        <v>20012718</v>
      </c>
      <c r="H663" s="45" t="s">
        <v>307</v>
      </c>
      <c r="I663" s="46">
        <v>1</v>
      </c>
      <c r="J663" s="47">
        <v>35</v>
      </c>
      <c r="K663" s="47">
        <v>35</v>
      </c>
    </row>
    <row r="664" spans="4:11">
      <c r="D664" s="44">
        <v>46081</v>
      </c>
      <c r="E664" s="45">
        <v>1581216</v>
      </c>
      <c r="F664" s="45" t="s">
        <v>310</v>
      </c>
      <c r="G664" s="46">
        <v>20013174</v>
      </c>
      <c r="H664" s="45" t="s">
        <v>418</v>
      </c>
      <c r="I664" s="46">
        <v>1</v>
      </c>
      <c r="J664" s="47">
        <v>28</v>
      </c>
      <c r="K664" s="47">
        <v>28</v>
      </c>
    </row>
    <row r="665" spans="4:11">
      <c r="D665" s="44">
        <v>46081</v>
      </c>
      <c r="E665" s="45">
        <v>1581216</v>
      </c>
      <c r="F665" s="45" t="s">
        <v>310</v>
      </c>
      <c r="G665" s="46">
        <v>20013785</v>
      </c>
      <c r="H665" s="45" t="s">
        <v>312</v>
      </c>
      <c r="I665" s="46">
        <v>1</v>
      </c>
      <c r="J665" s="47">
        <v>88</v>
      </c>
      <c r="K665" s="47">
        <v>88</v>
      </c>
    </row>
    <row r="666" spans="4:11">
      <c r="D666" s="44">
        <v>46081</v>
      </c>
      <c r="E666" s="45">
        <v>1581232</v>
      </c>
      <c r="F666" s="45" t="s">
        <v>235</v>
      </c>
      <c r="G666" s="46">
        <v>20012729</v>
      </c>
      <c r="H666" s="45" t="s">
        <v>247</v>
      </c>
      <c r="I666" s="46">
        <v>1</v>
      </c>
      <c r="J666" s="47">
        <v>68.5</v>
      </c>
      <c r="K666" s="47">
        <v>68.5</v>
      </c>
    </row>
    <row r="667" spans="4:11">
      <c r="D667" s="44">
        <v>46081</v>
      </c>
      <c r="E667" s="45">
        <v>1581232</v>
      </c>
      <c r="F667" s="45" t="s">
        <v>49</v>
      </c>
      <c r="G667" s="46">
        <v>20329146</v>
      </c>
      <c r="H667" s="45" t="s">
        <v>428</v>
      </c>
      <c r="I667" s="46">
        <v>1</v>
      </c>
      <c r="J667" s="47">
        <v>22</v>
      </c>
      <c r="K667" s="47">
        <v>22</v>
      </c>
    </row>
    <row r="668" spans="4:11">
      <c r="D668" s="44">
        <v>46081</v>
      </c>
      <c r="E668" s="45">
        <v>1581232</v>
      </c>
      <c r="F668" s="45" t="s">
        <v>53</v>
      </c>
      <c r="G668" s="46">
        <v>20012704</v>
      </c>
      <c r="H668" s="45" t="s">
        <v>238</v>
      </c>
      <c r="I668" s="46">
        <v>1</v>
      </c>
      <c r="J668" s="47">
        <v>16.5</v>
      </c>
      <c r="K668" s="47">
        <v>16.5</v>
      </c>
    </row>
    <row r="669" spans="4:11">
      <c r="D669" s="44">
        <v>46081</v>
      </c>
      <c r="E669" s="45">
        <v>1581232</v>
      </c>
      <c r="F669" s="45" t="s">
        <v>53</v>
      </c>
      <c r="G669" s="46">
        <v>20414063</v>
      </c>
      <c r="H669" s="45" t="s">
        <v>429</v>
      </c>
      <c r="I669" s="46">
        <v>1</v>
      </c>
      <c r="J669" s="47">
        <v>44</v>
      </c>
      <c r="K669" s="47">
        <v>44</v>
      </c>
    </row>
    <row r="670" spans="4:11">
      <c r="D670" s="44">
        <v>46081</v>
      </c>
      <c r="E670" s="45">
        <v>1581232</v>
      </c>
      <c r="F670" s="45" t="s">
        <v>53</v>
      </c>
      <c r="G670" s="46">
        <v>20414064</v>
      </c>
      <c r="H670" s="45" t="s">
        <v>430</v>
      </c>
      <c r="I670" s="46">
        <v>1</v>
      </c>
      <c r="J670" s="47">
        <v>49.5</v>
      </c>
      <c r="K670" s="47">
        <v>49.5</v>
      </c>
    </row>
  </sheetData>
  <autoFilter xmlns:etc="http://www.wps.cn/officeDocument/2017/etCustomData" ref="A7:K670" etc:filterBottomFollowUsedRange="0">
    <extLst/>
  </autoFilter>
  <mergeCells count="5">
    <mergeCell ref="D8:H8"/>
    <mergeCell ref="C7:C670"/>
    <mergeCell ref="B4:H5"/>
    <mergeCell ref="A7:B670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27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129</v>
      </c>
      <c r="J8" s="43"/>
      <c r="K8" s="43">
        <v>443.5</v>
      </c>
    </row>
    <row r="9" spans="1:11">
      <c r="D9" s="44">
        <v>46055</v>
      </c>
      <c r="E9" s="45">
        <v>1575568</v>
      </c>
      <c r="F9" s="45" t="s">
        <v>59</v>
      </c>
      <c r="G9" s="46">
        <v>20011222</v>
      </c>
      <c r="H9" s="45" t="s">
        <v>84</v>
      </c>
      <c r="I9" s="46">
        <v>21</v>
      </c>
      <c r="J9" s="47">
        <v>2.5</v>
      </c>
      <c r="K9" s="47">
        <v>52.5</v>
      </c>
    </row>
    <row r="10" spans="1:11">
      <c r="D10" s="44">
        <v>46060</v>
      </c>
      <c r="E10" s="45">
        <v>1577012</v>
      </c>
      <c r="F10" s="45" t="s">
        <v>49</v>
      </c>
      <c r="G10" s="46">
        <v>20010116</v>
      </c>
      <c r="H10" s="45" t="s">
        <v>97</v>
      </c>
      <c r="I10" s="46">
        <v>3</v>
      </c>
      <c r="J10" s="47">
        <v>8</v>
      </c>
      <c r="K10" s="47">
        <v>24</v>
      </c>
    </row>
    <row r="11" spans="1:11">
      <c r="D11" s="44">
        <v>46060</v>
      </c>
      <c r="E11" s="45">
        <v>1577012</v>
      </c>
      <c r="F11" s="45" t="s">
        <v>49</v>
      </c>
      <c r="G11" s="46">
        <v>20010429</v>
      </c>
      <c r="H11" s="45" t="s">
        <v>89</v>
      </c>
      <c r="I11" s="46">
        <v>3</v>
      </c>
      <c r="J11" s="47">
        <v>8</v>
      </c>
      <c r="K11" s="47">
        <v>24</v>
      </c>
    </row>
    <row r="12" spans="1:11">
      <c r="D12" s="44">
        <v>46062</v>
      </c>
      <c r="E12" s="45">
        <v>1577429</v>
      </c>
      <c r="F12" s="45" t="s">
        <v>59</v>
      </c>
      <c r="G12" s="46">
        <v>20011222</v>
      </c>
      <c r="H12" s="45" t="s">
        <v>84</v>
      </c>
      <c r="I12" s="46">
        <v>86</v>
      </c>
      <c r="J12" s="47">
        <v>2.5</v>
      </c>
      <c r="K12" s="47">
        <v>215</v>
      </c>
    </row>
    <row r="13" spans="1:11">
      <c r="D13" s="44">
        <v>46064</v>
      </c>
      <c r="E13" s="45">
        <v>1578145</v>
      </c>
      <c r="F13" s="45" t="s">
        <v>49</v>
      </c>
      <c r="G13" s="46">
        <v>20010116</v>
      </c>
      <c r="H13" s="45" t="s">
        <v>97</v>
      </c>
      <c r="I13" s="46">
        <v>3</v>
      </c>
      <c r="J13" s="47">
        <v>8</v>
      </c>
      <c r="K13" s="47">
        <v>24</v>
      </c>
    </row>
    <row r="14" spans="1:11">
      <c r="D14" s="44">
        <v>46072</v>
      </c>
      <c r="E14" s="45">
        <v>1579254</v>
      </c>
      <c r="F14" s="45" t="s">
        <v>49</v>
      </c>
      <c r="G14" s="46">
        <v>20010116</v>
      </c>
      <c r="H14" s="45" t="s">
        <v>97</v>
      </c>
      <c r="I14" s="46">
        <v>4</v>
      </c>
      <c r="J14" s="47">
        <v>8</v>
      </c>
      <c r="K14" s="47">
        <v>32</v>
      </c>
    </row>
    <row r="15" spans="1:11">
      <c r="D15" s="44">
        <v>46072</v>
      </c>
      <c r="E15" s="45">
        <v>1579254</v>
      </c>
      <c r="F15" s="45" t="s">
        <v>49</v>
      </c>
      <c r="G15" s="46">
        <v>20010253</v>
      </c>
      <c r="H15" s="45" t="s">
        <v>89</v>
      </c>
      <c r="I15" s="46">
        <v>3</v>
      </c>
      <c r="J15" s="47">
        <v>8</v>
      </c>
      <c r="K15" s="47">
        <v>24</v>
      </c>
    </row>
    <row r="16" spans="1:11">
      <c r="D16" s="44">
        <v>46078</v>
      </c>
      <c r="E16" s="45">
        <v>1580124</v>
      </c>
      <c r="F16" s="45" t="s">
        <v>49</v>
      </c>
      <c r="G16" s="46">
        <v>20010116</v>
      </c>
      <c r="H16" s="45" t="s">
        <v>97</v>
      </c>
      <c r="I16" s="46">
        <v>3</v>
      </c>
      <c r="J16" s="47">
        <v>8</v>
      </c>
      <c r="K16" s="47">
        <v>24</v>
      </c>
    </row>
    <row r="17" spans="4:11">
      <c r="D17" s="44">
        <v>46078</v>
      </c>
      <c r="E17" s="45">
        <v>1580124</v>
      </c>
      <c r="F17" s="45" t="s">
        <v>49</v>
      </c>
      <c r="G17" s="46">
        <v>20011891</v>
      </c>
      <c r="H17" s="45" t="s">
        <v>431</v>
      </c>
      <c r="I17" s="46">
        <v>1</v>
      </c>
      <c r="J17" s="47">
        <v>8</v>
      </c>
      <c r="K17" s="47">
        <v>8</v>
      </c>
    </row>
    <row r="18" spans="4:11">
      <c r="D18" s="44">
        <v>46078</v>
      </c>
      <c r="E18" s="45">
        <v>1580124</v>
      </c>
      <c r="F18" s="45" t="s">
        <v>49</v>
      </c>
      <c r="G18" s="46">
        <v>20010253</v>
      </c>
      <c r="H18" s="45" t="s">
        <v>89</v>
      </c>
      <c r="I18" s="46">
        <v>2</v>
      </c>
      <c r="J18" s="47">
        <v>8</v>
      </c>
      <c r="K18" s="47">
        <v>16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21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19</v>
      </c>
      <c r="J8" s="43"/>
      <c r="K8" s="43">
        <v>570</v>
      </c>
    </row>
    <row r="9" spans="1:11">
      <c r="D9" s="44">
        <v>46056</v>
      </c>
      <c r="E9" s="45">
        <v>1576005</v>
      </c>
      <c r="F9" s="45" t="s">
        <v>45</v>
      </c>
      <c r="G9" s="46">
        <v>20011500</v>
      </c>
      <c r="H9" s="45" t="s">
        <v>432</v>
      </c>
      <c r="I9" s="46">
        <v>2</v>
      </c>
      <c r="J9" s="47">
        <v>30</v>
      </c>
      <c r="K9" s="47">
        <v>60</v>
      </c>
    </row>
    <row r="10" spans="1:11">
      <c r="D10" s="44">
        <v>46059</v>
      </c>
      <c r="E10" s="45">
        <v>1576937</v>
      </c>
      <c r="F10" s="45" t="s">
        <v>45</v>
      </c>
      <c r="G10" s="46">
        <v>20010579</v>
      </c>
      <c r="H10" s="45" t="s">
        <v>433</v>
      </c>
      <c r="I10" s="46">
        <v>3</v>
      </c>
      <c r="J10" s="47">
        <v>30</v>
      </c>
      <c r="K10" s="47">
        <v>90</v>
      </c>
    </row>
    <row r="11" spans="1:11">
      <c r="D11" s="44">
        <v>46064</v>
      </c>
      <c r="E11" s="45">
        <v>1578146</v>
      </c>
      <c r="F11" s="45" t="s">
        <v>45</v>
      </c>
      <c r="G11" s="46">
        <v>20011500</v>
      </c>
      <c r="H11" s="45" t="s">
        <v>432</v>
      </c>
      <c r="I11" s="46">
        <v>3</v>
      </c>
      <c r="J11" s="47">
        <v>30</v>
      </c>
      <c r="K11" s="47">
        <v>90</v>
      </c>
    </row>
    <row r="12" spans="1:11">
      <c r="D12" s="44">
        <v>46067</v>
      </c>
      <c r="E12" s="45">
        <v>1578941</v>
      </c>
      <c r="F12" s="45" t="s">
        <v>45</v>
      </c>
      <c r="G12" s="46">
        <v>20011500</v>
      </c>
      <c r="H12" s="45" t="s">
        <v>432</v>
      </c>
      <c r="I12" s="46">
        <v>3</v>
      </c>
      <c r="J12" s="47">
        <v>30</v>
      </c>
      <c r="K12" s="47">
        <v>90</v>
      </c>
    </row>
    <row r="13" spans="1:11">
      <c r="D13" s="44">
        <v>46078</v>
      </c>
      <c r="E13" s="45">
        <v>1580125</v>
      </c>
      <c r="F13" s="45" t="s">
        <v>45</v>
      </c>
      <c r="G13" s="46">
        <v>20010579</v>
      </c>
      <c r="H13" s="45" t="s">
        <v>433</v>
      </c>
      <c r="I13" s="46">
        <v>4</v>
      </c>
      <c r="J13" s="47">
        <v>30</v>
      </c>
      <c r="K13" s="47">
        <v>120</v>
      </c>
    </row>
    <row r="14" spans="1:11">
      <c r="D14" s="44">
        <v>46081</v>
      </c>
      <c r="E14" s="45">
        <v>1581087</v>
      </c>
      <c r="F14" s="45" t="s">
        <v>45</v>
      </c>
      <c r="G14" s="46">
        <v>20011500</v>
      </c>
      <c r="H14" s="45" t="s">
        <v>432</v>
      </c>
      <c r="I14" s="46">
        <v>3</v>
      </c>
      <c r="J14" s="47">
        <v>30</v>
      </c>
      <c r="K14" s="47">
        <v>90</v>
      </c>
    </row>
    <row r="15" spans="1:11">
      <c r="D15" s="44">
        <v>46081</v>
      </c>
      <c r="E15" s="45">
        <v>1581087</v>
      </c>
      <c r="F15" s="45" t="s">
        <v>45</v>
      </c>
      <c r="G15" s="46">
        <v>20010579</v>
      </c>
      <c r="H15" s="45" t="s">
        <v>433</v>
      </c>
      <c r="I15" s="46">
        <v>1</v>
      </c>
      <c r="J15" s="47">
        <v>30</v>
      </c>
      <c r="K15" s="47">
        <v>30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23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1</v>
      </c>
      <c r="J8" s="43"/>
      <c r="K8" s="43">
        <v>35</v>
      </c>
    </row>
    <row r="9" spans="1:11">
      <c r="D9" s="44">
        <v>46058</v>
      </c>
      <c r="E9" s="45">
        <v>1576367</v>
      </c>
      <c r="F9" s="45" t="s">
        <v>77</v>
      </c>
      <c r="G9" s="46">
        <v>20315072</v>
      </c>
      <c r="H9" s="45" t="s">
        <v>434</v>
      </c>
      <c r="I9" s="46">
        <v>1</v>
      </c>
      <c r="J9" s="47">
        <v>35</v>
      </c>
      <c r="K9" s="47">
        <v>35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435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10</v>
      </c>
      <c r="J8" s="43"/>
      <c r="K8" s="43">
        <v>80</v>
      </c>
    </row>
    <row r="9" spans="1:11">
      <c r="D9" s="44">
        <v>46056</v>
      </c>
      <c r="E9" s="45">
        <v>1576006</v>
      </c>
      <c r="F9" s="45" t="s">
        <v>49</v>
      </c>
      <c r="G9" s="46">
        <v>20015226</v>
      </c>
      <c r="H9" s="45" t="s">
        <v>98</v>
      </c>
      <c r="I9" s="46">
        <v>3</v>
      </c>
      <c r="J9" s="47">
        <v>8</v>
      </c>
      <c r="K9" s="47">
        <v>24</v>
      </c>
    </row>
    <row r="10" spans="1:11">
      <c r="D10" s="44">
        <v>46056</v>
      </c>
      <c r="E10" s="45">
        <v>1576006</v>
      </c>
      <c r="F10" s="45" t="s">
        <v>49</v>
      </c>
      <c r="G10" s="46">
        <v>20010429</v>
      </c>
      <c r="H10" s="45" t="s">
        <v>89</v>
      </c>
      <c r="I10" s="46">
        <v>2</v>
      </c>
      <c r="J10" s="47">
        <v>8</v>
      </c>
      <c r="K10" s="47">
        <v>16</v>
      </c>
    </row>
    <row r="11" spans="1:11">
      <c r="D11" s="44">
        <v>46074</v>
      </c>
      <c r="E11" s="45">
        <v>1579400</v>
      </c>
      <c r="F11" s="45" t="s">
        <v>49</v>
      </c>
      <c r="G11" s="46">
        <v>20015226</v>
      </c>
      <c r="H11" s="45" t="s">
        <v>98</v>
      </c>
      <c r="I11" s="46">
        <v>2</v>
      </c>
      <c r="J11" s="47">
        <v>8</v>
      </c>
      <c r="K11" s="47">
        <v>16</v>
      </c>
    </row>
    <row r="12" spans="1:11">
      <c r="D12" s="44">
        <v>46074</v>
      </c>
      <c r="E12" s="45">
        <v>1579400</v>
      </c>
      <c r="F12" s="45" t="s">
        <v>49</v>
      </c>
      <c r="G12" s="46">
        <v>20010429</v>
      </c>
      <c r="H12" s="45" t="s">
        <v>89</v>
      </c>
      <c r="I12" s="46">
        <v>3</v>
      </c>
      <c r="J12" s="47">
        <v>8</v>
      </c>
      <c r="K12" s="47">
        <v>24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11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44</v>
      </c>
      <c r="J8" s="43"/>
      <c r="K8" s="43">
        <v>460.5</v>
      </c>
    </row>
    <row r="9" spans="1:11">
      <c r="D9" s="44">
        <v>46056</v>
      </c>
      <c r="E9" s="45">
        <v>1575653</v>
      </c>
      <c r="F9" s="45" t="s">
        <v>49</v>
      </c>
      <c r="G9" s="46">
        <v>20010637</v>
      </c>
      <c r="H9" s="45" t="s">
        <v>436</v>
      </c>
      <c r="I9" s="46">
        <v>5</v>
      </c>
      <c r="J9" s="47">
        <v>8</v>
      </c>
      <c r="K9" s="47">
        <v>40</v>
      </c>
    </row>
    <row r="10" spans="1:11">
      <c r="D10" s="44">
        <v>46056</v>
      </c>
      <c r="E10" s="45">
        <v>1575653</v>
      </c>
      <c r="F10" s="45" t="s">
        <v>49</v>
      </c>
      <c r="G10" s="46">
        <v>20010638</v>
      </c>
      <c r="H10" s="45" t="s">
        <v>437</v>
      </c>
      <c r="I10" s="46">
        <v>2</v>
      </c>
      <c r="J10" s="47">
        <v>8</v>
      </c>
      <c r="K10" s="47">
        <v>16</v>
      </c>
    </row>
    <row r="11" spans="1:11">
      <c r="D11" s="44">
        <v>46056</v>
      </c>
      <c r="E11" s="45">
        <v>1575653</v>
      </c>
      <c r="F11" s="45" t="s">
        <v>49</v>
      </c>
      <c r="G11" s="46">
        <v>20011324</v>
      </c>
      <c r="H11" s="45" t="s">
        <v>438</v>
      </c>
      <c r="I11" s="46">
        <v>1</v>
      </c>
      <c r="J11" s="47">
        <v>8</v>
      </c>
      <c r="K11" s="47">
        <v>8</v>
      </c>
    </row>
    <row r="12" spans="1:11">
      <c r="D12" s="44">
        <v>46056</v>
      </c>
      <c r="E12" s="45">
        <v>1575653</v>
      </c>
      <c r="F12" s="45" t="s">
        <v>49</v>
      </c>
      <c r="G12" s="46">
        <v>20011322</v>
      </c>
      <c r="H12" s="45" t="s">
        <v>439</v>
      </c>
      <c r="I12" s="46">
        <v>2</v>
      </c>
      <c r="J12" s="47">
        <v>8</v>
      </c>
      <c r="K12" s="47">
        <v>16</v>
      </c>
    </row>
    <row r="13" spans="1:11">
      <c r="D13" s="44">
        <v>46056</v>
      </c>
      <c r="E13" s="45">
        <v>1575653</v>
      </c>
      <c r="F13" s="45" t="s">
        <v>49</v>
      </c>
      <c r="G13" s="46">
        <v>20010030</v>
      </c>
      <c r="H13" s="45" t="s">
        <v>440</v>
      </c>
      <c r="I13" s="46">
        <v>1</v>
      </c>
      <c r="J13" s="47">
        <v>8</v>
      </c>
      <c r="K13" s="47">
        <v>8</v>
      </c>
    </row>
    <row r="14" spans="1:11">
      <c r="D14" s="44">
        <v>46056</v>
      </c>
      <c r="E14" s="45">
        <v>1575653</v>
      </c>
      <c r="F14" s="45" t="s">
        <v>47</v>
      </c>
      <c r="G14" s="46">
        <v>20010205</v>
      </c>
      <c r="H14" s="45" t="s">
        <v>441</v>
      </c>
      <c r="I14" s="46">
        <v>1</v>
      </c>
      <c r="J14" s="47">
        <v>27.5</v>
      </c>
      <c r="K14" s="47">
        <v>27.5</v>
      </c>
    </row>
    <row r="15" spans="1:11">
      <c r="D15" s="44">
        <v>46061</v>
      </c>
      <c r="E15" s="45">
        <v>1577196</v>
      </c>
      <c r="F15" s="45" t="s">
        <v>49</v>
      </c>
      <c r="G15" s="46">
        <v>20010637</v>
      </c>
      <c r="H15" s="45" t="s">
        <v>436</v>
      </c>
      <c r="I15" s="46">
        <v>2</v>
      </c>
      <c r="J15" s="47">
        <v>8</v>
      </c>
      <c r="K15" s="47">
        <v>16</v>
      </c>
    </row>
    <row r="16" spans="1:11">
      <c r="D16" s="44">
        <v>46061</v>
      </c>
      <c r="E16" s="45">
        <v>1577196</v>
      </c>
      <c r="F16" s="45" t="s">
        <v>49</v>
      </c>
      <c r="G16" s="46">
        <v>20010638</v>
      </c>
      <c r="H16" s="45" t="s">
        <v>437</v>
      </c>
      <c r="I16" s="46">
        <v>4</v>
      </c>
      <c r="J16" s="47">
        <v>8</v>
      </c>
      <c r="K16" s="47">
        <v>32</v>
      </c>
    </row>
    <row r="17" spans="4:11">
      <c r="D17" s="44">
        <v>46061</v>
      </c>
      <c r="E17" s="45">
        <v>1577196</v>
      </c>
      <c r="F17" s="45" t="s">
        <v>47</v>
      </c>
      <c r="G17" s="46">
        <v>20370124</v>
      </c>
      <c r="H17" s="45" t="s">
        <v>442</v>
      </c>
      <c r="I17" s="46">
        <v>1</v>
      </c>
      <c r="J17" s="47">
        <v>33</v>
      </c>
      <c r="K17" s="47">
        <v>33</v>
      </c>
    </row>
    <row r="18" spans="4:11">
      <c r="D18" s="44">
        <v>46065</v>
      </c>
      <c r="E18" s="45">
        <v>1578495</v>
      </c>
      <c r="F18" s="45" t="s">
        <v>49</v>
      </c>
      <c r="G18" s="46">
        <v>20010149</v>
      </c>
      <c r="H18" s="45" t="s">
        <v>211</v>
      </c>
      <c r="I18" s="46">
        <v>1</v>
      </c>
      <c r="J18" s="47">
        <v>8</v>
      </c>
      <c r="K18" s="47">
        <v>8</v>
      </c>
    </row>
    <row r="19" spans="4:11">
      <c r="D19" s="44">
        <v>46065</v>
      </c>
      <c r="E19" s="45">
        <v>1578495</v>
      </c>
      <c r="F19" s="45" t="s">
        <v>49</v>
      </c>
      <c r="G19" s="46">
        <v>20010637</v>
      </c>
      <c r="H19" s="45" t="s">
        <v>436</v>
      </c>
      <c r="I19" s="46">
        <v>2</v>
      </c>
      <c r="J19" s="47">
        <v>8</v>
      </c>
      <c r="K19" s="47">
        <v>16</v>
      </c>
    </row>
    <row r="20" spans="4:11">
      <c r="D20" s="44">
        <v>46065</v>
      </c>
      <c r="E20" s="45">
        <v>1578495</v>
      </c>
      <c r="F20" s="45" t="s">
        <v>49</v>
      </c>
      <c r="G20" s="46">
        <v>20010638</v>
      </c>
      <c r="H20" s="45" t="s">
        <v>437</v>
      </c>
      <c r="I20" s="46">
        <v>4</v>
      </c>
      <c r="J20" s="47">
        <v>8</v>
      </c>
      <c r="K20" s="47">
        <v>32</v>
      </c>
    </row>
    <row r="21" spans="4:11">
      <c r="D21" s="44">
        <v>46065</v>
      </c>
      <c r="E21" s="45">
        <v>1578495</v>
      </c>
      <c r="F21" s="45" t="s">
        <v>49</v>
      </c>
      <c r="G21" s="46">
        <v>20011324</v>
      </c>
      <c r="H21" s="45" t="s">
        <v>438</v>
      </c>
      <c r="I21" s="46">
        <v>1</v>
      </c>
      <c r="J21" s="47">
        <v>8</v>
      </c>
      <c r="K21" s="47">
        <v>8</v>
      </c>
    </row>
    <row r="22" spans="4:11">
      <c r="D22" s="44">
        <v>46067</v>
      </c>
      <c r="E22" s="45">
        <v>1578993</v>
      </c>
      <c r="F22" s="45" t="s">
        <v>47</v>
      </c>
      <c r="G22" s="46">
        <v>20010205</v>
      </c>
      <c r="H22" s="45" t="s">
        <v>441</v>
      </c>
      <c r="I22" s="46">
        <v>1</v>
      </c>
      <c r="J22" s="47">
        <v>27.5</v>
      </c>
      <c r="K22" s="47">
        <v>27.5</v>
      </c>
    </row>
    <row r="23" spans="4:11">
      <c r="D23" s="44">
        <v>46067</v>
      </c>
      <c r="E23" s="45">
        <v>1578993</v>
      </c>
      <c r="F23" s="45" t="s">
        <v>59</v>
      </c>
      <c r="G23" s="46">
        <v>20010545</v>
      </c>
      <c r="H23" s="45" t="s">
        <v>84</v>
      </c>
      <c r="I23" s="46">
        <v>4</v>
      </c>
      <c r="J23" s="47">
        <v>2.5</v>
      </c>
      <c r="K23" s="47">
        <v>10</v>
      </c>
    </row>
    <row r="24" spans="4:11">
      <c r="D24" s="44">
        <v>46072</v>
      </c>
      <c r="E24" s="45">
        <v>1579255</v>
      </c>
      <c r="F24" s="45" t="s">
        <v>49</v>
      </c>
      <c r="G24" s="46">
        <v>20014603</v>
      </c>
      <c r="H24" s="45" t="s">
        <v>443</v>
      </c>
      <c r="I24" s="46">
        <v>4</v>
      </c>
      <c r="J24" s="47">
        <v>13.5</v>
      </c>
      <c r="K24" s="47">
        <v>54</v>
      </c>
    </row>
    <row r="25" spans="4:11">
      <c r="D25" s="44">
        <v>46074</v>
      </c>
      <c r="E25" s="45">
        <v>1579401</v>
      </c>
      <c r="F25" s="45" t="s">
        <v>49</v>
      </c>
      <c r="G25" s="46">
        <v>20011322</v>
      </c>
      <c r="H25" s="45" t="s">
        <v>439</v>
      </c>
      <c r="I25" s="46">
        <v>1</v>
      </c>
      <c r="J25" s="47">
        <v>8</v>
      </c>
      <c r="K25" s="47">
        <v>8</v>
      </c>
    </row>
    <row r="26" spans="4:11">
      <c r="D26" s="44">
        <v>46074</v>
      </c>
      <c r="E26" s="45">
        <v>1579401</v>
      </c>
      <c r="F26" s="45" t="s">
        <v>49</v>
      </c>
      <c r="G26" s="46">
        <v>20010030</v>
      </c>
      <c r="H26" s="45" t="s">
        <v>440</v>
      </c>
      <c r="I26" s="46">
        <v>1</v>
      </c>
      <c r="J26" s="47">
        <v>8</v>
      </c>
      <c r="K26" s="47">
        <v>8</v>
      </c>
    </row>
    <row r="27" spans="4:11">
      <c r="D27" s="44">
        <v>46074</v>
      </c>
      <c r="E27" s="45">
        <v>1579401</v>
      </c>
      <c r="F27" s="45" t="s">
        <v>47</v>
      </c>
      <c r="G27" s="46">
        <v>20010205</v>
      </c>
      <c r="H27" s="45" t="s">
        <v>441</v>
      </c>
      <c r="I27" s="46">
        <v>1</v>
      </c>
      <c r="J27" s="47">
        <v>27.5</v>
      </c>
      <c r="K27" s="47">
        <v>27.5</v>
      </c>
    </row>
    <row r="28" spans="4:11">
      <c r="D28" s="44">
        <v>46077</v>
      </c>
      <c r="E28" s="45">
        <v>1579833</v>
      </c>
      <c r="F28" s="45" t="s">
        <v>49</v>
      </c>
      <c r="G28" s="46">
        <v>20010149</v>
      </c>
      <c r="H28" s="45" t="s">
        <v>211</v>
      </c>
      <c r="I28" s="46">
        <v>1</v>
      </c>
      <c r="J28" s="47">
        <v>8</v>
      </c>
      <c r="K28" s="47">
        <v>8</v>
      </c>
    </row>
    <row r="29" spans="4:11">
      <c r="D29" s="44">
        <v>46077</v>
      </c>
      <c r="E29" s="45">
        <v>1579833</v>
      </c>
      <c r="F29" s="45" t="s">
        <v>49</v>
      </c>
      <c r="G29" s="46">
        <v>20010637</v>
      </c>
      <c r="H29" s="45" t="s">
        <v>436</v>
      </c>
      <c r="I29" s="46">
        <v>2</v>
      </c>
      <c r="J29" s="47">
        <v>8</v>
      </c>
      <c r="K29" s="47">
        <v>16</v>
      </c>
    </row>
    <row r="30" spans="4:11">
      <c r="D30" s="44">
        <v>46077</v>
      </c>
      <c r="E30" s="45">
        <v>1579833</v>
      </c>
      <c r="F30" s="45" t="s">
        <v>49</v>
      </c>
      <c r="G30" s="46">
        <v>20010638</v>
      </c>
      <c r="H30" s="45" t="s">
        <v>437</v>
      </c>
      <c r="I30" s="46">
        <v>1</v>
      </c>
      <c r="J30" s="47">
        <v>8</v>
      </c>
      <c r="K30" s="47">
        <v>8</v>
      </c>
    </row>
    <row r="31" spans="4:11">
      <c r="D31" s="44">
        <v>46077</v>
      </c>
      <c r="E31" s="45">
        <v>1579833</v>
      </c>
      <c r="F31" s="45" t="s">
        <v>47</v>
      </c>
      <c r="G31" s="46">
        <v>20370124</v>
      </c>
      <c r="H31" s="45" t="s">
        <v>442</v>
      </c>
      <c r="I31" s="46">
        <v>1</v>
      </c>
      <c r="J31" s="47">
        <v>33</v>
      </c>
      <c r="K31" s="47">
        <v>33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34" t="s">
        <v>33</v>
      </c>
    </row>
    <row r="2" ht="23.05" customHeight="1"/>
    <row r="3" ht="2" customHeight="1"/>
    <row r="4" ht="15.2" customHeight="1" spans="1:11">
      <c r="B4" s="35" t="s">
        <v>34</v>
      </c>
    </row>
    <row r="6" ht="2.95" customHeight="1"/>
    <row r="7" spans="1:11">
      <c r="A7" s="36" t="s">
        <v>35</v>
      </c>
      <c r="B7" s="37" t="s">
        <v>35</v>
      </c>
      <c r="C7" s="38" t="s">
        <v>35</v>
      </c>
      <c r="D7" s="39" t="s">
        <v>37</v>
      </c>
      <c r="E7" s="39" t="s">
        <v>38</v>
      </c>
      <c r="F7" s="39" t="s">
        <v>39</v>
      </c>
      <c r="G7" s="39" t="s">
        <v>40</v>
      </c>
      <c r="H7" s="39" t="s">
        <v>41</v>
      </c>
      <c r="I7" s="39" t="s">
        <v>42</v>
      </c>
      <c r="J7" s="39" t="s">
        <v>43</v>
      </c>
      <c r="K7" s="39" t="s">
        <v>44</v>
      </c>
    </row>
    <row r="8" ht="14.25" spans="1:11">
      <c r="D8" s="40" t="s">
        <v>24</v>
      </c>
      <c r="E8" s="41" t="s">
        <v>35</v>
      </c>
      <c r="F8" s="41" t="s">
        <v>35</v>
      </c>
      <c r="G8" s="41" t="s">
        <v>35</v>
      </c>
      <c r="H8" s="41" t="s">
        <v>35</v>
      </c>
      <c r="I8" s="42">
        <v>70</v>
      </c>
      <c r="J8" s="43"/>
      <c r="K8" s="43">
        <v>786</v>
      </c>
    </row>
    <row r="9" spans="1:11">
      <c r="D9" s="44">
        <v>46056</v>
      </c>
      <c r="E9" s="45">
        <v>1575654</v>
      </c>
      <c r="F9" s="45" t="s">
        <v>49</v>
      </c>
      <c r="G9" s="46">
        <v>20325057</v>
      </c>
      <c r="H9" s="45" t="s">
        <v>444</v>
      </c>
      <c r="I9" s="46">
        <v>5</v>
      </c>
      <c r="J9" s="47">
        <v>16.5</v>
      </c>
      <c r="K9" s="47">
        <v>82.5</v>
      </c>
    </row>
    <row r="10" spans="1:11">
      <c r="D10" s="44">
        <v>46056</v>
      </c>
      <c r="E10" s="45">
        <v>1575654</v>
      </c>
      <c r="F10" s="45" t="s">
        <v>49</v>
      </c>
      <c r="G10" s="46">
        <v>20323562</v>
      </c>
      <c r="H10" s="45" t="s">
        <v>445</v>
      </c>
      <c r="I10" s="46">
        <v>1</v>
      </c>
      <c r="J10" s="47">
        <v>8</v>
      </c>
      <c r="K10" s="47">
        <v>8</v>
      </c>
    </row>
    <row r="11" spans="1:11">
      <c r="D11" s="44">
        <v>46056</v>
      </c>
      <c r="E11" s="45">
        <v>1575654</v>
      </c>
      <c r="F11" s="45" t="s">
        <v>49</v>
      </c>
      <c r="G11" s="46">
        <v>20011321</v>
      </c>
      <c r="H11" s="45" t="s">
        <v>446</v>
      </c>
      <c r="I11" s="46">
        <v>3</v>
      </c>
      <c r="J11" s="47">
        <v>8</v>
      </c>
      <c r="K11" s="47">
        <v>24</v>
      </c>
    </row>
    <row r="12" spans="1:11">
      <c r="D12" s="44">
        <v>46056</v>
      </c>
      <c r="E12" s="45">
        <v>1575654</v>
      </c>
      <c r="F12" s="45" t="s">
        <v>49</v>
      </c>
      <c r="G12" s="46">
        <v>20411489</v>
      </c>
      <c r="H12" s="45" t="s">
        <v>447</v>
      </c>
      <c r="I12" s="46">
        <v>1</v>
      </c>
      <c r="J12" s="47">
        <v>8</v>
      </c>
      <c r="K12" s="47">
        <v>8</v>
      </c>
    </row>
    <row r="13" spans="1:11">
      <c r="D13" s="44">
        <v>46056</v>
      </c>
      <c r="E13" s="45">
        <v>1575654</v>
      </c>
      <c r="F13" s="45" t="s">
        <v>49</v>
      </c>
      <c r="G13" s="46">
        <v>20355763</v>
      </c>
      <c r="H13" s="45" t="s">
        <v>225</v>
      </c>
      <c r="I13" s="46">
        <v>1</v>
      </c>
      <c r="J13" s="47">
        <v>8</v>
      </c>
      <c r="K13" s="47">
        <v>8</v>
      </c>
    </row>
    <row r="14" spans="1:11">
      <c r="D14" s="44">
        <v>46056</v>
      </c>
      <c r="E14" s="45">
        <v>1575654</v>
      </c>
      <c r="F14" s="45" t="s">
        <v>49</v>
      </c>
      <c r="G14" s="46">
        <v>20320670</v>
      </c>
      <c r="H14" s="45" t="s">
        <v>448</v>
      </c>
      <c r="I14" s="46">
        <v>4</v>
      </c>
      <c r="J14" s="47">
        <v>8</v>
      </c>
      <c r="K14" s="47">
        <v>32</v>
      </c>
    </row>
    <row r="15" spans="1:11">
      <c r="D15" s="44">
        <v>46056</v>
      </c>
      <c r="E15" s="45">
        <v>1575654</v>
      </c>
      <c r="F15" s="45" t="s">
        <v>49</v>
      </c>
      <c r="G15" s="46">
        <v>20010429</v>
      </c>
      <c r="H15" s="45" t="s">
        <v>89</v>
      </c>
      <c r="I15" s="46">
        <v>2</v>
      </c>
      <c r="J15" s="47">
        <v>8</v>
      </c>
      <c r="K15" s="47">
        <v>16</v>
      </c>
    </row>
    <row r="16" spans="1:11">
      <c r="D16" s="44">
        <v>46057</v>
      </c>
      <c r="E16" s="45">
        <v>1576328</v>
      </c>
      <c r="F16" s="45" t="s">
        <v>49</v>
      </c>
      <c r="G16" s="46">
        <v>20325057</v>
      </c>
      <c r="H16" s="45" t="s">
        <v>444</v>
      </c>
      <c r="I16" s="46">
        <v>2</v>
      </c>
      <c r="J16" s="47">
        <v>16.5</v>
      </c>
      <c r="K16" s="47">
        <v>33</v>
      </c>
    </row>
    <row r="17" spans="4:11">
      <c r="D17" s="44">
        <v>46057</v>
      </c>
      <c r="E17" s="45">
        <v>1576328</v>
      </c>
      <c r="F17" s="45" t="s">
        <v>49</v>
      </c>
      <c r="G17" s="46">
        <v>20355763</v>
      </c>
      <c r="H17" s="45" t="s">
        <v>225</v>
      </c>
      <c r="I17" s="46">
        <v>1</v>
      </c>
      <c r="J17" s="47">
        <v>8</v>
      </c>
      <c r="K17" s="47">
        <v>8</v>
      </c>
    </row>
    <row r="18" spans="4:11">
      <c r="D18" s="44">
        <v>46057</v>
      </c>
      <c r="E18" s="45">
        <v>1576328</v>
      </c>
      <c r="F18" s="45" t="s">
        <v>49</v>
      </c>
      <c r="G18" s="46">
        <v>20320670</v>
      </c>
      <c r="H18" s="45" t="s">
        <v>448</v>
      </c>
      <c r="I18" s="46">
        <v>1</v>
      </c>
      <c r="J18" s="47">
        <v>8</v>
      </c>
      <c r="K18" s="47">
        <v>8</v>
      </c>
    </row>
    <row r="19" spans="4:11">
      <c r="D19" s="44">
        <v>46057</v>
      </c>
      <c r="E19" s="45">
        <v>1576328</v>
      </c>
      <c r="F19" s="45" t="s">
        <v>49</v>
      </c>
      <c r="G19" s="46">
        <v>20010429</v>
      </c>
      <c r="H19" s="45" t="s">
        <v>89</v>
      </c>
      <c r="I19" s="46">
        <v>2</v>
      </c>
      <c r="J19" s="47">
        <v>8</v>
      </c>
      <c r="K19" s="47">
        <v>16</v>
      </c>
    </row>
    <row r="20" spans="4:11">
      <c r="D20" s="44">
        <v>46062</v>
      </c>
      <c r="E20" s="45">
        <v>1577519</v>
      </c>
      <c r="F20" s="45" t="s">
        <v>49</v>
      </c>
      <c r="G20" s="46">
        <v>20325057</v>
      </c>
      <c r="H20" s="45" t="s">
        <v>444</v>
      </c>
      <c r="I20" s="46">
        <v>4</v>
      </c>
      <c r="J20" s="47">
        <v>16.5</v>
      </c>
      <c r="K20" s="47">
        <v>66</v>
      </c>
    </row>
    <row r="21" spans="4:11">
      <c r="D21" s="44">
        <v>46062</v>
      </c>
      <c r="E21" s="45">
        <v>1577519</v>
      </c>
      <c r="F21" s="45" t="s">
        <v>49</v>
      </c>
      <c r="G21" s="46">
        <v>20323562</v>
      </c>
      <c r="H21" s="45" t="s">
        <v>445</v>
      </c>
      <c r="I21" s="46">
        <v>1</v>
      </c>
      <c r="J21" s="47">
        <v>8</v>
      </c>
      <c r="K21" s="47">
        <v>8</v>
      </c>
    </row>
    <row r="22" spans="4:11">
      <c r="D22" s="44">
        <v>46062</v>
      </c>
      <c r="E22" s="45">
        <v>1577519</v>
      </c>
      <c r="F22" s="45" t="s">
        <v>49</v>
      </c>
      <c r="G22" s="46">
        <v>20011321</v>
      </c>
      <c r="H22" s="45" t="s">
        <v>446</v>
      </c>
      <c r="I22" s="46">
        <v>2</v>
      </c>
      <c r="J22" s="47">
        <v>8</v>
      </c>
      <c r="K22" s="47">
        <v>16</v>
      </c>
    </row>
    <row r="23" spans="4:11">
      <c r="D23" s="44">
        <v>46062</v>
      </c>
      <c r="E23" s="45">
        <v>1577519</v>
      </c>
      <c r="F23" s="45" t="s">
        <v>49</v>
      </c>
      <c r="G23" s="46">
        <v>20320670</v>
      </c>
      <c r="H23" s="45" t="s">
        <v>448</v>
      </c>
      <c r="I23" s="46">
        <v>6</v>
      </c>
      <c r="J23" s="47">
        <v>8</v>
      </c>
      <c r="K23" s="47">
        <v>48</v>
      </c>
    </row>
    <row r="24" spans="4:11">
      <c r="D24" s="44">
        <v>46062</v>
      </c>
      <c r="E24" s="45">
        <v>1577519</v>
      </c>
      <c r="F24" s="45" t="s">
        <v>49</v>
      </c>
      <c r="G24" s="46">
        <v>20010429</v>
      </c>
      <c r="H24" s="45" t="s">
        <v>89</v>
      </c>
      <c r="I24" s="46">
        <v>3</v>
      </c>
      <c r="J24" s="47">
        <v>8</v>
      </c>
      <c r="K24" s="47">
        <v>24</v>
      </c>
    </row>
    <row r="25" spans="4:11">
      <c r="D25" s="44">
        <v>46065</v>
      </c>
      <c r="E25" s="45">
        <v>1578496</v>
      </c>
      <c r="F25" s="45" t="s">
        <v>49</v>
      </c>
      <c r="G25" s="46">
        <v>20325057</v>
      </c>
      <c r="H25" s="45" t="s">
        <v>444</v>
      </c>
      <c r="I25" s="46">
        <v>2</v>
      </c>
      <c r="J25" s="47">
        <v>16.5</v>
      </c>
      <c r="K25" s="47">
        <v>33</v>
      </c>
    </row>
    <row r="26" spans="4:11">
      <c r="D26" s="44">
        <v>46065</v>
      </c>
      <c r="E26" s="45">
        <v>1578496</v>
      </c>
      <c r="F26" s="45" t="s">
        <v>49</v>
      </c>
      <c r="G26" s="46">
        <v>20011321</v>
      </c>
      <c r="H26" s="45" t="s">
        <v>446</v>
      </c>
      <c r="I26" s="46">
        <v>1</v>
      </c>
      <c r="J26" s="47">
        <v>8</v>
      </c>
      <c r="K26" s="47">
        <v>8</v>
      </c>
    </row>
    <row r="27" spans="4:11">
      <c r="D27" s="44">
        <v>46065</v>
      </c>
      <c r="E27" s="45">
        <v>1578496</v>
      </c>
      <c r="F27" s="45" t="s">
        <v>49</v>
      </c>
      <c r="G27" s="46">
        <v>20320670</v>
      </c>
      <c r="H27" s="45" t="s">
        <v>448</v>
      </c>
      <c r="I27" s="46">
        <v>3</v>
      </c>
      <c r="J27" s="47">
        <v>8</v>
      </c>
      <c r="K27" s="47">
        <v>24</v>
      </c>
    </row>
    <row r="28" spans="4:11">
      <c r="D28" s="44">
        <v>46067</v>
      </c>
      <c r="E28" s="45">
        <v>1578994</v>
      </c>
      <c r="F28" s="45" t="s">
        <v>49</v>
      </c>
      <c r="G28" s="46">
        <v>20325057</v>
      </c>
      <c r="H28" s="45" t="s">
        <v>444</v>
      </c>
      <c r="I28" s="46">
        <v>5</v>
      </c>
      <c r="J28" s="47">
        <v>16.5</v>
      </c>
      <c r="K28" s="47">
        <v>82.5</v>
      </c>
    </row>
    <row r="29" spans="4:11">
      <c r="D29" s="44">
        <v>46067</v>
      </c>
      <c r="E29" s="45">
        <v>1578994</v>
      </c>
      <c r="F29" s="45" t="s">
        <v>49</v>
      </c>
      <c r="G29" s="46">
        <v>20011321</v>
      </c>
      <c r="H29" s="45" t="s">
        <v>446</v>
      </c>
      <c r="I29" s="46">
        <v>1</v>
      </c>
      <c r="J29" s="47">
        <v>8</v>
      </c>
      <c r="K29" s="47">
        <v>8</v>
      </c>
    </row>
    <row r="30" spans="4:11">
      <c r="D30" s="44">
        <v>46067</v>
      </c>
      <c r="E30" s="45">
        <v>1578994</v>
      </c>
      <c r="F30" s="45" t="s">
        <v>49</v>
      </c>
      <c r="G30" s="46">
        <v>20324096</v>
      </c>
      <c r="H30" s="45" t="s">
        <v>449</v>
      </c>
      <c r="I30" s="46">
        <v>1</v>
      </c>
      <c r="J30" s="47">
        <v>16.5</v>
      </c>
      <c r="K30" s="47">
        <v>16.5</v>
      </c>
    </row>
    <row r="31" spans="4:11">
      <c r="D31" s="44">
        <v>46067</v>
      </c>
      <c r="E31" s="45">
        <v>1578994</v>
      </c>
      <c r="F31" s="45" t="s">
        <v>49</v>
      </c>
      <c r="G31" s="46">
        <v>20355763</v>
      </c>
      <c r="H31" s="45" t="s">
        <v>225</v>
      </c>
      <c r="I31" s="46">
        <v>1</v>
      </c>
      <c r="J31" s="47">
        <v>8</v>
      </c>
      <c r="K31" s="47">
        <v>8</v>
      </c>
    </row>
    <row r="32" spans="4:11">
      <c r="D32" s="44">
        <v>46067</v>
      </c>
      <c r="E32" s="45">
        <v>1578994</v>
      </c>
      <c r="F32" s="45" t="s">
        <v>49</v>
      </c>
      <c r="G32" s="46">
        <v>20320670</v>
      </c>
      <c r="H32" s="45" t="s">
        <v>448</v>
      </c>
      <c r="I32" s="46">
        <v>5</v>
      </c>
      <c r="J32" s="47">
        <v>8</v>
      </c>
      <c r="K32" s="47">
        <v>40</v>
      </c>
    </row>
    <row r="33" spans="4:11">
      <c r="D33" s="44">
        <v>46067</v>
      </c>
      <c r="E33" s="45">
        <v>1578994</v>
      </c>
      <c r="F33" s="45" t="s">
        <v>49</v>
      </c>
      <c r="G33" s="46">
        <v>20010429</v>
      </c>
      <c r="H33" s="45" t="s">
        <v>89</v>
      </c>
      <c r="I33" s="46">
        <v>4</v>
      </c>
      <c r="J33" s="47">
        <v>8</v>
      </c>
      <c r="K33" s="47">
        <v>32</v>
      </c>
    </row>
    <row r="34" spans="4:11">
      <c r="D34" s="44">
        <v>46080</v>
      </c>
      <c r="E34" s="45">
        <v>1580858</v>
      </c>
      <c r="F34" s="45" t="s">
        <v>49</v>
      </c>
      <c r="G34" s="46">
        <v>20325057</v>
      </c>
      <c r="H34" s="45" t="s">
        <v>444</v>
      </c>
      <c r="I34" s="46">
        <v>4</v>
      </c>
      <c r="J34" s="47">
        <v>16.5</v>
      </c>
      <c r="K34" s="47">
        <v>66</v>
      </c>
    </row>
    <row r="35" spans="4:11">
      <c r="D35" s="44">
        <v>46080</v>
      </c>
      <c r="E35" s="45">
        <v>1580858</v>
      </c>
      <c r="F35" s="45" t="s">
        <v>49</v>
      </c>
      <c r="G35" s="46">
        <v>20323562</v>
      </c>
      <c r="H35" s="45" t="s">
        <v>445</v>
      </c>
      <c r="I35" s="46">
        <v>1</v>
      </c>
      <c r="J35" s="47">
        <v>8</v>
      </c>
      <c r="K35" s="47">
        <v>8</v>
      </c>
    </row>
    <row r="36" spans="4:11">
      <c r="D36" s="44">
        <v>46080</v>
      </c>
      <c r="E36" s="45">
        <v>1580858</v>
      </c>
      <c r="F36" s="45" t="s">
        <v>49</v>
      </c>
      <c r="G36" s="46">
        <v>20012723</v>
      </c>
      <c r="H36" s="45" t="s">
        <v>67</v>
      </c>
      <c r="I36" s="46">
        <v>1</v>
      </c>
      <c r="J36" s="47">
        <v>8</v>
      </c>
      <c r="K36" s="47">
        <v>8</v>
      </c>
    </row>
    <row r="37" spans="4:11">
      <c r="D37" s="44">
        <v>46080</v>
      </c>
      <c r="E37" s="45">
        <v>1580858</v>
      </c>
      <c r="F37" s="45" t="s">
        <v>49</v>
      </c>
      <c r="G37" s="46">
        <v>20320670</v>
      </c>
      <c r="H37" s="45" t="s">
        <v>448</v>
      </c>
      <c r="I37" s="46">
        <v>1</v>
      </c>
      <c r="J37" s="47">
        <v>8</v>
      </c>
      <c r="K37" s="47">
        <v>8</v>
      </c>
    </row>
    <row r="38" spans="4:11">
      <c r="D38" s="44">
        <v>46080</v>
      </c>
      <c r="E38" s="45">
        <v>1580858</v>
      </c>
      <c r="F38" s="45" t="s">
        <v>53</v>
      </c>
      <c r="G38" s="46">
        <v>20394443</v>
      </c>
      <c r="H38" s="45" t="s">
        <v>450</v>
      </c>
      <c r="I38" s="46">
        <v>1</v>
      </c>
      <c r="J38" s="47">
        <v>38.5</v>
      </c>
      <c r="K38" s="47">
        <v>38.5</v>
      </c>
    </row>
    <row r="39" ht="0.05" customHeight="1"/>
  </sheetData>
  <autoFilter xmlns:etc="http://www.wps.cn/officeDocument/2017/etCustomData" ref="A7:K38" etc:filterBottomFollowUsedRange="0">
    <extLst/>
  </autoFilter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9:00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I5" sqref="I5:I23"/>
    </sheetView>
  </sheetViews>
  <sheetFormatPr defaultColWidth="9" defaultRowHeight="13.5"/>
  <cols>
    <col min="3" max="3" width="24.375" customWidth="1"/>
    <col min="6" max="6" width="15.75" customWidth="1"/>
  </cols>
  <sheetData>
    <row r="1" spans="1:9">
      <c r="A1" s="24" t="s">
        <v>37</v>
      </c>
      <c r="B1" s="24" t="s">
        <v>38</v>
      </c>
      <c r="C1" s="24" t="s">
        <v>39</v>
      </c>
      <c r="D1" s="24" t="s">
        <v>40</v>
      </c>
      <c r="E1" s="24" t="s">
        <v>41</v>
      </c>
      <c r="F1" s="3" t="s">
        <v>35</v>
      </c>
      <c r="G1" s="24" t="s">
        <v>42</v>
      </c>
      <c r="H1" s="24" t="s">
        <v>43</v>
      </c>
      <c r="I1" s="24" t="s">
        <v>44</v>
      </c>
    </row>
    <row r="2" ht="15" spans="1:9">
      <c r="A2" s="30" t="s">
        <v>451</v>
      </c>
      <c r="B2" s="3" t="s">
        <v>35</v>
      </c>
      <c r="C2" s="3" t="s">
        <v>35</v>
      </c>
      <c r="D2" s="3" t="s">
        <v>35</v>
      </c>
      <c r="E2" s="3" t="s">
        <v>35</v>
      </c>
      <c r="F2" s="3" t="s">
        <v>35</v>
      </c>
      <c r="G2" s="4">
        <v>14</v>
      </c>
      <c r="H2" s="5"/>
      <c r="I2" s="5">
        <v>3500</v>
      </c>
    </row>
    <row r="3" spans="1:9">
      <c r="A3" s="24" t="s">
        <v>37</v>
      </c>
      <c r="B3" s="24" t="s">
        <v>38</v>
      </c>
      <c r="C3" s="24" t="s">
        <v>39</v>
      </c>
      <c r="D3" s="24" t="s">
        <v>40</v>
      </c>
      <c r="E3" s="24" t="s">
        <v>41</v>
      </c>
      <c r="F3" s="3" t="s">
        <v>35</v>
      </c>
      <c r="G3" s="24" t="s">
        <v>42</v>
      </c>
      <c r="H3" s="24" t="s">
        <v>43</v>
      </c>
      <c r="I3" s="24" t="s">
        <v>44</v>
      </c>
    </row>
    <row r="4" ht="14.25" spans="1:9">
      <c r="A4" s="7" t="s">
        <v>452</v>
      </c>
      <c r="B4" s="3" t="s">
        <v>35</v>
      </c>
      <c r="C4" s="3" t="s">
        <v>35</v>
      </c>
      <c r="D4" s="3" t="s">
        <v>35</v>
      </c>
      <c r="E4" s="3" t="s">
        <v>35</v>
      </c>
      <c r="F4" s="3" t="s">
        <v>35</v>
      </c>
      <c r="G4" s="8">
        <v>14</v>
      </c>
      <c r="H4" s="9"/>
      <c r="I4" s="9">
        <v>3500</v>
      </c>
    </row>
    <row r="5" spans="1:9">
      <c r="A5" s="31">
        <v>46054</v>
      </c>
      <c r="B5" s="32">
        <v>1575352</v>
      </c>
      <c r="C5" s="32" t="s">
        <v>453</v>
      </c>
      <c r="D5" s="24">
        <v>20411329</v>
      </c>
      <c r="E5" s="32" t="s">
        <v>454</v>
      </c>
      <c r="F5" s="3" t="s">
        <v>35</v>
      </c>
      <c r="G5" s="24">
        <v>1</v>
      </c>
      <c r="H5" s="33">
        <v>1750</v>
      </c>
      <c r="I5" s="33">
        <v>1750</v>
      </c>
    </row>
    <row r="6" spans="1:9">
      <c r="A6" s="31">
        <v>46054</v>
      </c>
      <c r="B6" s="32">
        <v>1575352</v>
      </c>
      <c r="C6" s="32" t="s">
        <v>453</v>
      </c>
      <c r="D6" s="24">
        <v>20411330</v>
      </c>
      <c r="E6" s="32" t="s">
        <v>455</v>
      </c>
      <c r="F6" s="3" t="s">
        <v>35</v>
      </c>
      <c r="G6" s="24">
        <v>1</v>
      </c>
      <c r="H6" s="33">
        <v>0</v>
      </c>
      <c r="I6" s="33">
        <v>0</v>
      </c>
    </row>
    <row r="7" spans="1:9">
      <c r="A7" s="31">
        <v>46054</v>
      </c>
      <c r="B7" s="32">
        <v>1575352</v>
      </c>
      <c r="C7" s="32" t="s">
        <v>453</v>
      </c>
      <c r="D7" s="24">
        <v>20411331</v>
      </c>
      <c r="E7" s="32" t="s">
        <v>456</v>
      </c>
      <c r="F7" s="3" t="s">
        <v>35</v>
      </c>
      <c r="G7" s="24">
        <v>1</v>
      </c>
      <c r="H7" s="33">
        <v>0</v>
      </c>
      <c r="I7" s="33">
        <v>0</v>
      </c>
    </row>
    <row r="8" spans="1:9">
      <c r="A8" s="31">
        <v>46054</v>
      </c>
      <c r="B8" s="32">
        <v>1575352</v>
      </c>
      <c r="C8" s="32" t="s">
        <v>453</v>
      </c>
      <c r="D8" s="24">
        <v>20411332</v>
      </c>
      <c r="E8" s="32" t="s">
        <v>457</v>
      </c>
      <c r="F8" s="3" t="s">
        <v>35</v>
      </c>
      <c r="G8" s="24">
        <v>1</v>
      </c>
      <c r="H8" s="33">
        <v>0</v>
      </c>
      <c r="I8" s="33">
        <v>0</v>
      </c>
    </row>
    <row r="9" spans="1:9">
      <c r="A9" s="31">
        <v>46054</v>
      </c>
      <c r="B9" s="32">
        <v>1575352</v>
      </c>
      <c r="C9" s="32" t="s">
        <v>453</v>
      </c>
      <c r="D9" s="24">
        <v>20411333</v>
      </c>
      <c r="E9" s="32" t="s">
        <v>458</v>
      </c>
      <c r="F9" s="3" t="s">
        <v>35</v>
      </c>
      <c r="G9" s="24">
        <v>1</v>
      </c>
      <c r="H9" s="33">
        <v>0</v>
      </c>
      <c r="I9" s="33">
        <v>0</v>
      </c>
    </row>
    <row r="10" spans="1:9">
      <c r="A10" s="31">
        <v>46054</v>
      </c>
      <c r="B10" s="32">
        <v>1575352</v>
      </c>
      <c r="C10" s="32" t="s">
        <v>453</v>
      </c>
      <c r="D10" s="24">
        <v>20411334</v>
      </c>
      <c r="E10" s="32" t="s">
        <v>459</v>
      </c>
      <c r="F10" s="3" t="s">
        <v>35</v>
      </c>
      <c r="G10" s="24">
        <v>1</v>
      </c>
      <c r="H10" s="33">
        <v>0</v>
      </c>
      <c r="I10" s="33">
        <v>0</v>
      </c>
    </row>
    <row r="11" spans="1:9">
      <c r="A11" s="31">
        <v>46054</v>
      </c>
      <c r="B11" s="32">
        <v>1575352</v>
      </c>
      <c r="C11" s="32" t="s">
        <v>453</v>
      </c>
      <c r="D11" s="24">
        <v>20411335</v>
      </c>
      <c r="E11" s="32" t="s">
        <v>460</v>
      </c>
      <c r="F11" s="3" t="s">
        <v>35</v>
      </c>
      <c r="G11" s="24">
        <v>1</v>
      </c>
      <c r="H11" s="33">
        <v>0</v>
      </c>
      <c r="I11" s="33">
        <v>0</v>
      </c>
    </row>
    <row r="12" spans="1:9">
      <c r="A12" s="31">
        <v>46056</v>
      </c>
      <c r="B12" s="32">
        <v>1575690</v>
      </c>
      <c r="C12" s="32" t="s">
        <v>453</v>
      </c>
      <c r="D12" s="24">
        <v>20411517</v>
      </c>
      <c r="E12" s="32" t="s">
        <v>461</v>
      </c>
      <c r="F12" s="3" t="s">
        <v>35</v>
      </c>
      <c r="G12" s="24">
        <v>1</v>
      </c>
      <c r="H12" s="33">
        <v>1750</v>
      </c>
      <c r="I12" s="33">
        <v>1750</v>
      </c>
    </row>
    <row r="13" spans="1:9">
      <c r="A13" s="31">
        <v>46056</v>
      </c>
      <c r="B13" s="32">
        <v>1575690</v>
      </c>
      <c r="C13" s="32" t="s">
        <v>453</v>
      </c>
      <c r="D13" s="24">
        <v>20411519</v>
      </c>
      <c r="E13" s="32" t="s">
        <v>462</v>
      </c>
      <c r="F13" s="3" t="s">
        <v>35</v>
      </c>
      <c r="G13" s="24">
        <v>1</v>
      </c>
      <c r="H13" s="33">
        <v>0</v>
      </c>
      <c r="I13" s="33">
        <v>0</v>
      </c>
    </row>
    <row r="14" spans="1:9">
      <c r="A14" s="31">
        <v>46056</v>
      </c>
      <c r="B14" s="32">
        <v>1575690</v>
      </c>
      <c r="C14" s="32" t="s">
        <v>453</v>
      </c>
      <c r="D14" s="24">
        <v>20411520</v>
      </c>
      <c r="E14" s="32" t="s">
        <v>463</v>
      </c>
      <c r="F14" s="3" t="s">
        <v>35</v>
      </c>
      <c r="G14" s="24">
        <v>1</v>
      </c>
      <c r="H14" s="33">
        <v>0</v>
      </c>
      <c r="I14" s="33">
        <v>0</v>
      </c>
    </row>
    <row r="15" spans="1:9">
      <c r="A15" s="31">
        <v>46056</v>
      </c>
      <c r="B15" s="32">
        <v>1575690</v>
      </c>
      <c r="C15" s="32" t="s">
        <v>453</v>
      </c>
      <c r="D15" s="24">
        <v>20411521</v>
      </c>
      <c r="E15" s="32" t="s">
        <v>464</v>
      </c>
      <c r="F15" s="3" t="s">
        <v>35</v>
      </c>
      <c r="G15" s="24">
        <v>1</v>
      </c>
      <c r="H15" s="33">
        <v>0</v>
      </c>
      <c r="I15" s="33">
        <v>0</v>
      </c>
    </row>
    <row r="16" spans="1:9">
      <c r="A16" s="31">
        <v>46056</v>
      </c>
      <c r="B16" s="32">
        <v>1575690</v>
      </c>
      <c r="C16" s="32" t="s">
        <v>453</v>
      </c>
      <c r="D16" s="24">
        <v>20411522</v>
      </c>
      <c r="E16" s="32" t="s">
        <v>465</v>
      </c>
      <c r="F16" s="3" t="s">
        <v>35</v>
      </c>
      <c r="G16" s="24">
        <v>1</v>
      </c>
      <c r="H16" s="33">
        <v>0</v>
      </c>
      <c r="I16" s="33">
        <v>0</v>
      </c>
    </row>
    <row r="17" spans="1:9">
      <c r="A17" s="31">
        <v>46056</v>
      </c>
      <c r="B17" s="32">
        <v>1575690</v>
      </c>
      <c r="C17" s="32" t="s">
        <v>453</v>
      </c>
      <c r="D17" s="24">
        <v>20411523</v>
      </c>
      <c r="E17" s="32" t="s">
        <v>466</v>
      </c>
      <c r="F17" s="3" t="s">
        <v>35</v>
      </c>
      <c r="G17" s="24">
        <v>1</v>
      </c>
      <c r="H17" s="33">
        <v>0</v>
      </c>
      <c r="I17" s="33">
        <v>0</v>
      </c>
    </row>
    <row r="18" spans="1:9">
      <c r="A18" s="31">
        <v>46056</v>
      </c>
      <c r="B18" s="32">
        <v>1575690</v>
      </c>
      <c r="C18" s="32" t="s">
        <v>453</v>
      </c>
      <c r="D18" s="24">
        <v>20411524</v>
      </c>
      <c r="E18" s="32" t="s">
        <v>467</v>
      </c>
      <c r="F18" s="3" t="s">
        <v>35</v>
      </c>
      <c r="G18" s="24">
        <v>1</v>
      </c>
      <c r="H18" s="33">
        <v>0</v>
      </c>
      <c r="I18" s="33">
        <v>0</v>
      </c>
    </row>
  </sheetData>
  <mergeCells count="18">
    <mergeCell ref="E1:F1"/>
    <mergeCell ref="A2:F2"/>
    <mergeCell ref="E3:F3"/>
    <mergeCell ref="A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2" sqref="A2:F2"/>
    </sheetView>
  </sheetViews>
  <sheetFormatPr defaultColWidth="9" defaultRowHeight="13.5" outlineLevelRow="5"/>
  <cols>
    <col min="3" max="3" width="21.375" customWidth="1"/>
  </cols>
  <sheetData>
    <row r="1" spans="1:9">
      <c r="A1" s="24" t="s">
        <v>37</v>
      </c>
      <c r="B1" s="24" t="s">
        <v>38</v>
      </c>
      <c r="C1" s="24" t="s">
        <v>39</v>
      </c>
      <c r="D1" s="24" t="s">
        <v>40</v>
      </c>
      <c r="E1" s="24" t="s">
        <v>41</v>
      </c>
      <c r="F1" s="3" t="s">
        <v>35</v>
      </c>
      <c r="G1" s="24" t="s">
        <v>42</v>
      </c>
      <c r="H1" s="24" t="s">
        <v>43</v>
      </c>
      <c r="I1" s="24" t="s">
        <v>44</v>
      </c>
    </row>
    <row r="2" ht="15" spans="1:9">
      <c r="A2" s="2" t="s">
        <v>468</v>
      </c>
      <c r="B2" s="3" t="s">
        <v>35</v>
      </c>
      <c r="C2" s="3" t="s">
        <v>35</v>
      </c>
      <c r="D2" s="3" t="s">
        <v>35</v>
      </c>
      <c r="E2" s="3" t="s">
        <v>35</v>
      </c>
      <c r="F2" s="3" t="s">
        <v>35</v>
      </c>
      <c r="G2" s="4">
        <v>1</v>
      </c>
      <c r="H2" s="5"/>
      <c r="I2" s="5">
        <v>400</v>
      </c>
    </row>
    <row r="3" spans="1:9">
      <c r="A3" s="24" t="s">
        <v>37</v>
      </c>
      <c r="B3" s="24" t="s">
        <v>38</v>
      </c>
      <c r="C3" s="24" t="s">
        <v>39</v>
      </c>
      <c r="D3" s="24" t="s">
        <v>40</v>
      </c>
      <c r="E3" s="24" t="s">
        <v>41</v>
      </c>
      <c r="F3" s="3" t="s">
        <v>35</v>
      </c>
      <c r="G3" s="24" t="s">
        <v>42</v>
      </c>
      <c r="H3" s="24" t="s">
        <v>43</v>
      </c>
      <c r="I3" s="24" t="s">
        <v>44</v>
      </c>
    </row>
    <row r="4" ht="14.25" spans="1:9">
      <c r="A4" s="7" t="s">
        <v>452</v>
      </c>
      <c r="B4" s="3" t="s">
        <v>35</v>
      </c>
      <c r="C4" s="3" t="s">
        <v>35</v>
      </c>
      <c r="D4" s="3" t="s">
        <v>35</v>
      </c>
      <c r="E4" s="3" t="s">
        <v>35</v>
      </c>
      <c r="F4" s="3" t="s">
        <v>35</v>
      </c>
      <c r="G4" s="8">
        <v>1</v>
      </c>
      <c r="H4" s="9"/>
      <c r="I4" s="9">
        <v>400</v>
      </c>
    </row>
    <row r="5" spans="1:9">
      <c r="A5" s="25">
        <v>46076</v>
      </c>
      <c r="B5" s="26">
        <v>1579467</v>
      </c>
      <c r="C5" s="26" t="s">
        <v>453</v>
      </c>
      <c r="D5" s="27">
        <v>20413077</v>
      </c>
      <c r="E5" s="26" t="s">
        <v>469</v>
      </c>
      <c r="F5" s="28" t="s">
        <v>35</v>
      </c>
      <c r="G5" s="27">
        <v>1</v>
      </c>
      <c r="H5" s="29">
        <v>250</v>
      </c>
      <c r="I5" s="29">
        <v>250</v>
      </c>
    </row>
    <row r="6" spans="1:9">
      <c r="A6" s="18" t="s">
        <v>470</v>
      </c>
      <c r="B6" s="18"/>
      <c r="C6" s="18"/>
      <c r="D6" s="18"/>
      <c r="E6" s="18"/>
      <c r="F6" s="18"/>
      <c r="G6" s="18"/>
      <c r="H6" s="18"/>
      <c r="I6" s="18"/>
    </row>
  </sheetData>
  <mergeCells count="6">
    <mergeCell ref="E1:F1"/>
    <mergeCell ref="A2:F2"/>
    <mergeCell ref="E3:F3"/>
    <mergeCell ref="A4:F4"/>
    <mergeCell ref="E5:F5"/>
    <mergeCell ref="A6:I6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view="pageBreakPreview" zoomScaleNormal="100" workbookViewId="0">
      <selection activeCell="K12" sqref="K12"/>
    </sheetView>
  </sheetViews>
  <sheetFormatPr defaultColWidth="9" defaultRowHeight="13.5" outlineLevelCol="7"/>
  <cols>
    <col min="3" max="3" width="25.125" customWidth="1"/>
    <col min="5" max="5" width="28.125" customWidth="1"/>
    <col min="7" max="8" width="9.75"/>
  </cols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ht="15" spans="1:8">
      <c r="A2" s="2" t="s">
        <v>471</v>
      </c>
      <c r="B2" s="3" t="s">
        <v>35</v>
      </c>
      <c r="C2" s="3" t="s">
        <v>35</v>
      </c>
      <c r="D2" s="3" t="s">
        <v>35</v>
      </c>
      <c r="E2" s="3" t="s">
        <v>35</v>
      </c>
      <c r="F2" s="4">
        <v>36</v>
      </c>
      <c r="G2" s="5"/>
      <c r="H2" s="5">
        <f>H4+H35+H45+H53</f>
        <v>14050</v>
      </c>
    </row>
    <row r="3" spans="1:8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</row>
    <row r="4" ht="14.25" spans="1:8">
      <c r="A4" s="7" t="s">
        <v>452</v>
      </c>
      <c r="B4" s="3" t="s">
        <v>35</v>
      </c>
      <c r="C4" s="3" t="s">
        <v>35</v>
      </c>
      <c r="D4" s="3" t="s">
        <v>35</v>
      </c>
      <c r="E4" s="3" t="s">
        <v>35</v>
      </c>
      <c r="F4" s="8">
        <v>25</v>
      </c>
      <c r="G4" s="9"/>
      <c r="H4" s="9">
        <v>10550</v>
      </c>
    </row>
    <row r="5" spans="1:8">
      <c r="A5" s="10">
        <v>46056</v>
      </c>
      <c r="B5" s="11">
        <v>1575692</v>
      </c>
      <c r="C5" s="11" t="s">
        <v>323</v>
      </c>
      <c r="D5" s="12">
        <v>20411512</v>
      </c>
      <c r="E5" s="11" t="s">
        <v>472</v>
      </c>
      <c r="F5" s="12">
        <v>1</v>
      </c>
      <c r="G5" s="13">
        <v>0</v>
      </c>
      <c r="H5" s="13">
        <v>0</v>
      </c>
    </row>
    <row r="6" spans="1:8">
      <c r="A6" s="14">
        <v>46056</v>
      </c>
      <c r="B6" s="15">
        <v>1575692</v>
      </c>
      <c r="C6" s="15" t="s">
        <v>453</v>
      </c>
      <c r="D6" s="16">
        <v>20411516</v>
      </c>
      <c r="E6" s="15" t="s">
        <v>473</v>
      </c>
      <c r="F6" s="16">
        <v>1</v>
      </c>
      <c r="G6" s="17">
        <v>0</v>
      </c>
      <c r="H6" s="17">
        <v>0</v>
      </c>
    </row>
    <row r="7" spans="1:8">
      <c r="A7" s="14">
        <v>46056</v>
      </c>
      <c r="B7" s="15">
        <v>1575692</v>
      </c>
      <c r="C7" s="15" t="s">
        <v>453</v>
      </c>
      <c r="D7" s="16">
        <v>20411518</v>
      </c>
      <c r="E7" s="15" t="s">
        <v>474</v>
      </c>
      <c r="F7" s="16">
        <v>1</v>
      </c>
      <c r="G7" s="17">
        <v>1000</v>
      </c>
      <c r="H7" s="17">
        <v>1000</v>
      </c>
    </row>
    <row r="8" spans="1:8">
      <c r="A8" s="14">
        <v>46056</v>
      </c>
      <c r="B8" s="15">
        <v>1575692</v>
      </c>
      <c r="C8" s="15" t="s">
        <v>453</v>
      </c>
      <c r="D8" s="16">
        <v>20411513</v>
      </c>
      <c r="E8" s="15" t="s">
        <v>475</v>
      </c>
      <c r="F8" s="16">
        <v>1</v>
      </c>
      <c r="G8" s="17">
        <v>0</v>
      </c>
      <c r="H8" s="17">
        <v>0</v>
      </c>
    </row>
    <row r="9" spans="1:8">
      <c r="A9" s="14">
        <v>46056</v>
      </c>
      <c r="B9" s="15">
        <v>1575692</v>
      </c>
      <c r="C9" s="15" t="s">
        <v>453</v>
      </c>
      <c r="D9" s="16">
        <v>20411514</v>
      </c>
      <c r="E9" s="15" t="s">
        <v>476</v>
      </c>
      <c r="F9" s="16">
        <v>1</v>
      </c>
      <c r="G9" s="17">
        <v>0</v>
      </c>
      <c r="H9" s="17">
        <v>0</v>
      </c>
    </row>
    <row r="10" spans="1:8">
      <c r="A10" s="14">
        <v>46056</v>
      </c>
      <c r="B10" s="15">
        <v>1575692</v>
      </c>
      <c r="C10" s="15" t="s">
        <v>453</v>
      </c>
      <c r="D10" s="16">
        <v>20411515</v>
      </c>
      <c r="E10" s="15" t="s">
        <v>477</v>
      </c>
      <c r="F10" s="16">
        <v>1</v>
      </c>
      <c r="G10" s="17">
        <v>1700</v>
      </c>
      <c r="H10" s="17">
        <v>1700</v>
      </c>
    </row>
    <row r="11" spans="1:8">
      <c r="A11" s="14">
        <v>46058</v>
      </c>
      <c r="B11" s="15">
        <v>1576333</v>
      </c>
      <c r="C11" s="15" t="s">
        <v>323</v>
      </c>
      <c r="D11" s="16">
        <v>20411817</v>
      </c>
      <c r="E11" s="15" t="s">
        <v>478</v>
      </c>
      <c r="F11" s="16">
        <v>1</v>
      </c>
      <c r="G11" s="17">
        <v>350</v>
      </c>
      <c r="H11" s="17">
        <v>350</v>
      </c>
    </row>
    <row r="12" spans="1:8">
      <c r="A12" s="14">
        <v>46062</v>
      </c>
      <c r="B12" s="15">
        <v>1577538</v>
      </c>
      <c r="C12" s="15" t="s">
        <v>323</v>
      </c>
      <c r="D12" s="16">
        <v>20412241</v>
      </c>
      <c r="E12" s="15" t="s">
        <v>479</v>
      </c>
      <c r="F12" s="16">
        <v>1</v>
      </c>
      <c r="G12" s="17">
        <v>1200</v>
      </c>
      <c r="H12" s="17">
        <v>1200</v>
      </c>
    </row>
    <row r="13" spans="1:8">
      <c r="A13" s="14">
        <v>46062</v>
      </c>
      <c r="B13" s="15">
        <v>1577538</v>
      </c>
      <c r="C13" s="15" t="s">
        <v>453</v>
      </c>
      <c r="D13" s="16">
        <v>20412242</v>
      </c>
      <c r="E13" s="15" t="s">
        <v>480</v>
      </c>
      <c r="F13" s="16">
        <v>1</v>
      </c>
      <c r="G13" s="17">
        <v>0</v>
      </c>
      <c r="H13" s="17">
        <v>0</v>
      </c>
    </row>
    <row r="14" spans="1:8">
      <c r="A14" s="14">
        <v>46062</v>
      </c>
      <c r="B14" s="15">
        <v>1577538</v>
      </c>
      <c r="C14" s="15" t="s">
        <v>453</v>
      </c>
      <c r="D14" s="16">
        <v>20412243</v>
      </c>
      <c r="E14" s="15" t="s">
        <v>481</v>
      </c>
      <c r="F14" s="16">
        <v>1</v>
      </c>
      <c r="G14" s="17">
        <v>0</v>
      </c>
      <c r="H14" s="17">
        <v>0</v>
      </c>
    </row>
    <row r="15" spans="1:8">
      <c r="A15" s="14">
        <v>46062</v>
      </c>
      <c r="B15" s="15">
        <v>1577538</v>
      </c>
      <c r="C15" s="15" t="s">
        <v>453</v>
      </c>
      <c r="D15" s="16">
        <v>20412244</v>
      </c>
      <c r="E15" s="15" t="s">
        <v>482</v>
      </c>
      <c r="F15" s="16">
        <v>1</v>
      </c>
      <c r="G15" s="17">
        <v>1250</v>
      </c>
      <c r="H15" s="17">
        <v>1250</v>
      </c>
    </row>
    <row r="16" spans="1:8">
      <c r="A16" s="14">
        <v>46062</v>
      </c>
      <c r="B16" s="15">
        <v>1577538</v>
      </c>
      <c r="C16" s="15" t="s">
        <v>453</v>
      </c>
      <c r="D16" s="16">
        <v>20412239</v>
      </c>
      <c r="E16" s="15" t="s">
        <v>483</v>
      </c>
      <c r="F16" s="16">
        <v>1</v>
      </c>
      <c r="G16" s="17">
        <v>0</v>
      </c>
      <c r="H16" s="17">
        <v>0</v>
      </c>
    </row>
    <row r="17" spans="1:8">
      <c r="A17" s="14">
        <v>46062</v>
      </c>
      <c r="B17" s="15">
        <v>1577538</v>
      </c>
      <c r="C17" s="15" t="s">
        <v>453</v>
      </c>
      <c r="D17" s="16">
        <v>20412240</v>
      </c>
      <c r="E17" s="15" t="s">
        <v>484</v>
      </c>
      <c r="F17" s="16">
        <v>1</v>
      </c>
      <c r="G17" s="17">
        <v>0</v>
      </c>
      <c r="H17" s="17">
        <v>0</v>
      </c>
    </row>
    <row r="18" spans="1:8">
      <c r="A18" s="14">
        <v>46064</v>
      </c>
      <c r="B18" s="15">
        <v>1578134</v>
      </c>
      <c r="C18" s="15" t="s">
        <v>323</v>
      </c>
      <c r="D18" s="16">
        <v>20412481</v>
      </c>
      <c r="E18" s="15" t="s">
        <v>485</v>
      </c>
      <c r="F18" s="16">
        <v>1</v>
      </c>
      <c r="G18" s="17">
        <v>1200</v>
      </c>
      <c r="H18" s="17">
        <v>1200</v>
      </c>
    </row>
    <row r="19" spans="1:8">
      <c r="A19" s="14">
        <v>46064</v>
      </c>
      <c r="B19" s="15">
        <v>1578134</v>
      </c>
      <c r="C19" s="15" t="s">
        <v>453</v>
      </c>
      <c r="D19" s="16">
        <v>20412482</v>
      </c>
      <c r="E19" s="15" t="s">
        <v>486</v>
      </c>
      <c r="F19" s="16">
        <v>1</v>
      </c>
      <c r="G19" s="17">
        <v>0</v>
      </c>
      <c r="H19" s="17">
        <v>0</v>
      </c>
    </row>
    <row r="20" spans="1:8">
      <c r="A20" s="14">
        <v>46067</v>
      </c>
      <c r="B20" s="15">
        <v>1579042</v>
      </c>
      <c r="C20" s="15" t="s">
        <v>323</v>
      </c>
      <c r="D20" s="16">
        <v>20412828</v>
      </c>
      <c r="E20" s="15" t="s">
        <v>487</v>
      </c>
      <c r="F20" s="16">
        <v>1</v>
      </c>
      <c r="G20" s="17">
        <v>350</v>
      </c>
      <c r="H20" s="17">
        <v>350</v>
      </c>
    </row>
    <row r="21" spans="1:8">
      <c r="A21" s="14">
        <v>46078</v>
      </c>
      <c r="B21" s="15">
        <v>1579870</v>
      </c>
      <c r="C21" s="15" t="s">
        <v>453</v>
      </c>
      <c r="D21" s="16">
        <v>20413306</v>
      </c>
      <c r="E21" s="15" t="s">
        <v>488</v>
      </c>
      <c r="F21" s="16">
        <v>1</v>
      </c>
      <c r="G21" s="17">
        <v>2000</v>
      </c>
      <c r="H21" s="17">
        <v>2000</v>
      </c>
    </row>
    <row r="22" spans="1:8">
      <c r="A22" s="14">
        <v>46078</v>
      </c>
      <c r="B22" s="15">
        <v>1579870</v>
      </c>
      <c r="C22" s="15" t="s">
        <v>453</v>
      </c>
      <c r="D22" s="16">
        <v>20413307</v>
      </c>
      <c r="E22" s="15" t="s">
        <v>489</v>
      </c>
      <c r="F22" s="16">
        <v>1</v>
      </c>
      <c r="G22" s="17">
        <v>0</v>
      </c>
      <c r="H22" s="17">
        <v>0</v>
      </c>
    </row>
    <row r="23" spans="1:8">
      <c r="A23" s="14">
        <v>46078</v>
      </c>
      <c r="B23" s="15">
        <v>1579870</v>
      </c>
      <c r="C23" s="15" t="s">
        <v>453</v>
      </c>
      <c r="D23" s="16">
        <v>20413309</v>
      </c>
      <c r="E23" s="15" t="s">
        <v>490</v>
      </c>
      <c r="F23" s="16">
        <v>1</v>
      </c>
      <c r="G23" s="17">
        <v>0</v>
      </c>
      <c r="H23" s="17">
        <v>0</v>
      </c>
    </row>
    <row r="24" spans="1:8">
      <c r="A24" s="14">
        <v>46078</v>
      </c>
      <c r="B24" s="15">
        <v>1579870</v>
      </c>
      <c r="C24" s="15" t="s">
        <v>453</v>
      </c>
      <c r="D24" s="16">
        <v>20413310</v>
      </c>
      <c r="E24" s="15" t="s">
        <v>491</v>
      </c>
      <c r="F24" s="16">
        <v>1</v>
      </c>
      <c r="G24" s="17">
        <v>0</v>
      </c>
      <c r="H24" s="17">
        <v>0</v>
      </c>
    </row>
    <row r="25" spans="1:8">
      <c r="A25" s="14">
        <v>46078</v>
      </c>
      <c r="B25" s="15">
        <v>1579870</v>
      </c>
      <c r="C25" s="15" t="s">
        <v>453</v>
      </c>
      <c r="D25" s="16">
        <v>20413312</v>
      </c>
      <c r="E25" s="15" t="s">
        <v>492</v>
      </c>
      <c r="F25" s="16">
        <v>1</v>
      </c>
      <c r="G25" s="17">
        <v>0</v>
      </c>
      <c r="H25" s="17">
        <v>0</v>
      </c>
    </row>
    <row r="26" spans="1:8">
      <c r="A26" s="14">
        <v>46078</v>
      </c>
      <c r="B26" s="15">
        <v>1580142</v>
      </c>
      <c r="C26" s="15" t="s">
        <v>453</v>
      </c>
      <c r="D26" s="16">
        <v>20413555</v>
      </c>
      <c r="E26" s="15" t="s">
        <v>493</v>
      </c>
      <c r="F26" s="16">
        <v>1</v>
      </c>
      <c r="G26" s="17">
        <v>0</v>
      </c>
      <c r="H26" s="17">
        <v>0</v>
      </c>
    </row>
    <row r="27" spans="1:8">
      <c r="A27" s="14">
        <v>46078</v>
      </c>
      <c r="B27" s="15">
        <v>1580142</v>
      </c>
      <c r="C27" s="15" t="s">
        <v>494</v>
      </c>
      <c r="D27" s="16">
        <v>20413554</v>
      </c>
      <c r="E27" s="15" t="s">
        <v>495</v>
      </c>
      <c r="F27" s="16">
        <v>1</v>
      </c>
      <c r="G27" s="17">
        <v>750</v>
      </c>
      <c r="H27" s="17">
        <v>750</v>
      </c>
    </row>
    <row r="28" spans="1:8">
      <c r="A28" s="14">
        <v>46080</v>
      </c>
      <c r="B28" s="15">
        <v>1580555</v>
      </c>
      <c r="C28" s="15" t="s">
        <v>453</v>
      </c>
      <c r="D28" s="16">
        <v>20413718</v>
      </c>
      <c r="E28" s="15" t="s">
        <v>496</v>
      </c>
      <c r="F28" s="16">
        <v>1</v>
      </c>
      <c r="G28" s="17">
        <v>750</v>
      </c>
      <c r="H28" s="17">
        <v>750</v>
      </c>
    </row>
    <row r="29" spans="1:8">
      <c r="A29" s="14">
        <v>46080</v>
      </c>
      <c r="B29" s="15">
        <v>1580555</v>
      </c>
      <c r="C29" s="15" t="s">
        <v>453</v>
      </c>
      <c r="D29" s="16">
        <v>20413719</v>
      </c>
      <c r="E29" s="15" t="s">
        <v>497</v>
      </c>
      <c r="F29" s="16">
        <v>1</v>
      </c>
      <c r="G29" s="17">
        <v>0</v>
      </c>
      <c r="H29" s="17">
        <v>0</v>
      </c>
    </row>
    <row r="34" spans="1:8">
      <c r="A34" s="1" t="s">
        <v>37</v>
      </c>
      <c r="B34" s="1" t="s">
        <v>38</v>
      </c>
      <c r="C34" s="1" t="s">
        <v>39</v>
      </c>
      <c r="D34" s="1" t="s">
        <v>40</v>
      </c>
      <c r="E34" s="1" t="s">
        <v>41</v>
      </c>
      <c r="F34" s="1" t="s">
        <v>42</v>
      </c>
      <c r="G34" s="1" t="s">
        <v>43</v>
      </c>
      <c r="H34" s="1" t="s">
        <v>44</v>
      </c>
    </row>
    <row r="35" ht="14.25" spans="1:8">
      <c r="A35" s="7" t="s">
        <v>452</v>
      </c>
      <c r="B35" s="3" t="s">
        <v>35</v>
      </c>
      <c r="C35" s="3" t="s">
        <v>35</v>
      </c>
      <c r="D35" s="3" t="s">
        <v>35</v>
      </c>
      <c r="E35" s="3" t="s">
        <v>35</v>
      </c>
      <c r="F35" s="8">
        <v>3</v>
      </c>
      <c r="G35" s="9"/>
      <c r="H35" s="9">
        <v>1150</v>
      </c>
    </row>
    <row r="36" spans="1:8">
      <c r="A36" s="10">
        <v>46059</v>
      </c>
      <c r="B36" s="11">
        <v>1576855</v>
      </c>
      <c r="C36" s="11" t="s">
        <v>323</v>
      </c>
      <c r="D36" s="12">
        <v>20412021</v>
      </c>
      <c r="E36" s="11" t="s">
        <v>498</v>
      </c>
      <c r="F36" s="12">
        <v>1</v>
      </c>
      <c r="G36" s="13">
        <v>1000</v>
      </c>
      <c r="H36" s="13">
        <v>1000</v>
      </c>
    </row>
    <row r="37" spans="1:8">
      <c r="A37" s="14">
        <v>46059</v>
      </c>
      <c r="B37" s="15">
        <v>1576855</v>
      </c>
      <c r="C37" s="15" t="s">
        <v>453</v>
      </c>
      <c r="D37" s="16">
        <v>20412019</v>
      </c>
      <c r="E37" s="15" t="s">
        <v>499</v>
      </c>
      <c r="F37" s="16">
        <v>1</v>
      </c>
      <c r="G37" s="17">
        <v>0</v>
      </c>
      <c r="H37" s="17">
        <v>0</v>
      </c>
    </row>
    <row r="38" spans="1:8">
      <c r="A38" s="14">
        <v>46059</v>
      </c>
      <c r="B38" s="15">
        <v>1576855</v>
      </c>
      <c r="C38" s="15" t="s">
        <v>453</v>
      </c>
      <c r="D38" s="16">
        <v>20412020</v>
      </c>
      <c r="E38" s="15" t="s">
        <v>500</v>
      </c>
      <c r="F38" s="16">
        <v>1</v>
      </c>
      <c r="G38" s="17">
        <v>0</v>
      </c>
      <c r="H38" s="17">
        <v>0</v>
      </c>
    </row>
    <row r="39" spans="1:8">
      <c r="A39" s="18" t="s">
        <v>501</v>
      </c>
      <c r="B39" s="18"/>
      <c r="C39" s="18"/>
      <c r="D39" s="18"/>
      <c r="E39" s="18"/>
      <c r="F39" s="18"/>
      <c r="G39" s="18"/>
      <c r="H39" s="18"/>
    </row>
    <row r="44" spans="1:8">
      <c r="A44" s="1" t="s">
        <v>37</v>
      </c>
      <c r="B44" s="1" t="s">
        <v>38</v>
      </c>
      <c r="C44" s="1" t="s">
        <v>39</v>
      </c>
      <c r="D44" s="1" t="s">
        <v>40</v>
      </c>
      <c r="E44" s="1" t="s">
        <v>41</v>
      </c>
      <c r="F44" s="1" t="s">
        <v>42</v>
      </c>
      <c r="G44" s="1" t="s">
        <v>43</v>
      </c>
      <c r="H44" s="1" t="s">
        <v>44</v>
      </c>
    </row>
    <row r="45" ht="14.25" spans="1:8">
      <c r="A45" s="7" t="s">
        <v>452</v>
      </c>
      <c r="B45" s="3" t="s">
        <v>35</v>
      </c>
      <c r="C45" s="3" t="s">
        <v>35</v>
      </c>
      <c r="D45" s="3" t="s">
        <v>35</v>
      </c>
      <c r="E45" s="3" t="s">
        <v>35</v>
      </c>
      <c r="F45" s="8">
        <v>1</v>
      </c>
      <c r="G45" s="9"/>
      <c r="H45" s="9">
        <v>500</v>
      </c>
    </row>
    <row r="46" spans="1:8">
      <c r="A46" s="10">
        <v>46061</v>
      </c>
      <c r="B46" s="11">
        <v>1577197</v>
      </c>
      <c r="C46" s="11" t="s">
        <v>453</v>
      </c>
      <c r="D46" s="12">
        <v>20412051</v>
      </c>
      <c r="E46" s="11" t="s">
        <v>502</v>
      </c>
      <c r="F46" s="12">
        <v>1</v>
      </c>
      <c r="G46" s="13">
        <v>350</v>
      </c>
      <c r="H46" s="13">
        <v>350</v>
      </c>
    </row>
    <row r="47" spans="1:8">
      <c r="A47" s="18" t="s">
        <v>503</v>
      </c>
      <c r="B47" s="18"/>
      <c r="C47" s="18"/>
      <c r="D47" s="18"/>
      <c r="E47" s="18"/>
      <c r="F47" s="18"/>
      <c r="G47" s="18"/>
      <c r="H47" s="18"/>
    </row>
    <row r="49" spans="1:8">
      <c r="A49" s="19"/>
      <c r="B49" s="20"/>
      <c r="C49" s="20"/>
      <c r="D49" s="21"/>
      <c r="E49" s="20"/>
      <c r="F49" s="21"/>
      <c r="G49" s="22"/>
      <c r="H49" s="22"/>
    </row>
    <row r="50" spans="1:8">
      <c r="A50" s="19"/>
      <c r="B50" s="20"/>
      <c r="C50" s="20"/>
      <c r="D50" s="21"/>
      <c r="E50" s="20"/>
      <c r="F50" s="21"/>
      <c r="G50" s="22"/>
      <c r="H50" s="22"/>
    </row>
    <row r="51" spans="1:8">
      <c r="A51" s="19"/>
      <c r="B51" s="20"/>
      <c r="C51" s="20"/>
      <c r="D51" s="21"/>
      <c r="E51" s="20"/>
      <c r="F51" s="21"/>
      <c r="G51" s="22"/>
      <c r="H51" s="22"/>
    </row>
    <row r="52" spans="1:8">
      <c r="A52" s="1" t="s">
        <v>37</v>
      </c>
      <c r="B52" s="1" t="s">
        <v>38</v>
      </c>
      <c r="C52" s="1" t="s">
        <v>39</v>
      </c>
      <c r="D52" s="1" t="s">
        <v>40</v>
      </c>
      <c r="E52" s="1" t="s">
        <v>41</v>
      </c>
      <c r="F52" s="1" t="s">
        <v>42</v>
      </c>
      <c r="G52" s="23" t="s">
        <v>43</v>
      </c>
      <c r="H52" s="24" t="s">
        <v>44</v>
      </c>
    </row>
    <row r="53" ht="14.25" spans="1:8">
      <c r="A53" s="7" t="s">
        <v>452</v>
      </c>
      <c r="B53" s="3" t="s">
        <v>35</v>
      </c>
      <c r="C53" s="3" t="s">
        <v>35</v>
      </c>
      <c r="D53" s="3" t="s">
        <v>35</v>
      </c>
      <c r="E53" s="3" t="s">
        <v>35</v>
      </c>
      <c r="F53" s="8">
        <v>4</v>
      </c>
      <c r="G53" s="9"/>
      <c r="H53" s="9">
        <v>1850</v>
      </c>
    </row>
    <row r="54" spans="1:8">
      <c r="A54" s="10">
        <v>46075</v>
      </c>
      <c r="B54" s="11">
        <v>1579417</v>
      </c>
      <c r="C54" s="11" t="s">
        <v>453</v>
      </c>
      <c r="D54" s="12">
        <v>20413004</v>
      </c>
      <c r="E54" s="11" t="s">
        <v>504</v>
      </c>
      <c r="F54" s="12">
        <v>1</v>
      </c>
      <c r="G54" s="13">
        <v>1000</v>
      </c>
      <c r="H54" s="13">
        <v>1000</v>
      </c>
    </row>
    <row r="55" spans="1:8">
      <c r="A55" s="14">
        <v>46075</v>
      </c>
      <c r="B55" s="15">
        <v>1579417</v>
      </c>
      <c r="C55" s="15" t="s">
        <v>453</v>
      </c>
      <c r="D55" s="16">
        <v>20413005</v>
      </c>
      <c r="E55" s="15" t="s">
        <v>505</v>
      </c>
      <c r="F55" s="16">
        <v>1</v>
      </c>
      <c r="G55" s="17">
        <v>0</v>
      </c>
      <c r="H55" s="17">
        <v>0</v>
      </c>
    </row>
    <row r="56" spans="1:8">
      <c r="A56" s="14">
        <v>46075</v>
      </c>
      <c r="B56" s="15">
        <v>1579417</v>
      </c>
      <c r="C56" s="15" t="s">
        <v>323</v>
      </c>
      <c r="D56" s="16">
        <v>20413002</v>
      </c>
      <c r="E56" s="15" t="s">
        <v>506</v>
      </c>
      <c r="F56" s="16">
        <v>1</v>
      </c>
      <c r="G56" s="17">
        <v>700</v>
      </c>
      <c r="H56" s="17">
        <v>700</v>
      </c>
    </row>
    <row r="57" spans="1:8">
      <c r="A57" s="14">
        <v>46075</v>
      </c>
      <c r="B57" s="15">
        <v>1579417</v>
      </c>
      <c r="C57" s="15" t="s">
        <v>323</v>
      </c>
      <c r="D57" s="16">
        <v>20413003</v>
      </c>
      <c r="E57" s="15" t="s">
        <v>507</v>
      </c>
      <c r="F57" s="16">
        <v>1</v>
      </c>
      <c r="G57" s="17">
        <v>0</v>
      </c>
      <c r="H57" s="17">
        <v>0</v>
      </c>
    </row>
    <row r="58" spans="1:8">
      <c r="A58" s="18" t="s">
        <v>508</v>
      </c>
      <c r="B58" s="18"/>
      <c r="C58" s="18"/>
      <c r="D58" s="18"/>
      <c r="E58" s="18"/>
      <c r="F58" s="18"/>
      <c r="G58" s="18"/>
      <c r="H58" s="18"/>
    </row>
  </sheetData>
  <mergeCells count="8">
    <mergeCell ref="A2:E2"/>
    <mergeCell ref="A4:E4"/>
    <mergeCell ref="A35:E35"/>
    <mergeCell ref="A39:H39"/>
    <mergeCell ref="A45:E45"/>
    <mergeCell ref="A47:H47"/>
    <mergeCell ref="A53:E53"/>
    <mergeCell ref="A58:H58"/>
  </mergeCells>
  <pageMargins left="0.25" right="0.25" top="0.75" bottom="0.75" header="0.298611111111111" footer="0.298611111111111"/>
  <pageSetup paperSize="9" scale="9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汇总</vt:lpstr>
      <vt:lpstr>导管室（放射线）</vt:lpstr>
      <vt:lpstr>耳鼻喉门诊</vt:lpstr>
      <vt:lpstr>妇产科病房</vt:lpstr>
      <vt:lpstr>妇产科门诊</vt:lpstr>
      <vt:lpstr>肛肠科</vt:lpstr>
      <vt:lpstr>供应室（手术室）</vt:lpstr>
      <vt:lpstr>急诊</vt:lpstr>
      <vt:lpstr>甲乳外科</vt:lpstr>
      <vt:lpstr>康复中心D区</vt:lpstr>
      <vt:lpstr>口腔科(内)</vt:lpstr>
      <vt:lpstr>口腔科(外)</vt:lpstr>
      <vt:lpstr>口腔科（正）</vt:lpstr>
      <vt:lpstr>口腔修复诊室</vt:lpstr>
      <vt:lpstr>门诊手术室</vt:lpstr>
      <vt:lpstr>泌尿外科</vt:lpstr>
      <vt:lpstr>皮肤科</vt:lpstr>
      <vt:lpstr>手术室</vt:lpstr>
      <vt:lpstr>胃肠肝胆外科</vt:lpstr>
      <vt:lpstr>胃镜室（消化内科）</vt:lpstr>
      <vt:lpstr>心内二</vt:lpstr>
      <vt:lpstr>血液透析室</vt:lpstr>
      <vt:lpstr>眼科</vt:lpstr>
      <vt:lpstr>医疗美容</vt:lpstr>
      <vt:lpstr>大博</vt:lpstr>
      <vt:lpstr>星檀</vt:lpstr>
      <vt:lpstr>钇嵩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2026-03-03T01:02:00Z</dcterms:created>
  <dcterms:modified xsi:type="dcterms:W3CDTF">2026-03-03T04:13:12Z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E8A481D85D5A4A299781B7589AAB6319_13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