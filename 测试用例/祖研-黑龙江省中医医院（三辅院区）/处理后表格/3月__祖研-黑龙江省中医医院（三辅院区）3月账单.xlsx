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75" windowHeight="13230" firstSheet="3" activeTab="4"/>
  </bookViews>
  <sheets>
    <sheet name="汇总" sheetId="12" r:id="rId1"/>
    <sheet name="妇科病房" sheetId="1" r:id="rId2"/>
    <sheet name="妇科门诊" sheetId="2" r:id="rId3"/>
    <sheet name="门诊肛肠一科" sheetId="3" r:id="rId4"/>
    <sheet name="皮肤门诊（二）" sheetId="4" r:id="rId5"/>
    <sheet name="肾八科" sheetId="5" r:id="rId6"/>
    <sheet name="肾九科" sheetId="6" r:id="rId7"/>
    <sheet name="肾三科" sheetId="7" r:id="rId8"/>
    <sheet name="手术室" sheetId="8" r:id="rId9"/>
    <sheet name="外科门诊" sheetId="9" r:id="rId10"/>
    <sheet name="血液透析室" sheetId="10" r:id="rId11"/>
  </sheets>
  <externalReferences>
    <externalReference r:id="rId12"/>
  </externalReferences>
  <definedNames>
    <definedName name="_xlnm._FilterDatabase" localSheetId="1" hidden="1">妇科病房!$A$9:$K$25</definedName>
    <definedName name="_xlnm._FilterDatabase" localSheetId="3" hidden="1">门诊肛肠一科!$A$7:$K$61</definedName>
    <definedName name="_xlnm._FilterDatabase" localSheetId="7" hidden="1">肾三科!$A$7:$K$19</definedName>
    <definedName name="_xlnm._FilterDatabase" localSheetId="8" hidden="1">手术室!$A$7:$K$95</definedName>
    <definedName name="_xlnm.Print_Titles" localSheetId="1">妇科病房!$1:$6</definedName>
    <definedName name="_xlnm.Print_Titles" localSheetId="2">妇科门诊!$1:$6</definedName>
    <definedName name="_xlnm.Print_Titles" localSheetId="3">门诊肛肠一科!$1:$6</definedName>
    <definedName name="_xlnm.Print_Titles" localSheetId="4">'皮肤门诊（二）'!$1:$6</definedName>
    <definedName name="_xlnm.Print_Titles" localSheetId="5">肾八科!$1:$6</definedName>
    <definedName name="_xlnm.Print_Titles" localSheetId="6">肾九科!$1:$6</definedName>
    <definedName name="_xlnm.Print_Titles" localSheetId="7">肾三科!$1:$6</definedName>
    <definedName name="_xlnm.Print_Titles" localSheetId="8">手术室!$1:$6</definedName>
    <definedName name="_xlnm.Print_Titles" localSheetId="9">外科门诊!$1:$6</definedName>
    <definedName name="_xlnm.Print_Titles" localSheetId="10">血液透析室!$1:$6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<sst xmlns="http://schemas.openxmlformats.org/spreadsheetml/2006/main" count="611" uniqueCount="107">
  <si>
    <r>
      <rPr>
        <b/>
        <sz val="14"/>
        <color rgb="FF000000"/>
        <rFont val="宋体"/>
        <charset val="134"/>
      </rPr>
      <t>祖研-黑龙江省中医医院（三辅院区）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2026年3月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</si>
  <si>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</si>
  <si>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</si>
  <si>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妇科病房</t>
  </si>
  <si>
    <t>妇科门诊</t>
  </si>
  <si>
    <t>供应室</t>
  </si>
  <si>
    <t>门诊肛肠一科</t>
  </si>
  <si>
    <t>皮肤门诊（二）</t>
  </si>
  <si>
    <t>肾八科</t>
  </si>
  <si>
    <t>肾九科</t>
  </si>
  <si>
    <t>肾三科</t>
  </si>
  <si>
    <t>手术室</t>
  </si>
  <si>
    <t>外科门诊</t>
  </si>
  <si>
    <t>血液透析室</t>
  </si>
  <si>
    <t>物流费</t>
  </si>
  <si>
    <t>合计</t>
  </si>
  <si>
    <t/>
  </si>
  <si>
    <t>制表人：　　　　　　　　　核算人：　　　　　　　　甲方核算人：</t>
  </si>
  <si>
    <t>黑龙江省铂康医疗灭菌有限公司
2026年3月31日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</si>
  <si>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</si>
  <si>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</si>
  <si>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黑龙江省中医医院（三辅院区）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</si>
  <si>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</si>
  <si>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</si>
  <si>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</si>
  <si>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</si>
  <si>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</si>
  <si>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</si>
  <si>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</si>
  <si>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</si>
  <si>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额外包(无纺布)</t>
  </si>
  <si>
    <t>处置盘-5件（缸3镊1筐1）/w9050</t>
  </si>
  <si>
    <t>镊子-25（筐1）/w9050</t>
  </si>
  <si>
    <t>额外包(纸塑袋)</t>
  </si>
  <si>
    <t>换药碗包-3件/Z1526</t>
  </si>
  <si>
    <t>开口器1舌钳子1压舌板1/Z2025</t>
  </si>
  <si>
    <t>扩棒包-8件/W6050</t>
  </si>
  <si>
    <t>镊子包-30件（筐1）/W9050</t>
  </si>
  <si>
    <t>敷料包(纸塑袋)</t>
  </si>
  <si>
    <t>纱布/Z1526</t>
  </si>
  <si>
    <t>镊子-28件（筐1）/w9050</t>
  </si>
  <si>
    <t>镊子-29件（筐1）/w9050</t>
  </si>
  <si>
    <t>处置包-5件/W6050</t>
  </si>
  <si>
    <t>单包装包</t>
  </si>
  <si>
    <t>弯盘-1/Z2032</t>
  </si>
  <si>
    <t>器械包(ZSD)</t>
  </si>
  <si>
    <t>刮宫包</t>
  </si>
  <si>
    <t>长弯钳-1/z1029</t>
  </si>
  <si>
    <t>大镊子-1/z7534</t>
  </si>
  <si>
    <t>活检钳-1/z2032</t>
  </si>
  <si>
    <t>棉球缸包-5件（4缸1筐）/w9050</t>
  </si>
  <si>
    <t>器械包</t>
  </si>
  <si>
    <t>环包</t>
  </si>
  <si>
    <t>镊子缸包-6件/W9050</t>
  </si>
  <si>
    <t>镊子包</t>
  </si>
  <si>
    <t>拆线缝合包</t>
  </si>
  <si>
    <t>镊子包-30（筐1）/w9050</t>
  </si>
  <si>
    <t>器械包-6件/w6050</t>
  </si>
  <si>
    <t>器械包-7件/w6050</t>
  </si>
  <si>
    <t>器械包-5件/w6050</t>
  </si>
  <si>
    <t>器械包-8件/w6050</t>
  </si>
  <si>
    <t>小镊子包40件筐1/W6050</t>
  </si>
  <si>
    <t>大纱布/Z2025</t>
  </si>
  <si>
    <t>肛肠手术包</t>
  </si>
  <si>
    <t>拆线缝合包-5件/Z1526</t>
  </si>
  <si>
    <t>肛门镜-2件/Z1530</t>
  </si>
  <si>
    <t>换药碗-1/z2032</t>
  </si>
  <si>
    <t>持物钳罐-2件/W6050</t>
  </si>
  <si>
    <t>手术包</t>
  </si>
  <si>
    <t>拆线缝合包-5件/W6050</t>
  </si>
  <si>
    <t>弯镰包-2件/Z1026</t>
  </si>
  <si>
    <t>碗1盘1/z3032</t>
  </si>
  <si>
    <t>镊子包-40件（筐1）/W9050</t>
  </si>
  <si>
    <t>持针器-1/Z1026</t>
  </si>
  <si>
    <t>剪刀-3件/Z1526</t>
  </si>
  <si>
    <t>弯钳-3件/Z1526</t>
  </si>
  <si>
    <t>组织钳-1/Z1026</t>
  </si>
  <si>
    <t>器械包-2件/Z1026</t>
  </si>
  <si>
    <t>器械包-3件/Z1526</t>
  </si>
  <si>
    <t>美容科排针包50件盘1/W6050</t>
  </si>
  <si>
    <t>弯盘-1/W6050</t>
  </si>
  <si>
    <t>孔巾/z2544</t>
  </si>
  <si>
    <t>拆线包-3件/Z2032（剪钳盘）</t>
  </si>
  <si>
    <t>导丝-1/Z7537</t>
  </si>
  <si>
    <t>小敷布包/Z1530</t>
  </si>
  <si>
    <t>肛肠小包</t>
  </si>
  <si>
    <t>门诊导丝小包</t>
  </si>
  <si>
    <t>门诊小包</t>
  </si>
  <si>
    <t>刮勺-1/Z7526</t>
  </si>
  <si>
    <t>剪刀-1/Z1026</t>
  </si>
  <si>
    <t>喇叭肛门镜-2件/Z1526</t>
  </si>
  <si>
    <t>卵圆钳-1/Z1526</t>
  </si>
  <si>
    <t>受水器-1/Z2025</t>
  </si>
  <si>
    <t>探针1瘘管1刨刀1/Z1026</t>
  </si>
  <si>
    <t>针线包/Z7526</t>
  </si>
  <si>
    <t>镊子-1/Z7520</t>
  </si>
  <si>
    <t>腹透包</t>
  </si>
  <si>
    <t>外科小包</t>
  </si>
  <si>
    <t>直筒肛门镜-1/Z1526</t>
  </si>
  <si>
    <t>内瘘包</t>
  </si>
  <si>
    <t>镊子-2/Z7526</t>
  </si>
  <si>
    <r>
      <rPr>
        <sz val="10"/>
        <color rgb="FF000000"/>
        <rFont val="宋体"/>
        <charset val="134"/>
      </rPr>
      <t>镊子缸</t>
    </r>
    <r>
      <rPr>
        <sz val="10"/>
        <color rgb="FF000000"/>
        <rFont val="Droid Sans Fallback"/>
        <charset val="134"/>
      </rPr>
      <t>-1/Z1526</t>
    </r>
  </si>
  <si>
    <t>无菌缸-1/Z2530</t>
  </si>
  <si>
    <t>换药包</t>
  </si>
  <si>
    <t>棉球/Z2025</t>
  </si>
  <si>
    <t>镊子缸-3件/W6050</t>
  </si>
  <si>
    <t>开口器-1/Z1026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</si>
</sst>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0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vertical="top" wrapText="1" readingOrder="1"/>
    </xf>
    <xf numFmtId="0" fontId="7" fillId="3" borderId="3" xfId="49" applyNumberFormat="1" applyFont="1" applyFill="1" applyBorder="1" applyAlignment="1">
      <alignment horizontal="center" vertical="top" wrapText="1" readingOrder="1"/>
    </xf>
    <xf numFmtId="176" fontId="7" fillId="3" borderId="3" xfId="49" applyNumberFormat="1" applyFont="1" applyFill="1" applyBorder="1" applyAlignment="1">
      <alignment horizontal="center" vertical="top" wrapText="1" readingOrder="1"/>
    </xf>
    <xf numFmtId="0" fontId="0" fillId="0" borderId="0" xfId="0" applyFont="1" applyFill="1" applyBorder="1" applyAlignment="1"/>
    <xf numFmtId="0" fontId="8" fillId="0" borderId="0" xfId="0" applyNumberFormat="1" applyFont="1" applyFill="1" applyBorder="1" applyAlignment="1">
      <alignment horizontal="center" vertical="center" wrapText="1" readingOrder="1"/>
    </xf>
    <xf numFmtId="0" fontId="9" fillId="0" borderId="5" xfId="0" applyNumberFormat="1" applyFont="1" applyFill="1" applyBorder="1" applyAlignment="1">
      <alignment horizontal="center" vertical="center" wrapText="1" readingOrder="1"/>
    </xf>
    <xf numFmtId="0" fontId="10" fillId="0" borderId="5" xfId="0" applyNumberFormat="1" applyFont="1" applyFill="1" applyBorder="1" applyAlignment="1">
      <alignment horizontal="center" vertical="center" wrapText="1" readingOrder="1"/>
    </xf>
    <xf numFmtId="176" fontId="10" fillId="0" borderId="5" xfId="0" applyNumberFormat="1" applyFont="1" applyFill="1" applyBorder="1" applyAlignment="1">
      <alignment horizontal="center" vertical="center" wrapText="1" readingOrder="1"/>
    </xf>
    <xf numFmtId="178" fontId="10" fillId="0" borderId="5" xfId="0" applyNumberFormat="1" applyFont="1" applyFill="1" applyBorder="1" applyAlignment="1">
      <alignment horizontal="center" vertical="center" wrapText="1" readingOrder="1"/>
    </xf>
    <xf numFmtId="178" fontId="0" fillId="0" borderId="6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0</xdr:rowOff>
    </xdr:from>
    <xdr:to>
      <xdr:col>10</xdr:col>
      <xdr:colOff>776688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1</xdr:row>
      <xdr:rowOff>9525</xdr:rowOff>
    </xdr:from>
    <xdr:to>
      <xdr:col>10</xdr:col>
      <xdr:colOff>671913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161925</xdr:rowOff>
    </xdr:from>
    <xdr:to>
      <xdr:col>10</xdr:col>
      <xdr:colOff>805263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1</xdr:row>
      <xdr:rowOff>9525</xdr:rowOff>
    </xdr:from>
    <xdr:to>
      <xdr:col>10</xdr:col>
      <xdr:colOff>662388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19050</xdr:rowOff>
    </xdr:from>
    <xdr:to>
      <xdr:col>10</xdr:col>
      <xdr:colOff>719538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0</xdr:rowOff>
    </xdr:from>
    <xdr:to>
      <xdr:col>10</xdr:col>
      <xdr:colOff>700488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0</xdr:row>
      <xdr:rowOff>114300</xdr:rowOff>
    </xdr:from>
    <xdr:to>
      <xdr:col>10</xdr:col>
      <xdr:colOff>662388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19050</xdr:rowOff>
    </xdr:from>
    <xdr:to>
      <xdr:col>10</xdr:col>
      <xdr:colOff>824313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152400</xdr:rowOff>
    </xdr:from>
    <xdr:to>
      <xdr:col>10</xdr:col>
      <xdr:colOff>738588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1</xdr:row>
      <xdr:rowOff>47625</xdr:rowOff>
    </xdr:from>
    <xdr:to>
      <xdr:col>10</xdr:col>
      <xdr:colOff>710013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219075"/>
          <a:ext cx="509905" cy="5086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19977;&#36741;&#38498;&#21306;&#65289;3&#26376;&#32467;&#27454;&#209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祖研-黑龙江省中医医院（三辅院区）"/>
    </sheetNames>
    <sheetDataSet>
      <sheetData sheetId="0">
        <row r="13">
          <cell r="F13">
            <v>500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4"/>
  <sheetViews>
    <sheetView workbookViewId="0">
      <selection activeCell="C9" sqref="C9"/>
    </sheetView>
  </sheetViews>
  <sheetFormatPr defaultColWidth="9" defaultRowHeight="13.5" outlineLevelCol="4"/>
  <cols>
    <col min="1" max="1" width="1.69166666666667" style="19" customWidth="1"/>
    <col min="2" max="2" width="30.1916666666667" style="19" customWidth="1"/>
    <col min="3" max="3" width="12.8333333333333" style="19" customWidth="1"/>
    <col min="4" max="4" width="29.6" style="19" customWidth="1"/>
    <col min="5" max="5" width="12.5416666666667" style="19" customWidth="1"/>
    <col min="6" max="6" width="2" style="19" customWidth="1"/>
    <col min="7" max="16384" width="9" style="19"/>
  </cols>
  <sheetData>
    <row r="1" s="19" customFormat="1" ht="14.95" customHeight="1"/>
    <row r="2" s="19" customFormat="1" ht="47" customHeight="1" spans="2:5">
      <c r="B2" s="20" t="s">
        <v>0</v>
      </c>
    </row>
    <row r="3" s="19" customFormat="1" ht="30" customHeight="1" spans="2:5">
      <c r="B3" s="21" t="s">
        <v>1</v>
      </c>
      <c r="C3" s="21" t="s">
        <v>2</v>
      </c>
      <c r="D3" s="21" t="s">
        <v>1</v>
      </c>
      <c r="E3" s="21" t="s">
        <v>2</v>
      </c>
    </row>
    <row r="4" s="19" customFormat="1" ht="30" customHeight="1" spans="2:5">
      <c r="B4" s="22" t="s">
        <v>3</v>
      </c>
      <c r="C4" s="23">
        <f>妇科病房!K10</f>
        <v>1948.5</v>
      </c>
      <c r="D4" s="22" t="s">
        <v>4</v>
      </c>
      <c r="E4" s="23">
        <f>妇科门诊!K8</f>
        <v>408</v>
      </c>
    </row>
    <row r="5" s="19" customFormat="1" ht="30" customHeight="1" spans="2:5">
      <c r="B5" s="22" t="s">
        <v>5</v>
      </c>
      <c r="C5" s="23">
        <v>0</v>
      </c>
      <c r="D5" s="22" t="s">
        <v>6</v>
      </c>
      <c r="E5" s="23">
        <f>门诊肛肠一科!K8</f>
        <v>8681.5</v>
      </c>
    </row>
    <row r="6" s="19" customFormat="1" ht="30" customHeight="1" spans="2:5">
      <c r="B6" s="22" t="s">
        <v>7</v>
      </c>
      <c r="C6" s="23">
        <f>'皮肤门诊（二）'!K8</f>
        <v>310.5</v>
      </c>
      <c r="D6" s="22" t="s">
        <v>8</v>
      </c>
      <c r="E6" s="23">
        <f>肾八科!K8</f>
        <v>20.5</v>
      </c>
    </row>
    <row r="7" s="19" customFormat="1" ht="30" customHeight="1" spans="2:5">
      <c r="B7" s="22" t="s">
        <v>9</v>
      </c>
      <c r="C7" s="23">
        <f>肾九科!K8</f>
        <v>40.5</v>
      </c>
      <c r="D7" s="22" t="s">
        <v>10</v>
      </c>
      <c r="E7" s="23">
        <f>肾三科!K8</f>
        <v>103.5</v>
      </c>
    </row>
    <row r="8" s="19" customFormat="1" ht="30" customHeight="1" spans="2:5">
      <c r="B8" s="22" t="s">
        <v>11</v>
      </c>
      <c r="C8" s="23">
        <f>手术室!K8</f>
        <v>6711</v>
      </c>
      <c r="D8" s="22" t="s">
        <v>12</v>
      </c>
      <c r="E8" s="23">
        <f>外科门诊!K8</f>
        <v>431.5</v>
      </c>
    </row>
    <row r="9" s="19" customFormat="1" ht="30" customHeight="1" spans="2:5">
      <c r="B9" s="22" t="s">
        <v>13</v>
      </c>
      <c r="C9" s="23">
        <f>血液透析室!K8</f>
        <v>8</v>
      </c>
      <c r="D9" s="22" t="s">
        <v>14</v>
      </c>
      <c r="E9" s="22">
        <f>'[1]祖研-黑龙江省中医医院（三辅院区）'!$F$13</f>
        <v>500</v>
      </c>
    </row>
    <row r="10" s="19" customFormat="1" ht="30" customHeight="1" spans="2:5">
      <c r="B10" s="21" t="s">
        <v>15</v>
      </c>
      <c r="C10" s="23">
        <f>C4+C5+C6+C7+C8+C9+E4+E5+E6+E7+E8+E9</f>
        <v>19163.5</v>
      </c>
      <c r="D10" s="24">
        <f>C10</f>
        <v>19163.5</v>
      </c>
      <c r="E10" s="25" t="s">
        <v>16</v>
      </c>
    </row>
    <row r="11" s="19" customFormat="1" ht="30" customHeight="1" spans="2:5">
      <c r="B11" s="26" t="s">
        <v>16</v>
      </c>
      <c r="C11" s="26" t="s">
        <v>16</v>
      </c>
      <c r="D11" s="26" t="s">
        <v>16</v>
      </c>
      <c r="E11" s="26" t="s">
        <v>16</v>
      </c>
    </row>
    <row r="12" s="19" customFormat="1" ht="30" customHeight="1" spans="2:5">
      <c r="B12" s="26" t="s">
        <v>17</v>
      </c>
    </row>
    <row r="13" s="19" customFormat="1" ht="30" customHeight="1" spans="2:5">
      <c r="B13" s="27" t="s">
        <v>18</v>
      </c>
    </row>
    <row r="14" s="19" customFormat="1" ht="0.05" customHeight="1"/>
  </sheetData>
  <mergeCells count="4">
    <mergeCell ref="B2:E2"/>
    <mergeCell ref="D10:E10"/>
    <mergeCell ref="B12:E12"/>
    <mergeCell ref="B13:E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view="pageBreakPreview" zoomScaleNormal="100" workbookViewId="0">
      <pane ySplit="6" topLeftCell="A7" activePane="bottomLeft" state="frozen"/>
      <selection/>
      <selection pane="bottomLeft" activeCell="Q23" sqref="Q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19</v>
      </c>
    </row>
    <row r="2" ht="23.05" customHeight="1"/>
    <row r="3" ht="2" customHeight="1"/>
    <row r="4" ht="15.2" customHeight="1" spans="2:11">
      <c r="B4" s="2" t="s">
        <v>20</v>
      </c>
    </row>
    <row r="6" ht="2.95" customHeight="1"/>
    <row r="7" ht="3.95" customHeight="1" spans="2:11">
      <c r="B7" s="4" t="s">
        <v>16</v>
      </c>
      <c r="C7" s="4" t="s">
        <v>16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</row>
    <row r="8" ht="15" spans="2:11">
      <c r="C8" s="3" t="s">
        <v>16</v>
      </c>
      <c r="D8" s="16" t="s">
        <v>21</v>
      </c>
      <c r="E8" s="8" t="s">
        <v>16</v>
      </c>
      <c r="F8" s="8" t="s">
        <v>16</v>
      </c>
      <c r="G8" s="8" t="s">
        <v>16</v>
      </c>
      <c r="H8" s="8" t="s">
        <v>16</v>
      </c>
      <c r="I8" s="17"/>
      <c r="J8" s="18"/>
      <c r="K8" s="18"/>
    </row>
    <row r="9" spans="2:11">
      <c r="C9" s="3" t="s">
        <v>16</v>
      </c>
      <c r="D9" s="13" t="s">
        <v>22</v>
      </c>
      <c r="E9" s="13" t="s">
        <v>23</v>
      </c>
      <c r="F9" s="13" t="s">
        <v>24</v>
      </c>
      <c r="G9" s="13" t="s">
        <v>25</v>
      </c>
      <c r="H9" s="13" t="s">
        <v>26</v>
      </c>
      <c r="I9" s="13" t="s">
        <v>27</v>
      </c>
      <c r="J9" s="13" t="s">
        <v>28</v>
      </c>
      <c r="K9" s="13" t="s">
        <v>29</v>
      </c>
    </row>
    <row r="10" ht="14.25" spans="2:11">
      <c r="D10" s="7" t="s">
        <v>3</v>
      </c>
      <c r="E10" s="8" t="s">
        <v>16</v>
      </c>
      <c r="F10" s="8" t="s">
        <v>16</v>
      </c>
      <c r="G10" s="8" t="s">
        <v>16</v>
      </c>
      <c r="H10" s="8" t="s">
        <v>16</v>
      </c>
      <c r="I10" s="9">
        <v>22</v>
      </c>
      <c r="J10" s="10"/>
      <c r="K10" s="10">
        <f>SUM(K11:K25)</f>
        <v>1948.5</v>
      </c>
    </row>
    <row r="11" spans="2:11">
      <c r="D11" s="11">
        <v>46097</v>
      </c>
      <c r="E11" s="12">
        <v>1586403</v>
      </c>
      <c r="F11" s="12" t="s">
        <v>30</v>
      </c>
      <c r="G11" s="13">
        <v>20417273</v>
      </c>
      <c r="H11" s="12" t="s">
        <v>31</v>
      </c>
      <c r="I11" s="13">
        <v>1</v>
      </c>
      <c r="J11" s="14">
        <v>27.5</v>
      </c>
      <c r="K11" s="14">
        <f>J11*I11</f>
        <v>27.5</v>
      </c>
    </row>
    <row r="12" spans="2:11">
      <c r="D12" s="11">
        <v>46097</v>
      </c>
      <c r="E12" s="12">
        <v>1586403</v>
      </c>
      <c r="F12" s="12" t="s">
        <v>30</v>
      </c>
      <c r="G12" s="13">
        <v>20417272</v>
      </c>
      <c r="H12" s="12" t="s">
        <v>32</v>
      </c>
      <c r="I12" s="13">
        <v>2</v>
      </c>
      <c r="J12" s="14">
        <v>143</v>
      </c>
      <c r="K12" s="14">
        <f t="shared" ref="K12:K25" si="0">J12*I12</f>
        <v>286</v>
      </c>
    </row>
    <row r="13" spans="2:11">
      <c r="D13" s="11">
        <v>46101</v>
      </c>
      <c r="E13" s="12">
        <v>1587872</v>
      </c>
      <c r="F13" s="12" t="s">
        <v>33</v>
      </c>
      <c r="G13" s="13">
        <v>20410112</v>
      </c>
      <c r="H13" s="12" t="s">
        <v>34</v>
      </c>
      <c r="I13" s="13">
        <v>3</v>
      </c>
      <c r="J13" s="14">
        <v>16.5</v>
      </c>
      <c r="K13" s="14">
        <f t="shared" si="0"/>
        <v>49.5</v>
      </c>
    </row>
    <row r="14" spans="2:11">
      <c r="D14" s="11">
        <v>46101</v>
      </c>
      <c r="E14" s="12">
        <v>1587872</v>
      </c>
      <c r="F14" s="12" t="s">
        <v>33</v>
      </c>
      <c r="G14" s="13">
        <v>20418082</v>
      </c>
      <c r="H14" s="12" t="s">
        <v>35</v>
      </c>
      <c r="I14" s="13">
        <v>1</v>
      </c>
      <c r="J14" s="14">
        <f>3*5.5</f>
        <v>16.5</v>
      </c>
      <c r="K14" s="14">
        <f t="shared" si="0"/>
        <v>16.5</v>
      </c>
    </row>
    <row r="15" spans="2:11">
      <c r="D15" s="11">
        <v>46101</v>
      </c>
      <c r="E15" s="12">
        <v>1587872</v>
      </c>
      <c r="F15" s="12" t="s">
        <v>30</v>
      </c>
      <c r="G15" s="13">
        <v>20410106</v>
      </c>
      <c r="H15" s="12" t="s">
        <v>36</v>
      </c>
      <c r="I15" s="13">
        <v>1</v>
      </c>
      <c r="J15" s="14">
        <v>44</v>
      </c>
      <c r="K15" s="14">
        <f t="shared" si="0"/>
        <v>44</v>
      </c>
    </row>
    <row r="16" spans="2:11">
      <c r="D16" s="11">
        <v>46101</v>
      </c>
      <c r="E16" s="12">
        <v>1587872</v>
      </c>
      <c r="F16" s="12" t="s">
        <v>30</v>
      </c>
      <c r="G16" s="13">
        <v>20410086</v>
      </c>
      <c r="H16" s="12" t="s">
        <v>37</v>
      </c>
      <c r="I16" s="13">
        <v>2</v>
      </c>
      <c r="J16" s="14">
        <f>31*5.5</f>
        <v>170.5</v>
      </c>
      <c r="K16" s="14">
        <f t="shared" si="0"/>
        <v>341</v>
      </c>
    </row>
    <row r="17" spans="4:11">
      <c r="D17" s="11">
        <v>46101</v>
      </c>
      <c r="E17" s="12">
        <v>1587872</v>
      </c>
      <c r="F17" s="12" t="s">
        <v>38</v>
      </c>
      <c r="G17" s="13">
        <v>20417298</v>
      </c>
      <c r="H17" s="12" t="s">
        <v>39</v>
      </c>
      <c r="I17" s="13">
        <v>2</v>
      </c>
      <c r="J17" s="14">
        <v>2.5</v>
      </c>
      <c r="K17" s="14">
        <f t="shared" si="0"/>
        <v>5</v>
      </c>
    </row>
    <row r="18" spans="4:11">
      <c r="D18" s="11">
        <v>46104</v>
      </c>
      <c r="E18" s="12">
        <v>1588394</v>
      </c>
      <c r="F18" s="12" t="s">
        <v>30</v>
      </c>
      <c r="G18" s="13">
        <v>20418340</v>
      </c>
      <c r="H18" s="12" t="s">
        <v>40</v>
      </c>
      <c r="I18" s="13">
        <v>1</v>
      </c>
      <c r="J18" s="14">
        <v>159.5</v>
      </c>
      <c r="K18" s="14">
        <f t="shared" si="0"/>
        <v>159.5</v>
      </c>
    </row>
    <row r="19" spans="4:11">
      <c r="D19" s="11">
        <v>46104</v>
      </c>
      <c r="E19" s="12">
        <v>1588394</v>
      </c>
      <c r="F19" s="12" t="s">
        <v>30</v>
      </c>
      <c r="G19" s="13">
        <v>20417272</v>
      </c>
      <c r="H19" s="12" t="s">
        <v>41</v>
      </c>
      <c r="I19" s="13">
        <v>1</v>
      </c>
      <c r="J19" s="14">
        <v>165</v>
      </c>
      <c r="K19" s="14">
        <f t="shared" si="0"/>
        <v>165</v>
      </c>
    </row>
    <row r="20" spans="4:11">
      <c r="D20" s="11">
        <v>46106</v>
      </c>
      <c r="E20" s="12">
        <v>1589094</v>
      </c>
      <c r="F20" s="12" t="s">
        <v>30</v>
      </c>
      <c r="G20" s="13">
        <v>20410104</v>
      </c>
      <c r="H20" s="12" t="s">
        <v>42</v>
      </c>
      <c r="I20" s="13">
        <v>1</v>
      </c>
      <c r="J20" s="14">
        <v>27.5</v>
      </c>
      <c r="K20" s="14">
        <f t="shared" si="0"/>
        <v>27.5</v>
      </c>
    </row>
    <row r="21" spans="4:11">
      <c r="D21" s="11">
        <v>46106</v>
      </c>
      <c r="E21" s="12">
        <v>1589094</v>
      </c>
      <c r="F21" s="12" t="s">
        <v>30</v>
      </c>
      <c r="G21" s="13">
        <v>20410086</v>
      </c>
      <c r="H21" s="12" t="s">
        <v>37</v>
      </c>
      <c r="I21" s="13">
        <v>1</v>
      </c>
      <c r="J21" s="14">
        <f>31*5.5</f>
        <v>170.5</v>
      </c>
      <c r="K21" s="14">
        <f t="shared" si="0"/>
        <v>170.5</v>
      </c>
    </row>
    <row r="22" spans="4:11">
      <c r="D22" s="11">
        <v>46112</v>
      </c>
      <c r="E22" s="12">
        <v>1590707</v>
      </c>
      <c r="F22" s="12" t="s">
        <v>43</v>
      </c>
      <c r="G22" s="13">
        <v>20417273</v>
      </c>
      <c r="H22" s="12" t="s">
        <v>31</v>
      </c>
      <c r="I22" s="13">
        <v>1</v>
      </c>
      <c r="J22" s="14">
        <v>27.5</v>
      </c>
      <c r="K22" s="14">
        <f t="shared" si="0"/>
        <v>27.5</v>
      </c>
    </row>
    <row r="23" spans="4:11">
      <c r="D23" s="11">
        <v>46112</v>
      </c>
      <c r="E23" s="12">
        <v>1590707</v>
      </c>
      <c r="F23" s="12" t="s">
        <v>33</v>
      </c>
      <c r="G23" s="13">
        <v>20417010</v>
      </c>
      <c r="H23" s="12" t="s">
        <v>44</v>
      </c>
      <c r="I23" s="13">
        <v>1</v>
      </c>
      <c r="J23" s="14">
        <v>13</v>
      </c>
      <c r="K23" s="14">
        <f t="shared" si="0"/>
        <v>13</v>
      </c>
    </row>
    <row r="24" spans="4:11">
      <c r="D24" s="11">
        <v>46112</v>
      </c>
      <c r="E24" s="12">
        <v>1590707</v>
      </c>
      <c r="F24" s="12" t="s">
        <v>45</v>
      </c>
      <c r="G24" s="13">
        <v>20409870</v>
      </c>
      <c r="H24" s="12" t="s">
        <v>46</v>
      </c>
      <c r="I24" s="13">
        <v>1</v>
      </c>
      <c r="J24" s="14">
        <v>137.5</v>
      </c>
      <c r="K24" s="14">
        <f t="shared" si="0"/>
        <v>137.5</v>
      </c>
    </row>
    <row r="25" spans="4:11">
      <c r="D25" s="11">
        <v>46112</v>
      </c>
      <c r="E25" s="12">
        <v>1590707</v>
      </c>
      <c r="F25" s="12" t="s">
        <v>30</v>
      </c>
      <c r="G25" s="13">
        <v>20418340</v>
      </c>
      <c r="H25" s="12" t="s">
        <v>40</v>
      </c>
      <c r="I25" s="13">
        <v>3</v>
      </c>
      <c r="J25" s="14">
        <v>159.5</v>
      </c>
      <c r="K25" s="14">
        <f t="shared" si="0"/>
        <v>478.5</v>
      </c>
    </row>
    <row r="26" ht="0.05" customHeight="1"/>
  </sheetData>
  <autoFilter xmlns:etc="http://www.wps.cn/officeDocument/2017/etCustomData" ref="A9:K25" etc:filterBottomFollowUsedRange="0">
    <extLst/>
  </autoFilter>
  <mergeCells count="6">
    <mergeCell ref="D8:H8"/>
    <mergeCell ref="D10:H10"/>
    <mergeCell ref="C9:C25"/>
    <mergeCell ref="B4:H5"/>
    <mergeCell ref="C1:H2"/>
    <mergeCell ref="A8:B2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J12" sqref="J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4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14</v>
      </c>
      <c r="J8" s="10"/>
      <c r="K8" s="10">
        <v>408</v>
      </c>
    </row>
    <row r="9" spans="1:11">
      <c r="D9" s="11">
        <v>46097</v>
      </c>
      <c r="E9" s="12">
        <v>1586404</v>
      </c>
      <c r="F9" s="12" t="s">
        <v>33</v>
      </c>
      <c r="G9" s="13">
        <v>20417270</v>
      </c>
      <c r="H9" s="12" t="s">
        <v>47</v>
      </c>
      <c r="I9" s="13">
        <v>1</v>
      </c>
      <c r="J9" s="14">
        <v>8</v>
      </c>
      <c r="K9" s="14">
        <v>8</v>
      </c>
    </row>
    <row r="10" spans="1:11">
      <c r="D10" s="11">
        <v>46097</v>
      </c>
      <c r="E10" s="12">
        <v>1586404</v>
      </c>
      <c r="F10" s="12" t="s">
        <v>33</v>
      </c>
      <c r="G10" s="13">
        <v>20417269</v>
      </c>
      <c r="H10" s="12" t="s">
        <v>48</v>
      </c>
      <c r="I10" s="13">
        <v>5</v>
      </c>
      <c r="J10" s="14">
        <v>8</v>
      </c>
      <c r="K10" s="14">
        <v>40</v>
      </c>
    </row>
    <row r="11" spans="1:11">
      <c r="D11" s="11">
        <v>46097</v>
      </c>
      <c r="E11" s="12">
        <v>1586404</v>
      </c>
      <c r="F11" s="12" t="s">
        <v>33</v>
      </c>
      <c r="G11" s="13">
        <v>20417262</v>
      </c>
      <c r="H11" s="12" t="s">
        <v>49</v>
      </c>
      <c r="I11" s="13">
        <v>2</v>
      </c>
      <c r="J11" s="14">
        <v>13</v>
      </c>
      <c r="K11" s="14">
        <v>26</v>
      </c>
    </row>
    <row r="12" spans="1:11">
      <c r="D12" s="11">
        <v>46097</v>
      </c>
      <c r="E12" s="12">
        <v>1586404</v>
      </c>
      <c r="F12" s="12" t="s">
        <v>30</v>
      </c>
      <c r="G12" s="13">
        <v>20417261</v>
      </c>
      <c r="H12" s="12" t="s">
        <v>50</v>
      </c>
      <c r="I12" s="13">
        <v>1</v>
      </c>
      <c r="J12" s="14">
        <v>27.5</v>
      </c>
      <c r="K12" s="14">
        <v>27.5</v>
      </c>
    </row>
    <row r="13" spans="1:11">
      <c r="D13" s="11">
        <v>46101</v>
      </c>
      <c r="E13" s="12">
        <v>1587874</v>
      </c>
      <c r="F13" s="12" t="s">
        <v>33</v>
      </c>
      <c r="G13" s="13">
        <v>20417262</v>
      </c>
      <c r="H13" s="12" t="s">
        <v>49</v>
      </c>
      <c r="I13" s="13">
        <v>1</v>
      </c>
      <c r="J13" s="14">
        <v>13</v>
      </c>
      <c r="K13" s="14">
        <v>13</v>
      </c>
    </row>
    <row r="14" spans="1:11">
      <c r="D14" s="11">
        <v>46108</v>
      </c>
      <c r="E14" s="12">
        <v>1589889</v>
      </c>
      <c r="F14" s="12" t="s">
        <v>51</v>
      </c>
      <c r="G14" s="13">
        <v>20410103</v>
      </c>
      <c r="H14" s="12" t="s">
        <v>52</v>
      </c>
      <c r="I14" s="13">
        <v>1</v>
      </c>
      <c r="J14" s="14">
        <v>110</v>
      </c>
      <c r="K14" s="14">
        <v>110</v>
      </c>
    </row>
    <row r="15" spans="1:11">
      <c r="D15" s="11">
        <v>46108</v>
      </c>
      <c r="E15" s="12">
        <v>1589889</v>
      </c>
      <c r="F15" s="12" t="s">
        <v>51</v>
      </c>
      <c r="G15" s="13">
        <v>20410105</v>
      </c>
      <c r="H15" s="12" t="s">
        <v>51</v>
      </c>
      <c r="I15" s="13">
        <v>1</v>
      </c>
      <c r="J15" s="14">
        <v>137.5</v>
      </c>
      <c r="K15" s="14">
        <v>137.5</v>
      </c>
    </row>
    <row r="16" spans="1:11">
      <c r="D16" s="11">
        <v>46108</v>
      </c>
      <c r="E16" s="12">
        <v>1589889</v>
      </c>
      <c r="F16" s="12" t="s">
        <v>33</v>
      </c>
      <c r="G16" s="13">
        <v>20417010</v>
      </c>
      <c r="H16" s="12" t="s">
        <v>44</v>
      </c>
      <c r="I16" s="13">
        <v>1</v>
      </c>
      <c r="J16" s="14">
        <v>13</v>
      </c>
      <c r="K16" s="14">
        <v>13</v>
      </c>
    </row>
    <row r="17" spans="4:11">
      <c r="D17" s="11">
        <v>46108</v>
      </c>
      <c r="E17" s="12">
        <v>1589889</v>
      </c>
      <c r="F17" s="12" t="s">
        <v>30</v>
      </c>
      <c r="G17" s="13">
        <v>20410088</v>
      </c>
      <c r="H17" s="12" t="s">
        <v>53</v>
      </c>
      <c r="I17" s="13">
        <v>1</v>
      </c>
      <c r="J17" s="14">
        <v>33</v>
      </c>
      <c r="K17" s="14">
        <v>33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6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106</v>
      </c>
      <c r="J8" s="10"/>
      <c r="K8" s="10">
        <f>SUM(K9:K61)</f>
        <v>8681.5</v>
      </c>
    </row>
    <row r="9" spans="1:11">
      <c r="D9" s="11">
        <v>46097</v>
      </c>
      <c r="E9" s="12">
        <v>1586405</v>
      </c>
      <c r="F9" s="12" t="s">
        <v>51</v>
      </c>
      <c r="G9" s="13">
        <v>20417275</v>
      </c>
      <c r="H9" s="12" t="s">
        <v>54</v>
      </c>
      <c r="I9" s="13">
        <v>4</v>
      </c>
      <c r="J9" s="14">
        <v>225.5</v>
      </c>
      <c r="K9" s="14">
        <f>J9*I9</f>
        <v>902</v>
      </c>
    </row>
    <row r="10" spans="1:11">
      <c r="D10" s="11">
        <v>46097</v>
      </c>
      <c r="E10" s="12">
        <v>1586405</v>
      </c>
      <c r="F10" s="12" t="s">
        <v>45</v>
      </c>
      <c r="G10" s="13">
        <v>20417274</v>
      </c>
      <c r="H10" s="12" t="s">
        <v>55</v>
      </c>
      <c r="I10" s="13">
        <v>1</v>
      </c>
      <c r="J10" s="14">
        <v>27.5</v>
      </c>
      <c r="K10" s="14">
        <f t="shared" ref="K10:K41" si="0">J10*I10</f>
        <v>27.5</v>
      </c>
    </row>
    <row r="11" spans="1:11">
      <c r="D11" s="11">
        <v>46097</v>
      </c>
      <c r="E11" s="12">
        <v>1586405</v>
      </c>
      <c r="F11" s="12" t="s">
        <v>30</v>
      </c>
      <c r="G11" s="13">
        <v>20417276</v>
      </c>
      <c r="H11" s="12" t="s">
        <v>56</v>
      </c>
      <c r="I11" s="13">
        <v>1</v>
      </c>
      <c r="J11" s="14">
        <v>170.5</v>
      </c>
      <c r="K11" s="14">
        <f t="shared" si="0"/>
        <v>170.5</v>
      </c>
    </row>
    <row r="12" spans="1:11">
      <c r="D12" s="11">
        <v>46097</v>
      </c>
      <c r="E12" s="12">
        <v>1586405</v>
      </c>
      <c r="F12" s="12" t="s">
        <v>30</v>
      </c>
      <c r="G12" s="13">
        <v>20417277</v>
      </c>
      <c r="H12" s="12" t="s">
        <v>57</v>
      </c>
      <c r="I12" s="13">
        <v>1</v>
      </c>
      <c r="J12" s="14">
        <v>33</v>
      </c>
      <c r="K12" s="14">
        <f t="shared" si="0"/>
        <v>33</v>
      </c>
    </row>
    <row r="13" spans="1:11">
      <c r="D13" s="11">
        <v>46097</v>
      </c>
      <c r="E13" s="12">
        <v>1586405</v>
      </c>
      <c r="F13" s="12" t="s">
        <v>30</v>
      </c>
      <c r="G13" s="13">
        <v>20417278</v>
      </c>
      <c r="H13" s="12" t="s">
        <v>58</v>
      </c>
      <c r="I13" s="13">
        <v>2</v>
      </c>
      <c r="J13" s="14">
        <v>38.5</v>
      </c>
      <c r="K13" s="14">
        <f t="shared" si="0"/>
        <v>77</v>
      </c>
    </row>
    <row r="14" spans="1:11">
      <c r="D14" s="11">
        <v>46100</v>
      </c>
      <c r="E14" s="12">
        <v>1587222</v>
      </c>
      <c r="F14" s="12" t="s">
        <v>30</v>
      </c>
      <c r="G14" s="13">
        <v>20417730</v>
      </c>
      <c r="H14" s="12" t="s">
        <v>59</v>
      </c>
      <c r="I14" s="13">
        <v>1</v>
      </c>
      <c r="J14" s="14">
        <v>27.5</v>
      </c>
      <c r="K14" s="14">
        <f t="shared" si="0"/>
        <v>27.5</v>
      </c>
    </row>
    <row r="15" spans="1:11">
      <c r="D15" s="11">
        <v>46100</v>
      </c>
      <c r="E15" s="12">
        <v>1587222</v>
      </c>
      <c r="F15" s="12" t="s">
        <v>30</v>
      </c>
      <c r="G15" s="13">
        <v>20417277</v>
      </c>
      <c r="H15" s="12" t="s">
        <v>57</v>
      </c>
      <c r="I15" s="13">
        <v>3</v>
      </c>
      <c r="J15" s="14">
        <v>33</v>
      </c>
      <c r="K15" s="14">
        <f t="shared" si="0"/>
        <v>99</v>
      </c>
    </row>
    <row r="16" spans="1:11">
      <c r="D16" s="11">
        <v>46100</v>
      </c>
      <c r="E16" s="12">
        <v>1587222</v>
      </c>
      <c r="F16" s="12" t="s">
        <v>30</v>
      </c>
      <c r="G16" s="13">
        <v>20417278</v>
      </c>
      <c r="H16" s="12" t="s">
        <v>58</v>
      </c>
      <c r="I16" s="13">
        <v>1</v>
      </c>
      <c r="J16" s="14">
        <v>38.5</v>
      </c>
      <c r="K16" s="14">
        <f t="shared" si="0"/>
        <v>38.5</v>
      </c>
    </row>
    <row r="17" spans="4:11">
      <c r="D17" s="11">
        <v>46100</v>
      </c>
      <c r="E17" s="12">
        <v>1587222</v>
      </c>
      <c r="F17" s="12" t="s">
        <v>30</v>
      </c>
      <c r="G17" s="13">
        <v>20417729</v>
      </c>
      <c r="H17" s="12" t="s">
        <v>60</v>
      </c>
      <c r="I17" s="13">
        <v>1</v>
      </c>
      <c r="J17" s="14">
        <v>44</v>
      </c>
      <c r="K17" s="14">
        <f t="shared" si="0"/>
        <v>44</v>
      </c>
    </row>
    <row r="18" spans="4:11">
      <c r="D18" s="11">
        <v>46100</v>
      </c>
      <c r="E18" s="12">
        <v>1587222</v>
      </c>
      <c r="F18" s="12" t="s">
        <v>30</v>
      </c>
      <c r="G18" s="13">
        <v>20410113</v>
      </c>
      <c r="H18" s="12" t="s">
        <v>61</v>
      </c>
      <c r="I18" s="13">
        <v>3</v>
      </c>
      <c r="J18" s="14">
        <v>225.5</v>
      </c>
      <c r="K18" s="14">
        <f t="shared" si="0"/>
        <v>676.5</v>
      </c>
    </row>
    <row r="19" spans="4:11">
      <c r="D19" s="11">
        <v>46101</v>
      </c>
      <c r="E19" s="12">
        <v>1587875</v>
      </c>
      <c r="F19" s="12" t="s">
        <v>51</v>
      </c>
      <c r="G19" s="13">
        <v>20417275</v>
      </c>
      <c r="H19" s="12" t="s">
        <v>54</v>
      </c>
      <c r="I19" s="13">
        <v>3</v>
      </c>
      <c r="J19" s="14">
        <v>225.5</v>
      </c>
      <c r="K19" s="14">
        <f t="shared" si="0"/>
        <v>676.5</v>
      </c>
    </row>
    <row r="20" spans="4:11">
      <c r="D20" s="11">
        <v>46101</v>
      </c>
      <c r="E20" s="12">
        <v>1587875</v>
      </c>
      <c r="F20" s="12" t="s">
        <v>30</v>
      </c>
      <c r="G20" s="13">
        <v>20417278</v>
      </c>
      <c r="H20" s="12" t="s">
        <v>58</v>
      </c>
      <c r="I20" s="13">
        <v>1</v>
      </c>
      <c r="J20" s="14">
        <v>38.5</v>
      </c>
      <c r="K20" s="14">
        <f t="shared" si="0"/>
        <v>38.5</v>
      </c>
    </row>
    <row r="21" spans="4:11">
      <c r="D21" s="11">
        <v>46101</v>
      </c>
      <c r="E21" s="12">
        <v>1587875</v>
      </c>
      <c r="F21" s="12" t="s">
        <v>30</v>
      </c>
      <c r="G21" s="13">
        <v>20417729</v>
      </c>
      <c r="H21" s="12" t="s">
        <v>60</v>
      </c>
      <c r="I21" s="13">
        <v>2</v>
      </c>
      <c r="J21" s="14">
        <v>44</v>
      </c>
      <c r="K21" s="14">
        <f t="shared" si="0"/>
        <v>88</v>
      </c>
    </row>
    <row r="22" spans="4:11">
      <c r="D22" s="11">
        <v>46101</v>
      </c>
      <c r="E22" s="12">
        <v>1587875</v>
      </c>
      <c r="F22" s="12" t="s">
        <v>38</v>
      </c>
      <c r="G22" s="13">
        <v>20418085</v>
      </c>
      <c r="H22" s="12" t="s">
        <v>62</v>
      </c>
      <c r="I22" s="13">
        <v>1</v>
      </c>
      <c r="J22" s="14">
        <v>4</v>
      </c>
      <c r="K22" s="14">
        <f t="shared" si="0"/>
        <v>4</v>
      </c>
    </row>
    <row r="23" spans="4:11">
      <c r="D23" s="11">
        <v>46104</v>
      </c>
      <c r="E23" s="12">
        <v>1588391</v>
      </c>
      <c r="F23" s="12" t="s">
        <v>51</v>
      </c>
      <c r="G23" s="13">
        <v>20418345</v>
      </c>
      <c r="H23" s="12" t="s">
        <v>63</v>
      </c>
      <c r="I23" s="13">
        <v>1</v>
      </c>
      <c r="J23" s="14">
        <v>66</v>
      </c>
      <c r="K23" s="14">
        <f t="shared" si="0"/>
        <v>66</v>
      </c>
    </row>
    <row r="24" spans="4:11">
      <c r="D24" s="11">
        <v>46104</v>
      </c>
      <c r="E24" s="12">
        <v>1588391</v>
      </c>
      <c r="F24" s="12" t="s">
        <v>51</v>
      </c>
      <c r="G24" s="13">
        <v>20417275</v>
      </c>
      <c r="H24" s="12" t="s">
        <v>54</v>
      </c>
      <c r="I24" s="13">
        <v>1</v>
      </c>
      <c r="J24" s="14">
        <v>225.5</v>
      </c>
      <c r="K24" s="14">
        <f t="shared" si="0"/>
        <v>225.5</v>
      </c>
    </row>
    <row r="25" spans="4:11">
      <c r="D25" s="11">
        <v>46104</v>
      </c>
      <c r="E25" s="12">
        <v>1588391</v>
      </c>
      <c r="F25" s="12" t="s">
        <v>33</v>
      </c>
      <c r="G25" s="13">
        <v>20410115</v>
      </c>
      <c r="H25" s="12" t="s">
        <v>64</v>
      </c>
      <c r="I25" s="13">
        <v>1</v>
      </c>
      <c r="J25" s="14">
        <f>5*5.5</f>
        <v>27.5</v>
      </c>
      <c r="K25" s="14">
        <f t="shared" si="0"/>
        <v>27.5</v>
      </c>
    </row>
    <row r="26" spans="4:11">
      <c r="D26" s="11">
        <v>46104</v>
      </c>
      <c r="E26" s="12">
        <v>1588391</v>
      </c>
      <c r="F26" s="12" t="s">
        <v>33</v>
      </c>
      <c r="G26" s="13">
        <v>20418339</v>
      </c>
      <c r="H26" s="12" t="s">
        <v>65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46104</v>
      </c>
      <c r="E27" s="12">
        <v>1588391</v>
      </c>
      <c r="F27" s="12" t="s">
        <v>33</v>
      </c>
      <c r="G27" s="13">
        <v>20417009</v>
      </c>
      <c r="H27" s="12" t="s">
        <v>66</v>
      </c>
      <c r="I27" s="13">
        <v>1</v>
      </c>
      <c r="J27" s="14">
        <v>13</v>
      </c>
      <c r="K27" s="14">
        <f t="shared" si="0"/>
        <v>13</v>
      </c>
    </row>
    <row r="28" spans="4:11">
      <c r="D28" s="11">
        <v>46104</v>
      </c>
      <c r="E28" s="12">
        <v>1588391</v>
      </c>
      <c r="F28" s="12" t="s">
        <v>33</v>
      </c>
      <c r="G28" s="13">
        <v>20417010</v>
      </c>
      <c r="H28" s="12" t="s">
        <v>44</v>
      </c>
      <c r="I28" s="13">
        <v>1</v>
      </c>
      <c r="J28" s="14">
        <v>13</v>
      </c>
      <c r="K28" s="14">
        <f t="shared" si="0"/>
        <v>13</v>
      </c>
    </row>
    <row r="29" spans="4:11">
      <c r="D29" s="11">
        <v>46104</v>
      </c>
      <c r="E29" s="12">
        <v>1588391</v>
      </c>
      <c r="F29" s="12" t="s">
        <v>30</v>
      </c>
      <c r="G29" s="13">
        <v>20409823</v>
      </c>
      <c r="H29" s="12" t="s">
        <v>67</v>
      </c>
      <c r="I29" s="13">
        <v>1</v>
      </c>
      <c r="J29" s="14">
        <v>16.5</v>
      </c>
      <c r="K29" s="14">
        <f t="shared" si="0"/>
        <v>16.5</v>
      </c>
    </row>
    <row r="30" spans="4:11">
      <c r="D30" s="11">
        <v>46104</v>
      </c>
      <c r="E30" s="12">
        <v>1588391</v>
      </c>
      <c r="F30" s="12" t="s">
        <v>30</v>
      </c>
      <c r="G30" s="13">
        <v>20417277</v>
      </c>
      <c r="H30" s="12" t="s">
        <v>57</v>
      </c>
      <c r="I30" s="13">
        <v>1</v>
      </c>
      <c r="J30" s="14">
        <v>33</v>
      </c>
      <c r="K30" s="14">
        <f t="shared" si="0"/>
        <v>33</v>
      </c>
    </row>
    <row r="31" spans="4:11">
      <c r="D31" s="11">
        <v>46104</v>
      </c>
      <c r="E31" s="12">
        <v>1588391</v>
      </c>
      <c r="F31" s="12" t="s">
        <v>30</v>
      </c>
      <c r="G31" s="13">
        <v>20417278</v>
      </c>
      <c r="H31" s="12" t="s">
        <v>58</v>
      </c>
      <c r="I31" s="13">
        <v>1</v>
      </c>
      <c r="J31" s="14">
        <v>38.5</v>
      </c>
      <c r="K31" s="14">
        <f t="shared" si="0"/>
        <v>38.5</v>
      </c>
    </row>
    <row r="32" spans="4:11">
      <c r="D32" s="11">
        <v>46104</v>
      </c>
      <c r="E32" s="12">
        <v>1588391</v>
      </c>
      <c r="F32" s="12" t="s">
        <v>30</v>
      </c>
      <c r="G32" s="13">
        <v>20417729</v>
      </c>
      <c r="H32" s="12" t="s">
        <v>60</v>
      </c>
      <c r="I32" s="13">
        <v>1</v>
      </c>
      <c r="J32" s="14">
        <v>44</v>
      </c>
      <c r="K32" s="14">
        <f t="shared" si="0"/>
        <v>44</v>
      </c>
    </row>
    <row r="33" spans="4:11">
      <c r="D33" s="11">
        <v>46104</v>
      </c>
      <c r="E33" s="12">
        <v>1588391</v>
      </c>
      <c r="F33" s="12" t="s">
        <v>30</v>
      </c>
      <c r="G33" s="13">
        <v>20410113</v>
      </c>
      <c r="H33" s="12" t="s">
        <v>61</v>
      </c>
      <c r="I33" s="13">
        <v>4</v>
      </c>
      <c r="J33" s="14">
        <v>225.5</v>
      </c>
      <c r="K33" s="14">
        <f t="shared" si="0"/>
        <v>902</v>
      </c>
    </row>
    <row r="34" spans="4:11">
      <c r="D34" s="11">
        <v>46106</v>
      </c>
      <c r="E34" s="12">
        <v>1589096</v>
      </c>
      <c r="F34" s="12" t="s">
        <v>51</v>
      </c>
      <c r="G34" s="13">
        <v>20417275</v>
      </c>
      <c r="H34" s="12" t="s">
        <v>54</v>
      </c>
      <c r="I34" s="13">
        <v>1</v>
      </c>
      <c r="J34" s="14">
        <v>280.5</v>
      </c>
      <c r="K34" s="14">
        <f t="shared" si="0"/>
        <v>280.5</v>
      </c>
    </row>
    <row r="35" spans="4:11">
      <c r="D35" s="11">
        <v>46106</v>
      </c>
      <c r="E35" s="12">
        <v>1589096</v>
      </c>
      <c r="F35" s="12" t="s">
        <v>51</v>
      </c>
      <c r="G35" s="13">
        <v>20410101</v>
      </c>
      <c r="H35" s="12" t="s">
        <v>68</v>
      </c>
      <c r="I35" s="13">
        <v>5</v>
      </c>
      <c r="J35" s="14">
        <v>66</v>
      </c>
      <c r="K35" s="14">
        <f t="shared" si="0"/>
        <v>330</v>
      </c>
    </row>
    <row r="36" spans="4:11">
      <c r="D36" s="11">
        <v>46106</v>
      </c>
      <c r="E36" s="12">
        <v>1589096</v>
      </c>
      <c r="F36" s="12" t="s">
        <v>33</v>
      </c>
      <c r="G36" s="13">
        <v>20410115</v>
      </c>
      <c r="H36" s="12" t="s">
        <v>69</v>
      </c>
      <c r="I36" s="13">
        <v>1</v>
      </c>
      <c r="J36" s="14">
        <v>27.5</v>
      </c>
      <c r="K36" s="14">
        <f t="shared" si="0"/>
        <v>27.5</v>
      </c>
    </row>
    <row r="37" spans="4:11">
      <c r="D37" s="11">
        <v>46106</v>
      </c>
      <c r="E37" s="12">
        <v>1589096</v>
      </c>
      <c r="F37" s="12" t="s">
        <v>33</v>
      </c>
      <c r="G37" s="13">
        <v>20418339</v>
      </c>
      <c r="H37" s="12" t="s">
        <v>65</v>
      </c>
      <c r="I37" s="13">
        <v>1</v>
      </c>
      <c r="J37" s="14">
        <v>16.5</v>
      </c>
      <c r="K37" s="14">
        <f t="shared" si="0"/>
        <v>16.5</v>
      </c>
    </row>
    <row r="38" spans="4:11">
      <c r="D38" s="11">
        <v>46106</v>
      </c>
      <c r="E38" s="12">
        <v>1589096</v>
      </c>
      <c r="F38" s="12" t="s">
        <v>33</v>
      </c>
      <c r="G38" s="13">
        <v>20418789</v>
      </c>
      <c r="H38" s="12" t="s">
        <v>70</v>
      </c>
      <c r="I38" s="13">
        <v>1</v>
      </c>
      <c r="J38" s="14">
        <v>13.5</v>
      </c>
      <c r="K38" s="14">
        <f t="shared" si="0"/>
        <v>13.5</v>
      </c>
    </row>
    <row r="39" spans="4:11">
      <c r="D39" s="11">
        <v>46106</v>
      </c>
      <c r="E39" s="12">
        <v>1589096</v>
      </c>
      <c r="F39" s="12" t="s">
        <v>33</v>
      </c>
      <c r="G39" s="13">
        <v>20418788</v>
      </c>
      <c r="H39" s="12" t="s">
        <v>71</v>
      </c>
      <c r="I39" s="13">
        <v>5</v>
      </c>
      <c r="J39" s="14">
        <v>16.5</v>
      </c>
      <c r="K39" s="14">
        <f t="shared" si="0"/>
        <v>82.5</v>
      </c>
    </row>
    <row r="40" spans="4:11">
      <c r="D40" s="11">
        <v>46106</v>
      </c>
      <c r="E40" s="12">
        <v>1589096</v>
      </c>
      <c r="F40" s="12" t="s">
        <v>45</v>
      </c>
      <c r="G40" s="13">
        <v>20417274</v>
      </c>
      <c r="H40" s="12" t="s">
        <v>55</v>
      </c>
      <c r="I40" s="13">
        <v>1</v>
      </c>
      <c r="J40" s="14">
        <v>27.5</v>
      </c>
      <c r="K40" s="14">
        <f t="shared" si="0"/>
        <v>27.5</v>
      </c>
    </row>
    <row r="41" spans="4:11">
      <c r="D41" s="11">
        <v>46106</v>
      </c>
      <c r="E41" s="12">
        <v>1589096</v>
      </c>
      <c r="F41" s="12" t="s">
        <v>30</v>
      </c>
      <c r="G41" s="13">
        <v>20418811</v>
      </c>
      <c r="H41" s="12" t="s">
        <v>72</v>
      </c>
      <c r="I41" s="13">
        <v>1</v>
      </c>
      <c r="J41" s="14">
        <v>225.5</v>
      </c>
      <c r="K41" s="14">
        <f t="shared" si="0"/>
        <v>225.5</v>
      </c>
    </row>
    <row r="42" spans="4:11">
      <c r="D42" s="11">
        <v>46106</v>
      </c>
      <c r="E42" s="12">
        <v>1589096</v>
      </c>
      <c r="F42" s="12" t="s">
        <v>30</v>
      </c>
      <c r="G42" s="13">
        <v>20417278</v>
      </c>
      <c r="H42" s="12" t="s">
        <v>58</v>
      </c>
      <c r="I42" s="13">
        <v>4</v>
      </c>
      <c r="J42" s="14">
        <v>38.5</v>
      </c>
      <c r="K42" s="14">
        <f t="shared" ref="K42:K61" si="1">J42*I42</f>
        <v>154</v>
      </c>
    </row>
    <row r="43" spans="4:11">
      <c r="D43" s="11">
        <v>46106</v>
      </c>
      <c r="E43" s="12">
        <v>1589096</v>
      </c>
      <c r="F43" s="12" t="s">
        <v>30</v>
      </c>
      <c r="G43" s="13">
        <v>20410113</v>
      </c>
      <c r="H43" s="12" t="s">
        <v>61</v>
      </c>
      <c r="I43" s="13">
        <v>1</v>
      </c>
      <c r="J43" s="14">
        <v>225.5</v>
      </c>
      <c r="K43" s="14">
        <f t="shared" si="1"/>
        <v>225.5</v>
      </c>
    </row>
    <row r="44" spans="4:11">
      <c r="D44" s="11">
        <v>46107</v>
      </c>
      <c r="E44" s="12">
        <v>1589487</v>
      </c>
      <c r="F44" s="12" t="s">
        <v>30</v>
      </c>
      <c r="G44" s="13">
        <v>20418811</v>
      </c>
      <c r="H44" s="12" t="s">
        <v>72</v>
      </c>
      <c r="I44" s="13">
        <v>3</v>
      </c>
      <c r="J44" s="14">
        <v>225.5</v>
      </c>
      <c r="K44" s="14">
        <f t="shared" si="1"/>
        <v>676.5</v>
      </c>
    </row>
    <row r="45" spans="4:11">
      <c r="D45" s="11">
        <v>46108</v>
      </c>
      <c r="E45" s="12">
        <v>1589890</v>
      </c>
      <c r="F45" s="12" t="s">
        <v>51</v>
      </c>
      <c r="G45" s="13">
        <v>20418345</v>
      </c>
      <c r="H45" s="12" t="s">
        <v>63</v>
      </c>
      <c r="I45" s="13">
        <v>1</v>
      </c>
      <c r="J45" s="14">
        <v>66</v>
      </c>
      <c r="K45" s="14">
        <f t="shared" si="1"/>
        <v>66</v>
      </c>
    </row>
    <row r="46" spans="4:11">
      <c r="D46" s="11">
        <v>46108</v>
      </c>
      <c r="E46" s="12">
        <v>1589890</v>
      </c>
      <c r="F46" s="12" t="s">
        <v>33</v>
      </c>
      <c r="G46" s="13">
        <v>20419164</v>
      </c>
      <c r="H46" s="12" t="s">
        <v>73</v>
      </c>
      <c r="I46" s="13">
        <v>1</v>
      </c>
      <c r="J46" s="14">
        <v>8</v>
      </c>
      <c r="K46" s="14">
        <f t="shared" si="1"/>
        <v>8</v>
      </c>
    </row>
    <row r="47" spans="4:11">
      <c r="D47" s="11">
        <v>46108</v>
      </c>
      <c r="E47" s="12">
        <v>1589890</v>
      </c>
      <c r="F47" s="12" t="s">
        <v>33</v>
      </c>
      <c r="G47" s="13">
        <v>20418339</v>
      </c>
      <c r="H47" s="12" t="s">
        <v>65</v>
      </c>
      <c r="I47" s="13">
        <v>1</v>
      </c>
      <c r="J47" s="14">
        <v>16.5</v>
      </c>
      <c r="K47" s="14">
        <f t="shared" si="1"/>
        <v>16.5</v>
      </c>
    </row>
    <row r="48" spans="4:11">
      <c r="D48" s="11">
        <v>46108</v>
      </c>
      <c r="E48" s="12">
        <v>1589890</v>
      </c>
      <c r="F48" s="12" t="s">
        <v>33</v>
      </c>
      <c r="G48" s="13">
        <v>20419165</v>
      </c>
      <c r="H48" s="12" t="s">
        <v>74</v>
      </c>
      <c r="I48" s="13">
        <v>4</v>
      </c>
      <c r="J48" s="14">
        <v>16.5</v>
      </c>
      <c r="K48" s="14">
        <f t="shared" si="1"/>
        <v>66</v>
      </c>
    </row>
    <row r="49" spans="4:11">
      <c r="D49" s="11">
        <v>46108</v>
      </c>
      <c r="E49" s="12">
        <v>1589890</v>
      </c>
      <c r="F49" s="12" t="s">
        <v>33</v>
      </c>
      <c r="G49" s="13">
        <v>20417010</v>
      </c>
      <c r="H49" s="12" t="s">
        <v>44</v>
      </c>
      <c r="I49" s="13">
        <v>6</v>
      </c>
      <c r="J49" s="14">
        <v>13</v>
      </c>
      <c r="K49" s="14">
        <f t="shared" si="1"/>
        <v>78</v>
      </c>
    </row>
    <row r="50" spans="4:11">
      <c r="D50" s="11">
        <v>46108</v>
      </c>
      <c r="E50" s="12">
        <v>1589890</v>
      </c>
      <c r="F50" s="12" t="s">
        <v>33</v>
      </c>
      <c r="G50" s="13">
        <v>20419166</v>
      </c>
      <c r="H50" s="12" t="s">
        <v>75</v>
      </c>
      <c r="I50" s="13">
        <v>5</v>
      </c>
      <c r="J50" s="14">
        <v>16.5</v>
      </c>
      <c r="K50" s="14">
        <f t="shared" si="1"/>
        <v>82.5</v>
      </c>
    </row>
    <row r="51" spans="4:11">
      <c r="D51" s="11">
        <v>46108</v>
      </c>
      <c r="E51" s="12">
        <v>1589890</v>
      </c>
      <c r="F51" s="12" t="s">
        <v>33</v>
      </c>
      <c r="G51" s="13">
        <v>20418788</v>
      </c>
      <c r="H51" s="12" t="s">
        <v>71</v>
      </c>
      <c r="I51" s="13">
        <v>1</v>
      </c>
      <c r="J51" s="14">
        <v>16.5</v>
      </c>
      <c r="K51" s="14">
        <f t="shared" si="1"/>
        <v>16.5</v>
      </c>
    </row>
    <row r="52" spans="4:11">
      <c r="D52" s="11">
        <v>46108</v>
      </c>
      <c r="E52" s="12">
        <v>1589890</v>
      </c>
      <c r="F52" s="12" t="s">
        <v>33</v>
      </c>
      <c r="G52" s="13">
        <v>20419163</v>
      </c>
      <c r="H52" s="12" t="s">
        <v>76</v>
      </c>
      <c r="I52" s="13">
        <v>1</v>
      </c>
      <c r="J52" s="14">
        <v>8</v>
      </c>
      <c r="K52" s="14">
        <f t="shared" si="1"/>
        <v>8</v>
      </c>
    </row>
    <row r="53" spans="4:11">
      <c r="D53" s="11">
        <v>46108</v>
      </c>
      <c r="E53" s="12">
        <v>1589890</v>
      </c>
      <c r="F53" s="12" t="s">
        <v>30</v>
      </c>
      <c r="G53" s="13">
        <v>20409823</v>
      </c>
      <c r="H53" s="12" t="s">
        <v>67</v>
      </c>
      <c r="I53" s="13">
        <v>1</v>
      </c>
      <c r="J53" s="14">
        <v>16.5</v>
      </c>
      <c r="K53" s="14">
        <f t="shared" si="1"/>
        <v>16.5</v>
      </c>
    </row>
    <row r="54" spans="4:11">
      <c r="D54" s="11">
        <v>46108</v>
      </c>
      <c r="E54" s="12">
        <v>1589890</v>
      </c>
      <c r="F54" s="12" t="s">
        <v>30</v>
      </c>
      <c r="G54" s="13">
        <v>20418811</v>
      </c>
      <c r="H54" s="12" t="s">
        <v>72</v>
      </c>
      <c r="I54" s="13">
        <v>2</v>
      </c>
      <c r="J54" s="14">
        <v>225.5</v>
      </c>
      <c r="K54" s="14">
        <f t="shared" si="1"/>
        <v>451</v>
      </c>
    </row>
    <row r="55" spans="4:11">
      <c r="D55" s="11">
        <v>46108</v>
      </c>
      <c r="E55" s="12">
        <v>1589890</v>
      </c>
      <c r="F55" s="12" t="s">
        <v>38</v>
      </c>
      <c r="G55" s="13">
        <v>20418085</v>
      </c>
      <c r="H55" s="12" t="s">
        <v>62</v>
      </c>
      <c r="I55" s="13">
        <v>1</v>
      </c>
      <c r="J55" s="14">
        <v>4</v>
      </c>
      <c r="K55" s="14">
        <f t="shared" si="1"/>
        <v>4</v>
      </c>
    </row>
    <row r="56" spans="4:11">
      <c r="D56" s="11">
        <v>46111</v>
      </c>
      <c r="E56" s="12">
        <v>1590425</v>
      </c>
      <c r="F56" s="12" t="s">
        <v>33</v>
      </c>
      <c r="G56" s="13">
        <v>20419164</v>
      </c>
      <c r="H56" s="12" t="s">
        <v>73</v>
      </c>
      <c r="I56" s="13">
        <v>1</v>
      </c>
      <c r="J56" s="14">
        <v>8</v>
      </c>
      <c r="K56" s="14">
        <f t="shared" si="1"/>
        <v>8</v>
      </c>
    </row>
    <row r="57" spans="4:11">
      <c r="D57" s="11">
        <v>46111</v>
      </c>
      <c r="E57" s="12">
        <v>1590425</v>
      </c>
      <c r="F57" s="12" t="s">
        <v>33</v>
      </c>
      <c r="G57" s="13">
        <v>20419165</v>
      </c>
      <c r="H57" s="12" t="s">
        <v>74</v>
      </c>
      <c r="I57" s="13">
        <v>3</v>
      </c>
      <c r="J57" s="14">
        <v>16.5</v>
      </c>
      <c r="K57" s="14">
        <f t="shared" si="1"/>
        <v>49.5</v>
      </c>
    </row>
    <row r="58" spans="4:11">
      <c r="D58" s="11">
        <v>46111</v>
      </c>
      <c r="E58" s="12">
        <v>1590425</v>
      </c>
      <c r="F58" s="12" t="s">
        <v>33</v>
      </c>
      <c r="G58" s="13">
        <v>20417010</v>
      </c>
      <c r="H58" s="12" t="s">
        <v>44</v>
      </c>
      <c r="I58" s="13">
        <v>4</v>
      </c>
      <c r="J58" s="14">
        <v>13</v>
      </c>
      <c r="K58" s="14">
        <f t="shared" si="1"/>
        <v>52</v>
      </c>
    </row>
    <row r="59" spans="4:11">
      <c r="D59" s="11">
        <v>46111</v>
      </c>
      <c r="E59" s="12">
        <v>1590425</v>
      </c>
      <c r="F59" s="12" t="s">
        <v>33</v>
      </c>
      <c r="G59" s="13">
        <v>20419166</v>
      </c>
      <c r="H59" s="12" t="s">
        <v>75</v>
      </c>
      <c r="I59" s="13">
        <v>1</v>
      </c>
      <c r="J59" s="14">
        <v>16.5</v>
      </c>
      <c r="K59" s="14">
        <f t="shared" si="1"/>
        <v>16.5</v>
      </c>
    </row>
    <row r="60" spans="4:11">
      <c r="D60" s="11">
        <v>46111</v>
      </c>
      <c r="E60" s="12">
        <v>1590425</v>
      </c>
      <c r="F60" s="12" t="s">
        <v>33</v>
      </c>
      <c r="G60" s="13">
        <v>20419163</v>
      </c>
      <c r="H60" s="12" t="s">
        <v>76</v>
      </c>
      <c r="I60" s="13">
        <v>4</v>
      </c>
      <c r="J60" s="14">
        <v>8</v>
      </c>
      <c r="K60" s="14">
        <f t="shared" si="1"/>
        <v>32</v>
      </c>
    </row>
    <row r="61" spans="4:11">
      <c r="D61" s="11">
        <v>46111</v>
      </c>
      <c r="E61" s="12">
        <v>1590425</v>
      </c>
      <c r="F61" s="12" t="s">
        <v>30</v>
      </c>
      <c r="G61" s="13">
        <v>20418811</v>
      </c>
      <c r="H61" s="12" t="s">
        <v>72</v>
      </c>
      <c r="I61" s="13">
        <v>6</v>
      </c>
      <c r="J61" s="14">
        <v>225.5</v>
      </c>
      <c r="K61" s="14">
        <f t="shared" si="1"/>
        <v>1353</v>
      </c>
    </row>
    <row r="62" ht="0.05" customHeight="1"/>
  </sheetData>
  <autoFilter xmlns:etc="http://www.wps.cn/officeDocument/2017/etCustomData" ref="A7:K61" etc:filterBottomFollowUsedRange="0">
    <extLst/>
  </autoFilter>
  <mergeCells count="5">
    <mergeCell ref="D8:H8"/>
    <mergeCell ref="C7:C61"/>
    <mergeCell ref="B4:H5"/>
    <mergeCell ref="A7:B6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3" sqref="J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7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11</v>
      </c>
      <c r="J8" s="10"/>
      <c r="K8" s="10">
        <f>SUM(K9:K13)</f>
        <v>310.5</v>
      </c>
    </row>
    <row r="9" spans="1:11">
      <c r="D9" s="11">
        <v>46100</v>
      </c>
      <c r="E9" s="12">
        <v>1587220</v>
      </c>
      <c r="F9" s="12" t="s">
        <v>33</v>
      </c>
      <c r="G9" s="13">
        <v>20417723</v>
      </c>
      <c r="H9" s="12" t="s">
        <v>77</v>
      </c>
      <c r="I9" s="13">
        <v>1</v>
      </c>
      <c r="J9" s="14">
        <v>13.5</v>
      </c>
      <c r="K9" s="14">
        <f>J9*I9</f>
        <v>13.5</v>
      </c>
    </row>
    <row r="10" spans="1:11">
      <c r="D10" s="11">
        <v>46100</v>
      </c>
      <c r="E10" s="12">
        <v>1587220</v>
      </c>
      <c r="F10" s="12" t="s">
        <v>33</v>
      </c>
      <c r="G10" s="13">
        <v>20417724</v>
      </c>
      <c r="H10" s="12" t="s">
        <v>78</v>
      </c>
      <c r="I10" s="13">
        <v>1</v>
      </c>
      <c r="J10" s="14">
        <v>16.5</v>
      </c>
      <c r="K10" s="14">
        <f>J10*I10</f>
        <v>16.5</v>
      </c>
    </row>
    <row r="11" spans="1:11">
      <c r="D11" s="11">
        <v>46100</v>
      </c>
      <c r="E11" s="12">
        <v>1587220</v>
      </c>
      <c r="F11" s="12" t="s">
        <v>30</v>
      </c>
      <c r="G11" s="13">
        <v>20410100</v>
      </c>
      <c r="H11" s="12" t="s">
        <v>79</v>
      </c>
      <c r="I11" s="13">
        <v>4</v>
      </c>
      <c r="J11" s="14">
        <f>5*5.5+5.5</f>
        <v>33</v>
      </c>
      <c r="K11" s="14">
        <f>J11*I11</f>
        <v>132</v>
      </c>
    </row>
    <row r="12" spans="1:11">
      <c r="D12" s="11">
        <v>46108</v>
      </c>
      <c r="E12" s="12">
        <v>1589891</v>
      </c>
      <c r="F12" s="12" t="s">
        <v>33</v>
      </c>
      <c r="G12" s="13">
        <v>20417724</v>
      </c>
      <c r="H12" s="12" t="s">
        <v>78</v>
      </c>
      <c r="I12" s="13">
        <v>1</v>
      </c>
      <c r="J12" s="14">
        <v>16.5</v>
      </c>
      <c r="K12" s="14">
        <f>J12*I12</f>
        <v>16.5</v>
      </c>
    </row>
    <row r="13" spans="1:11">
      <c r="D13" s="11">
        <v>46108</v>
      </c>
      <c r="E13" s="12">
        <v>1589891</v>
      </c>
      <c r="F13" s="12" t="s">
        <v>30</v>
      </c>
      <c r="G13" s="13">
        <v>20410100</v>
      </c>
      <c r="H13" s="12" t="s">
        <v>79</v>
      </c>
      <c r="I13" s="13">
        <v>4</v>
      </c>
      <c r="J13" s="14">
        <f>5*5.5+5.5</f>
        <v>33</v>
      </c>
      <c r="K13" s="14">
        <f>J13*I13</f>
        <v>132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12" sqref="O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8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2</v>
      </c>
      <c r="J8" s="10"/>
      <c r="K8" s="10">
        <v>20.5</v>
      </c>
    </row>
    <row r="9" spans="1:11">
      <c r="D9" s="11">
        <v>46108</v>
      </c>
      <c r="E9" s="12">
        <v>1589893</v>
      </c>
      <c r="F9" s="12" t="s">
        <v>30</v>
      </c>
      <c r="G9" s="13">
        <v>20417737</v>
      </c>
      <c r="H9" s="12" t="s">
        <v>80</v>
      </c>
      <c r="I9" s="13">
        <v>1</v>
      </c>
      <c r="J9" s="14">
        <v>16.5</v>
      </c>
      <c r="K9" s="14">
        <v>16.5</v>
      </c>
    </row>
    <row r="10" spans="1:11">
      <c r="D10" s="11">
        <v>46108</v>
      </c>
      <c r="E10" s="12">
        <v>1589893</v>
      </c>
      <c r="F10" s="12" t="s">
        <v>38</v>
      </c>
      <c r="G10" s="13">
        <v>20417297</v>
      </c>
      <c r="H10" s="12" t="s">
        <v>81</v>
      </c>
      <c r="I10" s="13">
        <v>1</v>
      </c>
      <c r="J10" s="14">
        <v>4</v>
      </c>
      <c r="K10" s="14">
        <v>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M25" sqref="M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9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5</v>
      </c>
      <c r="J8" s="10"/>
      <c r="K8" s="10">
        <f>SUM(K9:K12)</f>
        <v>40.5</v>
      </c>
    </row>
    <row r="9" spans="1:11">
      <c r="D9" s="11">
        <v>46097</v>
      </c>
      <c r="E9" s="12">
        <v>1586406</v>
      </c>
      <c r="F9" s="12" t="s">
        <v>33</v>
      </c>
      <c r="G9" s="13">
        <v>20417271</v>
      </c>
      <c r="H9" s="12" t="s">
        <v>82</v>
      </c>
      <c r="I9" s="13">
        <v>1</v>
      </c>
      <c r="J9" s="14">
        <v>16.5</v>
      </c>
      <c r="K9" s="14">
        <f>J9*I9</f>
        <v>16.5</v>
      </c>
    </row>
    <row r="10" spans="1:11">
      <c r="D10" s="11">
        <v>46104</v>
      </c>
      <c r="E10" s="12">
        <v>1588392</v>
      </c>
      <c r="F10" s="12" t="s">
        <v>33</v>
      </c>
      <c r="G10" s="13">
        <v>20418344</v>
      </c>
      <c r="H10" s="12" t="s">
        <v>83</v>
      </c>
      <c r="I10" s="13">
        <v>2</v>
      </c>
      <c r="J10" s="14">
        <v>8</v>
      </c>
      <c r="K10" s="14">
        <f>J10*I10</f>
        <v>16</v>
      </c>
    </row>
    <row r="11" spans="1:11">
      <c r="D11" s="11">
        <v>46104</v>
      </c>
      <c r="E11" s="12">
        <v>1588392</v>
      </c>
      <c r="F11" s="12" t="s">
        <v>38</v>
      </c>
      <c r="G11" s="13">
        <v>20417297</v>
      </c>
      <c r="H11" s="12" t="s">
        <v>81</v>
      </c>
      <c r="I11" s="13">
        <v>1</v>
      </c>
      <c r="J11" s="14">
        <v>4</v>
      </c>
      <c r="K11" s="14">
        <f>J11*I11</f>
        <v>4</v>
      </c>
    </row>
    <row r="12" spans="1:11">
      <c r="D12" s="11">
        <v>46104</v>
      </c>
      <c r="E12" s="12">
        <v>1588392</v>
      </c>
      <c r="F12" s="12" t="s">
        <v>38</v>
      </c>
      <c r="G12" s="13">
        <v>20418346</v>
      </c>
      <c r="H12" s="12" t="s">
        <v>84</v>
      </c>
      <c r="I12" s="13">
        <v>1</v>
      </c>
      <c r="J12" s="14">
        <v>4</v>
      </c>
      <c r="K12" s="14">
        <f>J12*I12</f>
        <v>4</v>
      </c>
    </row>
    <row r="13" ht="0.05" hidden="1" customHeight="1" spans="1:11">
      <c r="K13" s="14">
        <f>J13*I13</f>
        <v>0</v>
      </c>
    </row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H32" sqref="H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10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12</v>
      </c>
      <c r="J8" s="10"/>
      <c r="K8" s="10">
        <v>103.5</v>
      </c>
    </row>
    <row r="9" spans="1:11">
      <c r="D9" s="11">
        <v>46097</v>
      </c>
      <c r="E9" s="12">
        <v>1586407</v>
      </c>
      <c r="F9" s="12" t="s">
        <v>38</v>
      </c>
      <c r="G9" s="13">
        <v>20417297</v>
      </c>
      <c r="H9" s="12" t="s">
        <v>81</v>
      </c>
      <c r="I9" s="13">
        <v>1</v>
      </c>
      <c r="J9" s="14">
        <v>4</v>
      </c>
      <c r="K9" s="14">
        <v>4</v>
      </c>
    </row>
    <row r="10" spans="1:11">
      <c r="D10" s="11">
        <v>46097</v>
      </c>
      <c r="E10" s="12">
        <v>1586407</v>
      </c>
      <c r="F10" s="12" t="s">
        <v>33</v>
      </c>
      <c r="G10" s="13">
        <v>20417010</v>
      </c>
      <c r="H10" s="12" t="s">
        <v>44</v>
      </c>
      <c r="I10" s="13">
        <v>1</v>
      </c>
      <c r="J10" s="14">
        <v>13</v>
      </c>
      <c r="K10" s="14">
        <v>13</v>
      </c>
    </row>
    <row r="11" spans="1:11">
      <c r="D11" s="11">
        <v>46100</v>
      </c>
      <c r="E11" s="12">
        <v>1587382</v>
      </c>
      <c r="F11" s="12" t="s">
        <v>33</v>
      </c>
      <c r="G11" s="13">
        <v>20417010</v>
      </c>
      <c r="H11" s="12" t="s">
        <v>44</v>
      </c>
      <c r="I11" s="13">
        <v>1</v>
      </c>
      <c r="J11" s="14">
        <v>13</v>
      </c>
      <c r="K11" s="14">
        <v>13</v>
      </c>
    </row>
    <row r="12" spans="1:11">
      <c r="D12" s="11">
        <v>46100</v>
      </c>
      <c r="E12" s="12">
        <v>1587382</v>
      </c>
      <c r="F12" s="12" t="s">
        <v>38</v>
      </c>
      <c r="G12" s="13">
        <v>20417297</v>
      </c>
      <c r="H12" s="12" t="s">
        <v>81</v>
      </c>
      <c r="I12" s="13">
        <v>1</v>
      </c>
      <c r="J12" s="14">
        <v>4</v>
      </c>
      <c r="K12" s="14">
        <v>4</v>
      </c>
    </row>
    <row r="13" spans="1:11">
      <c r="D13" s="11">
        <v>46106</v>
      </c>
      <c r="E13" s="12">
        <v>1589092</v>
      </c>
      <c r="F13" s="12" t="s">
        <v>30</v>
      </c>
      <c r="G13" s="13">
        <v>20417737</v>
      </c>
      <c r="H13" s="12" t="s">
        <v>80</v>
      </c>
      <c r="I13" s="13">
        <v>1</v>
      </c>
      <c r="J13" s="14">
        <v>16.5</v>
      </c>
      <c r="K13" s="14">
        <v>16.5</v>
      </c>
    </row>
    <row r="14" spans="1:11">
      <c r="D14" s="11">
        <v>46106</v>
      </c>
      <c r="E14" s="12">
        <v>1589092</v>
      </c>
      <c r="F14" s="12" t="s">
        <v>38</v>
      </c>
      <c r="G14" s="13">
        <v>20417297</v>
      </c>
      <c r="H14" s="12" t="s">
        <v>81</v>
      </c>
      <c r="I14" s="13">
        <v>2</v>
      </c>
      <c r="J14" s="14">
        <v>4</v>
      </c>
      <c r="K14" s="14">
        <v>8</v>
      </c>
    </row>
    <row r="15" spans="1:11">
      <c r="D15" s="11">
        <v>46108</v>
      </c>
      <c r="E15" s="12">
        <v>1589894</v>
      </c>
      <c r="F15" s="12" t="s">
        <v>30</v>
      </c>
      <c r="G15" s="13">
        <v>20417737</v>
      </c>
      <c r="H15" s="12" t="s">
        <v>80</v>
      </c>
      <c r="I15" s="13">
        <v>1</v>
      </c>
      <c r="J15" s="14">
        <v>16.5</v>
      </c>
      <c r="K15" s="14">
        <v>16.5</v>
      </c>
    </row>
    <row r="16" spans="1:11">
      <c r="D16" s="11">
        <v>46108</v>
      </c>
      <c r="E16" s="12">
        <v>1589894</v>
      </c>
      <c r="F16" s="12" t="s">
        <v>38</v>
      </c>
      <c r="G16" s="13">
        <v>20417297</v>
      </c>
      <c r="H16" s="12" t="s">
        <v>81</v>
      </c>
      <c r="I16" s="13">
        <v>1</v>
      </c>
      <c r="J16" s="14">
        <v>4</v>
      </c>
      <c r="K16" s="14">
        <v>4</v>
      </c>
    </row>
    <row r="17" spans="4:11">
      <c r="D17" s="11">
        <v>46111</v>
      </c>
      <c r="E17" s="12">
        <v>1590426</v>
      </c>
      <c r="F17" s="12" t="s">
        <v>30</v>
      </c>
      <c r="G17" s="13">
        <v>20417737</v>
      </c>
      <c r="H17" s="12" t="s">
        <v>80</v>
      </c>
      <c r="I17" s="13">
        <v>1</v>
      </c>
      <c r="J17" s="14">
        <v>16.5</v>
      </c>
      <c r="K17" s="14">
        <v>16.5</v>
      </c>
    </row>
    <row r="18" spans="4:11">
      <c r="D18" s="11">
        <v>46111</v>
      </c>
      <c r="E18" s="12">
        <v>1590426</v>
      </c>
      <c r="F18" s="12" t="s">
        <v>38</v>
      </c>
      <c r="G18" s="13">
        <v>20417297</v>
      </c>
      <c r="H18" s="12" t="s">
        <v>81</v>
      </c>
      <c r="I18" s="13">
        <v>1</v>
      </c>
      <c r="J18" s="14">
        <v>4</v>
      </c>
      <c r="K18" s="14">
        <v>4</v>
      </c>
    </row>
    <row r="19" spans="4:11">
      <c r="D19" s="11">
        <v>46112</v>
      </c>
      <c r="E19" s="12">
        <v>1590706</v>
      </c>
      <c r="F19" s="12" t="s">
        <v>38</v>
      </c>
      <c r="G19" s="13">
        <v>20417297</v>
      </c>
      <c r="H19" s="12" t="s">
        <v>81</v>
      </c>
      <c r="I19" s="13">
        <v>1</v>
      </c>
      <c r="J19" s="14">
        <v>4</v>
      </c>
      <c r="K19" s="14">
        <v>4</v>
      </c>
    </row>
  </sheetData>
  <autoFilter xmlns:etc="http://www.wps.cn/officeDocument/2017/etCustomData" ref="A7:K19" etc:filterBottomFollowUsedRange="0">
    <extLst/>
  </autoFilter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showGridLines="0" view="pageBreakPreview" zoomScaleNormal="100" workbookViewId="0">
      <pane ySplit="6" topLeftCell="A7" activePane="bottomLeft" state="frozen"/>
      <selection/>
      <selection pane="bottomLeft" activeCell="Q24" sqref="Q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11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265</v>
      </c>
      <c r="J8" s="10"/>
      <c r="K8" s="10">
        <v>6711</v>
      </c>
    </row>
    <row r="9" spans="1:11">
      <c r="D9" s="11">
        <v>46097</v>
      </c>
      <c r="E9" s="12">
        <v>1586408</v>
      </c>
      <c r="F9" s="12" t="s">
        <v>51</v>
      </c>
      <c r="G9" s="13">
        <v>20409795</v>
      </c>
      <c r="H9" s="12" t="s">
        <v>85</v>
      </c>
      <c r="I9" s="13">
        <v>4</v>
      </c>
      <c r="J9" s="14">
        <v>66</v>
      </c>
      <c r="K9" s="14">
        <f>J9*I9</f>
        <v>264</v>
      </c>
    </row>
    <row r="10" spans="1:11">
      <c r="D10" s="11">
        <v>46097</v>
      </c>
      <c r="E10" s="12">
        <v>1586408</v>
      </c>
      <c r="F10" s="12" t="s">
        <v>51</v>
      </c>
      <c r="G10" s="13">
        <v>20410097</v>
      </c>
      <c r="H10" s="12" t="s">
        <v>86</v>
      </c>
      <c r="I10" s="13">
        <v>1</v>
      </c>
      <c r="J10" s="14">
        <v>198</v>
      </c>
      <c r="K10" s="14">
        <f t="shared" ref="K10:K41" si="0">J10*I10</f>
        <v>198</v>
      </c>
    </row>
    <row r="11" spans="1:11">
      <c r="D11" s="11">
        <v>46097</v>
      </c>
      <c r="E11" s="12">
        <v>1586408</v>
      </c>
      <c r="F11" s="12" t="s">
        <v>51</v>
      </c>
      <c r="G11" s="13">
        <v>20409799</v>
      </c>
      <c r="H11" s="12" t="s">
        <v>87</v>
      </c>
      <c r="I11" s="13">
        <v>1</v>
      </c>
      <c r="J11" s="14">
        <v>181.5</v>
      </c>
      <c r="K11" s="14">
        <f t="shared" si="0"/>
        <v>181.5</v>
      </c>
    </row>
    <row r="12" spans="1:11">
      <c r="D12" s="11">
        <v>46097</v>
      </c>
      <c r="E12" s="12">
        <v>1586408</v>
      </c>
      <c r="F12" s="12" t="s">
        <v>33</v>
      </c>
      <c r="G12" s="13">
        <v>20417284</v>
      </c>
      <c r="H12" s="12" t="s">
        <v>88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46097</v>
      </c>
      <c r="E13" s="12">
        <v>1586408</v>
      </c>
      <c r="F13" s="12" t="s">
        <v>33</v>
      </c>
      <c r="G13" s="13">
        <v>20417009</v>
      </c>
      <c r="H13" s="12" t="s">
        <v>66</v>
      </c>
      <c r="I13" s="13">
        <v>6</v>
      </c>
      <c r="J13" s="14">
        <v>13</v>
      </c>
      <c r="K13" s="14">
        <f t="shared" si="0"/>
        <v>78</v>
      </c>
    </row>
    <row r="14" spans="1:11">
      <c r="D14" s="11">
        <v>46097</v>
      </c>
      <c r="E14" s="12">
        <v>1586408</v>
      </c>
      <c r="F14" s="12" t="s">
        <v>33</v>
      </c>
      <c r="G14" s="13">
        <v>20417300</v>
      </c>
      <c r="H14" s="12" t="s">
        <v>89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46097</v>
      </c>
      <c r="E15" s="12">
        <v>1586408</v>
      </c>
      <c r="F15" s="12" t="s">
        <v>33</v>
      </c>
      <c r="G15" s="13">
        <v>20417282</v>
      </c>
      <c r="H15" s="12" t="s">
        <v>90</v>
      </c>
      <c r="I15" s="13">
        <v>2</v>
      </c>
      <c r="J15" s="14">
        <v>16.5</v>
      </c>
      <c r="K15" s="14">
        <f t="shared" si="0"/>
        <v>33</v>
      </c>
    </row>
    <row r="16" spans="1:11">
      <c r="D16" s="11">
        <v>46097</v>
      </c>
      <c r="E16" s="12">
        <v>1586408</v>
      </c>
      <c r="F16" s="12" t="s">
        <v>33</v>
      </c>
      <c r="G16" s="13">
        <v>20417285</v>
      </c>
      <c r="H16" s="12" t="s">
        <v>91</v>
      </c>
      <c r="I16" s="13">
        <v>1</v>
      </c>
      <c r="J16" s="14">
        <v>11</v>
      </c>
      <c r="K16" s="14">
        <f t="shared" si="0"/>
        <v>11</v>
      </c>
    </row>
    <row r="17" spans="4:11">
      <c r="D17" s="11">
        <v>46097</v>
      </c>
      <c r="E17" s="12">
        <v>1586408</v>
      </c>
      <c r="F17" s="12" t="s">
        <v>33</v>
      </c>
      <c r="G17" s="13">
        <v>20417283</v>
      </c>
      <c r="H17" s="12" t="s">
        <v>92</v>
      </c>
      <c r="I17" s="13">
        <v>1</v>
      </c>
      <c r="J17" s="14">
        <v>13</v>
      </c>
      <c r="K17" s="14">
        <f t="shared" si="0"/>
        <v>13</v>
      </c>
    </row>
    <row r="18" spans="4:11">
      <c r="D18" s="11">
        <v>46097</v>
      </c>
      <c r="E18" s="12">
        <v>1586408</v>
      </c>
      <c r="F18" s="12" t="s">
        <v>33</v>
      </c>
      <c r="G18" s="13">
        <v>20417291</v>
      </c>
      <c r="H18" s="12" t="s">
        <v>93</v>
      </c>
      <c r="I18" s="13">
        <v>2</v>
      </c>
      <c r="J18" s="14">
        <v>16.5</v>
      </c>
      <c r="K18" s="14">
        <f t="shared" si="0"/>
        <v>33</v>
      </c>
    </row>
    <row r="19" spans="4:11">
      <c r="D19" s="11">
        <v>46097</v>
      </c>
      <c r="E19" s="12">
        <v>1586408</v>
      </c>
      <c r="F19" s="12" t="s">
        <v>33</v>
      </c>
      <c r="G19" s="13">
        <v>20417010</v>
      </c>
      <c r="H19" s="12" t="s">
        <v>44</v>
      </c>
      <c r="I19" s="13">
        <v>8</v>
      </c>
      <c r="J19" s="14">
        <v>13</v>
      </c>
      <c r="K19" s="14">
        <f t="shared" si="0"/>
        <v>104</v>
      </c>
    </row>
    <row r="20" spans="4:11">
      <c r="D20" s="11">
        <v>46097</v>
      </c>
      <c r="E20" s="12">
        <v>1586408</v>
      </c>
      <c r="F20" s="12" t="s">
        <v>38</v>
      </c>
      <c r="G20" s="13">
        <v>20417298</v>
      </c>
      <c r="H20" s="12" t="s">
        <v>39</v>
      </c>
      <c r="I20" s="13">
        <v>5</v>
      </c>
      <c r="J20" s="14">
        <v>4</v>
      </c>
      <c r="K20" s="14">
        <f t="shared" si="0"/>
        <v>20</v>
      </c>
    </row>
    <row r="21" spans="4:11">
      <c r="D21" s="11">
        <v>46097</v>
      </c>
      <c r="E21" s="12">
        <v>1586408</v>
      </c>
      <c r="F21" s="12" t="s">
        <v>38</v>
      </c>
      <c r="G21" s="13">
        <v>20417299</v>
      </c>
      <c r="H21" s="12" t="s">
        <v>94</v>
      </c>
      <c r="I21" s="13">
        <v>10</v>
      </c>
      <c r="J21" s="14">
        <v>2.5</v>
      </c>
      <c r="K21" s="14">
        <f t="shared" si="0"/>
        <v>25</v>
      </c>
    </row>
    <row r="22" spans="4:11">
      <c r="D22" s="11">
        <v>46098</v>
      </c>
      <c r="E22" s="12">
        <v>1586676</v>
      </c>
      <c r="F22" s="12" t="s">
        <v>51</v>
      </c>
      <c r="G22" s="13">
        <v>20409795</v>
      </c>
      <c r="H22" s="12" t="s">
        <v>85</v>
      </c>
      <c r="I22" s="13">
        <v>5</v>
      </c>
      <c r="J22" s="14">
        <v>66</v>
      </c>
      <c r="K22" s="14">
        <f t="shared" si="0"/>
        <v>330</v>
      </c>
    </row>
    <row r="23" spans="4:11">
      <c r="D23" s="11">
        <v>46098</v>
      </c>
      <c r="E23" s="12">
        <v>1586676</v>
      </c>
      <c r="F23" s="12" t="s">
        <v>33</v>
      </c>
      <c r="G23" s="13">
        <v>20417009</v>
      </c>
      <c r="H23" s="12" t="s">
        <v>66</v>
      </c>
      <c r="I23" s="13">
        <v>5</v>
      </c>
      <c r="J23" s="14">
        <v>13</v>
      </c>
      <c r="K23" s="14">
        <f t="shared" si="0"/>
        <v>65</v>
      </c>
    </row>
    <row r="24" spans="4:11">
      <c r="D24" s="11">
        <v>46098</v>
      </c>
      <c r="E24" s="12">
        <v>1586676</v>
      </c>
      <c r="F24" s="12" t="s">
        <v>33</v>
      </c>
      <c r="G24" s="13">
        <v>20417300</v>
      </c>
      <c r="H24" s="12" t="s">
        <v>89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46098</v>
      </c>
      <c r="E25" s="12">
        <v>1586676</v>
      </c>
      <c r="F25" s="12" t="s">
        <v>33</v>
      </c>
      <c r="G25" s="13">
        <v>20417282</v>
      </c>
      <c r="H25" s="12" t="s">
        <v>90</v>
      </c>
      <c r="I25" s="13">
        <v>1</v>
      </c>
      <c r="J25" s="14">
        <v>16.5</v>
      </c>
      <c r="K25" s="14">
        <f t="shared" si="0"/>
        <v>16.5</v>
      </c>
    </row>
    <row r="26" spans="4:11">
      <c r="D26" s="11">
        <v>46098</v>
      </c>
      <c r="E26" s="12">
        <v>1586676</v>
      </c>
      <c r="F26" s="12" t="s">
        <v>33</v>
      </c>
      <c r="G26" s="13">
        <v>20417285</v>
      </c>
      <c r="H26" s="12" t="s">
        <v>91</v>
      </c>
      <c r="I26" s="13">
        <v>1</v>
      </c>
      <c r="J26" s="14">
        <v>11</v>
      </c>
      <c r="K26" s="14">
        <f t="shared" si="0"/>
        <v>11</v>
      </c>
    </row>
    <row r="27" spans="4:11">
      <c r="D27" s="11">
        <v>46098</v>
      </c>
      <c r="E27" s="12">
        <v>1586676</v>
      </c>
      <c r="F27" s="12" t="s">
        <v>33</v>
      </c>
      <c r="G27" s="13">
        <v>20417368</v>
      </c>
      <c r="H27" s="12" t="s">
        <v>95</v>
      </c>
      <c r="I27" s="13">
        <v>1</v>
      </c>
      <c r="J27" s="14">
        <v>8</v>
      </c>
      <c r="K27" s="14">
        <f t="shared" si="0"/>
        <v>8</v>
      </c>
    </row>
    <row r="28" spans="4:11">
      <c r="D28" s="11">
        <v>46098</v>
      </c>
      <c r="E28" s="12">
        <v>1586676</v>
      </c>
      <c r="F28" s="12" t="s">
        <v>33</v>
      </c>
      <c r="G28" s="13">
        <v>20417291</v>
      </c>
      <c r="H28" s="12" t="s">
        <v>93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46098</v>
      </c>
      <c r="E29" s="12">
        <v>1586676</v>
      </c>
      <c r="F29" s="12" t="s">
        <v>33</v>
      </c>
      <c r="G29" s="13">
        <v>20417010</v>
      </c>
      <c r="H29" s="12" t="s">
        <v>44</v>
      </c>
      <c r="I29" s="13">
        <v>5</v>
      </c>
      <c r="J29" s="14">
        <v>13</v>
      </c>
      <c r="K29" s="14">
        <f t="shared" si="0"/>
        <v>65</v>
      </c>
    </row>
    <row r="30" spans="4:11">
      <c r="D30" s="11">
        <v>46099</v>
      </c>
      <c r="E30" s="12">
        <v>1587079</v>
      </c>
      <c r="F30" s="12" t="s">
        <v>38</v>
      </c>
      <c r="G30" s="13">
        <v>20417298</v>
      </c>
      <c r="H30" s="12" t="s">
        <v>39</v>
      </c>
      <c r="I30" s="13">
        <v>8</v>
      </c>
      <c r="J30" s="14">
        <v>4</v>
      </c>
      <c r="K30" s="14">
        <f t="shared" si="0"/>
        <v>32</v>
      </c>
    </row>
    <row r="31" spans="4:11">
      <c r="D31" s="11">
        <v>46099</v>
      </c>
      <c r="E31" s="12">
        <v>1587079</v>
      </c>
      <c r="F31" s="12" t="s">
        <v>38</v>
      </c>
      <c r="G31" s="13">
        <v>20417299</v>
      </c>
      <c r="H31" s="12" t="s">
        <v>94</v>
      </c>
      <c r="I31" s="13">
        <v>50</v>
      </c>
      <c r="J31" s="14">
        <v>2.5</v>
      </c>
      <c r="K31" s="14">
        <f t="shared" si="0"/>
        <v>125</v>
      </c>
    </row>
    <row r="32" spans="4:11">
      <c r="D32" s="11">
        <v>46100</v>
      </c>
      <c r="E32" s="12">
        <v>1587218</v>
      </c>
      <c r="F32" s="12" t="s">
        <v>51</v>
      </c>
      <c r="G32" s="13">
        <v>20409824</v>
      </c>
      <c r="H32" s="12" t="s">
        <v>96</v>
      </c>
      <c r="I32" s="13">
        <v>2</v>
      </c>
      <c r="J32" s="14">
        <v>225.5</v>
      </c>
      <c r="K32" s="14">
        <f t="shared" si="0"/>
        <v>451</v>
      </c>
    </row>
    <row r="33" spans="4:11">
      <c r="D33" s="11">
        <v>46100</v>
      </c>
      <c r="E33" s="12">
        <v>1587218</v>
      </c>
      <c r="F33" s="12" t="s">
        <v>51</v>
      </c>
      <c r="G33" s="13">
        <v>20409795</v>
      </c>
      <c r="H33" s="12" t="s">
        <v>85</v>
      </c>
      <c r="I33" s="13">
        <v>4</v>
      </c>
      <c r="J33" s="14">
        <v>66</v>
      </c>
      <c r="K33" s="14">
        <f t="shared" si="0"/>
        <v>264</v>
      </c>
    </row>
    <row r="34" spans="4:11">
      <c r="D34" s="11">
        <v>46100</v>
      </c>
      <c r="E34" s="12">
        <v>1587218</v>
      </c>
      <c r="F34" s="12" t="s">
        <v>51</v>
      </c>
      <c r="G34" s="13">
        <v>20409818</v>
      </c>
      <c r="H34" s="12" t="s">
        <v>97</v>
      </c>
      <c r="I34" s="13">
        <v>1</v>
      </c>
      <c r="J34" s="14">
        <v>71.5</v>
      </c>
      <c r="K34" s="14">
        <f t="shared" si="0"/>
        <v>71.5</v>
      </c>
    </row>
    <row r="35" spans="4:11">
      <c r="D35" s="11">
        <v>46100</v>
      </c>
      <c r="E35" s="12">
        <v>1587218</v>
      </c>
      <c r="F35" s="12" t="s">
        <v>33</v>
      </c>
      <c r="G35" s="13">
        <v>20417009</v>
      </c>
      <c r="H35" s="12" t="s">
        <v>66</v>
      </c>
      <c r="I35" s="13">
        <v>6</v>
      </c>
      <c r="J35" s="14">
        <v>13</v>
      </c>
      <c r="K35" s="14">
        <f t="shared" si="0"/>
        <v>78</v>
      </c>
    </row>
    <row r="36" spans="4:11">
      <c r="D36" s="11">
        <v>46100</v>
      </c>
      <c r="E36" s="12">
        <v>1587218</v>
      </c>
      <c r="F36" s="12" t="s">
        <v>33</v>
      </c>
      <c r="G36" s="13">
        <v>20417282</v>
      </c>
      <c r="H36" s="12" t="s">
        <v>90</v>
      </c>
      <c r="I36" s="13">
        <v>1</v>
      </c>
      <c r="J36" s="14">
        <v>16.5</v>
      </c>
      <c r="K36" s="14">
        <f t="shared" si="0"/>
        <v>16.5</v>
      </c>
    </row>
    <row r="37" spans="4:11">
      <c r="D37" s="11">
        <v>46100</v>
      </c>
      <c r="E37" s="12">
        <v>1587218</v>
      </c>
      <c r="F37" s="12" t="s">
        <v>33</v>
      </c>
      <c r="G37" s="13">
        <v>20417285</v>
      </c>
      <c r="H37" s="12" t="s">
        <v>91</v>
      </c>
      <c r="I37" s="13">
        <v>1</v>
      </c>
      <c r="J37" s="14">
        <v>11</v>
      </c>
      <c r="K37" s="14">
        <f t="shared" si="0"/>
        <v>11</v>
      </c>
    </row>
    <row r="38" spans="4:11">
      <c r="D38" s="11">
        <v>46100</v>
      </c>
      <c r="E38" s="12">
        <v>1587218</v>
      </c>
      <c r="F38" s="12" t="s">
        <v>33</v>
      </c>
      <c r="G38" s="13">
        <v>20417010</v>
      </c>
      <c r="H38" s="12" t="s">
        <v>44</v>
      </c>
      <c r="I38" s="13">
        <v>15</v>
      </c>
      <c r="J38" s="14">
        <v>13</v>
      </c>
      <c r="K38" s="14">
        <f t="shared" si="0"/>
        <v>195</v>
      </c>
    </row>
    <row r="39" spans="4:11">
      <c r="D39" s="11">
        <v>46100</v>
      </c>
      <c r="E39" s="12">
        <v>1587381</v>
      </c>
      <c r="F39" s="12" t="s">
        <v>51</v>
      </c>
      <c r="G39" s="13">
        <v>20409795</v>
      </c>
      <c r="H39" s="12" t="s">
        <v>85</v>
      </c>
      <c r="I39" s="13">
        <v>4</v>
      </c>
      <c r="J39" s="14">
        <v>66</v>
      </c>
      <c r="K39" s="14">
        <f t="shared" si="0"/>
        <v>264</v>
      </c>
    </row>
    <row r="40" spans="4:11">
      <c r="D40" s="11">
        <v>46100</v>
      </c>
      <c r="E40" s="12">
        <v>1587381</v>
      </c>
      <c r="F40" s="12" t="s">
        <v>51</v>
      </c>
      <c r="G40" s="13">
        <v>20409799</v>
      </c>
      <c r="H40" s="12" t="s">
        <v>87</v>
      </c>
      <c r="I40" s="13">
        <v>1</v>
      </c>
      <c r="J40" s="14">
        <v>181.5</v>
      </c>
      <c r="K40" s="14">
        <f t="shared" si="0"/>
        <v>181.5</v>
      </c>
    </row>
    <row r="41" spans="4:11">
      <c r="D41" s="11">
        <v>46100</v>
      </c>
      <c r="E41" s="12">
        <v>1587381</v>
      </c>
      <c r="F41" s="12" t="s">
        <v>33</v>
      </c>
      <c r="G41" s="13">
        <v>20417009</v>
      </c>
      <c r="H41" s="12" t="s">
        <v>66</v>
      </c>
      <c r="I41" s="13">
        <v>6</v>
      </c>
      <c r="J41" s="14">
        <v>13</v>
      </c>
      <c r="K41" s="14">
        <f t="shared" si="0"/>
        <v>78</v>
      </c>
    </row>
    <row r="42" spans="4:11">
      <c r="D42" s="11">
        <v>46100</v>
      </c>
      <c r="E42" s="12">
        <v>1587381</v>
      </c>
      <c r="F42" s="12" t="s">
        <v>33</v>
      </c>
      <c r="G42" s="13">
        <v>20417282</v>
      </c>
      <c r="H42" s="12" t="s">
        <v>90</v>
      </c>
      <c r="I42" s="13">
        <v>2</v>
      </c>
      <c r="J42" s="14">
        <v>16.5</v>
      </c>
      <c r="K42" s="14">
        <f t="shared" ref="K42:K73" si="1">J42*I42</f>
        <v>33</v>
      </c>
    </row>
    <row r="43" spans="4:11">
      <c r="D43" s="11">
        <v>46100</v>
      </c>
      <c r="E43" s="12">
        <v>1587381</v>
      </c>
      <c r="F43" s="12" t="s">
        <v>33</v>
      </c>
      <c r="G43" s="13">
        <v>20417285</v>
      </c>
      <c r="H43" s="12" t="s">
        <v>91</v>
      </c>
      <c r="I43" s="13">
        <v>1</v>
      </c>
      <c r="J43" s="14">
        <v>11</v>
      </c>
      <c r="K43" s="14">
        <f t="shared" si="1"/>
        <v>11</v>
      </c>
    </row>
    <row r="44" spans="4:11">
      <c r="D44" s="11">
        <v>46100</v>
      </c>
      <c r="E44" s="12">
        <v>1587381</v>
      </c>
      <c r="F44" s="12" t="s">
        <v>33</v>
      </c>
      <c r="G44" s="13">
        <v>20417283</v>
      </c>
      <c r="H44" s="12" t="s">
        <v>92</v>
      </c>
      <c r="I44" s="13">
        <v>1</v>
      </c>
      <c r="J44" s="14">
        <v>13</v>
      </c>
      <c r="K44" s="14">
        <f t="shared" si="1"/>
        <v>13</v>
      </c>
    </row>
    <row r="45" spans="4:11">
      <c r="D45" s="11">
        <v>46100</v>
      </c>
      <c r="E45" s="12">
        <v>1587381</v>
      </c>
      <c r="F45" s="12" t="s">
        <v>33</v>
      </c>
      <c r="G45" s="13">
        <v>20417291</v>
      </c>
      <c r="H45" s="12" t="s">
        <v>93</v>
      </c>
      <c r="I45" s="13">
        <v>1</v>
      </c>
      <c r="J45" s="14">
        <v>16.5</v>
      </c>
      <c r="K45" s="14">
        <f t="shared" si="1"/>
        <v>16.5</v>
      </c>
    </row>
    <row r="46" spans="4:11">
      <c r="D46" s="11">
        <v>46100</v>
      </c>
      <c r="E46" s="12">
        <v>1587381</v>
      </c>
      <c r="F46" s="12" t="s">
        <v>33</v>
      </c>
      <c r="G46" s="13">
        <v>20417010</v>
      </c>
      <c r="H46" s="12" t="s">
        <v>44</v>
      </c>
      <c r="I46" s="13">
        <v>7</v>
      </c>
      <c r="J46" s="14">
        <v>13</v>
      </c>
      <c r="K46" s="14">
        <f t="shared" si="1"/>
        <v>91</v>
      </c>
    </row>
    <row r="47" spans="4:11">
      <c r="D47" s="11">
        <v>46100</v>
      </c>
      <c r="E47" s="12">
        <v>1587381</v>
      </c>
      <c r="F47" s="12" t="s">
        <v>33</v>
      </c>
      <c r="G47" s="13">
        <v>20417835</v>
      </c>
      <c r="H47" s="12" t="s">
        <v>98</v>
      </c>
      <c r="I47" s="13">
        <v>1</v>
      </c>
      <c r="J47" s="14">
        <v>11</v>
      </c>
      <c r="K47" s="14">
        <f t="shared" si="1"/>
        <v>11</v>
      </c>
    </row>
    <row r="48" spans="4:11">
      <c r="D48" s="11">
        <v>46103</v>
      </c>
      <c r="E48" s="12">
        <v>1588125</v>
      </c>
      <c r="F48" s="12" t="s">
        <v>51</v>
      </c>
      <c r="G48" s="13">
        <v>20409824</v>
      </c>
      <c r="H48" s="12" t="s">
        <v>96</v>
      </c>
      <c r="I48" s="13">
        <v>1</v>
      </c>
      <c r="J48" s="14">
        <v>225.5</v>
      </c>
      <c r="K48" s="14">
        <f t="shared" si="1"/>
        <v>225.5</v>
      </c>
    </row>
    <row r="49" spans="4:11">
      <c r="D49" s="11">
        <v>46103</v>
      </c>
      <c r="E49" s="12">
        <v>1588125</v>
      </c>
      <c r="F49" s="12" t="s">
        <v>51</v>
      </c>
      <c r="G49" s="13">
        <v>20409795</v>
      </c>
      <c r="H49" s="12" t="s">
        <v>85</v>
      </c>
      <c r="I49" s="13">
        <v>2</v>
      </c>
      <c r="J49" s="14">
        <v>66</v>
      </c>
      <c r="K49" s="14">
        <f t="shared" si="1"/>
        <v>132</v>
      </c>
    </row>
    <row r="50" spans="4:11">
      <c r="D50" s="11">
        <v>46103</v>
      </c>
      <c r="E50" s="12">
        <v>1588125</v>
      </c>
      <c r="F50" s="12" t="s">
        <v>33</v>
      </c>
      <c r="G50" s="13">
        <v>20417009</v>
      </c>
      <c r="H50" s="12" t="s">
        <v>66</v>
      </c>
      <c r="I50" s="13">
        <v>3</v>
      </c>
      <c r="J50" s="14">
        <v>13</v>
      </c>
      <c r="K50" s="14">
        <f t="shared" si="1"/>
        <v>39</v>
      </c>
    </row>
    <row r="51" spans="4:11">
      <c r="D51" s="11">
        <v>46103</v>
      </c>
      <c r="E51" s="12">
        <v>1588125</v>
      </c>
      <c r="F51" s="12" t="s">
        <v>33</v>
      </c>
      <c r="G51" s="13">
        <v>20417282</v>
      </c>
      <c r="H51" s="12" t="s">
        <v>90</v>
      </c>
      <c r="I51" s="13">
        <v>1</v>
      </c>
      <c r="J51" s="14">
        <v>16.5</v>
      </c>
      <c r="K51" s="14">
        <f t="shared" si="1"/>
        <v>16.5</v>
      </c>
    </row>
    <row r="52" spans="4:11">
      <c r="D52" s="11">
        <v>46103</v>
      </c>
      <c r="E52" s="12">
        <v>1588125</v>
      </c>
      <c r="F52" s="12" t="s">
        <v>33</v>
      </c>
      <c r="G52" s="13">
        <v>20417285</v>
      </c>
      <c r="H52" s="12" t="s">
        <v>91</v>
      </c>
      <c r="I52" s="13">
        <v>1</v>
      </c>
      <c r="J52" s="14">
        <v>11</v>
      </c>
      <c r="K52" s="14">
        <f t="shared" si="1"/>
        <v>11</v>
      </c>
    </row>
    <row r="53" spans="4:11">
      <c r="D53" s="11">
        <v>46103</v>
      </c>
      <c r="E53" s="12">
        <v>1588125</v>
      </c>
      <c r="F53" s="12" t="s">
        <v>33</v>
      </c>
      <c r="G53" s="13">
        <v>20417368</v>
      </c>
      <c r="H53" s="12" t="s">
        <v>95</v>
      </c>
      <c r="I53" s="13">
        <v>1</v>
      </c>
      <c r="J53" s="14">
        <v>8</v>
      </c>
      <c r="K53" s="14">
        <f t="shared" si="1"/>
        <v>8</v>
      </c>
    </row>
    <row r="54" spans="4:11">
      <c r="D54" s="11">
        <v>46103</v>
      </c>
      <c r="E54" s="12">
        <v>1588125</v>
      </c>
      <c r="F54" s="12" t="s">
        <v>33</v>
      </c>
      <c r="G54" s="13">
        <v>20417283</v>
      </c>
      <c r="H54" s="12" t="s">
        <v>92</v>
      </c>
      <c r="I54" s="13">
        <v>1</v>
      </c>
      <c r="J54" s="14">
        <v>13</v>
      </c>
      <c r="K54" s="14">
        <f t="shared" si="1"/>
        <v>13</v>
      </c>
    </row>
    <row r="55" spans="4:11">
      <c r="D55" s="11">
        <v>46103</v>
      </c>
      <c r="E55" s="12">
        <v>1588125</v>
      </c>
      <c r="F55" s="12" t="s">
        <v>33</v>
      </c>
      <c r="G55" s="13">
        <v>20417291</v>
      </c>
      <c r="H55" s="12" t="s">
        <v>93</v>
      </c>
      <c r="I55" s="13">
        <v>1</v>
      </c>
      <c r="J55" s="14">
        <v>16.5</v>
      </c>
      <c r="K55" s="14">
        <f t="shared" si="1"/>
        <v>16.5</v>
      </c>
    </row>
    <row r="56" spans="4:11">
      <c r="D56" s="11">
        <v>46103</v>
      </c>
      <c r="E56" s="12">
        <v>1588125</v>
      </c>
      <c r="F56" s="12" t="s">
        <v>33</v>
      </c>
      <c r="G56" s="13">
        <v>20417010</v>
      </c>
      <c r="H56" s="12" t="s">
        <v>44</v>
      </c>
      <c r="I56" s="13">
        <v>4</v>
      </c>
      <c r="J56" s="14">
        <v>13</v>
      </c>
      <c r="K56" s="14">
        <f t="shared" si="1"/>
        <v>52</v>
      </c>
    </row>
    <row r="57" spans="4:11">
      <c r="D57" s="11">
        <v>46104</v>
      </c>
      <c r="E57" s="12">
        <v>1588393</v>
      </c>
      <c r="F57" s="12" t="s">
        <v>51</v>
      </c>
      <c r="G57" s="13">
        <v>20409825</v>
      </c>
      <c r="H57" s="12" t="s">
        <v>99</v>
      </c>
      <c r="I57" s="13">
        <v>1</v>
      </c>
      <c r="J57" s="14">
        <v>187</v>
      </c>
      <c r="K57" s="14">
        <f t="shared" si="1"/>
        <v>187</v>
      </c>
    </row>
    <row r="58" spans="4:11">
      <c r="D58" s="11">
        <v>46104</v>
      </c>
      <c r="E58" s="12">
        <v>1588393</v>
      </c>
      <c r="F58" s="12" t="s">
        <v>33</v>
      </c>
      <c r="G58" s="13">
        <v>20417009</v>
      </c>
      <c r="H58" s="12" t="s">
        <v>66</v>
      </c>
      <c r="I58" s="13">
        <v>1</v>
      </c>
      <c r="J58" s="14">
        <v>13</v>
      </c>
      <c r="K58" s="14">
        <f t="shared" si="1"/>
        <v>13</v>
      </c>
    </row>
    <row r="59" spans="4:11">
      <c r="D59" s="11">
        <v>46104</v>
      </c>
      <c r="E59" s="12">
        <v>1588393</v>
      </c>
      <c r="F59" s="12" t="s">
        <v>33</v>
      </c>
      <c r="G59" s="13">
        <v>20417285</v>
      </c>
      <c r="H59" s="12" t="s">
        <v>91</v>
      </c>
      <c r="I59" s="13">
        <v>1</v>
      </c>
      <c r="J59" s="14">
        <v>11</v>
      </c>
      <c r="K59" s="14">
        <f t="shared" si="1"/>
        <v>11</v>
      </c>
    </row>
    <row r="60" spans="4:11">
      <c r="D60" s="11">
        <v>46104</v>
      </c>
      <c r="E60" s="12">
        <v>1588393</v>
      </c>
      <c r="F60" s="12" t="s">
        <v>33</v>
      </c>
      <c r="G60" s="13">
        <v>20417010</v>
      </c>
      <c r="H60" s="12" t="s">
        <v>44</v>
      </c>
      <c r="I60" s="13">
        <v>1</v>
      </c>
      <c r="J60" s="14">
        <v>13</v>
      </c>
      <c r="K60" s="14">
        <f t="shared" si="1"/>
        <v>13</v>
      </c>
    </row>
    <row r="61" spans="4:11">
      <c r="D61" s="11">
        <v>46105</v>
      </c>
      <c r="E61" s="12">
        <v>1588653</v>
      </c>
      <c r="F61" s="12" t="s">
        <v>51</v>
      </c>
      <c r="G61" s="13">
        <v>20409795</v>
      </c>
      <c r="H61" s="12" t="s">
        <v>85</v>
      </c>
      <c r="I61" s="13">
        <v>4</v>
      </c>
      <c r="J61" s="14">
        <v>66</v>
      </c>
      <c r="K61" s="14">
        <f t="shared" si="1"/>
        <v>264</v>
      </c>
    </row>
    <row r="62" spans="4:11">
      <c r="D62" s="11">
        <v>46105</v>
      </c>
      <c r="E62" s="12">
        <v>1588653</v>
      </c>
      <c r="F62" s="12" t="s">
        <v>51</v>
      </c>
      <c r="G62" s="13">
        <v>20410097</v>
      </c>
      <c r="H62" s="12" t="s">
        <v>86</v>
      </c>
      <c r="I62" s="13">
        <v>1</v>
      </c>
      <c r="J62" s="14">
        <v>198</v>
      </c>
      <c r="K62" s="14">
        <f t="shared" si="1"/>
        <v>198</v>
      </c>
    </row>
    <row r="63" spans="4:11">
      <c r="D63" s="11">
        <v>46105</v>
      </c>
      <c r="E63" s="12">
        <v>1588653</v>
      </c>
      <c r="F63" s="12" t="s">
        <v>33</v>
      </c>
      <c r="G63" s="13">
        <v>20417009</v>
      </c>
      <c r="H63" s="12" t="s">
        <v>66</v>
      </c>
      <c r="I63" s="13">
        <v>6</v>
      </c>
      <c r="J63" s="14">
        <v>13</v>
      </c>
      <c r="K63" s="14">
        <f t="shared" si="1"/>
        <v>78</v>
      </c>
    </row>
    <row r="64" spans="4:11">
      <c r="D64" s="11">
        <v>46105</v>
      </c>
      <c r="E64" s="12">
        <v>1588653</v>
      </c>
      <c r="F64" s="12" t="s">
        <v>33</v>
      </c>
      <c r="G64" s="13">
        <v>20417282</v>
      </c>
      <c r="H64" s="12" t="s">
        <v>90</v>
      </c>
      <c r="I64" s="13">
        <v>2</v>
      </c>
      <c r="J64" s="14">
        <v>16.5</v>
      </c>
      <c r="K64" s="14">
        <f t="shared" si="1"/>
        <v>33</v>
      </c>
    </row>
    <row r="65" spans="4:11">
      <c r="D65" s="11">
        <v>46105</v>
      </c>
      <c r="E65" s="12">
        <v>1588653</v>
      </c>
      <c r="F65" s="12" t="s">
        <v>33</v>
      </c>
      <c r="G65" s="13">
        <v>20417285</v>
      </c>
      <c r="H65" s="12" t="s">
        <v>91</v>
      </c>
      <c r="I65" s="13">
        <v>1</v>
      </c>
      <c r="J65" s="14">
        <v>11</v>
      </c>
      <c r="K65" s="14">
        <f t="shared" si="1"/>
        <v>11</v>
      </c>
    </row>
    <row r="66" spans="4:11">
      <c r="D66" s="11">
        <v>46105</v>
      </c>
      <c r="E66" s="12">
        <v>1588653</v>
      </c>
      <c r="F66" s="12" t="s">
        <v>33</v>
      </c>
      <c r="G66" s="13">
        <v>20417283</v>
      </c>
      <c r="H66" s="12" t="s">
        <v>92</v>
      </c>
      <c r="I66" s="13">
        <v>1</v>
      </c>
      <c r="J66" s="14">
        <v>13</v>
      </c>
      <c r="K66" s="14">
        <f t="shared" si="1"/>
        <v>13</v>
      </c>
    </row>
    <row r="67" spans="4:11">
      <c r="D67" s="11">
        <v>46105</v>
      </c>
      <c r="E67" s="12">
        <v>1588653</v>
      </c>
      <c r="F67" s="12" t="s">
        <v>33</v>
      </c>
      <c r="G67" s="13">
        <v>20417291</v>
      </c>
      <c r="H67" s="12" t="s">
        <v>93</v>
      </c>
      <c r="I67" s="13">
        <v>4</v>
      </c>
      <c r="J67" s="14">
        <v>16.5</v>
      </c>
      <c r="K67" s="14">
        <f t="shared" si="1"/>
        <v>66</v>
      </c>
    </row>
    <row r="68" spans="4:11">
      <c r="D68" s="11">
        <v>46105</v>
      </c>
      <c r="E68" s="12">
        <v>1588653</v>
      </c>
      <c r="F68" s="12" t="s">
        <v>33</v>
      </c>
      <c r="G68" s="13">
        <v>20417010</v>
      </c>
      <c r="H68" s="12" t="s">
        <v>44</v>
      </c>
      <c r="I68" s="13">
        <v>6</v>
      </c>
      <c r="J68" s="14">
        <v>13</v>
      </c>
      <c r="K68" s="14">
        <f t="shared" si="1"/>
        <v>78</v>
      </c>
    </row>
    <row r="69" spans="4:11">
      <c r="D69" s="11">
        <v>46106</v>
      </c>
      <c r="E69" s="12">
        <v>1589095</v>
      </c>
      <c r="F69" s="12" t="s">
        <v>51</v>
      </c>
      <c r="G69" s="13">
        <v>20409795</v>
      </c>
      <c r="H69" s="12" t="s">
        <v>85</v>
      </c>
      <c r="I69" s="13">
        <v>1</v>
      </c>
      <c r="J69" s="14">
        <v>66</v>
      </c>
      <c r="K69" s="14">
        <f t="shared" si="1"/>
        <v>66</v>
      </c>
    </row>
    <row r="70" spans="4:11">
      <c r="D70" s="11">
        <v>46106</v>
      </c>
      <c r="E70" s="12">
        <v>1589095</v>
      </c>
      <c r="F70" s="12" t="s">
        <v>33</v>
      </c>
      <c r="G70" s="13">
        <v>20417009</v>
      </c>
      <c r="H70" s="12" t="s">
        <v>66</v>
      </c>
      <c r="I70" s="13">
        <v>1</v>
      </c>
      <c r="J70" s="14">
        <v>13</v>
      </c>
      <c r="K70" s="14">
        <f t="shared" si="1"/>
        <v>13</v>
      </c>
    </row>
    <row r="71" spans="4:11">
      <c r="D71" s="11">
        <v>46106</v>
      </c>
      <c r="E71" s="12">
        <v>1589095</v>
      </c>
      <c r="F71" s="12" t="s">
        <v>33</v>
      </c>
      <c r="G71" s="13">
        <v>20417282</v>
      </c>
      <c r="H71" s="12" t="s">
        <v>90</v>
      </c>
      <c r="I71" s="13">
        <v>1</v>
      </c>
      <c r="J71" s="14">
        <v>16.5</v>
      </c>
      <c r="K71" s="14">
        <f t="shared" si="1"/>
        <v>16.5</v>
      </c>
    </row>
    <row r="72" spans="4:11">
      <c r="D72" s="11">
        <v>46106</v>
      </c>
      <c r="E72" s="12">
        <v>1589095</v>
      </c>
      <c r="F72" s="12" t="s">
        <v>33</v>
      </c>
      <c r="G72" s="13">
        <v>20417285</v>
      </c>
      <c r="H72" s="12" t="s">
        <v>91</v>
      </c>
      <c r="I72" s="13">
        <v>1</v>
      </c>
      <c r="J72" s="14">
        <v>11</v>
      </c>
      <c r="K72" s="14">
        <f t="shared" si="1"/>
        <v>11</v>
      </c>
    </row>
    <row r="73" spans="4:11">
      <c r="D73" s="11">
        <v>46106</v>
      </c>
      <c r="E73" s="12">
        <v>1589095</v>
      </c>
      <c r="F73" s="12" t="s">
        <v>33</v>
      </c>
      <c r="G73" s="13">
        <v>20417283</v>
      </c>
      <c r="H73" s="12" t="s">
        <v>92</v>
      </c>
      <c r="I73" s="13">
        <v>1</v>
      </c>
      <c r="J73" s="14">
        <v>13</v>
      </c>
      <c r="K73" s="14">
        <f t="shared" si="1"/>
        <v>13</v>
      </c>
    </row>
    <row r="74" spans="4:11">
      <c r="D74" s="11">
        <v>46106</v>
      </c>
      <c r="E74" s="12">
        <v>1589095</v>
      </c>
      <c r="F74" s="12" t="s">
        <v>33</v>
      </c>
      <c r="G74" s="13">
        <v>20417291</v>
      </c>
      <c r="H74" s="12" t="s">
        <v>93</v>
      </c>
      <c r="I74" s="13">
        <v>1</v>
      </c>
      <c r="J74" s="14">
        <v>16.5</v>
      </c>
      <c r="K74" s="14">
        <f t="shared" ref="K74:K95" si="2">J74*I74</f>
        <v>16.5</v>
      </c>
    </row>
    <row r="75" spans="4:11">
      <c r="D75" s="11">
        <v>46106</v>
      </c>
      <c r="E75" s="12">
        <v>1589095</v>
      </c>
      <c r="F75" s="12" t="s">
        <v>33</v>
      </c>
      <c r="G75" s="13">
        <v>20417010</v>
      </c>
      <c r="H75" s="12" t="s">
        <v>44</v>
      </c>
      <c r="I75" s="13">
        <v>1</v>
      </c>
      <c r="J75" s="14">
        <v>13</v>
      </c>
      <c r="K75" s="14">
        <f t="shared" si="2"/>
        <v>13</v>
      </c>
    </row>
    <row r="76" spans="4:11">
      <c r="D76" s="11">
        <v>46107</v>
      </c>
      <c r="E76" s="12">
        <v>1589489</v>
      </c>
      <c r="F76" s="12" t="s">
        <v>51</v>
      </c>
      <c r="G76" s="13">
        <v>20409795</v>
      </c>
      <c r="H76" s="12" t="s">
        <v>85</v>
      </c>
      <c r="I76" s="13">
        <v>2</v>
      </c>
      <c r="J76" s="14">
        <v>66</v>
      </c>
      <c r="K76" s="14">
        <f t="shared" si="2"/>
        <v>132</v>
      </c>
    </row>
    <row r="77" spans="4:11">
      <c r="D77" s="11">
        <v>46107</v>
      </c>
      <c r="E77" s="12">
        <v>1589489</v>
      </c>
      <c r="F77" s="12" t="s">
        <v>51</v>
      </c>
      <c r="G77" s="13">
        <v>20409825</v>
      </c>
      <c r="H77" s="12" t="s">
        <v>99</v>
      </c>
      <c r="I77" s="13">
        <v>1</v>
      </c>
      <c r="J77" s="14">
        <v>187</v>
      </c>
      <c r="K77" s="14">
        <f t="shared" si="2"/>
        <v>187</v>
      </c>
    </row>
    <row r="78" spans="4:11">
      <c r="D78" s="11">
        <v>46107</v>
      </c>
      <c r="E78" s="12">
        <v>1589489</v>
      </c>
      <c r="F78" s="12" t="s">
        <v>33</v>
      </c>
      <c r="G78" s="13">
        <v>20417009</v>
      </c>
      <c r="H78" s="12" t="s">
        <v>66</v>
      </c>
      <c r="I78" s="13">
        <v>3</v>
      </c>
      <c r="J78" s="14">
        <v>13</v>
      </c>
      <c r="K78" s="14">
        <f t="shared" si="2"/>
        <v>39</v>
      </c>
    </row>
    <row r="79" spans="4:11">
      <c r="D79" s="11">
        <v>46107</v>
      </c>
      <c r="E79" s="12">
        <v>1589489</v>
      </c>
      <c r="F79" s="12" t="s">
        <v>33</v>
      </c>
      <c r="G79" s="13">
        <v>20417285</v>
      </c>
      <c r="H79" s="12" t="s">
        <v>91</v>
      </c>
      <c r="I79" s="13">
        <v>2</v>
      </c>
      <c r="J79" s="14">
        <v>11</v>
      </c>
      <c r="K79" s="14">
        <f t="shared" si="2"/>
        <v>22</v>
      </c>
    </row>
    <row r="80" spans="4:11">
      <c r="D80" s="11">
        <v>46107</v>
      </c>
      <c r="E80" s="12">
        <v>1589489</v>
      </c>
      <c r="F80" s="12" t="s">
        <v>33</v>
      </c>
      <c r="G80" s="13">
        <v>20417010</v>
      </c>
      <c r="H80" s="12" t="s">
        <v>44</v>
      </c>
      <c r="I80" s="13">
        <v>3</v>
      </c>
      <c r="J80" s="14">
        <v>13</v>
      </c>
      <c r="K80" s="14">
        <f t="shared" si="2"/>
        <v>39</v>
      </c>
    </row>
    <row r="81" spans="4:11">
      <c r="D81" s="11">
        <v>46108</v>
      </c>
      <c r="E81" s="12">
        <v>1589892</v>
      </c>
      <c r="F81" s="12" t="s">
        <v>51</v>
      </c>
      <c r="G81" s="13">
        <v>20409825</v>
      </c>
      <c r="H81" s="12" t="s">
        <v>99</v>
      </c>
      <c r="I81" s="13">
        <v>1</v>
      </c>
      <c r="J81" s="14">
        <v>187</v>
      </c>
      <c r="K81" s="14">
        <f t="shared" si="2"/>
        <v>187</v>
      </c>
    </row>
    <row r="82" spans="4:11">
      <c r="D82" s="11">
        <v>46108</v>
      </c>
      <c r="E82" s="12">
        <v>1589892</v>
      </c>
      <c r="F82" s="12" t="s">
        <v>51</v>
      </c>
      <c r="G82" s="13">
        <v>20409818</v>
      </c>
      <c r="H82" s="12" t="s">
        <v>97</v>
      </c>
      <c r="I82" s="13">
        <v>1</v>
      </c>
      <c r="J82" s="14">
        <v>71.5</v>
      </c>
      <c r="K82" s="14">
        <f t="shared" si="2"/>
        <v>71.5</v>
      </c>
    </row>
    <row r="83" spans="4:11">
      <c r="D83" s="11">
        <v>46108</v>
      </c>
      <c r="E83" s="12">
        <v>1589892</v>
      </c>
      <c r="F83" s="12" t="s">
        <v>33</v>
      </c>
      <c r="G83" s="13">
        <v>20417009</v>
      </c>
      <c r="H83" s="12" t="s">
        <v>66</v>
      </c>
      <c r="I83" s="13">
        <v>2</v>
      </c>
      <c r="J83" s="14">
        <v>13</v>
      </c>
      <c r="K83" s="14">
        <f t="shared" si="2"/>
        <v>26</v>
      </c>
    </row>
    <row r="84" spans="4:11">
      <c r="D84" s="11">
        <v>46108</v>
      </c>
      <c r="E84" s="12">
        <v>1589892</v>
      </c>
      <c r="F84" s="12" t="s">
        <v>33</v>
      </c>
      <c r="G84" s="13">
        <v>20417010</v>
      </c>
      <c r="H84" s="12" t="s">
        <v>44</v>
      </c>
      <c r="I84" s="13">
        <v>2</v>
      </c>
      <c r="J84" s="14">
        <v>13</v>
      </c>
      <c r="K84" s="14">
        <f t="shared" si="2"/>
        <v>26</v>
      </c>
    </row>
    <row r="85" spans="4:11">
      <c r="D85" s="11">
        <v>46111</v>
      </c>
      <c r="E85" s="12">
        <v>1590427</v>
      </c>
      <c r="F85" s="12" t="s">
        <v>51</v>
      </c>
      <c r="G85" s="13">
        <v>20409824</v>
      </c>
      <c r="H85" s="12" t="s">
        <v>96</v>
      </c>
      <c r="I85" s="13">
        <v>1</v>
      </c>
      <c r="J85" s="14">
        <v>225.5</v>
      </c>
      <c r="K85" s="14">
        <f t="shared" si="2"/>
        <v>225.5</v>
      </c>
    </row>
    <row r="86" spans="4:11">
      <c r="D86" s="11">
        <v>46111</v>
      </c>
      <c r="E86" s="12">
        <v>1590427</v>
      </c>
      <c r="F86" s="12" t="s">
        <v>51</v>
      </c>
      <c r="G86" s="13">
        <v>20409825</v>
      </c>
      <c r="H86" s="12" t="s">
        <v>99</v>
      </c>
      <c r="I86" s="13">
        <v>1</v>
      </c>
      <c r="J86" s="14">
        <v>187</v>
      </c>
      <c r="K86" s="14">
        <f t="shared" si="2"/>
        <v>187</v>
      </c>
    </row>
    <row r="87" spans="4:11">
      <c r="D87" s="11">
        <v>46111</v>
      </c>
      <c r="E87" s="12">
        <v>1590427</v>
      </c>
      <c r="F87" s="12" t="s">
        <v>51</v>
      </c>
      <c r="G87" s="13">
        <v>20409818</v>
      </c>
      <c r="H87" s="12" t="s">
        <v>97</v>
      </c>
      <c r="I87" s="13">
        <v>1</v>
      </c>
      <c r="J87" s="14">
        <v>71.5</v>
      </c>
      <c r="K87" s="14">
        <f t="shared" si="2"/>
        <v>71.5</v>
      </c>
    </row>
    <row r="88" spans="4:11">
      <c r="D88" s="11">
        <v>46111</v>
      </c>
      <c r="E88" s="12">
        <v>1590427</v>
      </c>
      <c r="F88" s="12" t="s">
        <v>33</v>
      </c>
      <c r="G88" s="13">
        <v>20417009</v>
      </c>
      <c r="H88" s="12" t="s">
        <v>66</v>
      </c>
      <c r="I88" s="13">
        <v>3</v>
      </c>
      <c r="J88" s="14">
        <v>13</v>
      </c>
      <c r="K88" s="14">
        <f t="shared" si="2"/>
        <v>39</v>
      </c>
    </row>
    <row r="89" spans="4:11">
      <c r="D89" s="11">
        <v>46111</v>
      </c>
      <c r="E89" s="12">
        <v>1590427</v>
      </c>
      <c r="F89" s="12" t="s">
        <v>33</v>
      </c>
      <c r="G89" s="13">
        <v>20417010</v>
      </c>
      <c r="H89" s="12" t="s">
        <v>44</v>
      </c>
      <c r="I89" s="13">
        <v>4</v>
      </c>
      <c r="J89" s="14">
        <v>13</v>
      </c>
      <c r="K89" s="14">
        <f t="shared" si="2"/>
        <v>52</v>
      </c>
    </row>
    <row r="90" spans="4:11">
      <c r="D90" s="11">
        <v>46112</v>
      </c>
      <c r="E90" s="12">
        <v>1590708</v>
      </c>
      <c r="F90" s="12" t="s">
        <v>51</v>
      </c>
      <c r="G90" s="13">
        <v>20409795</v>
      </c>
      <c r="H90" s="12" t="s">
        <v>85</v>
      </c>
      <c r="I90" s="13">
        <v>3</v>
      </c>
      <c r="J90" s="14">
        <v>66</v>
      </c>
      <c r="K90" s="14">
        <f t="shared" si="2"/>
        <v>198</v>
      </c>
    </row>
    <row r="91" spans="4:11">
      <c r="D91" s="11">
        <v>46112</v>
      </c>
      <c r="E91" s="12">
        <v>1590708</v>
      </c>
      <c r="F91" s="12" t="s">
        <v>33</v>
      </c>
      <c r="G91" s="13">
        <v>20417009</v>
      </c>
      <c r="H91" s="12" t="s">
        <v>66</v>
      </c>
      <c r="I91" s="13">
        <v>3</v>
      </c>
      <c r="J91" s="14">
        <v>13</v>
      </c>
      <c r="K91" s="14">
        <f t="shared" si="2"/>
        <v>39</v>
      </c>
    </row>
    <row r="92" spans="4:11">
      <c r="D92" s="11">
        <v>46112</v>
      </c>
      <c r="E92" s="12">
        <v>1590708</v>
      </c>
      <c r="F92" s="12" t="s">
        <v>33</v>
      </c>
      <c r="G92" s="13">
        <v>20417282</v>
      </c>
      <c r="H92" s="12" t="s">
        <v>90</v>
      </c>
      <c r="I92" s="13">
        <v>1</v>
      </c>
      <c r="J92" s="14">
        <v>16.5</v>
      </c>
      <c r="K92" s="14">
        <f t="shared" si="2"/>
        <v>16.5</v>
      </c>
    </row>
    <row r="93" spans="4:11">
      <c r="D93" s="11">
        <v>46112</v>
      </c>
      <c r="E93" s="12">
        <v>1590708</v>
      </c>
      <c r="F93" s="12" t="s">
        <v>33</v>
      </c>
      <c r="G93" s="13">
        <v>20417285</v>
      </c>
      <c r="H93" s="12" t="s">
        <v>91</v>
      </c>
      <c r="I93" s="13">
        <v>1</v>
      </c>
      <c r="J93" s="14">
        <v>11</v>
      </c>
      <c r="K93" s="14">
        <f t="shared" si="2"/>
        <v>11</v>
      </c>
    </row>
    <row r="94" spans="4:11">
      <c r="D94" s="11">
        <v>46112</v>
      </c>
      <c r="E94" s="12">
        <v>1590708</v>
      </c>
      <c r="F94" s="12" t="s">
        <v>33</v>
      </c>
      <c r="G94" s="13">
        <v>20417291</v>
      </c>
      <c r="H94" s="12" t="s">
        <v>93</v>
      </c>
      <c r="I94" s="13">
        <v>1</v>
      </c>
      <c r="J94" s="14">
        <v>16.5</v>
      </c>
      <c r="K94" s="14">
        <f t="shared" si="2"/>
        <v>16.5</v>
      </c>
    </row>
    <row r="95" spans="4:11">
      <c r="D95" s="11">
        <v>46112</v>
      </c>
      <c r="E95" s="12">
        <v>1590708</v>
      </c>
      <c r="F95" s="12" t="s">
        <v>33</v>
      </c>
      <c r="G95" s="13">
        <v>20417010</v>
      </c>
      <c r="H95" s="12" t="s">
        <v>44</v>
      </c>
      <c r="I95" s="13">
        <v>3</v>
      </c>
      <c r="J95" s="14">
        <v>13</v>
      </c>
      <c r="K95" s="14">
        <f t="shared" si="2"/>
        <v>39</v>
      </c>
    </row>
    <row r="96" ht="0.05" customHeight="1"/>
  </sheetData>
  <autoFilter xmlns:etc="http://www.wps.cn/officeDocument/2017/etCustomData" ref="A7:K95" etc:filterBottomFollowUsedRange="0">
    <extLst/>
  </autoFilter>
  <mergeCells count="5">
    <mergeCell ref="D8:H8"/>
    <mergeCell ref="C7:C95"/>
    <mergeCell ref="B4:H5"/>
    <mergeCell ref="A7:B9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N16" sqref="N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12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48</v>
      </c>
      <c r="J8" s="10"/>
      <c r="K8" s="10">
        <f>SUM(K9:K17)</f>
        <v>431.5</v>
      </c>
    </row>
    <row r="9" spans="1:11">
      <c r="D9" s="11">
        <v>46100</v>
      </c>
      <c r="E9" s="12">
        <v>1587219</v>
      </c>
      <c r="F9" s="12" t="s">
        <v>33</v>
      </c>
      <c r="G9" s="13">
        <v>20417726</v>
      </c>
      <c r="H9" s="12" t="s">
        <v>100</v>
      </c>
      <c r="I9" s="13">
        <v>1</v>
      </c>
      <c r="J9" s="14">
        <v>13.5</v>
      </c>
      <c r="K9" s="14">
        <f>J9*I9</f>
        <v>13.5</v>
      </c>
    </row>
    <row r="10" spans="1:11">
      <c r="D10" s="11">
        <v>46100</v>
      </c>
      <c r="E10" s="12">
        <v>1587219</v>
      </c>
      <c r="F10" s="12" t="s">
        <v>33</v>
      </c>
      <c r="G10" s="13">
        <v>20417727</v>
      </c>
      <c r="H10" s="15" t="s">
        <v>101</v>
      </c>
      <c r="I10" s="13">
        <v>1</v>
      </c>
      <c r="J10" s="14">
        <v>11</v>
      </c>
      <c r="K10" s="14">
        <f t="shared" ref="K10:K17" si="0">J10*I10</f>
        <v>11</v>
      </c>
    </row>
    <row r="11" spans="1:11">
      <c r="D11" s="11">
        <v>46100</v>
      </c>
      <c r="E11" s="12">
        <v>1587219</v>
      </c>
      <c r="F11" s="12" t="s">
        <v>33</v>
      </c>
      <c r="G11" s="13">
        <v>20417728</v>
      </c>
      <c r="H11" s="12" t="s">
        <v>102</v>
      </c>
      <c r="I11" s="13">
        <v>2</v>
      </c>
      <c r="J11" s="14">
        <v>16</v>
      </c>
      <c r="K11" s="14">
        <f t="shared" si="0"/>
        <v>32</v>
      </c>
    </row>
    <row r="12" spans="1:11">
      <c r="D12" s="11">
        <v>46100</v>
      </c>
      <c r="E12" s="12">
        <v>1587219</v>
      </c>
      <c r="F12" s="12" t="s">
        <v>45</v>
      </c>
      <c r="G12" s="13">
        <v>20409863</v>
      </c>
      <c r="H12" s="12" t="s">
        <v>103</v>
      </c>
      <c r="I12" s="13">
        <v>4</v>
      </c>
      <c r="J12" s="14">
        <v>22</v>
      </c>
      <c r="K12" s="14">
        <f t="shared" si="0"/>
        <v>88</v>
      </c>
    </row>
    <row r="13" spans="1:11">
      <c r="D13" s="11">
        <v>46100</v>
      </c>
      <c r="E13" s="12">
        <v>1587219</v>
      </c>
      <c r="F13" s="12" t="s">
        <v>38</v>
      </c>
      <c r="G13" s="13">
        <v>20417738</v>
      </c>
      <c r="H13" s="12" t="s">
        <v>104</v>
      </c>
      <c r="I13" s="13">
        <v>10</v>
      </c>
      <c r="J13" s="14">
        <v>4</v>
      </c>
      <c r="K13" s="14">
        <f t="shared" si="0"/>
        <v>40</v>
      </c>
    </row>
    <row r="14" spans="1:11">
      <c r="D14" s="11">
        <v>46100</v>
      </c>
      <c r="E14" s="12">
        <v>1587219</v>
      </c>
      <c r="F14" s="12" t="s">
        <v>38</v>
      </c>
      <c r="G14" s="13">
        <v>20417298</v>
      </c>
      <c r="H14" s="12" t="s">
        <v>39</v>
      </c>
      <c r="I14" s="13">
        <v>20</v>
      </c>
      <c r="J14" s="14">
        <v>2.5</v>
      </c>
      <c r="K14" s="14">
        <f t="shared" si="0"/>
        <v>50</v>
      </c>
    </row>
    <row r="15" spans="1:11">
      <c r="D15" s="11">
        <v>46106</v>
      </c>
      <c r="E15" s="12">
        <v>1589093</v>
      </c>
      <c r="F15" s="12" t="s">
        <v>33</v>
      </c>
      <c r="G15" s="13">
        <v>20417728</v>
      </c>
      <c r="H15" s="12" t="s">
        <v>102</v>
      </c>
      <c r="I15" s="13">
        <v>2</v>
      </c>
      <c r="J15" s="14">
        <v>16</v>
      </c>
      <c r="K15" s="14">
        <f t="shared" si="0"/>
        <v>32</v>
      </c>
    </row>
    <row r="16" spans="1:11">
      <c r="D16" s="11">
        <v>46106</v>
      </c>
      <c r="E16" s="12">
        <v>1589093</v>
      </c>
      <c r="F16" s="12" t="s">
        <v>45</v>
      </c>
      <c r="G16" s="13">
        <v>20409863</v>
      </c>
      <c r="H16" s="12" t="s">
        <v>103</v>
      </c>
      <c r="I16" s="13">
        <v>6</v>
      </c>
      <c r="J16" s="14">
        <v>22</v>
      </c>
      <c r="K16" s="14">
        <f t="shared" si="0"/>
        <v>132</v>
      </c>
    </row>
    <row r="17" spans="4:11">
      <c r="D17" s="11">
        <v>46106</v>
      </c>
      <c r="E17" s="12">
        <v>1589093</v>
      </c>
      <c r="F17" s="12" t="s">
        <v>30</v>
      </c>
      <c r="G17" s="13">
        <v>20409866</v>
      </c>
      <c r="H17" s="12" t="s">
        <v>105</v>
      </c>
      <c r="I17" s="13">
        <v>2</v>
      </c>
      <c r="J17" s="14">
        <v>16.5</v>
      </c>
      <c r="K17" s="14">
        <f t="shared" si="0"/>
        <v>33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26" sqref="L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19</v>
      </c>
    </row>
    <row r="2" ht="23.05" customHeight="1"/>
    <row r="3" ht="2" customHeight="1"/>
    <row r="4" ht="15.2" customHeight="1" spans="1:11">
      <c r="B4" s="2" t="s">
        <v>20</v>
      </c>
    </row>
    <row r="6" ht="2.95" customHeight="1"/>
    <row r="7" spans="1:11">
      <c r="A7" s="3" t="s">
        <v>16</v>
      </c>
      <c r="B7" s="4" t="s">
        <v>16</v>
      </c>
      <c r="C7" s="5" t="s">
        <v>16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ht="14.25" spans="1:11">
      <c r="D8" s="7" t="s">
        <v>13</v>
      </c>
      <c r="E8" s="8" t="s">
        <v>16</v>
      </c>
      <c r="F8" s="8" t="s">
        <v>16</v>
      </c>
      <c r="G8" s="8" t="s">
        <v>16</v>
      </c>
      <c r="H8" s="8" t="s">
        <v>16</v>
      </c>
      <c r="I8" s="9">
        <v>1</v>
      </c>
      <c r="J8" s="10"/>
      <c r="K8" s="10">
        <v>8</v>
      </c>
    </row>
    <row r="9" spans="1:11">
      <c r="D9" s="11">
        <v>46100</v>
      </c>
      <c r="E9" s="12">
        <v>1587221</v>
      </c>
      <c r="F9" s="12" t="s">
        <v>33</v>
      </c>
      <c r="G9" s="13">
        <v>20417725</v>
      </c>
      <c r="H9" s="12" t="s">
        <v>106</v>
      </c>
      <c r="I9" s="13">
        <v>1</v>
      </c>
      <c r="J9" s="14">
        <v>8</v>
      </c>
      <c r="K9" s="14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15:02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汇总</vt:lpstr>
      <vt:lpstr>妇科病房</vt:lpstr>
      <vt:lpstr>妇科门诊</vt:lpstr>
      <vt:lpstr>门诊肛肠一科</vt:lpstr>
      <vt:lpstr>皮肤门诊（二）</vt:lpstr>
      <vt:lpstr>肾八科</vt:lpstr>
      <vt:lpstr>肾九科</vt:lpstr>
      <vt:lpstr>肾三科</vt:lpstr>
      <vt:lpstr>手术室</vt:lpstr>
      <vt:lpstr>外科门诊</vt:lpstr>
      <vt:lpstr>血液透析室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2026-06-02T07:02:00Z</dcterms:created>
  <dcterms:modified xsi:type="dcterms:W3CDTF">2026-06-12T04:36:18Z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11F35890BE5942BFB4470DBE431AA1F4_13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