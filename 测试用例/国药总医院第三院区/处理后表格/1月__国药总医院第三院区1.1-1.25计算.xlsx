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700" windowHeight="12255"/>
  </bookViews>
  <sheets>
    <sheet name="DeliveryNoteSummary" sheetId="1" r:id="rId1"/>
  </sheets>
  <definedNames>
    <definedName name="_xlnm._FilterDatabase" localSheetId="0" hidden="1">DeliveryNoteSummary!$A$12:$N$50</definedName>
    <definedName name="_xlnm.Print_Titles" localSheetId="0">DeliveryNoteSummary!$1:$6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<sst xmlns="http://schemas.openxmlformats.org/spreadsheetml/2006/main" count="294" uniqueCount="38">
  <si>
    <t>发货单汇总表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</si>
  <si>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2026/1/1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2026/1/25</t>
    </r>
  </si>
  <si>
    <t/>
  </si>
  <si>
    <r>
      <rPr>
        <b/>
        <sz val="10"/>
        <color rgb="FF000000"/>
        <rFont val="Droid Sans Fallback"/>
        <charset val="134"/>
      </rPr>
      <t>处理量合计:</t>
    </r>
    <r>
      <rPr>
        <b/>
        <sz val="10"/>
        <color rgb="FF000000"/>
        <rFont val="Droid Sans Fallback"/>
        <charset val="134"/>
      </rPr>
      <t>65</t>
    </r>
    <r>
      <rPr>
        <b/>
        <sz val="10"/>
        <color rgb="FF000000"/>
        <rFont val="Droid Sans Fallback"/>
        <charset val="134"/>
      </rPr>
      <t>　器械量合计:</t>
    </r>
    <r>
      <rPr>
        <b/>
        <sz val="10"/>
        <color rgb="FF000000"/>
        <rFont val="Droid Sans Fallback"/>
        <charset val="134"/>
      </rPr>
      <t>308</t>
    </r>
  </si>
  <si>
    <t>发货日期</t>
  </si>
  <si>
    <t>发货单号</t>
  </si>
  <si>
    <t>基本类型</t>
  </si>
  <si>
    <t>类型</t>
  </si>
  <si>
    <t>包编号</t>
  </si>
  <si>
    <t>包名</t>
  </si>
  <si>
    <t>数量</t>
  </si>
  <si>
    <t>单价</t>
  </si>
  <si>
    <t>合计</t>
  </si>
  <si>
    <t>哈尔滨锅炉厂医院</t>
  </si>
  <si>
    <t>妇科</t>
  </si>
  <si>
    <t>高温</t>
  </si>
  <si>
    <t>器械包</t>
  </si>
  <si>
    <t>器械包(ZSD)</t>
  </si>
  <si>
    <t>取环包/(90布)</t>
  </si>
  <si>
    <t>额外包</t>
  </si>
  <si>
    <t>额外包(纸塑袋)</t>
  </si>
  <si>
    <t>取环器-1/Z1535</t>
  </si>
  <si>
    <t>急诊</t>
  </si>
  <si>
    <t>方盘1碗1/Z3032</t>
  </si>
  <si>
    <t>开口器,舌钳子-2/Z1526</t>
  </si>
  <si>
    <t>急诊-气管切开包</t>
  </si>
  <si>
    <t>静脉切开包</t>
  </si>
  <si>
    <t>外科</t>
  </si>
  <si>
    <t>止血钳-1/Z1029</t>
  </si>
  <si>
    <t>刀柄-1/Z7526</t>
  </si>
  <si>
    <t>内热针（长）-15/Z7526</t>
  </si>
  <si>
    <t>内热针(中)-15/Z7526</t>
  </si>
  <si>
    <t>剪刀1持针器1弯钳1/Z1535</t>
  </si>
  <si>
    <t>内热针(长)-20/Z7534</t>
  </si>
  <si>
    <t>胃肠镜室</t>
  </si>
  <si>
    <t>敷料包</t>
  </si>
  <si>
    <t>敷料包(无纺布包)</t>
  </si>
  <si>
    <t>中单/W9050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</si>
</sst>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9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b/>
      <sz val="10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b/>
      <sz val="10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8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8" fillId="0" borderId="0"/>
  </cellStyleXfs>
  <cellXfs count="2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horizontal="right"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5" fillId="2" borderId="2" xfId="0" applyNumberFormat="1" applyFont="1" applyFill="1" applyBorder="1" applyAlignment="1">
      <alignment vertical="top" wrapText="1" readingOrder="1"/>
    </xf>
    <xf numFmtId="0" fontId="0" fillId="0" borderId="2" xfId="0" applyNumberFormat="1" applyFont="1" applyFill="1" applyBorder="1" applyAlignment="1">
      <alignment vertical="top" wrapText="1"/>
    </xf>
    <xf numFmtId="0" fontId="6" fillId="2" borderId="2" xfId="0" applyNumberFormat="1" applyFont="1" applyFill="1" applyBorder="1" applyAlignment="1">
      <alignment horizontal="center" vertical="top" wrapText="1" readingOrder="1"/>
    </xf>
    <xf numFmtId="176" fontId="6" fillId="2" borderId="2" xfId="0" applyNumberFormat="1" applyFont="1" applyFill="1" applyBorder="1" applyAlignment="1">
      <alignment horizontal="center" vertical="top" wrapText="1" readingOrder="1"/>
    </xf>
    <xf numFmtId="0" fontId="7" fillId="3" borderId="2" xfId="0" applyNumberFormat="1" applyFont="1" applyFill="1" applyBorder="1" applyAlignment="1">
      <alignment vertical="top" wrapText="1" readingOrder="1"/>
    </xf>
    <xf numFmtId="0" fontId="3" fillId="3" borderId="2" xfId="0" applyNumberFormat="1" applyFont="1" applyFill="1" applyBorder="1" applyAlignment="1">
      <alignment horizontal="center" vertical="top" wrapText="1" readingOrder="1"/>
    </xf>
    <xf numFmtId="176" fontId="3" fillId="3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left" vertical="top" wrapText="1" readingOrder="1"/>
    </xf>
    <xf numFmtId="0" fontId="7" fillId="4" borderId="2" xfId="0" applyNumberFormat="1" applyFont="1" applyFill="1" applyBorder="1" applyAlignment="1">
      <alignment horizontal="left" vertical="top" wrapText="1" readingOrder="1"/>
    </xf>
    <xf numFmtId="0" fontId="4" fillId="4" borderId="2" xfId="0" applyNumberFormat="1" applyFont="1" applyFill="1" applyBorder="1" applyAlignment="1">
      <alignment horizontal="left" vertical="top" wrapText="1" readingOrder="1"/>
    </xf>
    <xf numFmtId="0" fontId="4" fillId="4" borderId="2" xfId="0" applyNumberFormat="1" applyFont="1" applyFill="1" applyBorder="1" applyAlignment="1">
      <alignment vertical="top" wrapText="1" readingOrder="1"/>
    </xf>
    <xf numFmtId="0" fontId="3" fillId="4" borderId="2" xfId="0" applyNumberFormat="1" applyFont="1" applyFill="1" applyBorder="1" applyAlignment="1">
      <alignment horizontal="center" vertical="top" wrapText="1" readingOrder="1"/>
    </xf>
    <xf numFmtId="177" fontId="4" fillId="0" borderId="3" xfId="0" applyNumberFormat="1" applyFont="1" applyFill="1" applyBorder="1" applyAlignment="1">
      <alignment horizontal="left" vertical="top" wrapText="1" readingOrder="1"/>
    </xf>
    <xf numFmtId="0" fontId="4" fillId="0" borderId="3" xfId="0" applyNumberFormat="1" applyFont="1" applyFill="1" applyBorder="1" applyAlignment="1">
      <alignment horizontal="left"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">
    <dxf>
      <fill>
        <patternFill patternType="none"/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799AF"/>
      <rgbColor rgb="00FFFFFF"/>
      <rgbColor rgb="00BCC3CC"/>
      <rgbColor rgb="00D3D3D3"/>
      <rgbColor rgb="00808080"/>
      <rgbColor rgb="00DFE3E8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104775</xdr:colOff>
      <xdr:row>1</xdr:row>
      <xdr:rowOff>57150</xdr:rowOff>
    </xdr:from>
    <xdr:to>
      <xdr:col>13</xdr:col>
      <xdr:colOff>608577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880350" y="228600"/>
          <a:ext cx="50355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Q58"/>
  <sheetViews>
    <sheetView showGridLines="0" tabSelected="1" workbookViewId="0">
      <pane ySplit="6" topLeftCell="A7" activePane="bottomLeft" state="frozen"/>
      <selection/>
      <selection pane="bottomLeft" activeCell="I56" sqref="I56:I58"/>
    </sheetView>
  </sheetViews>
  <sheetFormatPr defaultColWidth="9" defaultRowHeight="13.5"/>
  <cols>
    <col min="1" max="1" width="0.225" customWidth="1"/>
    <col min="2" max="2" width="0.791666666666667" customWidth="1"/>
    <col min="3" max="3" width="0.433333333333333" customWidth="1"/>
    <col min="4" max="4" width="1.19166666666667" customWidth="1"/>
    <col min="5" max="5" width="10.5" customWidth="1"/>
    <col min="6" max="6" width="3.33333333333333" customWidth="1"/>
    <col min="7" max="7" width="6.45833333333333" customWidth="1"/>
    <col min="8" max="8" width="9.4" customWidth="1"/>
    <col min="9" max="9" width="13.2916666666667" customWidth="1"/>
    <col min="10" max="10" width="10.5" customWidth="1"/>
    <col min="11" max="11" width="28" customWidth="1"/>
    <col min="12" max="12" width="7.5" customWidth="1"/>
    <col min="13" max="13" width="10.4166666666667" customWidth="1"/>
    <col min="14" max="14" width="11.875" customWidth="1"/>
  </cols>
  <sheetData>
    <row r="1" spans="1:15">
      <c r="B1" s="1" t="s">
        <v>0</v>
      </c>
    </row>
    <row r="2" ht="23.05" customHeight="1"/>
    <row r="3" ht="2" customHeight="1"/>
    <row r="4" ht="15.2" customHeight="1" spans="1:15">
      <c r="B4" s="2" t="s">
        <v>1</v>
      </c>
    </row>
    <row r="6" ht="2.05" customHeight="1"/>
    <row r="7" ht="1.9" customHeight="1" spans="1:15">
      <c r="A7" s="3" t="s">
        <v>2</v>
      </c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</row>
    <row r="8" spans="1:15">
      <c r="G8" s="4" t="s">
        <v>3</v>
      </c>
    </row>
    <row r="11" ht="2.95" customHeight="1"/>
    <row r="12" spans="1:15">
      <c r="A12" s="5" t="s">
        <v>2</v>
      </c>
      <c r="C12" s="5" t="s">
        <v>2</v>
      </c>
      <c r="D12" s="5" t="s">
        <v>2</v>
      </c>
      <c r="E12" s="5" t="s">
        <v>4</v>
      </c>
      <c r="F12" s="5" t="s">
        <v>5</v>
      </c>
      <c r="H12" s="5" t="s">
        <v>6</v>
      </c>
      <c r="I12" s="5" t="s">
        <v>7</v>
      </c>
      <c r="J12" s="5" t="s">
        <v>8</v>
      </c>
      <c r="K12" s="5" t="s">
        <v>9</v>
      </c>
      <c r="L12" s="6" t="s">
        <v>10</v>
      </c>
      <c r="M12" s="6" t="s">
        <v>11</v>
      </c>
      <c r="N12" s="6" t="s">
        <v>12</v>
      </c>
    </row>
    <row r="13" ht="15" hidden="1" spans="1:15">
      <c r="A13" s="7" t="s">
        <v>2</v>
      </c>
      <c r="B13" s="8" t="s">
        <v>2</v>
      </c>
      <c r="C13" s="7" t="s">
        <v>2</v>
      </c>
      <c r="D13" s="7" t="s">
        <v>2</v>
      </c>
      <c r="E13" s="7" t="s">
        <v>13</v>
      </c>
      <c r="F13" s="8" t="s">
        <v>2</v>
      </c>
      <c r="G13" s="8" t="s">
        <v>2</v>
      </c>
      <c r="H13" s="8" t="s">
        <v>2</v>
      </c>
      <c r="I13" s="8" t="s">
        <v>2</v>
      </c>
      <c r="J13" s="8" t="s">
        <v>2</v>
      </c>
      <c r="K13" s="7" t="s">
        <v>2</v>
      </c>
      <c r="L13" s="9">
        <v>65</v>
      </c>
      <c r="M13" s="7" t="s">
        <v>2</v>
      </c>
      <c r="N13" s="10">
        <v>1576</v>
      </c>
    </row>
    <row r="14" ht="14.25" hidden="1" spans="1:15">
      <c r="A14" s="5" t="s">
        <v>2</v>
      </c>
      <c r="C14" s="11" t="s">
        <v>2</v>
      </c>
      <c r="D14" s="11" t="s">
        <v>2</v>
      </c>
      <c r="E14" s="11" t="s">
        <v>14</v>
      </c>
      <c r="F14" s="8" t="s">
        <v>2</v>
      </c>
      <c r="G14" s="8" t="s">
        <v>2</v>
      </c>
      <c r="H14" s="8" t="s">
        <v>2</v>
      </c>
      <c r="I14" s="8" t="s">
        <v>2</v>
      </c>
      <c r="J14" s="8" t="s">
        <v>2</v>
      </c>
      <c r="K14" s="11" t="s">
        <v>2</v>
      </c>
      <c r="L14" s="12">
        <v>11</v>
      </c>
      <c r="M14" s="11" t="s">
        <v>2</v>
      </c>
      <c r="N14" s="13">
        <v>506</v>
      </c>
    </row>
    <row r="15" ht="14.25" hidden="1" spans="1:15">
      <c r="C15" s="5" t="s">
        <v>2</v>
      </c>
      <c r="D15" s="14" t="s">
        <v>2</v>
      </c>
      <c r="E15" s="15" t="s">
        <v>15</v>
      </c>
      <c r="F15" s="8" t="s">
        <v>2</v>
      </c>
      <c r="G15" s="8" t="s">
        <v>2</v>
      </c>
      <c r="H15" s="16" t="s">
        <v>2</v>
      </c>
      <c r="I15" s="17" t="s">
        <v>2</v>
      </c>
      <c r="J15" s="16" t="s">
        <v>2</v>
      </c>
      <c r="K15" s="17" t="s">
        <v>2</v>
      </c>
      <c r="L15" s="18">
        <v>11</v>
      </c>
      <c r="M15" s="18" t="s">
        <v>2</v>
      </c>
      <c r="N15" s="18">
        <v>506</v>
      </c>
    </row>
    <row r="16" spans="1:15">
      <c r="E16" s="19">
        <v>46027</v>
      </c>
      <c r="F16" s="20">
        <v>1567808</v>
      </c>
      <c r="G16" s="21" t="s">
        <v>2</v>
      </c>
      <c r="H16" s="20" t="s">
        <v>16</v>
      </c>
      <c r="I16" s="22" t="s">
        <v>17</v>
      </c>
      <c r="J16" s="20">
        <v>20013262</v>
      </c>
      <c r="K16" s="22" t="s">
        <v>18</v>
      </c>
      <c r="L16" s="23">
        <v>10</v>
      </c>
      <c r="M16" s="24">
        <v>49.5</v>
      </c>
      <c r="N16" s="24">
        <v>495</v>
      </c>
      <c r="O16">
        <v>605</v>
      </c>
    </row>
    <row r="17" spans="3:17">
      <c r="E17" s="19">
        <v>46027</v>
      </c>
      <c r="F17" s="20">
        <v>1567808</v>
      </c>
      <c r="G17" s="21" t="s">
        <v>2</v>
      </c>
      <c r="H17" s="20" t="s">
        <v>19</v>
      </c>
      <c r="I17" s="22" t="s">
        <v>20</v>
      </c>
      <c r="J17" s="20">
        <v>20009167</v>
      </c>
      <c r="K17" s="22" t="s">
        <v>21</v>
      </c>
      <c r="L17" s="23">
        <v>1</v>
      </c>
      <c r="M17" s="24">
        <v>11</v>
      </c>
      <c r="N17" s="24">
        <v>11</v>
      </c>
    </row>
    <row r="18" hidden="1" spans="3:17">
      <c r="E18" s="14" t="s">
        <v>2</v>
      </c>
      <c r="F18" s="14" t="s">
        <v>2</v>
      </c>
      <c r="H18" s="14" t="s">
        <v>2</v>
      </c>
      <c r="I18" s="5" t="s">
        <v>2</v>
      </c>
      <c r="J18" s="14" t="s">
        <v>2</v>
      </c>
      <c r="K18" s="5" t="s">
        <v>2</v>
      </c>
      <c r="L18" s="25" t="s">
        <v>2</v>
      </c>
      <c r="M18" s="25" t="s">
        <v>2</v>
      </c>
      <c r="N18" s="25" t="s">
        <v>2</v>
      </c>
    </row>
    <row r="19" hidden="1" spans="3:17">
      <c r="C19" s="5" t="s">
        <v>2</v>
      </c>
      <c r="D19" s="5" t="s">
        <v>2</v>
      </c>
      <c r="E19" s="5" t="s">
        <v>2</v>
      </c>
      <c r="F19" s="5" t="s">
        <v>2</v>
      </c>
      <c r="H19" s="5" t="s">
        <v>2</v>
      </c>
      <c r="I19" s="5" t="s">
        <v>2</v>
      </c>
      <c r="J19" s="5" t="s">
        <v>2</v>
      </c>
      <c r="K19" s="5" t="s">
        <v>2</v>
      </c>
      <c r="L19" s="5" t="s">
        <v>2</v>
      </c>
      <c r="M19" s="5" t="s">
        <v>2</v>
      </c>
      <c r="N19" s="5" t="s">
        <v>2</v>
      </c>
    </row>
    <row r="20" ht="14.25" hidden="1" spans="3:17">
      <c r="C20" s="11" t="s">
        <v>2</v>
      </c>
      <c r="D20" s="11" t="s">
        <v>2</v>
      </c>
      <c r="E20" s="11" t="s">
        <v>22</v>
      </c>
      <c r="F20" s="8" t="s">
        <v>2</v>
      </c>
      <c r="G20" s="8" t="s">
        <v>2</v>
      </c>
      <c r="H20" s="8" t="s">
        <v>2</v>
      </c>
      <c r="I20" s="8" t="s">
        <v>2</v>
      </c>
      <c r="J20" s="8" t="s">
        <v>2</v>
      </c>
      <c r="K20" s="11" t="s">
        <v>2</v>
      </c>
      <c r="L20" s="12">
        <v>6</v>
      </c>
      <c r="M20" s="11" t="s">
        <v>2</v>
      </c>
      <c r="N20" s="13">
        <v>176</v>
      </c>
    </row>
    <row r="21" ht="14.25" hidden="1" spans="3:17">
      <c r="C21" s="5" t="s">
        <v>2</v>
      </c>
      <c r="D21" s="14" t="s">
        <v>2</v>
      </c>
      <c r="E21" s="15" t="s">
        <v>15</v>
      </c>
      <c r="F21" s="8" t="s">
        <v>2</v>
      </c>
      <c r="G21" s="8" t="s">
        <v>2</v>
      </c>
      <c r="H21" s="16" t="s">
        <v>2</v>
      </c>
      <c r="I21" s="17" t="s">
        <v>2</v>
      </c>
      <c r="J21" s="16" t="s">
        <v>2</v>
      </c>
      <c r="K21" s="17" t="s">
        <v>2</v>
      </c>
      <c r="L21" s="18">
        <v>6</v>
      </c>
      <c r="M21" s="18" t="s">
        <v>2</v>
      </c>
      <c r="N21" s="18">
        <v>176</v>
      </c>
    </row>
    <row r="22" spans="3:17">
      <c r="E22" s="19">
        <v>46044</v>
      </c>
      <c r="F22" s="20">
        <v>1572901</v>
      </c>
      <c r="G22" s="21" t="s">
        <v>2</v>
      </c>
      <c r="H22" s="20" t="s">
        <v>19</v>
      </c>
      <c r="I22" s="22" t="s">
        <v>20</v>
      </c>
      <c r="J22" s="20">
        <v>20012009</v>
      </c>
      <c r="K22" s="22" t="s">
        <v>23</v>
      </c>
      <c r="L22" s="23">
        <v>2</v>
      </c>
      <c r="M22" s="24">
        <v>16.5</v>
      </c>
      <c r="N22" s="24">
        <v>33</v>
      </c>
    </row>
    <row r="23" spans="3:17">
      <c r="E23" s="19">
        <v>46044</v>
      </c>
      <c r="F23" s="20">
        <v>1572901</v>
      </c>
      <c r="G23" s="21" t="s">
        <v>2</v>
      </c>
      <c r="H23" s="20" t="s">
        <v>19</v>
      </c>
      <c r="I23" s="22" t="s">
        <v>20</v>
      </c>
      <c r="J23" s="20">
        <v>20011967</v>
      </c>
      <c r="K23" s="22" t="s">
        <v>24</v>
      </c>
      <c r="L23" s="23">
        <v>2</v>
      </c>
      <c r="M23" s="24">
        <v>16.5</v>
      </c>
      <c r="N23" s="24">
        <v>33</v>
      </c>
    </row>
    <row r="24" spans="3:17">
      <c r="E24" s="19">
        <v>46044</v>
      </c>
      <c r="F24" s="20">
        <v>1572901</v>
      </c>
      <c r="G24" s="21" t="s">
        <v>2</v>
      </c>
      <c r="H24" s="20" t="s">
        <v>16</v>
      </c>
      <c r="I24" s="22" t="s">
        <v>17</v>
      </c>
      <c r="J24" s="20">
        <v>20012011</v>
      </c>
      <c r="K24" s="22" t="s">
        <v>25</v>
      </c>
      <c r="L24" s="23">
        <v>1</v>
      </c>
      <c r="M24" s="24">
        <v>55</v>
      </c>
      <c r="N24" s="24">
        <v>55</v>
      </c>
      <c r="O24">
        <f>O16/5.5</f>
        <v>110</v>
      </c>
    </row>
    <row r="25" spans="3:17">
      <c r="E25" s="19">
        <v>46044</v>
      </c>
      <c r="F25" s="20">
        <v>1572901</v>
      </c>
      <c r="G25" s="21" t="s">
        <v>2</v>
      </c>
      <c r="H25" s="20" t="s">
        <v>16</v>
      </c>
      <c r="I25" s="22" t="s">
        <v>17</v>
      </c>
      <c r="J25" s="20">
        <v>20012010</v>
      </c>
      <c r="K25" s="22" t="s">
        <v>26</v>
      </c>
      <c r="L25" s="23">
        <v>1</v>
      </c>
      <c r="M25" s="24">
        <v>55</v>
      </c>
      <c r="N25" s="24">
        <v>55</v>
      </c>
      <c r="O25">
        <f>105/15</f>
        <v>7</v>
      </c>
      <c r="P25">
        <f>O25*10+5</f>
        <v>75</v>
      </c>
      <c r="Q25">
        <f>P25*5.5</f>
        <v>412.5</v>
      </c>
    </row>
    <row r="26" hidden="1" spans="3:17">
      <c r="E26" s="14" t="s">
        <v>2</v>
      </c>
      <c r="F26" s="14" t="s">
        <v>2</v>
      </c>
      <c r="H26" s="14" t="s">
        <v>2</v>
      </c>
      <c r="I26" s="5" t="s">
        <v>2</v>
      </c>
      <c r="J26" s="14" t="s">
        <v>2</v>
      </c>
      <c r="K26" s="5" t="s">
        <v>2</v>
      </c>
      <c r="L26" s="25" t="s">
        <v>2</v>
      </c>
      <c r="M26" s="25" t="s">
        <v>2</v>
      </c>
      <c r="N26" s="25" t="s">
        <v>2</v>
      </c>
    </row>
    <row r="27" hidden="1" spans="3:17">
      <c r="C27" s="5" t="s">
        <v>2</v>
      </c>
      <c r="D27" s="5" t="s">
        <v>2</v>
      </c>
      <c r="E27" s="5" t="s">
        <v>2</v>
      </c>
      <c r="F27" s="5" t="s">
        <v>2</v>
      </c>
      <c r="H27" s="5" t="s">
        <v>2</v>
      </c>
      <c r="I27" s="5" t="s">
        <v>2</v>
      </c>
      <c r="J27" s="5" t="s">
        <v>2</v>
      </c>
      <c r="K27" s="5" t="s">
        <v>2</v>
      </c>
      <c r="L27" s="5" t="s">
        <v>2</v>
      </c>
      <c r="M27" s="5" t="s">
        <v>2</v>
      </c>
      <c r="N27" s="5" t="s">
        <v>2</v>
      </c>
    </row>
    <row r="28" ht="14.25" hidden="1" spans="3:17">
      <c r="C28" s="11" t="s">
        <v>2</v>
      </c>
      <c r="D28" s="11" t="s">
        <v>2</v>
      </c>
      <c r="E28" s="11" t="s">
        <v>27</v>
      </c>
      <c r="F28" s="8" t="s">
        <v>2</v>
      </c>
      <c r="G28" s="8" t="s">
        <v>2</v>
      </c>
      <c r="H28" s="8" t="s">
        <v>2</v>
      </c>
      <c r="I28" s="8" t="s">
        <v>2</v>
      </c>
      <c r="J28" s="8" t="s">
        <v>2</v>
      </c>
      <c r="K28" s="11" t="s">
        <v>2</v>
      </c>
      <c r="L28" s="12">
        <v>36</v>
      </c>
      <c r="M28" s="11" t="s">
        <v>2</v>
      </c>
      <c r="N28" s="13">
        <v>534</v>
      </c>
    </row>
    <row r="29" ht="14.25" hidden="1" spans="3:17">
      <c r="C29" s="5" t="s">
        <v>2</v>
      </c>
      <c r="D29" s="14" t="s">
        <v>2</v>
      </c>
      <c r="E29" s="15" t="s">
        <v>15</v>
      </c>
      <c r="F29" s="8" t="s">
        <v>2</v>
      </c>
      <c r="G29" s="8" t="s">
        <v>2</v>
      </c>
      <c r="H29" s="16" t="s">
        <v>2</v>
      </c>
      <c r="I29" s="17" t="s">
        <v>2</v>
      </c>
      <c r="J29" s="16" t="s">
        <v>2</v>
      </c>
      <c r="K29" s="17" t="s">
        <v>2</v>
      </c>
      <c r="L29" s="18">
        <v>36</v>
      </c>
      <c r="M29" s="18" t="s">
        <v>2</v>
      </c>
      <c r="N29" s="18">
        <v>534</v>
      </c>
    </row>
    <row r="30" spans="3:17">
      <c r="E30" s="19">
        <v>46034</v>
      </c>
      <c r="F30" s="20">
        <v>1569701</v>
      </c>
      <c r="G30" s="21" t="s">
        <v>2</v>
      </c>
      <c r="H30" s="20" t="s">
        <v>19</v>
      </c>
      <c r="I30" s="22" t="s">
        <v>20</v>
      </c>
      <c r="J30" s="20">
        <v>20012004</v>
      </c>
      <c r="K30" s="22" t="s">
        <v>28</v>
      </c>
      <c r="L30" s="23">
        <v>2</v>
      </c>
      <c r="M30" s="24">
        <v>8</v>
      </c>
      <c r="N30" s="24">
        <v>16</v>
      </c>
    </row>
    <row r="31" spans="3:17">
      <c r="E31" s="19">
        <v>46034</v>
      </c>
      <c r="F31" s="20">
        <v>1569701</v>
      </c>
      <c r="G31" s="21" t="s">
        <v>2</v>
      </c>
      <c r="H31" s="20" t="s">
        <v>19</v>
      </c>
      <c r="I31" s="22" t="s">
        <v>20</v>
      </c>
      <c r="J31" s="20">
        <v>20012092</v>
      </c>
      <c r="K31" s="22" t="s">
        <v>29</v>
      </c>
      <c r="L31" s="23">
        <v>2</v>
      </c>
      <c r="M31" s="24">
        <v>8</v>
      </c>
      <c r="N31" s="24">
        <v>16</v>
      </c>
    </row>
    <row r="32" spans="3:17">
      <c r="E32" s="19">
        <v>46034</v>
      </c>
      <c r="F32" s="20">
        <v>1569701</v>
      </c>
      <c r="G32" s="21" t="s">
        <v>2</v>
      </c>
      <c r="H32" s="20" t="s">
        <v>19</v>
      </c>
      <c r="I32" s="22" t="s">
        <v>20</v>
      </c>
      <c r="J32" s="20">
        <v>20316641</v>
      </c>
      <c r="K32" s="22" t="s">
        <v>30</v>
      </c>
      <c r="L32" s="23">
        <v>1</v>
      </c>
      <c r="M32" s="24">
        <v>16.5</v>
      </c>
      <c r="N32" s="24">
        <v>16.5</v>
      </c>
    </row>
    <row r="33" spans="3:14">
      <c r="E33" s="19">
        <v>46034</v>
      </c>
      <c r="F33" s="20">
        <v>1569701</v>
      </c>
      <c r="G33" s="21" t="s">
        <v>2</v>
      </c>
      <c r="H33" s="20" t="s">
        <v>19</v>
      </c>
      <c r="I33" s="22" t="s">
        <v>20</v>
      </c>
      <c r="J33" s="20">
        <v>20012007</v>
      </c>
      <c r="K33" s="22" t="s">
        <v>31</v>
      </c>
      <c r="L33" s="23">
        <v>1</v>
      </c>
      <c r="M33" s="24">
        <v>16.5</v>
      </c>
      <c r="N33" s="24">
        <v>16.5</v>
      </c>
    </row>
    <row r="34" spans="3:14">
      <c r="E34" s="19">
        <v>46034</v>
      </c>
      <c r="F34" s="20">
        <v>1569701</v>
      </c>
      <c r="G34" s="21" t="s">
        <v>2</v>
      </c>
      <c r="H34" s="20" t="s">
        <v>19</v>
      </c>
      <c r="I34" s="22" t="s">
        <v>20</v>
      </c>
      <c r="J34" s="20">
        <v>20371398</v>
      </c>
      <c r="K34" s="22" t="s">
        <v>32</v>
      </c>
      <c r="L34" s="23">
        <v>9</v>
      </c>
      <c r="M34" s="24">
        <v>16.5</v>
      </c>
      <c r="N34" s="24">
        <v>148.5</v>
      </c>
    </row>
    <row r="35" spans="3:14">
      <c r="E35" s="19">
        <v>46034</v>
      </c>
      <c r="F35" s="20">
        <v>1569701</v>
      </c>
      <c r="G35" s="21" t="s">
        <v>2</v>
      </c>
      <c r="H35" s="20" t="s">
        <v>19</v>
      </c>
      <c r="I35" s="22" t="s">
        <v>20</v>
      </c>
      <c r="J35" s="20">
        <v>20012005</v>
      </c>
      <c r="K35" s="22" t="s">
        <v>33</v>
      </c>
      <c r="L35" s="23">
        <v>3</v>
      </c>
      <c r="M35" s="24">
        <v>22</v>
      </c>
      <c r="N35" s="24">
        <v>66</v>
      </c>
    </row>
    <row r="36" spans="3:14">
      <c r="E36" s="19">
        <v>46045</v>
      </c>
      <c r="F36" s="20">
        <v>1573138</v>
      </c>
      <c r="G36" s="21" t="s">
        <v>2</v>
      </c>
      <c r="H36" s="20" t="s">
        <v>19</v>
      </c>
      <c r="I36" s="22" t="s">
        <v>20</v>
      </c>
      <c r="J36" s="20">
        <v>20012004</v>
      </c>
      <c r="K36" s="22" t="s">
        <v>28</v>
      </c>
      <c r="L36" s="23">
        <v>3</v>
      </c>
      <c r="M36" s="24">
        <v>8</v>
      </c>
      <c r="N36" s="24">
        <v>24</v>
      </c>
    </row>
    <row r="37" spans="3:14">
      <c r="E37" s="19">
        <v>46045</v>
      </c>
      <c r="F37" s="20">
        <v>1573138</v>
      </c>
      <c r="G37" s="21" t="s">
        <v>2</v>
      </c>
      <c r="H37" s="20" t="s">
        <v>19</v>
      </c>
      <c r="I37" s="22" t="s">
        <v>20</v>
      </c>
      <c r="J37" s="20">
        <v>20012092</v>
      </c>
      <c r="K37" s="22" t="s">
        <v>29</v>
      </c>
      <c r="L37" s="23">
        <v>2</v>
      </c>
      <c r="M37" s="24">
        <v>8</v>
      </c>
      <c r="N37" s="24">
        <v>16</v>
      </c>
    </row>
    <row r="38" spans="3:14">
      <c r="E38" s="19">
        <v>46045</v>
      </c>
      <c r="F38" s="20">
        <v>1573138</v>
      </c>
      <c r="G38" s="21" t="s">
        <v>2</v>
      </c>
      <c r="H38" s="20" t="s">
        <v>19</v>
      </c>
      <c r="I38" s="22" t="s">
        <v>20</v>
      </c>
      <c r="J38" s="20">
        <v>20316641</v>
      </c>
      <c r="K38" s="22" t="s">
        <v>30</v>
      </c>
      <c r="L38" s="23">
        <v>1</v>
      </c>
      <c r="M38" s="24">
        <v>16.5</v>
      </c>
      <c r="N38" s="24">
        <v>16.5</v>
      </c>
    </row>
    <row r="39" spans="3:14">
      <c r="E39" s="19">
        <v>46045</v>
      </c>
      <c r="F39" s="20">
        <v>1573138</v>
      </c>
      <c r="G39" s="21" t="s">
        <v>2</v>
      </c>
      <c r="H39" s="20" t="s">
        <v>19</v>
      </c>
      <c r="I39" s="22" t="s">
        <v>20</v>
      </c>
      <c r="J39" s="20">
        <v>20012007</v>
      </c>
      <c r="K39" s="22" t="s">
        <v>31</v>
      </c>
      <c r="L39" s="23">
        <v>1</v>
      </c>
      <c r="M39" s="24">
        <v>16.5</v>
      </c>
      <c r="N39" s="24">
        <v>16.5</v>
      </c>
    </row>
    <row r="40" spans="3:14">
      <c r="E40" s="19">
        <v>46045</v>
      </c>
      <c r="F40" s="20">
        <v>1573138</v>
      </c>
      <c r="G40" s="21" t="s">
        <v>2</v>
      </c>
      <c r="H40" s="20" t="s">
        <v>19</v>
      </c>
      <c r="I40" s="22" t="s">
        <v>20</v>
      </c>
      <c r="J40" s="20">
        <v>20371398</v>
      </c>
      <c r="K40" s="22" t="s">
        <v>32</v>
      </c>
      <c r="L40" s="23">
        <v>11</v>
      </c>
      <c r="M40" s="24">
        <v>16.5</v>
      </c>
      <c r="N40" s="24">
        <v>181.5</v>
      </c>
    </row>
    <row r="41" hidden="1" spans="3:14">
      <c r="E41" s="14" t="s">
        <v>2</v>
      </c>
      <c r="F41" s="14" t="s">
        <v>2</v>
      </c>
      <c r="H41" s="14" t="s">
        <v>2</v>
      </c>
      <c r="I41" s="5" t="s">
        <v>2</v>
      </c>
      <c r="J41" s="14" t="s">
        <v>2</v>
      </c>
      <c r="K41" s="5" t="s">
        <v>2</v>
      </c>
      <c r="L41" s="25" t="s">
        <v>2</v>
      </c>
      <c r="M41" s="25" t="s">
        <v>2</v>
      </c>
      <c r="N41" s="25" t="s">
        <v>2</v>
      </c>
    </row>
    <row r="42" hidden="1" spans="3:14">
      <c r="C42" s="5" t="s">
        <v>2</v>
      </c>
      <c r="D42" s="5" t="s">
        <v>2</v>
      </c>
      <c r="E42" s="5" t="s">
        <v>2</v>
      </c>
      <c r="F42" s="5" t="s">
        <v>2</v>
      </c>
      <c r="H42" s="5" t="s">
        <v>2</v>
      </c>
      <c r="I42" s="5" t="s">
        <v>2</v>
      </c>
      <c r="J42" s="5" t="s">
        <v>2</v>
      </c>
      <c r="K42" s="5" t="s">
        <v>2</v>
      </c>
      <c r="L42" s="5" t="s">
        <v>2</v>
      </c>
      <c r="M42" s="5" t="s">
        <v>2</v>
      </c>
      <c r="N42" s="5" t="s">
        <v>2</v>
      </c>
    </row>
    <row r="43" ht="14.25" hidden="1" spans="3:14">
      <c r="C43" s="11" t="s">
        <v>2</v>
      </c>
      <c r="D43" s="11" t="s">
        <v>2</v>
      </c>
      <c r="E43" s="11" t="s">
        <v>34</v>
      </c>
      <c r="F43" s="8" t="s">
        <v>2</v>
      </c>
      <c r="G43" s="8" t="s">
        <v>2</v>
      </c>
      <c r="H43" s="8" t="s">
        <v>2</v>
      </c>
      <c r="I43" s="8" t="s">
        <v>2</v>
      </c>
      <c r="J43" s="8" t="s">
        <v>2</v>
      </c>
      <c r="K43" s="11" t="s">
        <v>2</v>
      </c>
      <c r="L43" s="12">
        <v>12</v>
      </c>
      <c r="M43" s="11" t="s">
        <v>2</v>
      </c>
      <c r="N43" s="13">
        <v>360</v>
      </c>
    </row>
    <row r="44" ht="14.25" hidden="1" spans="3:14">
      <c r="C44" s="5" t="s">
        <v>2</v>
      </c>
      <c r="D44" s="14" t="s">
        <v>2</v>
      </c>
      <c r="E44" s="15" t="s">
        <v>15</v>
      </c>
      <c r="F44" s="8" t="s">
        <v>2</v>
      </c>
      <c r="G44" s="8" t="s">
        <v>2</v>
      </c>
      <c r="H44" s="16" t="s">
        <v>2</v>
      </c>
      <c r="I44" s="17" t="s">
        <v>2</v>
      </c>
      <c r="J44" s="16" t="s">
        <v>2</v>
      </c>
      <c r="K44" s="17" t="s">
        <v>2</v>
      </c>
      <c r="L44" s="18">
        <v>12</v>
      </c>
      <c r="M44" s="18" t="s">
        <v>2</v>
      </c>
      <c r="N44" s="18">
        <v>360</v>
      </c>
    </row>
    <row r="45" spans="3:14">
      <c r="E45" s="19">
        <v>46029</v>
      </c>
      <c r="F45" s="20">
        <v>1568490</v>
      </c>
      <c r="G45" s="21" t="s">
        <v>2</v>
      </c>
      <c r="H45" s="20" t="s">
        <v>35</v>
      </c>
      <c r="I45" s="22" t="s">
        <v>36</v>
      </c>
      <c r="J45" s="20">
        <v>20013913</v>
      </c>
      <c r="K45" s="22" t="s">
        <v>37</v>
      </c>
      <c r="L45" s="23">
        <v>4</v>
      </c>
      <c r="M45" s="24">
        <v>30</v>
      </c>
      <c r="N45" s="24">
        <v>120</v>
      </c>
    </row>
    <row r="46" spans="3:14">
      <c r="E46" s="19">
        <v>46034</v>
      </c>
      <c r="F46" s="20">
        <v>1569702</v>
      </c>
      <c r="G46" s="21" t="s">
        <v>2</v>
      </c>
      <c r="H46" s="20" t="s">
        <v>35</v>
      </c>
      <c r="I46" s="22" t="s">
        <v>36</v>
      </c>
      <c r="J46" s="20">
        <v>20013913</v>
      </c>
      <c r="K46" s="22" t="s">
        <v>37</v>
      </c>
      <c r="L46" s="23">
        <v>3</v>
      </c>
      <c r="M46" s="24">
        <v>30</v>
      </c>
      <c r="N46" s="24">
        <v>90</v>
      </c>
    </row>
    <row r="47" spans="3:14">
      <c r="E47" s="19">
        <v>46043</v>
      </c>
      <c r="F47" s="20">
        <v>1572403</v>
      </c>
      <c r="G47" s="21" t="s">
        <v>2</v>
      </c>
      <c r="H47" s="20" t="s">
        <v>35</v>
      </c>
      <c r="I47" s="22" t="s">
        <v>36</v>
      </c>
      <c r="J47" s="20">
        <v>20013913</v>
      </c>
      <c r="K47" s="22" t="s">
        <v>37</v>
      </c>
      <c r="L47" s="23">
        <v>5</v>
      </c>
      <c r="M47" s="24">
        <v>30</v>
      </c>
      <c r="N47" s="24">
        <v>150</v>
      </c>
    </row>
    <row r="48" hidden="1" spans="3:14">
      <c r="E48" s="14" t="s">
        <v>2</v>
      </c>
      <c r="F48" s="14" t="s">
        <v>2</v>
      </c>
      <c r="H48" s="14" t="s">
        <v>2</v>
      </c>
      <c r="I48" s="5" t="s">
        <v>2</v>
      </c>
      <c r="J48" s="14" t="s">
        <v>2</v>
      </c>
      <c r="K48" s="5" t="s">
        <v>2</v>
      </c>
      <c r="L48" s="25" t="s">
        <v>2</v>
      </c>
      <c r="M48" s="25" t="s">
        <v>2</v>
      </c>
      <c r="N48" s="25" t="s">
        <v>2</v>
      </c>
    </row>
    <row r="49" hidden="1" spans="1:14">
      <c r="C49" s="5" t="s">
        <v>2</v>
      </c>
      <c r="D49" s="5" t="s">
        <v>2</v>
      </c>
      <c r="E49" s="5" t="s">
        <v>2</v>
      </c>
      <c r="F49" s="5" t="s">
        <v>2</v>
      </c>
      <c r="H49" s="5" t="s">
        <v>2</v>
      </c>
      <c r="I49" s="5" t="s">
        <v>2</v>
      </c>
      <c r="J49" s="5" t="s">
        <v>2</v>
      </c>
      <c r="K49" s="5" t="s">
        <v>2</v>
      </c>
      <c r="L49" s="5" t="s">
        <v>2</v>
      </c>
      <c r="M49" s="5" t="s">
        <v>2</v>
      </c>
      <c r="N49" s="5" t="s">
        <v>2</v>
      </c>
    </row>
    <row r="50" hidden="1" spans="1:14">
      <c r="A50" s="5" t="s">
        <v>2</v>
      </c>
      <c r="C50" s="5" t="s">
        <v>2</v>
      </c>
      <c r="D50" s="5" t="s">
        <v>2</v>
      </c>
      <c r="E50" s="5" t="s">
        <v>2</v>
      </c>
      <c r="F50" s="5" t="s">
        <v>2</v>
      </c>
      <c r="H50" s="5" t="s">
        <v>2</v>
      </c>
      <c r="I50" s="5" t="s">
        <v>2</v>
      </c>
      <c r="J50" s="5" t="s">
        <v>2</v>
      </c>
      <c r="K50" s="5" t="s">
        <v>2</v>
      </c>
      <c r="L50" s="5" t="s">
        <v>2</v>
      </c>
      <c r="M50" s="5" t="s">
        <v>2</v>
      </c>
      <c r="N50" s="5" t="s">
        <v>2</v>
      </c>
    </row>
    <row r="55" spans="1:14">
      <c r="M55">
        <f>50*6</f>
        <v>300</v>
      </c>
    </row>
    <row r="56" spans="1:14">
      <c r="I56">
        <v>412.5</v>
      </c>
    </row>
    <row r="57" spans="1:14">
      <c r="I57">
        <v>611</v>
      </c>
    </row>
    <row r="58" spans="1:14">
      <c r="I58">
        <v>360</v>
      </c>
    </row>
  </sheetData>
  <autoFilter xmlns:etc="http://www.wps.cn/officeDocument/2017/etCustomData" ref="A12:N50" etc:filterBottomFollowUsedRange="0">
    <filterColumn colId="4">
      <colorFilter dxfId="0"/>
    </filterColumn>
    <filterColumn colId="5">
      <filters>
        <filter val="1568490"/>
        <filter val="1569701"/>
        <filter val="1572901"/>
        <filter val="1569702"/>
        <filter val="1572403"/>
        <filter val="1567808"/>
        <filter val="1573138"/>
      </filters>
    </filterColumn>
    <extLst/>
  </autoFilter>
  <mergeCells count="55">
    <mergeCell ref="A12:B12"/>
    <mergeCell ref="F12:G12"/>
    <mergeCell ref="A13:B13"/>
    <mergeCell ref="E13:J13"/>
    <mergeCell ref="E14:J14"/>
    <mergeCell ref="E15:G15"/>
    <mergeCell ref="F16:G16"/>
    <mergeCell ref="F17:G17"/>
    <mergeCell ref="F18:G18"/>
    <mergeCell ref="F19:G19"/>
    <mergeCell ref="E20:J20"/>
    <mergeCell ref="E21:G21"/>
    <mergeCell ref="F22:G22"/>
    <mergeCell ref="F23:G23"/>
    <mergeCell ref="F24:G24"/>
    <mergeCell ref="F25:G25"/>
    <mergeCell ref="F26:G26"/>
    <mergeCell ref="F27:G27"/>
    <mergeCell ref="E28:J28"/>
    <mergeCell ref="E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E43:J43"/>
    <mergeCell ref="E44:G44"/>
    <mergeCell ref="F45:G45"/>
    <mergeCell ref="F46:G46"/>
    <mergeCell ref="F47:G47"/>
    <mergeCell ref="F48:G48"/>
    <mergeCell ref="F49:G49"/>
    <mergeCell ref="A50:B50"/>
    <mergeCell ref="F50:G50"/>
    <mergeCell ref="C15:C18"/>
    <mergeCell ref="C21:C26"/>
    <mergeCell ref="C29:C41"/>
    <mergeCell ref="C44:C48"/>
    <mergeCell ref="D15:D18"/>
    <mergeCell ref="D21:D26"/>
    <mergeCell ref="D29:D41"/>
    <mergeCell ref="D44:D48"/>
    <mergeCell ref="B1:K2"/>
    <mergeCell ref="B4:K5"/>
    <mergeCell ref="A14:B49"/>
    <mergeCell ref="G8:L9"/>
    <mergeCell ref="M9:N10"/>
  </mergeCells>
  <pageMargins left="0.814959842519685" right="0.814959842519685" top="0.814959842519685" bottom="1.37675984251969" header="0.814959842519685" footer="0.814959842519685"/>
  <pageSetup paperSize="9" orientation="portrait" horizontalDpi="300" verticalDpi="300"/>
  <headerFooter alignWithMargins="0">
    <oddFooter>&amp;L&amp;"Droid Sans Fallback,Bold"&amp;9 RPTGL-0018 
&amp;"-,Regular"执行用户: 
&amp;"-,Regular"销售内勤 &amp;C&amp;"Droid Sans Fallback,Regular"&amp;9 执行时间: 
&amp;"-,Regular"2026年1月27日 10:48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DeliveryNoteSummary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2026-01-27T02:48:00Z</dcterms:created>
  <dcterms:modified xsi:type="dcterms:W3CDTF">2026-01-27T04:35:23Z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DFBDDCBA65904814A65172964717759E_13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