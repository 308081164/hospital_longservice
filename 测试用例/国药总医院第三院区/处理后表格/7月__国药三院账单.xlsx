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bookViews>
    <workbookView windowWidth="27945" windowHeight="12375"/>
  </bookViews>
  <sheets>
    <sheet name="DeliveryNoteSummaryWithDPSeleti" sheetId="1" r:id="rId1"/>
  </sheets>
  <definedNames>
    <definedName name="_xlnm._FilterDatabase" localSheetId="0" hidden="1">DeliveryNoteSummaryWithDPSeleti!$A$8:$N$39</definedName>
    <definedName name="_xlnm.Print_Titles" localSheetId="0">DeliveryNoteSummaryWithDPSeleti!$1:$6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<sst xmlns="http://schemas.openxmlformats.org/spreadsheetml/2006/main" count="210" uniqueCount="43">
  <si>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</si>
  <si>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2026/7/25</t>
    </r>
  </si>
  <si>
    <t/>
  </si>
  <si>
    <t>发货日期</t>
  </si>
  <si>
    <t>发货单号</t>
  </si>
  <si>
    <t>基本类型</t>
  </si>
  <si>
    <t>类型</t>
  </si>
  <si>
    <t>包编号</t>
  </si>
  <si>
    <t>包名</t>
  </si>
  <si>
    <t>包装材料</t>
  </si>
  <si>
    <t>包数量</t>
  </si>
  <si>
    <t>器械数量</t>
  </si>
  <si>
    <t>单价</t>
  </si>
  <si>
    <t>合计</t>
  </si>
  <si>
    <t>哈尔滨锅炉厂医院</t>
  </si>
  <si>
    <t>妇科</t>
  </si>
  <si>
    <t>额外包</t>
  </si>
  <si>
    <t>额外包(纸塑袋)</t>
  </si>
  <si>
    <t>止血钳-3/W6050</t>
  </si>
  <si>
    <t xml:space="preserve">无纺布-60×60-50g. </t>
  </si>
  <si>
    <t>器械包</t>
  </si>
  <si>
    <t>器械包(ZSD)</t>
  </si>
  <si>
    <t>妇科-人流包</t>
  </si>
  <si>
    <t xml:space="preserve">无纺布-80×80-50g </t>
  </si>
  <si>
    <t>探针-1/Z7537</t>
  </si>
  <si>
    <t xml:space="preserve">高温纸塑袋75*370 </t>
  </si>
  <si>
    <t>取环包/(90布)</t>
  </si>
  <si>
    <t xml:space="preserve">无纺布-90×90-50g </t>
  </si>
  <si>
    <t>妇科-上环包</t>
  </si>
  <si>
    <t>外科</t>
  </si>
  <si>
    <t>止血钳-1/Z1029</t>
  </si>
  <si>
    <t xml:space="preserve">高温纸塑袋100*290 </t>
  </si>
  <si>
    <t>刀柄-1/Z7526</t>
  </si>
  <si>
    <t xml:space="preserve">高温纸塑袋75*260 </t>
  </si>
  <si>
    <t>内热针（长）-15/Z7526</t>
  </si>
  <si>
    <t>剪刀1持针器1弯钳1/Z1535</t>
  </si>
  <si>
    <t xml:space="preserve">高温纸塑袋150*350* </t>
  </si>
  <si>
    <t>内热针(长)-20/Z7534</t>
  </si>
  <si>
    <t xml:space="preserve">高温纸塑袋75*340 </t>
  </si>
  <si>
    <t>胃肠镜室</t>
  </si>
  <si>
    <t>敷料包</t>
  </si>
  <si>
    <t>敷料包(无纺布包)</t>
  </si>
  <si>
    <t>中单/W9050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</si>
</sst>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  <numFmt numFmtId="178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177" fontId="5" fillId="2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7" fillId="3" borderId="2" xfId="49" applyNumberFormat="1" applyFont="1" applyFill="1" applyBorder="1" applyAlignment="1">
      <alignment horizontal="center" vertical="top" wrapText="1" readingOrder="1"/>
    </xf>
    <xf numFmtId="176" fontId="7" fillId="3" borderId="2" xfId="49" applyNumberFormat="1" applyFont="1" applyFill="1" applyBorder="1" applyAlignment="1">
      <alignment horizontal="center" vertical="top" wrapText="1" readingOrder="1"/>
    </xf>
    <xf numFmtId="177" fontId="7" fillId="3" borderId="2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horizontal="left"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7" fillId="0" borderId="3" xfId="49" applyNumberFormat="1" applyFont="1" applyFill="1" applyBorder="1" applyAlignment="1">
      <alignment horizontal="center" vertical="top" wrapText="1" readingOrder="1"/>
    </xf>
    <xf numFmtId="176" fontId="7" fillId="0" borderId="3" xfId="49" applyNumberFormat="1" applyFont="1" applyFill="1" applyBorder="1" applyAlignment="1">
      <alignment horizontal="center" vertical="top" wrapText="1" readingOrder="1"/>
    </xf>
    <xf numFmtId="177" fontId="7" fillId="0" borderId="3" xfId="49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152400</xdr:colOff>
      <xdr:row>1</xdr:row>
      <xdr:rowOff>9525</xdr:rowOff>
    </xdr:from>
    <xdr:to>
      <xdr:col>11</xdr:col>
      <xdr:colOff>662388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615680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showGridLines="0" tabSelected="1" workbookViewId="0">
      <pane ySplit="6" topLeftCell="A7" activePane="bottomLeft" state="frozen"/>
      <selection/>
      <selection pane="bottomLeft" activeCell="M33" sqref="M33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23.875" customWidth="1"/>
    <col min="10" max="10" width="18" customWidth="1"/>
    <col min="11" max="11" width="10.625" customWidth="1"/>
    <col min="12" max="12" width="9.375" customWidth="1"/>
    <col min="13" max="13" width="10.4" customWidth="1"/>
    <col min="14" max="14" width="11.8416666666667" customWidth="1"/>
    <col min="15" max="15" width="0.025" customWidth="1"/>
  </cols>
  <sheetData>
    <row r="1" spans="1:17">
      <c r="B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05" customHeight="1"/>
    <row r="7" ht="1.9" customHeight="1" spans="1:17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</row>
    <row r="8" spans="1:17">
      <c r="A8" s="4" t="s">
        <v>2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5" t="s">
        <v>10</v>
      </c>
      <c r="L8" s="5" t="s">
        <v>11</v>
      </c>
      <c r="M8" s="5" t="s">
        <v>12</v>
      </c>
      <c r="N8" s="5" t="s">
        <v>13</v>
      </c>
    </row>
    <row r="9" ht="15" spans="1:17">
      <c r="A9" s="6" t="s">
        <v>2</v>
      </c>
      <c r="B9" s="7" t="s">
        <v>2</v>
      </c>
      <c r="C9" s="6" t="s">
        <v>2</v>
      </c>
      <c r="D9" s="6" t="s">
        <v>14</v>
      </c>
      <c r="E9" s="7" t="s">
        <v>2</v>
      </c>
      <c r="F9" s="7" t="s">
        <v>2</v>
      </c>
      <c r="G9" s="7" t="s">
        <v>2</v>
      </c>
      <c r="H9" s="7" t="s">
        <v>2</v>
      </c>
      <c r="I9" s="6" t="s">
        <v>2</v>
      </c>
      <c r="J9" s="6" t="s">
        <v>2</v>
      </c>
      <c r="K9" s="8">
        <v>113</v>
      </c>
      <c r="L9" s="9">
        <v>472</v>
      </c>
      <c r="M9" s="6" t="s">
        <v>2</v>
      </c>
      <c r="N9" s="10">
        <v>2398</v>
      </c>
    </row>
    <row r="10" ht="14.25" spans="1:17">
      <c r="A10" s="4" t="s">
        <v>2</v>
      </c>
      <c r="C10" s="11" t="s">
        <v>2</v>
      </c>
      <c r="D10" s="11" t="s">
        <v>15</v>
      </c>
      <c r="E10" s="7" t="s">
        <v>2</v>
      </c>
      <c r="F10" s="7" t="s">
        <v>2</v>
      </c>
      <c r="G10" s="7" t="s">
        <v>2</v>
      </c>
      <c r="H10" s="7" t="s">
        <v>2</v>
      </c>
      <c r="I10" s="11" t="s">
        <v>2</v>
      </c>
      <c r="J10" s="11" t="s">
        <v>2</v>
      </c>
      <c r="K10" s="12">
        <v>16</v>
      </c>
      <c r="L10" s="13">
        <v>122</v>
      </c>
      <c r="M10" s="11" t="s">
        <v>2</v>
      </c>
      <c r="N10" s="14">
        <v>673.5</v>
      </c>
    </row>
    <row r="11" spans="1:17">
      <c r="C11" s="4" t="s">
        <v>2</v>
      </c>
      <c r="D11" s="15">
        <v>46206</v>
      </c>
      <c r="E11" s="16">
        <v>1617519</v>
      </c>
      <c r="F11" s="16" t="s">
        <v>16</v>
      </c>
      <c r="G11" s="17" t="s">
        <v>17</v>
      </c>
      <c r="H11" s="16">
        <v>20011837</v>
      </c>
      <c r="I11" s="17" t="s">
        <v>18</v>
      </c>
      <c r="J11" s="17" t="s">
        <v>19</v>
      </c>
      <c r="K11" s="18">
        <v>2</v>
      </c>
      <c r="L11" s="19">
        <v>6</v>
      </c>
      <c r="M11" s="20">
        <v>16.5</v>
      </c>
      <c r="N11" s="20">
        <v>33</v>
      </c>
    </row>
    <row r="12" spans="1:17">
      <c r="D12" s="15">
        <v>46206</v>
      </c>
      <c r="E12" s="16">
        <v>1617519</v>
      </c>
      <c r="F12" s="16" t="s">
        <v>20</v>
      </c>
      <c r="G12" s="17" t="s">
        <v>21</v>
      </c>
      <c r="H12" s="16">
        <v>20009557</v>
      </c>
      <c r="I12" s="17" t="s">
        <v>22</v>
      </c>
      <c r="J12" s="17" t="s">
        <v>23</v>
      </c>
      <c r="K12" s="18">
        <v>2</v>
      </c>
      <c r="L12" s="19">
        <v>18</v>
      </c>
      <c r="M12" s="20">
        <v>49.5</v>
      </c>
      <c r="N12" s="20">
        <v>99</v>
      </c>
      <c r="P12">
        <v>632.5</v>
      </c>
    </row>
    <row r="13" spans="1:17">
      <c r="D13" s="15">
        <v>46206</v>
      </c>
      <c r="E13" s="16">
        <v>1617519</v>
      </c>
      <c r="F13" s="16" t="s">
        <v>16</v>
      </c>
      <c r="G13" s="17" t="s">
        <v>17</v>
      </c>
      <c r="H13" s="16">
        <v>20012203</v>
      </c>
      <c r="I13" s="17" t="s">
        <v>24</v>
      </c>
      <c r="J13" s="17" t="s">
        <v>25</v>
      </c>
      <c r="K13" s="18">
        <v>1</v>
      </c>
      <c r="L13" s="19">
        <v>1</v>
      </c>
      <c r="M13" s="20">
        <v>8</v>
      </c>
      <c r="N13" s="20">
        <v>8</v>
      </c>
    </row>
    <row r="14" spans="1:17">
      <c r="D14" s="15">
        <v>46206</v>
      </c>
      <c r="E14" s="16">
        <v>1617519</v>
      </c>
      <c r="F14" s="16" t="s">
        <v>20</v>
      </c>
      <c r="G14" s="17" t="s">
        <v>21</v>
      </c>
      <c r="H14" s="16">
        <v>20013262</v>
      </c>
      <c r="I14" s="17" t="s">
        <v>26</v>
      </c>
      <c r="J14" s="17" t="s">
        <v>27</v>
      </c>
      <c r="K14" s="18">
        <v>9</v>
      </c>
      <c r="L14" s="19">
        <v>81</v>
      </c>
      <c r="M14" s="20">
        <v>49.5</v>
      </c>
      <c r="N14" s="20">
        <v>445.5</v>
      </c>
      <c r="P14">
        <f>P12/5.5</f>
        <v>115</v>
      </c>
      <c r="Q14">
        <f>P14-105</f>
        <v>10</v>
      </c>
    </row>
    <row r="15" spans="1:17">
      <c r="D15" s="15">
        <v>46206</v>
      </c>
      <c r="E15" s="16">
        <v>1617519</v>
      </c>
      <c r="F15" s="16" t="s">
        <v>20</v>
      </c>
      <c r="G15" s="17" t="s">
        <v>21</v>
      </c>
      <c r="H15" s="16">
        <v>20013263</v>
      </c>
      <c r="I15" s="17" t="s">
        <v>28</v>
      </c>
      <c r="J15" s="17" t="s">
        <v>27</v>
      </c>
      <c r="K15" s="18">
        <v>2</v>
      </c>
      <c r="L15" s="19">
        <v>16</v>
      </c>
      <c r="M15" s="20">
        <v>44</v>
      </c>
      <c r="N15" s="20">
        <v>88</v>
      </c>
      <c r="P15">
        <f>105/15</f>
        <v>7</v>
      </c>
      <c r="Q15">
        <f>P15*10+10</f>
        <v>80</v>
      </c>
    </row>
    <row r="16" spans="1:17"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2</v>
      </c>
      <c r="I16" s="4" t="s">
        <v>2</v>
      </c>
      <c r="J16" s="4" t="s">
        <v>2</v>
      </c>
      <c r="K16" s="4" t="s">
        <v>2</v>
      </c>
      <c r="L16" s="4" t="s">
        <v>2</v>
      </c>
      <c r="M16" s="4" t="s">
        <v>2</v>
      </c>
      <c r="N16" s="4" t="s">
        <v>2</v>
      </c>
    </row>
    <row r="17" ht="14.25" spans="3:14">
      <c r="C17" s="11" t="s">
        <v>2</v>
      </c>
      <c r="D17" s="11" t="s">
        <v>29</v>
      </c>
      <c r="E17" s="7" t="s">
        <v>2</v>
      </c>
      <c r="F17" s="7" t="s">
        <v>2</v>
      </c>
      <c r="G17" s="7" t="s">
        <v>2</v>
      </c>
      <c r="H17" s="7" t="s">
        <v>2</v>
      </c>
      <c r="I17" s="11" t="s">
        <v>2</v>
      </c>
      <c r="J17" s="11" t="s">
        <v>2</v>
      </c>
      <c r="K17" s="12">
        <v>77</v>
      </c>
      <c r="L17" s="13">
        <v>350</v>
      </c>
      <c r="M17" s="11" t="s">
        <v>2</v>
      </c>
      <c r="N17" s="14">
        <v>1124.5</v>
      </c>
    </row>
    <row r="18" spans="3:14">
      <c r="C18" s="4" t="s">
        <v>2</v>
      </c>
      <c r="D18" s="15">
        <v>46199</v>
      </c>
      <c r="E18" s="16">
        <v>1615481</v>
      </c>
      <c r="F18" s="16" t="s">
        <v>16</v>
      </c>
      <c r="G18" s="17" t="s">
        <v>17</v>
      </c>
      <c r="H18" s="16">
        <v>20012004</v>
      </c>
      <c r="I18" s="17" t="s">
        <v>30</v>
      </c>
      <c r="J18" s="17" t="s">
        <v>31</v>
      </c>
      <c r="K18" s="18">
        <v>1</v>
      </c>
      <c r="L18" s="19">
        <v>1</v>
      </c>
      <c r="M18" s="20">
        <v>8</v>
      </c>
      <c r="N18" s="20">
        <v>8</v>
      </c>
    </row>
    <row r="19" spans="3:14">
      <c r="D19" s="15">
        <v>46199</v>
      </c>
      <c r="E19" s="16">
        <v>1615481</v>
      </c>
      <c r="F19" s="16" t="s">
        <v>16</v>
      </c>
      <c r="G19" s="17" t="s">
        <v>17</v>
      </c>
      <c r="H19" s="16">
        <v>20012092</v>
      </c>
      <c r="I19" s="17" t="s">
        <v>32</v>
      </c>
      <c r="J19" s="17" t="s">
        <v>33</v>
      </c>
      <c r="K19" s="18">
        <v>4</v>
      </c>
      <c r="L19" s="19">
        <v>4</v>
      </c>
      <c r="M19" s="20">
        <v>8</v>
      </c>
      <c r="N19" s="20">
        <v>32</v>
      </c>
    </row>
    <row r="20" spans="3:14">
      <c r="D20" s="15">
        <v>46199</v>
      </c>
      <c r="E20" s="16">
        <v>1615481</v>
      </c>
      <c r="F20" s="16" t="s">
        <v>16</v>
      </c>
      <c r="G20" s="17" t="s">
        <v>17</v>
      </c>
      <c r="H20" s="16">
        <v>20316641</v>
      </c>
      <c r="I20" s="17" t="s">
        <v>34</v>
      </c>
      <c r="J20" s="17" t="s">
        <v>33</v>
      </c>
      <c r="K20" s="18">
        <v>1</v>
      </c>
      <c r="L20" s="19">
        <v>15</v>
      </c>
      <c r="M20" s="20">
        <v>16.5</v>
      </c>
      <c r="N20" s="20">
        <v>16.5</v>
      </c>
    </row>
    <row r="21" spans="3:14">
      <c r="D21" s="15">
        <v>46199</v>
      </c>
      <c r="E21" s="16">
        <v>1615481</v>
      </c>
      <c r="F21" s="16" t="s">
        <v>16</v>
      </c>
      <c r="G21" s="17" t="s">
        <v>17</v>
      </c>
      <c r="H21" s="16">
        <v>20371398</v>
      </c>
      <c r="I21" s="17" t="s">
        <v>35</v>
      </c>
      <c r="J21" s="17" t="s">
        <v>36</v>
      </c>
      <c r="K21" s="18">
        <v>14</v>
      </c>
      <c r="L21" s="19">
        <v>42</v>
      </c>
      <c r="M21" s="20">
        <v>16.5</v>
      </c>
      <c r="N21" s="20">
        <v>231</v>
      </c>
    </row>
    <row r="22" spans="3:14">
      <c r="D22" s="15">
        <v>46199</v>
      </c>
      <c r="E22" s="16">
        <v>1615481</v>
      </c>
      <c r="F22" s="16" t="s">
        <v>16</v>
      </c>
      <c r="G22" s="17" t="s">
        <v>17</v>
      </c>
      <c r="H22" s="16">
        <v>20012005</v>
      </c>
      <c r="I22" s="17" t="s">
        <v>37</v>
      </c>
      <c r="J22" s="17" t="s">
        <v>38</v>
      </c>
      <c r="K22" s="18">
        <v>1</v>
      </c>
      <c r="L22" s="19">
        <v>20</v>
      </c>
      <c r="M22" s="20">
        <v>22</v>
      </c>
      <c r="N22" s="20">
        <v>22</v>
      </c>
    </row>
    <row r="23" spans="3:14">
      <c r="D23" s="15">
        <v>46211</v>
      </c>
      <c r="E23" s="16">
        <v>1618716</v>
      </c>
      <c r="F23" s="16" t="s">
        <v>16</v>
      </c>
      <c r="G23" s="17" t="s">
        <v>17</v>
      </c>
      <c r="H23" s="16">
        <v>20012004</v>
      </c>
      <c r="I23" s="17" t="s">
        <v>30</v>
      </c>
      <c r="J23" s="17" t="s">
        <v>31</v>
      </c>
      <c r="K23" s="18">
        <v>4</v>
      </c>
      <c r="L23" s="19">
        <v>4</v>
      </c>
      <c r="M23" s="20">
        <v>8</v>
      </c>
      <c r="N23" s="20">
        <v>32</v>
      </c>
    </row>
    <row r="24" spans="3:14">
      <c r="D24" s="15">
        <v>46211</v>
      </c>
      <c r="E24" s="16">
        <v>1618716</v>
      </c>
      <c r="F24" s="16" t="s">
        <v>16</v>
      </c>
      <c r="G24" s="17" t="s">
        <v>17</v>
      </c>
      <c r="H24" s="16">
        <v>20012092</v>
      </c>
      <c r="I24" s="17" t="s">
        <v>32</v>
      </c>
      <c r="J24" s="17" t="s">
        <v>33</v>
      </c>
      <c r="K24" s="18">
        <v>5</v>
      </c>
      <c r="L24" s="19">
        <v>5</v>
      </c>
      <c r="M24" s="20">
        <v>8</v>
      </c>
      <c r="N24" s="20">
        <v>40</v>
      </c>
    </row>
    <row r="25" spans="3:14">
      <c r="D25" s="15">
        <v>46211</v>
      </c>
      <c r="E25" s="16">
        <v>1618716</v>
      </c>
      <c r="F25" s="16" t="s">
        <v>16</v>
      </c>
      <c r="G25" s="17" t="s">
        <v>17</v>
      </c>
      <c r="H25" s="16">
        <v>20371398</v>
      </c>
      <c r="I25" s="17" t="s">
        <v>35</v>
      </c>
      <c r="J25" s="17" t="s">
        <v>36</v>
      </c>
      <c r="K25" s="18">
        <v>15</v>
      </c>
      <c r="L25" s="19">
        <v>45</v>
      </c>
      <c r="M25" s="20">
        <v>16.5</v>
      </c>
      <c r="N25" s="20">
        <v>247.5</v>
      </c>
    </row>
    <row r="26" spans="3:14">
      <c r="D26" s="15">
        <v>46211</v>
      </c>
      <c r="E26" s="16">
        <v>1618716</v>
      </c>
      <c r="F26" s="16" t="s">
        <v>16</v>
      </c>
      <c r="G26" s="17" t="s">
        <v>17</v>
      </c>
      <c r="H26" s="16">
        <v>20012005</v>
      </c>
      <c r="I26" s="17" t="s">
        <v>37</v>
      </c>
      <c r="J26" s="17" t="s">
        <v>38</v>
      </c>
      <c r="K26" s="18">
        <v>3</v>
      </c>
      <c r="L26" s="19">
        <v>60</v>
      </c>
      <c r="M26" s="20">
        <v>22</v>
      </c>
      <c r="N26" s="20">
        <v>66</v>
      </c>
    </row>
    <row r="27" spans="3:14">
      <c r="D27" s="15">
        <v>46225</v>
      </c>
      <c r="E27" s="16">
        <v>1622751</v>
      </c>
      <c r="F27" s="16" t="s">
        <v>16</v>
      </c>
      <c r="G27" s="17" t="s">
        <v>17</v>
      </c>
      <c r="H27" s="16">
        <v>20012004</v>
      </c>
      <c r="I27" s="17" t="s">
        <v>30</v>
      </c>
      <c r="J27" s="17" t="s">
        <v>31</v>
      </c>
      <c r="K27" s="18">
        <v>7</v>
      </c>
      <c r="L27" s="19">
        <v>7</v>
      </c>
      <c r="M27" s="20">
        <v>8</v>
      </c>
      <c r="N27" s="20">
        <v>56</v>
      </c>
    </row>
    <row r="28" spans="3:14">
      <c r="D28" s="15">
        <v>46225</v>
      </c>
      <c r="E28" s="16">
        <v>1622751</v>
      </c>
      <c r="F28" s="16" t="s">
        <v>16</v>
      </c>
      <c r="G28" s="17" t="s">
        <v>17</v>
      </c>
      <c r="H28" s="16">
        <v>20012092</v>
      </c>
      <c r="I28" s="17" t="s">
        <v>32</v>
      </c>
      <c r="J28" s="17" t="s">
        <v>33</v>
      </c>
      <c r="K28" s="18">
        <v>2</v>
      </c>
      <c r="L28" s="19">
        <v>2</v>
      </c>
      <c r="M28" s="20">
        <v>8</v>
      </c>
      <c r="N28" s="20">
        <v>16</v>
      </c>
    </row>
    <row r="29" spans="3:14">
      <c r="D29" s="15">
        <v>46225</v>
      </c>
      <c r="E29" s="16">
        <v>1622751</v>
      </c>
      <c r="F29" s="16" t="s">
        <v>16</v>
      </c>
      <c r="G29" s="17" t="s">
        <v>17</v>
      </c>
      <c r="H29" s="16">
        <v>20371398</v>
      </c>
      <c r="I29" s="17" t="s">
        <v>35</v>
      </c>
      <c r="J29" s="17" t="s">
        <v>36</v>
      </c>
      <c r="K29" s="18">
        <v>15</v>
      </c>
      <c r="L29" s="19">
        <v>45</v>
      </c>
      <c r="M29" s="20">
        <v>16.5</v>
      </c>
      <c r="N29" s="20">
        <v>247.5</v>
      </c>
    </row>
    <row r="30" spans="3:14">
      <c r="D30" s="15">
        <v>46225</v>
      </c>
      <c r="E30" s="16">
        <v>1622751</v>
      </c>
      <c r="F30" s="16" t="s">
        <v>16</v>
      </c>
      <c r="G30" s="17" t="s">
        <v>17</v>
      </c>
      <c r="H30" s="16">
        <v>20012005</v>
      </c>
      <c r="I30" s="17" t="s">
        <v>37</v>
      </c>
      <c r="J30" s="17" t="s">
        <v>38</v>
      </c>
      <c r="K30" s="18">
        <v>5</v>
      </c>
      <c r="L30" s="19">
        <v>100</v>
      </c>
      <c r="M30" s="20">
        <v>22</v>
      </c>
      <c r="N30" s="20">
        <v>110</v>
      </c>
    </row>
    <row r="31" spans="3:14">
      <c r="C31" s="4" t="s">
        <v>2</v>
      </c>
      <c r="D31" s="4" t="s">
        <v>2</v>
      </c>
      <c r="E31" s="4" t="s">
        <v>2</v>
      </c>
      <c r="F31" s="4" t="s">
        <v>2</v>
      </c>
      <c r="G31" s="4" t="s">
        <v>2</v>
      </c>
      <c r="H31" s="4" t="s">
        <v>2</v>
      </c>
      <c r="I31" s="4" t="s">
        <v>2</v>
      </c>
      <c r="J31" s="4" t="s">
        <v>2</v>
      </c>
      <c r="K31" s="4" t="s">
        <v>2</v>
      </c>
      <c r="L31" s="4" t="s">
        <v>2</v>
      </c>
      <c r="M31" s="4" t="s">
        <v>2</v>
      </c>
      <c r="N31" s="4" t="s">
        <v>2</v>
      </c>
    </row>
    <row r="32" ht="14.25" spans="3:14">
      <c r="C32" s="11" t="s">
        <v>2</v>
      </c>
      <c r="D32" s="11" t="s">
        <v>39</v>
      </c>
      <c r="E32" s="7" t="s">
        <v>2</v>
      </c>
      <c r="F32" s="7" t="s">
        <v>2</v>
      </c>
      <c r="G32" s="7" t="s">
        <v>2</v>
      </c>
      <c r="H32" s="7" t="s">
        <v>2</v>
      </c>
      <c r="I32" s="11" t="s">
        <v>2</v>
      </c>
      <c r="J32" s="11" t="s">
        <v>2</v>
      </c>
      <c r="K32" s="12">
        <v>20</v>
      </c>
      <c r="L32" s="13">
        <v>0</v>
      </c>
      <c r="M32" s="11" t="s">
        <v>2</v>
      </c>
      <c r="N32" s="14">
        <v>600</v>
      </c>
    </row>
    <row r="33" spans="1:17">
      <c r="C33" s="4" t="s">
        <v>2</v>
      </c>
      <c r="D33" s="15">
        <v>46199</v>
      </c>
      <c r="E33" s="16">
        <v>1615482</v>
      </c>
      <c r="F33" s="16" t="s">
        <v>40</v>
      </c>
      <c r="G33" s="17" t="s">
        <v>41</v>
      </c>
      <c r="H33" s="16">
        <v>20013913</v>
      </c>
      <c r="I33" s="17" t="s">
        <v>42</v>
      </c>
      <c r="J33" s="17" t="s">
        <v>27</v>
      </c>
      <c r="K33" s="18">
        <v>5</v>
      </c>
      <c r="L33" s="19">
        <v>0</v>
      </c>
      <c r="M33" s="20">
        <v>30</v>
      </c>
      <c r="N33" s="20">
        <v>150</v>
      </c>
    </row>
    <row r="34" spans="1:17">
      <c r="D34" s="15">
        <v>46206</v>
      </c>
      <c r="E34" s="16">
        <v>1617469</v>
      </c>
      <c r="F34" s="16" t="s">
        <v>40</v>
      </c>
      <c r="G34" s="17" t="s">
        <v>41</v>
      </c>
      <c r="H34" s="16">
        <v>20013913</v>
      </c>
      <c r="I34" s="17" t="s">
        <v>42</v>
      </c>
      <c r="J34" s="17" t="s">
        <v>27</v>
      </c>
      <c r="K34" s="18">
        <v>4</v>
      </c>
      <c r="L34" s="19">
        <v>0</v>
      </c>
      <c r="M34" s="20">
        <v>30</v>
      </c>
      <c r="N34" s="20">
        <v>120</v>
      </c>
    </row>
    <row r="35" spans="1:17">
      <c r="D35" s="15">
        <v>46213</v>
      </c>
      <c r="E35" s="16">
        <v>1619460</v>
      </c>
      <c r="F35" s="16" t="s">
        <v>40</v>
      </c>
      <c r="G35" s="17" t="s">
        <v>41</v>
      </c>
      <c r="H35" s="16">
        <v>20013913</v>
      </c>
      <c r="I35" s="17" t="s">
        <v>42</v>
      </c>
      <c r="J35" s="17" t="s">
        <v>27</v>
      </c>
      <c r="K35" s="18">
        <v>3</v>
      </c>
      <c r="L35" s="19">
        <v>0</v>
      </c>
      <c r="M35" s="20">
        <v>30</v>
      </c>
      <c r="N35" s="20">
        <v>90</v>
      </c>
    </row>
    <row r="36" spans="1:17">
      <c r="D36" s="15">
        <v>46220</v>
      </c>
      <c r="E36" s="16">
        <v>1621450</v>
      </c>
      <c r="F36" s="16" t="s">
        <v>40</v>
      </c>
      <c r="G36" s="17" t="s">
        <v>41</v>
      </c>
      <c r="H36" s="16">
        <v>20013913</v>
      </c>
      <c r="I36" s="17" t="s">
        <v>42</v>
      </c>
      <c r="J36" s="17" t="s">
        <v>27</v>
      </c>
      <c r="K36" s="18">
        <v>5</v>
      </c>
      <c r="L36" s="19">
        <v>0</v>
      </c>
      <c r="M36" s="20">
        <v>30</v>
      </c>
      <c r="N36" s="20">
        <v>150</v>
      </c>
    </row>
    <row r="37" spans="1:17">
      <c r="D37" s="15">
        <v>46227</v>
      </c>
      <c r="E37" s="16">
        <v>1623516</v>
      </c>
      <c r="F37" s="16" t="s">
        <v>40</v>
      </c>
      <c r="G37" s="17" t="s">
        <v>41</v>
      </c>
      <c r="H37" s="16">
        <v>20013913</v>
      </c>
      <c r="I37" s="17" t="s">
        <v>42</v>
      </c>
      <c r="J37" s="17" t="s">
        <v>27</v>
      </c>
      <c r="K37" s="18">
        <v>3</v>
      </c>
      <c r="L37" s="19">
        <v>0</v>
      </c>
      <c r="M37" s="20">
        <v>30</v>
      </c>
      <c r="N37" s="20">
        <v>90</v>
      </c>
    </row>
    <row r="38" spans="1:17">
      <c r="C38" s="4" t="s">
        <v>2</v>
      </c>
      <c r="D38" s="4" t="s">
        <v>2</v>
      </c>
      <c r="E38" s="4" t="s">
        <v>2</v>
      </c>
      <c r="F38" s="4" t="s">
        <v>2</v>
      </c>
      <c r="G38" s="4" t="s">
        <v>2</v>
      </c>
      <c r="H38" s="4" t="s">
        <v>2</v>
      </c>
      <c r="I38" s="4" t="s">
        <v>2</v>
      </c>
      <c r="J38" s="4" t="s">
        <v>2</v>
      </c>
      <c r="K38" s="4" t="s">
        <v>2</v>
      </c>
      <c r="L38" s="4" t="s">
        <v>2</v>
      </c>
      <c r="M38" s="4" t="s">
        <v>2</v>
      </c>
      <c r="N38" s="4" t="s">
        <v>2</v>
      </c>
    </row>
    <row r="39" spans="1:17">
      <c r="A39" s="4" t="s">
        <v>2</v>
      </c>
      <c r="C39" s="4" t="s">
        <v>2</v>
      </c>
      <c r="D39" s="4" t="s">
        <v>2</v>
      </c>
      <c r="E39" s="4" t="s">
        <v>2</v>
      </c>
      <c r="F39" s="4" t="s">
        <v>2</v>
      </c>
      <c r="G39" s="4" t="s">
        <v>2</v>
      </c>
      <c r="H39" s="4" t="s">
        <v>2</v>
      </c>
      <c r="I39" s="4" t="s">
        <v>2</v>
      </c>
      <c r="J39" s="4" t="s">
        <v>2</v>
      </c>
      <c r="K39" s="4" t="s">
        <v>2</v>
      </c>
      <c r="L39" s="4" t="s">
        <v>2</v>
      </c>
      <c r="M39" s="4" t="s">
        <v>2</v>
      </c>
      <c r="N39" s="4" t="s">
        <v>2</v>
      </c>
    </row>
    <row r="40" ht="0.05" customHeight="1"/>
    <row r="41" spans="1:17">
      <c r="Q41">
        <f>Q15*5.5</f>
        <v>440</v>
      </c>
    </row>
    <row r="45" spans="1:17">
      <c r="F45">
        <f>7*50</f>
        <v>350</v>
      </c>
    </row>
  </sheetData>
  <autoFilter xmlns:etc="http://www.wps.cn/officeDocument/2017/etCustomData" ref="A8:N39" etc:filterBottomFollowUsedRange="0">
    <extLst/>
  </autoFilter>
  <mergeCells count="13">
    <mergeCell ref="A8:B8"/>
    <mergeCell ref="A9:B9"/>
    <mergeCell ref="D9:H9"/>
    <mergeCell ref="D10:H10"/>
    <mergeCell ref="D17:H17"/>
    <mergeCell ref="D32:H32"/>
    <mergeCell ref="A39:B39"/>
    <mergeCell ref="C11:C15"/>
    <mergeCell ref="C18:C30"/>
    <mergeCell ref="C33:C37"/>
    <mergeCell ref="B1:I2"/>
    <mergeCell ref="B4:I5"/>
    <mergeCell ref="A10:B38"/>
  </mergeCells>
  <pageMargins left="0.814959842519685" right="0.814959842519685" top="0.814959842519685" bottom="1.37675984251969" header="0.814959842519685" footer="0.814959842519685"/>
  <pageSetup paperSize="9" orientation="portrait" horizontalDpi="300" verticalDpi="300"/>
  <headerFooter alignWithMargins="0">
    <oddFooter>&amp;L&amp;"Droid Sans Fallback,Bold"&amp;9 RPTGL-0018D 
&amp;"-,Regular"执行用户: 
&amp;"-,Regular"销售内勤 
&amp;"-,Regular"执行时间: &amp;C&amp;"Droid Sans Fallback,Regular"&amp;9 2026年7月31日 8:41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DeliveryNoteSummaryWithDPSeleti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2026-07-31T00:41:00Z</dcterms:created>
  <dcterms:modified xsi:type="dcterms:W3CDTF">2026-08-13T08:52:27Z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018B143264DB43E0A4817C5E85D03920_13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