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妇科" sheetId="1" r:id="rId1"/>
    <sheet name="外科" sheetId="2" r:id="rId2"/>
    <sheet name="胃肠镜室" sheetId="3" r:id="rId3"/>
  </sheets>
  <definedNames>
    <definedName name="_xlnm._FilterDatabase" localSheetId="0" hidden="1">妇科!$A$9:$K$16</definedName>
    <definedName name="_xlnm._FilterDatabase" localSheetId="1" hidden="1">外科!$A$7:$K$20</definedName>
    <definedName name="_xlnm.Print_Titles" localSheetId="0">妇科!$1:$6</definedName>
    <definedName name="_xlnm.Print_Titles" localSheetId="1">外科!$1:$6</definedName>
    <definedName name="_xlnm.Print_Titles" localSheetId="2">胃肠镜室!$1:$6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<sst xmlns="http://schemas.openxmlformats.org/spreadsheetml/2006/main" count="110" uniqueCount="31">
  <si>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</si>
  <si>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</si>
  <si>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</si>
  <si>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国药总医院第三院区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</si>
  <si>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</si>
  <si>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</si>
  <si>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</si>
  <si>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</si>
  <si>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</si>
  <si>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</si>
  <si>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</si>
  <si>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</si>
  <si>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</si>
  <si>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</si>
  <si>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活检钳-1/Z2032</t>
  </si>
  <si>
    <t>止血钳-3/W6050</t>
  </si>
  <si>
    <t>器械包(ZSD)</t>
  </si>
  <si>
    <t>妇科-人流包</t>
  </si>
  <si>
    <t>妇科-上环包</t>
  </si>
  <si>
    <t>取环包/(90布)</t>
  </si>
  <si>
    <t>外科</t>
  </si>
  <si>
    <t>刀柄-1/Z7526</t>
  </si>
  <si>
    <t>剪刀1持针器1弯钳1/Z1535</t>
  </si>
  <si>
    <t>内热针（长）-15/Z7526</t>
  </si>
  <si>
    <t>内热针(长)-20/Z7534</t>
  </si>
  <si>
    <t>内热针(中)-15/Z7526</t>
  </si>
  <si>
    <t>止血钳-1/Z1029</t>
  </si>
  <si>
    <t>组织钳(艾利斯)-1/Z1026</t>
  </si>
  <si>
    <t>胃肠镜室</t>
  </si>
  <si>
    <t>敷料包(无纺布包)</t>
  </si>
  <si>
    <t>中单/W9050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</si>
</sst>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9525</xdr:rowOff>
    </xdr:from>
    <xdr:to>
      <xdr:col>9</xdr:col>
      <xdr:colOff>833203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351790</xdr:colOff>
      <xdr:row>1</xdr:row>
      <xdr:rowOff>28575</xdr:rowOff>
    </xdr:from>
    <xdr:to>
      <xdr:col>9</xdr:col>
      <xdr:colOff>861778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445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57150</xdr:rowOff>
    </xdr:from>
    <xdr:to>
      <xdr:col>9</xdr:col>
      <xdr:colOff>785578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4" sqref="L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14</v>
      </c>
      <c r="J10" s="10"/>
      <c r="K10" s="10">
        <v>607</v>
      </c>
    </row>
    <row r="11" spans="2:12">
      <c r="D11" s="11">
        <v>46157</v>
      </c>
      <c r="E11" s="12">
        <v>1603537</v>
      </c>
      <c r="F11" s="12" t="s">
        <v>13</v>
      </c>
      <c r="G11" s="13">
        <v>20012202</v>
      </c>
      <c r="H11" s="12" t="s">
        <v>14</v>
      </c>
      <c r="I11" s="13">
        <v>1</v>
      </c>
      <c r="J11" s="14">
        <v>13</v>
      </c>
      <c r="K11" s="14">
        <v>13</v>
      </c>
      <c r="L11">
        <f>577.5/5.5</f>
        <v>105</v>
      </c>
    </row>
    <row r="12" spans="2:12">
      <c r="D12" s="11">
        <v>46157</v>
      </c>
      <c r="E12" s="12">
        <v>1603537</v>
      </c>
      <c r="F12" s="12" t="s">
        <v>13</v>
      </c>
      <c r="G12" s="13">
        <v>20011837</v>
      </c>
      <c r="H12" s="12" t="s">
        <v>15</v>
      </c>
      <c r="I12" s="13">
        <v>1</v>
      </c>
      <c r="J12" s="14">
        <v>16.5</v>
      </c>
      <c r="K12" s="14">
        <v>16.5</v>
      </c>
      <c r="L12">
        <f>105/15*10</f>
        <v>70</v>
      </c>
    </row>
    <row r="13" spans="2:12">
      <c r="D13" s="11">
        <v>46157</v>
      </c>
      <c r="E13" s="12">
        <v>1603537</v>
      </c>
      <c r="F13" s="12" t="s">
        <v>16</v>
      </c>
      <c r="G13" s="13">
        <v>20009557</v>
      </c>
      <c r="H13" s="12" t="s">
        <v>17</v>
      </c>
      <c r="I13" s="13">
        <v>3</v>
      </c>
      <c r="J13" s="14">
        <v>49.5</v>
      </c>
      <c r="K13" s="14">
        <v>148.5</v>
      </c>
      <c r="L13">
        <f>70*5.5</f>
        <v>385</v>
      </c>
    </row>
    <row r="14" spans="2:12">
      <c r="D14" s="11">
        <v>46157</v>
      </c>
      <c r="E14" s="12">
        <v>1603537</v>
      </c>
      <c r="F14" s="12" t="s">
        <v>16</v>
      </c>
      <c r="G14" s="13">
        <v>20013263</v>
      </c>
      <c r="H14" s="12" t="s">
        <v>18</v>
      </c>
      <c r="I14" s="13">
        <v>3</v>
      </c>
      <c r="J14" s="14">
        <v>44</v>
      </c>
      <c r="K14" s="14">
        <v>132</v>
      </c>
    </row>
    <row r="15" spans="2:12">
      <c r="D15" s="11">
        <v>46157</v>
      </c>
      <c r="E15" s="12">
        <v>1603537</v>
      </c>
      <c r="F15" s="12" t="s">
        <v>16</v>
      </c>
      <c r="G15" s="13">
        <v>20013262</v>
      </c>
      <c r="H15" s="12" t="s">
        <v>19</v>
      </c>
      <c r="I15" s="13">
        <v>5</v>
      </c>
      <c r="J15" s="14">
        <v>49.5</v>
      </c>
      <c r="K15" s="14">
        <v>247.5</v>
      </c>
    </row>
    <row r="16" spans="2:12">
      <c r="D16" s="11">
        <v>46157</v>
      </c>
      <c r="E16" s="12">
        <v>1603575</v>
      </c>
      <c r="F16" s="12" t="s">
        <v>16</v>
      </c>
      <c r="G16" s="13">
        <v>20013262</v>
      </c>
      <c r="H16" s="12" t="s">
        <v>19</v>
      </c>
      <c r="I16" s="13">
        <v>1</v>
      </c>
      <c r="J16" s="14">
        <v>49.5</v>
      </c>
      <c r="K16" s="14">
        <v>49.5</v>
      </c>
    </row>
    <row r="17" ht="0.05" customHeight="1"/>
  </sheetData>
  <autoFilter xmlns:etc="http://www.wps.cn/officeDocument/2017/etCustomData" ref="A9:K16" etc:filterBottomFollowUsedRange="0">
    <extLst/>
  </autoFilter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9:59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view="pageBreakPreview" zoomScaleNormal="100" workbookViewId="0">
      <pane ySplit="6" topLeftCell="A7" activePane="bottomLeft" state="frozen"/>
      <selection/>
      <selection pane="bottomLeft" activeCell="M17" sqref="M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3">
      <c r="D8" s="7" t="s">
        <v>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44</v>
      </c>
      <c r="J8" s="10"/>
      <c r="K8" s="10">
        <v>693.5</v>
      </c>
    </row>
    <row r="9" spans="1:13">
      <c r="D9" s="11">
        <v>46150</v>
      </c>
      <c r="E9" s="12">
        <v>1601304</v>
      </c>
      <c r="F9" s="12" t="s">
        <v>13</v>
      </c>
      <c r="G9" s="13">
        <v>20012092</v>
      </c>
      <c r="H9" s="12" t="s">
        <v>21</v>
      </c>
      <c r="I9" s="13">
        <v>1</v>
      </c>
      <c r="J9" s="14">
        <v>8</v>
      </c>
      <c r="K9" s="14">
        <v>8</v>
      </c>
    </row>
    <row r="10" spans="1:13">
      <c r="D10" s="11">
        <v>46150</v>
      </c>
      <c r="E10" s="12">
        <v>1601304</v>
      </c>
      <c r="F10" s="12" t="s">
        <v>13</v>
      </c>
      <c r="G10" s="13">
        <v>20371398</v>
      </c>
      <c r="H10" s="12" t="s">
        <v>22</v>
      </c>
      <c r="I10" s="13">
        <v>10</v>
      </c>
      <c r="J10" s="14">
        <v>16.5</v>
      </c>
      <c r="K10" s="14">
        <v>165</v>
      </c>
    </row>
    <row r="11" spans="1:13">
      <c r="D11" s="11">
        <v>46150</v>
      </c>
      <c r="E11" s="12">
        <v>1601304</v>
      </c>
      <c r="F11" s="12" t="s">
        <v>13</v>
      </c>
      <c r="G11" s="13">
        <v>20316641</v>
      </c>
      <c r="H11" s="12" t="s">
        <v>23</v>
      </c>
      <c r="I11" s="13">
        <v>1</v>
      </c>
      <c r="J11" s="14">
        <v>16.5</v>
      </c>
      <c r="K11" s="14">
        <v>16.5</v>
      </c>
    </row>
    <row r="12" spans="1:13">
      <c r="D12" s="11">
        <v>46150</v>
      </c>
      <c r="E12" s="12">
        <v>1601304</v>
      </c>
      <c r="F12" s="12" t="s">
        <v>13</v>
      </c>
      <c r="G12" s="13">
        <v>20012005</v>
      </c>
      <c r="H12" s="12" t="s">
        <v>24</v>
      </c>
      <c r="I12" s="13">
        <v>5</v>
      </c>
      <c r="J12" s="14">
        <v>22</v>
      </c>
      <c r="K12" s="14">
        <v>110</v>
      </c>
    </row>
    <row r="13" spans="1:13">
      <c r="D13" s="11">
        <v>46150</v>
      </c>
      <c r="E13" s="12">
        <v>1601304</v>
      </c>
      <c r="F13" s="12" t="s">
        <v>13</v>
      </c>
      <c r="G13" s="13">
        <v>20012007</v>
      </c>
      <c r="H13" s="12" t="s">
        <v>25</v>
      </c>
      <c r="I13" s="13">
        <v>1</v>
      </c>
      <c r="J13" s="14">
        <v>16.5</v>
      </c>
      <c r="K13" s="14">
        <v>16.5</v>
      </c>
    </row>
    <row r="14" spans="1:13">
      <c r="D14" s="11">
        <v>46150</v>
      </c>
      <c r="E14" s="12">
        <v>1601304</v>
      </c>
      <c r="F14" s="12" t="s">
        <v>13</v>
      </c>
      <c r="G14" s="13">
        <v>20012004</v>
      </c>
      <c r="H14" s="12" t="s">
        <v>26</v>
      </c>
      <c r="I14" s="13">
        <v>4</v>
      </c>
      <c r="J14" s="14">
        <v>8</v>
      </c>
      <c r="K14" s="14">
        <v>32</v>
      </c>
    </row>
    <row r="15" spans="1:13">
      <c r="D15" s="11">
        <v>46150</v>
      </c>
      <c r="E15" s="12">
        <v>1601304</v>
      </c>
      <c r="F15" s="12" t="s">
        <v>13</v>
      </c>
      <c r="G15" s="13">
        <v>20009516</v>
      </c>
      <c r="H15" s="12" t="s">
        <v>27</v>
      </c>
      <c r="I15" s="13">
        <v>1</v>
      </c>
      <c r="J15" s="14">
        <v>8</v>
      </c>
      <c r="K15" s="14">
        <v>8</v>
      </c>
    </row>
    <row r="16" spans="1:13">
      <c r="D16" s="11">
        <v>46162</v>
      </c>
      <c r="E16" s="12">
        <v>1604786</v>
      </c>
      <c r="F16" s="12" t="s">
        <v>13</v>
      </c>
      <c r="G16" s="13">
        <v>20012092</v>
      </c>
      <c r="H16" s="12" t="s">
        <v>21</v>
      </c>
      <c r="I16" s="13">
        <v>3</v>
      </c>
      <c r="J16" s="14">
        <v>8</v>
      </c>
      <c r="K16" s="14">
        <v>24</v>
      </c>
      <c r="M16">
        <f>693.5+29.5</f>
        <v>723</v>
      </c>
    </row>
    <row r="17" spans="4:11">
      <c r="D17" s="11">
        <v>46162</v>
      </c>
      <c r="E17" s="12">
        <v>1604786</v>
      </c>
      <c r="F17" s="12" t="s">
        <v>13</v>
      </c>
      <c r="G17" s="13">
        <v>20371398</v>
      </c>
      <c r="H17" s="12" t="s">
        <v>22</v>
      </c>
      <c r="I17" s="13">
        <v>13</v>
      </c>
      <c r="J17" s="14">
        <v>16.5</v>
      </c>
      <c r="K17" s="14">
        <v>214.5</v>
      </c>
    </row>
    <row r="18" spans="4:11">
      <c r="D18" s="11">
        <v>46162</v>
      </c>
      <c r="E18" s="12">
        <v>1604786</v>
      </c>
      <c r="F18" s="12" t="s">
        <v>13</v>
      </c>
      <c r="G18" s="13">
        <v>20316641</v>
      </c>
      <c r="H18" s="12" t="s">
        <v>23</v>
      </c>
      <c r="I18" s="13">
        <v>1</v>
      </c>
      <c r="J18" s="14">
        <v>16.5</v>
      </c>
      <c r="K18" s="14">
        <v>16.5</v>
      </c>
    </row>
    <row r="19" spans="4:11">
      <c r="D19" s="11">
        <v>46162</v>
      </c>
      <c r="E19" s="12">
        <v>1604786</v>
      </c>
      <c r="F19" s="12" t="s">
        <v>13</v>
      </c>
      <c r="G19" s="13">
        <v>20012005</v>
      </c>
      <c r="H19" s="12" t="s">
        <v>24</v>
      </c>
      <c r="I19" s="13">
        <v>3</v>
      </c>
      <c r="J19" s="14">
        <v>22</v>
      </c>
      <c r="K19" s="14">
        <v>66</v>
      </c>
    </row>
    <row r="20" spans="4:11">
      <c r="D20" s="11">
        <v>46162</v>
      </c>
      <c r="E20" s="12">
        <v>1604786</v>
      </c>
      <c r="F20" s="12" t="s">
        <v>13</v>
      </c>
      <c r="G20" s="13">
        <v>20012007</v>
      </c>
      <c r="H20" s="12" t="s">
        <v>25</v>
      </c>
      <c r="I20" s="13">
        <v>1</v>
      </c>
      <c r="J20" s="14">
        <v>16.5</v>
      </c>
      <c r="K20" s="14">
        <v>16.5</v>
      </c>
    </row>
    <row r="21" ht="0.05" customHeight="1"/>
  </sheetData>
  <autoFilter xmlns:etc="http://www.wps.cn/officeDocument/2017/etCustomData" ref="A7:K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9:59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O15" sqref="O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16</v>
      </c>
      <c r="J8" s="10"/>
      <c r="K8" s="10">
        <v>480</v>
      </c>
    </row>
    <row r="9" spans="1:11">
      <c r="D9" s="11">
        <v>46150</v>
      </c>
      <c r="E9" s="12">
        <v>1601308</v>
      </c>
      <c r="F9" s="12" t="s">
        <v>29</v>
      </c>
      <c r="G9" s="13">
        <v>20013913</v>
      </c>
      <c r="H9" s="12" t="s">
        <v>30</v>
      </c>
      <c r="I9" s="13">
        <v>6</v>
      </c>
      <c r="J9" s="14">
        <v>30</v>
      </c>
      <c r="K9" s="14">
        <v>180</v>
      </c>
    </row>
    <row r="10" spans="1:11">
      <c r="D10" s="11">
        <v>46157</v>
      </c>
      <c r="E10" s="12">
        <v>1603564</v>
      </c>
      <c r="F10" s="12" t="s">
        <v>29</v>
      </c>
      <c r="G10" s="13">
        <v>20013913</v>
      </c>
      <c r="H10" s="12" t="s">
        <v>30</v>
      </c>
      <c r="I10" s="13">
        <v>6</v>
      </c>
      <c r="J10" s="14">
        <v>30</v>
      </c>
      <c r="K10" s="14">
        <v>180</v>
      </c>
    </row>
    <row r="11" spans="1:11">
      <c r="D11" s="11">
        <v>46164</v>
      </c>
      <c r="E11" s="12">
        <v>1605617</v>
      </c>
      <c r="F11" s="12" t="s">
        <v>29</v>
      </c>
      <c r="G11" s="13">
        <v>20013913</v>
      </c>
      <c r="H11" s="12" t="s">
        <v>30</v>
      </c>
      <c r="I11" s="13">
        <v>4</v>
      </c>
      <c r="J11" s="14">
        <v>30</v>
      </c>
      <c r="K11" s="14">
        <v>120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&amp;"-,Regular"2026年5月26日 9:59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妇科</vt:lpstr>
      <vt:lpstr>外科</vt:lpstr>
      <vt:lpstr>胃肠镜室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2026-05-26T02:02:00Z</dcterms:created>
  <dcterms:modified xsi:type="dcterms:W3CDTF">2026-05-27T07:40:16Z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7134E9ED81854DE5A7858E154E3F97AD_13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