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特殊收费\"/>
    </mc:Choice>
  </mc:AlternateContent>
  <bookViews>
    <workbookView windowWidth="27945" windowHeight="12375"/>
  </bookViews>
  <sheets>
    <sheet name="DeliveryNoteSummaryWithPackingM" sheetId="1" r:id="rId1"/>
  </sheets>
  <definedNames>
    <definedName name="_xlnm._FilterDatabase" localSheetId="0" hidden="1">DeliveryNoteSummaryWithPackingM!$V$1:$V$35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<sst xmlns="http://schemas.openxmlformats.org/spreadsheetml/2006/main" count="321" uniqueCount="39">
  <si>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</si>
  <si>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</si>
  <si>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</si>
  <si>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包数合计:</t>
    </r>
    <r>
      <rPr>
        <b/>
        <sz val="10"/>
        <color rgb="FF000000"/>
        <rFont val="Droid Sans Fallback"/>
        <charset val="134"/>
      </rPr>
      <t>93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</si>
  <si>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1056.500</t>
    </r>
  </si>
  <si>
    <t>发货日期</t>
  </si>
  <si>
    <t>发货单号</t>
  </si>
  <si>
    <t>基本类型</t>
  </si>
  <si>
    <t>类型</t>
  </si>
  <si>
    <t>包类别号</t>
  </si>
  <si>
    <t>包名</t>
  </si>
  <si>
    <t>包装材料</t>
  </si>
  <si>
    <t>包数</t>
  </si>
  <si>
    <r>
      <rPr>
        <sz val="10"/>
        <color rgb="FF000000"/>
        <rFont val="Droid Sans Fallback"/>
        <charset val="134"/>
      </rPr>
      <t xml:space="preserve">器械
</t>
    </r>
    <r>
      <rPr>
        <sz val="10"/>
        <color rgb="FF000000"/>
        <rFont val="Droid Sans Fallback"/>
        <charset val="134"/>
      </rPr>
      <t>数量</t>
    </r>
  </si>
  <si>
    <t>单价</t>
  </si>
  <si>
    <t>总价</t>
  </si>
  <si>
    <t>东北农业大学医院</t>
  </si>
  <si>
    <t>口腔科</t>
  </si>
  <si>
    <t>额外包</t>
  </si>
  <si>
    <t>额外包(纸塑袋)</t>
  </si>
  <si>
    <t>车针-107/z7520</t>
  </si>
  <si>
    <t xml:space="preserve">高温纸塑袋75*200 </t>
  </si>
  <si>
    <t>充填器--1/Z7530</t>
  </si>
  <si>
    <t xml:space="preserve">高温纸塑袋75*300 </t>
  </si>
  <si>
    <t>唇钩-9/Z7520</t>
  </si>
  <si>
    <t>根管锉-18/Z7526</t>
  </si>
  <si>
    <t>光敏刀-1/Z7526</t>
  </si>
  <si>
    <t xml:space="preserve">高温纸塑袋75*260 </t>
  </si>
  <si>
    <t>机锉-9/Z7520</t>
  </si>
  <si>
    <t>洁牙机手柄-2/Z1026</t>
  </si>
  <si>
    <t xml:space="preserve">高温纸塑袋100*260 </t>
  </si>
  <si>
    <t>洁牙机钥匙-2/Z1020</t>
  </si>
  <si>
    <t xml:space="preserve">高温纸塑袋100*200 </t>
  </si>
  <si>
    <t>手机-1/z7526</t>
  </si>
  <si>
    <t>挖勺-1/Z7526</t>
  </si>
  <si>
    <t>车针-76/z7520</t>
  </si>
  <si>
    <t>根管锉-13/Z7526</t>
  </si>
  <si>
    <t>洁牙机手柄-1/Z7526</t>
  </si>
  <si>
    <t>弯剪刀-1/z7520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</si>
</sst>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2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0" fontId="8" fillId="0" borderId="3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532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showGridLines="0" tabSelected="1" workbookViewId="0">
      <pane ySplit="6" topLeftCell="A7" activePane="bottomLeft" state="frozen"/>
      <selection/>
      <selection pane="bottomLeft" activeCell="Y28" sqref="Y28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11.9583333333333" customWidth="1"/>
    <col min="8" max="8" width="1.49166666666667" customWidth="1"/>
    <col min="9" max="9" width="14.5" customWidth="1"/>
    <col min="10" max="10" width="18.0833333333333" customWidth="1"/>
    <col min="11" max="11" width="0.841666666666667" customWidth="1"/>
    <col min="12" max="12" width="0.775" customWidth="1"/>
    <col min="13" max="13" width="4.86666666666667" customWidth="1"/>
    <col min="14" max="14" width="6.05" customWidth="1"/>
    <col min="15" max="15" width="10.6333333333333" customWidth="1"/>
    <col min="16" max="16" width="3.85" customWidth="1"/>
    <col min="17" max="17" width="8.00833333333333" customWidth="1"/>
    <col min="18" max="18" width="0.2" customWidth="1"/>
    <col min="19" max="19" width="0.275" customWidth="1"/>
    <col min="20" max="20" width="0.025" customWidth="1"/>
    <col min="21" max="21" width="0.133333333333333" customWidth="1"/>
    <col min="22" max="22" width="12.625"/>
  </cols>
  <sheetData>
    <row r="1" spans="1:22">
      <c r="B1" s="1" t="s">
        <v>0</v>
      </c>
    </row>
    <row r="2" ht="23.05" customHeight="1"/>
    <row r="3" ht="2" customHeight="1"/>
    <row r="4" ht="15.2" customHeight="1" spans="1:22">
      <c r="B4" s="2" t="s">
        <v>1</v>
      </c>
    </row>
    <row r="6" ht="2.05" customHeight="1"/>
    <row r="7" ht="4" customHeight="1" spans="1:2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</row>
    <row r="8" spans="1:22">
      <c r="I8" s="4" t="s">
        <v>3</v>
      </c>
    </row>
    <row r="9" spans="1:22">
      <c r="M9" s="4" t="s">
        <v>4</v>
      </c>
    </row>
    <row r="11" ht="3.6" customHeight="1"/>
    <row r="12" ht="24.75" spans="1:22">
      <c r="A12" s="5" t="s">
        <v>5</v>
      </c>
      <c r="B12" s="6" t="s">
        <v>2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7" t="s">
        <v>2</v>
      </c>
      <c r="I12" s="6" t="s">
        <v>2</v>
      </c>
      <c r="J12" s="5" t="s">
        <v>11</v>
      </c>
      <c r="K12" s="5" t="s">
        <v>12</v>
      </c>
      <c r="L12" s="7" t="s">
        <v>2</v>
      </c>
      <c r="M12" s="6" t="s">
        <v>2</v>
      </c>
      <c r="N12" s="5" t="s">
        <v>13</v>
      </c>
      <c r="O12" s="5" t="s">
        <v>14</v>
      </c>
      <c r="P12" s="5" t="s">
        <v>15</v>
      </c>
      <c r="Q12" s="7" t="s">
        <v>2</v>
      </c>
      <c r="R12" s="7" t="s">
        <v>2</v>
      </c>
      <c r="S12" s="6" t="s">
        <v>2</v>
      </c>
    </row>
    <row r="13" ht="15" spans="1:22">
      <c r="A13" s="8" t="s">
        <v>16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6" t="s">
        <v>2</v>
      </c>
      <c r="K13" s="9">
        <v>91</v>
      </c>
      <c r="L13" s="7" t="s">
        <v>2</v>
      </c>
      <c r="M13" s="6" t="s">
        <v>2</v>
      </c>
      <c r="N13" s="9">
        <v>320</v>
      </c>
      <c r="O13" s="10">
        <v>472.5</v>
      </c>
      <c r="P13" s="10">
        <v>1056.5</v>
      </c>
      <c r="Q13" s="7" t="s">
        <v>2</v>
      </c>
      <c r="R13" s="7" t="s">
        <v>2</v>
      </c>
      <c r="S13" s="6" t="s">
        <v>2</v>
      </c>
    </row>
    <row r="14" spans="1:22">
      <c r="A14" s="11" t="s">
        <v>2</v>
      </c>
      <c r="C14" s="11" t="s">
        <v>2</v>
      </c>
      <c r="D14" s="11" t="s">
        <v>2</v>
      </c>
      <c r="E14" s="11" t="s">
        <v>2</v>
      </c>
      <c r="F14" s="12" t="s">
        <v>2</v>
      </c>
      <c r="G14" s="11" t="s">
        <v>2</v>
      </c>
      <c r="J14" s="11" t="s">
        <v>2</v>
      </c>
      <c r="K14" s="11" t="s">
        <v>2</v>
      </c>
      <c r="N14" s="11" t="s">
        <v>2</v>
      </c>
      <c r="O14" s="11" t="s">
        <v>2</v>
      </c>
      <c r="P14" s="11" t="s">
        <v>2</v>
      </c>
    </row>
    <row r="15" ht="14.25" spans="1:22">
      <c r="A15" s="13" t="s">
        <v>17</v>
      </c>
      <c r="B15" s="7" t="s">
        <v>2</v>
      </c>
      <c r="C15" s="7" t="s">
        <v>2</v>
      </c>
      <c r="D15" s="7" t="s">
        <v>2</v>
      </c>
      <c r="E15" s="7" t="s">
        <v>2</v>
      </c>
      <c r="F15" s="7" t="s">
        <v>2</v>
      </c>
      <c r="G15" s="7" t="s">
        <v>2</v>
      </c>
      <c r="H15" s="7" t="s">
        <v>2</v>
      </c>
      <c r="I15" s="7" t="s">
        <v>2</v>
      </c>
      <c r="J15" s="6" t="s">
        <v>2</v>
      </c>
      <c r="K15" s="14">
        <v>91</v>
      </c>
      <c r="L15" s="7" t="s">
        <v>2</v>
      </c>
      <c r="M15" s="6" t="s">
        <v>2</v>
      </c>
      <c r="N15" s="14">
        <v>320</v>
      </c>
      <c r="O15" s="15">
        <v>472.5</v>
      </c>
      <c r="P15" s="15">
        <v>1056.5</v>
      </c>
      <c r="Q15" s="7" t="s">
        <v>2</v>
      </c>
      <c r="R15" s="7" t="s">
        <v>2</v>
      </c>
      <c r="S15" s="6" t="s">
        <v>2</v>
      </c>
    </row>
    <row r="16" spans="1:22">
      <c r="A16" s="16">
        <v>46184</v>
      </c>
      <c r="B16" s="6" t="s">
        <v>2</v>
      </c>
      <c r="C16" s="17">
        <v>1611553</v>
      </c>
      <c r="D16" s="17" t="s">
        <v>18</v>
      </c>
      <c r="E16" s="17" t="s">
        <v>19</v>
      </c>
      <c r="F16" s="5">
        <v>20405494</v>
      </c>
      <c r="G16" s="17" t="s">
        <v>20</v>
      </c>
      <c r="H16" s="7" t="s">
        <v>2</v>
      </c>
      <c r="I16" s="6" t="s">
        <v>2</v>
      </c>
      <c r="J16" s="17" t="s">
        <v>21</v>
      </c>
      <c r="K16" s="5">
        <v>1</v>
      </c>
      <c r="L16" s="7" t="s">
        <v>2</v>
      </c>
      <c r="M16" s="6" t="s">
        <v>2</v>
      </c>
      <c r="N16" s="5">
        <v>107</v>
      </c>
      <c r="O16" s="18">
        <v>121</v>
      </c>
      <c r="P16" s="18">
        <v>121</v>
      </c>
      <c r="Q16" s="7" t="s">
        <v>2</v>
      </c>
      <c r="R16" s="7" t="s">
        <v>2</v>
      </c>
      <c r="S16" s="6" t="s">
        <v>2</v>
      </c>
      <c r="V16">
        <f>P16/N16</f>
        <v>1.13084112149533</v>
      </c>
    </row>
    <row r="17" spans="1:22">
      <c r="A17" s="16">
        <v>46184</v>
      </c>
      <c r="B17" s="6" t="s">
        <v>2</v>
      </c>
      <c r="C17" s="17">
        <v>1611553</v>
      </c>
      <c r="D17" s="17" t="s">
        <v>18</v>
      </c>
      <c r="E17" s="17" t="s">
        <v>19</v>
      </c>
      <c r="F17" s="5">
        <v>20405346</v>
      </c>
      <c r="G17" s="17" t="s">
        <v>22</v>
      </c>
      <c r="H17" s="7" t="s">
        <v>2</v>
      </c>
      <c r="I17" s="6" t="s">
        <v>2</v>
      </c>
      <c r="J17" s="17" t="s">
        <v>23</v>
      </c>
      <c r="K17" s="5">
        <v>7</v>
      </c>
      <c r="L17" s="7" t="s">
        <v>2</v>
      </c>
      <c r="M17" s="6" t="s">
        <v>2</v>
      </c>
      <c r="N17" s="5">
        <v>7</v>
      </c>
      <c r="O17" s="18">
        <v>8</v>
      </c>
      <c r="P17" s="18">
        <v>56</v>
      </c>
      <c r="Q17" s="7" t="s">
        <v>2</v>
      </c>
      <c r="R17" s="7" t="s">
        <v>2</v>
      </c>
      <c r="S17" s="6" t="s">
        <v>2</v>
      </c>
      <c r="V17">
        <f t="shared" ref="V17:V33" si="0">P17/N17</f>
        <v>8</v>
      </c>
    </row>
    <row r="18" spans="1:22">
      <c r="A18" s="16">
        <v>46184</v>
      </c>
      <c r="B18" s="6" t="s">
        <v>2</v>
      </c>
      <c r="C18" s="17">
        <v>1611553</v>
      </c>
      <c r="D18" s="17" t="s">
        <v>18</v>
      </c>
      <c r="E18" s="17" t="s">
        <v>19</v>
      </c>
      <c r="F18" s="5">
        <v>20405339</v>
      </c>
      <c r="G18" s="17" t="s">
        <v>24</v>
      </c>
      <c r="H18" s="7" t="s">
        <v>2</v>
      </c>
      <c r="I18" s="6" t="s">
        <v>2</v>
      </c>
      <c r="J18" s="17" t="s">
        <v>21</v>
      </c>
      <c r="K18" s="5">
        <v>1</v>
      </c>
      <c r="L18" s="7" t="s">
        <v>2</v>
      </c>
      <c r="M18" s="6" t="s">
        <v>2</v>
      </c>
      <c r="N18" s="5">
        <v>9</v>
      </c>
      <c r="O18" s="18">
        <v>49.5</v>
      </c>
      <c r="P18" s="18">
        <v>49.5</v>
      </c>
      <c r="Q18" s="7" t="s">
        <v>2</v>
      </c>
      <c r="R18" s="7" t="s">
        <v>2</v>
      </c>
      <c r="S18" s="6" t="s">
        <v>2</v>
      </c>
      <c r="V18">
        <f t="shared" si="0"/>
        <v>5.5</v>
      </c>
    </row>
    <row r="19" spans="1:22">
      <c r="A19" s="16">
        <v>46184</v>
      </c>
      <c r="B19" s="6" t="s">
        <v>2</v>
      </c>
      <c r="C19" s="17">
        <v>1611553</v>
      </c>
      <c r="D19" s="17" t="s">
        <v>18</v>
      </c>
      <c r="E19" s="17" t="s">
        <v>19</v>
      </c>
      <c r="F19" s="5">
        <v>20426405</v>
      </c>
      <c r="G19" s="17" t="s">
        <v>25</v>
      </c>
      <c r="H19" s="7" t="s">
        <v>2</v>
      </c>
      <c r="I19" s="6" t="s">
        <v>2</v>
      </c>
      <c r="J19" s="17" t="s">
        <v>21</v>
      </c>
      <c r="K19" s="5">
        <v>1</v>
      </c>
      <c r="L19" s="7" t="s">
        <v>2</v>
      </c>
      <c r="M19" s="6" t="s">
        <v>2</v>
      </c>
      <c r="N19" s="5">
        <v>18</v>
      </c>
      <c r="O19" s="19">
        <v>22</v>
      </c>
      <c r="P19" s="19">
        <v>22</v>
      </c>
      <c r="Q19" s="20" t="s">
        <v>2</v>
      </c>
      <c r="R19" s="20" t="s">
        <v>2</v>
      </c>
      <c r="S19" s="21" t="s">
        <v>2</v>
      </c>
      <c r="V19">
        <f t="shared" si="0"/>
        <v>1.22222222222222</v>
      </c>
    </row>
    <row r="20" spans="1:22">
      <c r="A20" s="16">
        <v>46184</v>
      </c>
      <c r="B20" s="6" t="s">
        <v>2</v>
      </c>
      <c r="C20" s="17">
        <v>1611553</v>
      </c>
      <c r="D20" s="17" t="s">
        <v>18</v>
      </c>
      <c r="E20" s="17" t="s">
        <v>19</v>
      </c>
      <c r="F20" s="5">
        <v>20405350</v>
      </c>
      <c r="G20" s="17" t="s">
        <v>26</v>
      </c>
      <c r="H20" s="7" t="s">
        <v>2</v>
      </c>
      <c r="I20" s="6" t="s">
        <v>2</v>
      </c>
      <c r="J20" s="17" t="s">
        <v>27</v>
      </c>
      <c r="K20" s="5">
        <v>10</v>
      </c>
      <c r="L20" s="7" t="s">
        <v>2</v>
      </c>
      <c r="M20" s="6" t="s">
        <v>2</v>
      </c>
      <c r="N20" s="5">
        <v>10</v>
      </c>
      <c r="O20" s="18">
        <v>8</v>
      </c>
      <c r="P20" s="18">
        <v>80</v>
      </c>
      <c r="Q20" s="7" t="s">
        <v>2</v>
      </c>
      <c r="R20" s="7" t="s">
        <v>2</v>
      </c>
      <c r="S20" s="6" t="s">
        <v>2</v>
      </c>
      <c r="V20">
        <f t="shared" si="0"/>
        <v>8</v>
      </c>
    </row>
    <row r="21" spans="1:22">
      <c r="A21" s="16">
        <v>46184</v>
      </c>
      <c r="B21" s="6" t="s">
        <v>2</v>
      </c>
      <c r="C21" s="17">
        <v>1611553</v>
      </c>
      <c r="D21" s="17" t="s">
        <v>18</v>
      </c>
      <c r="E21" s="17" t="s">
        <v>19</v>
      </c>
      <c r="F21" s="5">
        <v>20429444</v>
      </c>
      <c r="G21" s="17" t="s">
        <v>28</v>
      </c>
      <c r="H21" s="7" t="s">
        <v>2</v>
      </c>
      <c r="I21" s="6" t="s">
        <v>2</v>
      </c>
      <c r="J21" s="17" t="s">
        <v>21</v>
      </c>
      <c r="K21" s="5">
        <v>1</v>
      </c>
      <c r="L21" s="7" t="s">
        <v>2</v>
      </c>
      <c r="M21" s="6" t="s">
        <v>2</v>
      </c>
      <c r="N21" s="5">
        <v>9</v>
      </c>
      <c r="O21" s="18">
        <v>52</v>
      </c>
      <c r="P21" s="18">
        <v>52</v>
      </c>
      <c r="Q21" s="7" t="s">
        <v>2</v>
      </c>
      <c r="R21" s="7" t="s">
        <v>2</v>
      </c>
      <c r="S21" s="6" t="s">
        <v>2</v>
      </c>
      <c r="V21">
        <f t="shared" si="0"/>
        <v>5.77777777777778</v>
      </c>
    </row>
    <row r="22" spans="1:22">
      <c r="A22" s="16">
        <v>46184</v>
      </c>
      <c r="B22" s="6" t="s">
        <v>2</v>
      </c>
      <c r="C22" s="17">
        <v>1611553</v>
      </c>
      <c r="D22" s="17" t="s">
        <v>18</v>
      </c>
      <c r="E22" s="17" t="s">
        <v>19</v>
      </c>
      <c r="F22" s="5">
        <v>20416839</v>
      </c>
      <c r="G22" s="17" t="s">
        <v>29</v>
      </c>
      <c r="H22" s="7" t="s">
        <v>2</v>
      </c>
      <c r="I22" s="6" t="s">
        <v>2</v>
      </c>
      <c r="J22" s="17" t="s">
        <v>30</v>
      </c>
      <c r="K22" s="5">
        <v>1</v>
      </c>
      <c r="L22" s="7" t="s">
        <v>2</v>
      </c>
      <c r="M22" s="6" t="s">
        <v>2</v>
      </c>
      <c r="N22" s="5">
        <v>2</v>
      </c>
      <c r="O22" s="18">
        <v>13.5</v>
      </c>
      <c r="P22" s="18">
        <v>13.5</v>
      </c>
      <c r="Q22" s="7" t="s">
        <v>2</v>
      </c>
      <c r="R22" s="7" t="s">
        <v>2</v>
      </c>
      <c r="S22" s="6" t="s">
        <v>2</v>
      </c>
      <c r="V22">
        <f t="shared" si="0"/>
        <v>6.75</v>
      </c>
    </row>
    <row r="23" spans="1:22">
      <c r="A23" s="16">
        <v>46184</v>
      </c>
      <c r="B23" s="6" t="s">
        <v>2</v>
      </c>
      <c r="C23" s="17">
        <v>1611553</v>
      </c>
      <c r="D23" s="17" t="s">
        <v>18</v>
      </c>
      <c r="E23" s="17" t="s">
        <v>19</v>
      </c>
      <c r="F23" s="5">
        <v>20409166</v>
      </c>
      <c r="G23" s="17" t="s">
        <v>31</v>
      </c>
      <c r="H23" s="7" t="s">
        <v>2</v>
      </c>
      <c r="I23" s="6" t="s">
        <v>2</v>
      </c>
      <c r="J23" s="17" t="s">
        <v>32</v>
      </c>
      <c r="K23" s="5">
        <v>1</v>
      </c>
      <c r="L23" s="7" t="s">
        <v>2</v>
      </c>
      <c r="M23" s="6" t="s">
        <v>2</v>
      </c>
      <c r="N23" s="5">
        <v>2</v>
      </c>
      <c r="O23" s="18">
        <v>13.5</v>
      </c>
      <c r="P23" s="18">
        <v>13.5</v>
      </c>
      <c r="Q23" s="7" t="s">
        <v>2</v>
      </c>
      <c r="R23" s="7" t="s">
        <v>2</v>
      </c>
      <c r="S23" s="6" t="s">
        <v>2</v>
      </c>
      <c r="V23">
        <f t="shared" si="0"/>
        <v>6.75</v>
      </c>
    </row>
    <row r="24" spans="1:22">
      <c r="A24" s="16">
        <v>46184</v>
      </c>
      <c r="B24" s="6" t="s">
        <v>2</v>
      </c>
      <c r="C24" s="17">
        <v>1611553</v>
      </c>
      <c r="D24" s="17" t="s">
        <v>18</v>
      </c>
      <c r="E24" s="17" t="s">
        <v>19</v>
      </c>
      <c r="F24" s="5">
        <v>20405295</v>
      </c>
      <c r="G24" s="17" t="s">
        <v>33</v>
      </c>
      <c r="H24" s="7" t="s">
        <v>2</v>
      </c>
      <c r="I24" s="6" t="s">
        <v>2</v>
      </c>
      <c r="J24" s="17" t="s">
        <v>27</v>
      </c>
      <c r="K24" s="5">
        <v>22</v>
      </c>
      <c r="L24" s="7" t="s">
        <v>2</v>
      </c>
      <c r="M24" s="6" t="s">
        <v>2</v>
      </c>
      <c r="N24" s="5">
        <v>22</v>
      </c>
      <c r="O24" s="18">
        <v>8</v>
      </c>
      <c r="P24" s="18">
        <v>176</v>
      </c>
      <c r="Q24" s="7" t="s">
        <v>2</v>
      </c>
      <c r="R24" s="7" t="s">
        <v>2</v>
      </c>
      <c r="S24" s="6" t="s">
        <v>2</v>
      </c>
      <c r="V24">
        <f t="shared" si="0"/>
        <v>8</v>
      </c>
    </row>
    <row r="25" spans="1:22">
      <c r="A25" s="16">
        <v>46184</v>
      </c>
      <c r="B25" s="6" t="s">
        <v>2</v>
      </c>
      <c r="C25" s="17">
        <v>1611553</v>
      </c>
      <c r="D25" s="17" t="s">
        <v>18</v>
      </c>
      <c r="E25" s="17" t="s">
        <v>19</v>
      </c>
      <c r="F25" s="5">
        <v>20405347</v>
      </c>
      <c r="G25" s="17" t="s">
        <v>34</v>
      </c>
      <c r="H25" s="7" t="s">
        <v>2</v>
      </c>
      <c r="I25" s="6" t="s">
        <v>2</v>
      </c>
      <c r="J25" s="17" t="s">
        <v>23</v>
      </c>
      <c r="K25" s="5">
        <v>2</v>
      </c>
      <c r="L25" s="7" t="s">
        <v>2</v>
      </c>
      <c r="M25" s="6" t="s">
        <v>2</v>
      </c>
      <c r="N25" s="5">
        <v>2</v>
      </c>
      <c r="O25" s="18">
        <v>8</v>
      </c>
      <c r="P25" s="18">
        <v>16</v>
      </c>
      <c r="Q25" s="7" t="s">
        <v>2</v>
      </c>
      <c r="R25" s="7" t="s">
        <v>2</v>
      </c>
      <c r="S25" s="6" t="s">
        <v>2</v>
      </c>
      <c r="V25">
        <f t="shared" si="0"/>
        <v>8</v>
      </c>
    </row>
    <row r="26" spans="1:22">
      <c r="A26" s="16">
        <v>46206</v>
      </c>
      <c r="B26" s="6" t="s">
        <v>2</v>
      </c>
      <c r="C26" s="17">
        <v>1617186</v>
      </c>
      <c r="D26" s="17" t="s">
        <v>18</v>
      </c>
      <c r="E26" s="17" t="s">
        <v>19</v>
      </c>
      <c r="F26" s="5">
        <v>20405494</v>
      </c>
      <c r="G26" s="17" t="s">
        <v>35</v>
      </c>
      <c r="H26" s="7" t="s">
        <v>2</v>
      </c>
      <c r="I26" s="6" t="s">
        <v>2</v>
      </c>
      <c r="J26" s="17" t="s">
        <v>21</v>
      </c>
      <c r="K26" s="5">
        <v>1</v>
      </c>
      <c r="L26" s="7" t="s">
        <v>2</v>
      </c>
      <c r="M26" s="6" t="s">
        <v>2</v>
      </c>
      <c r="N26" s="5">
        <v>76</v>
      </c>
      <c r="O26" s="18">
        <v>88</v>
      </c>
      <c r="P26" s="18">
        <v>88</v>
      </c>
      <c r="Q26" s="7" t="s">
        <v>2</v>
      </c>
      <c r="R26" s="7" t="s">
        <v>2</v>
      </c>
      <c r="S26" s="6" t="s">
        <v>2</v>
      </c>
      <c r="V26">
        <f t="shared" si="0"/>
        <v>1.15789473684211</v>
      </c>
    </row>
    <row r="27" spans="1:22">
      <c r="A27" s="16">
        <v>46206</v>
      </c>
      <c r="B27" s="6" t="s">
        <v>2</v>
      </c>
      <c r="C27" s="17">
        <v>1617186</v>
      </c>
      <c r="D27" s="17" t="s">
        <v>18</v>
      </c>
      <c r="E27" s="17" t="s">
        <v>19</v>
      </c>
      <c r="F27" s="5">
        <v>20405346</v>
      </c>
      <c r="G27" s="17" t="s">
        <v>22</v>
      </c>
      <c r="H27" s="7" t="s">
        <v>2</v>
      </c>
      <c r="I27" s="6" t="s">
        <v>2</v>
      </c>
      <c r="J27" s="17" t="s">
        <v>23</v>
      </c>
      <c r="K27" s="5">
        <v>10</v>
      </c>
      <c r="L27" s="7" t="s">
        <v>2</v>
      </c>
      <c r="M27" s="6" t="s">
        <v>2</v>
      </c>
      <c r="N27" s="5">
        <v>10</v>
      </c>
      <c r="O27" s="18">
        <v>8</v>
      </c>
      <c r="P27" s="18">
        <v>80</v>
      </c>
      <c r="Q27" s="7" t="s">
        <v>2</v>
      </c>
      <c r="R27" s="7" t="s">
        <v>2</v>
      </c>
      <c r="S27" s="6" t="s">
        <v>2</v>
      </c>
      <c r="V27">
        <f t="shared" si="0"/>
        <v>8</v>
      </c>
    </row>
    <row r="28" spans="1:22">
      <c r="A28" s="16">
        <v>46206</v>
      </c>
      <c r="B28" s="6" t="s">
        <v>2</v>
      </c>
      <c r="C28" s="17">
        <v>1617186</v>
      </c>
      <c r="D28" s="17" t="s">
        <v>18</v>
      </c>
      <c r="E28" s="17" t="s">
        <v>19</v>
      </c>
      <c r="F28" s="5">
        <v>20426405</v>
      </c>
      <c r="G28" s="17" t="s">
        <v>36</v>
      </c>
      <c r="H28" s="7" t="s">
        <v>2</v>
      </c>
      <c r="I28" s="6" t="s">
        <v>2</v>
      </c>
      <c r="J28" s="17" t="s">
        <v>21</v>
      </c>
      <c r="K28" s="5">
        <v>1</v>
      </c>
      <c r="L28" s="7" t="s">
        <v>2</v>
      </c>
      <c r="M28" s="6" t="s">
        <v>2</v>
      </c>
      <c r="N28" s="5">
        <v>13</v>
      </c>
      <c r="O28" s="18">
        <v>16.5</v>
      </c>
      <c r="P28" s="18">
        <v>16.5</v>
      </c>
      <c r="Q28" s="7" t="s">
        <v>2</v>
      </c>
      <c r="R28" s="7" t="s">
        <v>2</v>
      </c>
      <c r="S28" s="6" t="s">
        <v>2</v>
      </c>
      <c r="V28">
        <f t="shared" si="0"/>
        <v>1.26923076923077</v>
      </c>
    </row>
    <row r="29" spans="1:22">
      <c r="A29" s="16">
        <v>46206</v>
      </c>
      <c r="B29" s="6" t="s">
        <v>2</v>
      </c>
      <c r="C29" s="17">
        <v>1617186</v>
      </c>
      <c r="D29" s="17" t="s">
        <v>18</v>
      </c>
      <c r="E29" s="17" t="s">
        <v>19</v>
      </c>
      <c r="F29" s="5">
        <v>20405350</v>
      </c>
      <c r="G29" s="17" t="s">
        <v>26</v>
      </c>
      <c r="H29" s="7" t="s">
        <v>2</v>
      </c>
      <c r="I29" s="6" t="s">
        <v>2</v>
      </c>
      <c r="J29" s="17" t="s">
        <v>27</v>
      </c>
      <c r="K29" s="5">
        <v>5</v>
      </c>
      <c r="L29" s="7" t="s">
        <v>2</v>
      </c>
      <c r="M29" s="6" t="s">
        <v>2</v>
      </c>
      <c r="N29" s="5">
        <v>5</v>
      </c>
      <c r="O29" s="18">
        <v>8</v>
      </c>
      <c r="P29" s="18">
        <v>40</v>
      </c>
      <c r="Q29" s="7" t="s">
        <v>2</v>
      </c>
      <c r="R29" s="7" t="s">
        <v>2</v>
      </c>
      <c r="S29" s="6" t="s">
        <v>2</v>
      </c>
      <c r="V29">
        <f t="shared" si="0"/>
        <v>8</v>
      </c>
    </row>
    <row r="30" spans="1:22">
      <c r="A30" s="16">
        <v>46206</v>
      </c>
      <c r="B30" s="6" t="s">
        <v>2</v>
      </c>
      <c r="C30" s="17">
        <v>1617186</v>
      </c>
      <c r="D30" s="17" t="s">
        <v>18</v>
      </c>
      <c r="E30" s="17" t="s">
        <v>19</v>
      </c>
      <c r="F30" s="5">
        <v>20409164</v>
      </c>
      <c r="G30" s="17" t="s">
        <v>37</v>
      </c>
      <c r="H30" s="7" t="s">
        <v>2</v>
      </c>
      <c r="I30" s="6" t="s">
        <v>2</v>
      </c>
      <c r="J30" s="17" t="s">
        <v>27</v>
      </c>
      <c r="K30" s="5">
        <v>1</v>
      </c>
      <c r="L30" s="7" t="s">
        <v>2</v>
      </c>
      <c r="M30" s="6" t="s">
        <v>2</v>
      </c>
      <c r="N30" s="5">
        <v>1</v>
      </c>
      <c r="O30" s="18">
        <v>8</v>
      </c>
      <c r="P30" s="18">
        <v>8</v>
      </c>
      <c r="Q30" s="7" t="s">
        <v>2</v>
      </c>
      <c r="R30" s="7" t="s">
        <v>2</v>
      </c>
      <c r="S30" s="6" t="s">
        <v>2</v>
      </c>
      <c r="V30">
        <f t="shared" si="0"/>
        <v>8</v>
      </c>
    </row>
    <row r="31" spans="1:22">
      <c r="A31" s="16">
        <v>46206</v>
      </c>
      <c r="B31" s="6" t="s">
        <v>2</v>
      </c>
      <c r="C31" s="17">
        <v>1617186</v>
      </c>
      <c r="D31" s="17" t="s">
        <v>18</v>
      </c>
      <c r="E31" s="17" t="s">
        <v>19</v>
      </c>
      <c r="F31" s="5">
        <v>20409166</v>
      </c>
      <c r="G31" s="17" t="s">
        <v>31</v>
      </c>
      <c r="H31" s="7" t="s">
        <v>2</v>
      </c>
      <c r="I31" s="6" t="s">
        <v>2</v>
      </c>
      <c r="J31" s="17" t="s">
        <v>32</v>
      </c>
      <c r="K31" s="5">
        <v>1</v>
      </c>
      <c r="L31" s="7" t="s">
        <v>2</v>
      </c>
      <c r="M31" s="6" t="s">
        <v>2</v>
      </c>
      <c r="N31" s="5">
        <v>2</v>
      </c>
      <c r="O31" s="18">
        <v>13.5</v>
      </c>
      <c r="P31" s="18">
        <v>13.5</v>
      </c>
      <c r="Q31" s="7" t="s">
        <v>2</v>
      </c>
      <c r="R31" s="7" t="s">
        <v>2</v>
      </c>
      <c r="S31" s="6" t="s">
        <v>2</v>
      </c>
      <c r="V31">
        <f t="shared" si="0"/>
        <v>6.75</v>
      </c>
    </row>
    <row r="32" spans="1:22">
      <c r="A32" s="16">
        <v>46206</v>
      </c>
      <c r="B32" s="6" t="s">
        <v>2</v>
      </c>
      <c r="C32" s="17">
        <v>1617186</v>
      </c>
      <c r="D32" s="17" t="s">
        <v>18</v>
      </c>
      <c r="E32" s="17" t="s">
        <v>19</v>
      </c>
      <c r="F32" s="5">
        <v>20405295</v>
      </c>
      <c r="G32" s="17" t="s">
        <v>33</v>
      </c>
      <c r="H32" s="7" t="s">
        <v>2</v>
      </c>
      <c r="I32" s="6" t="s">
        <v>2</v>
      </c>
      <c r="J32" s="17" t="s">
        <v>27</v>
      </c>
      <c r="K32" s="5">
        <v>24</v>
      </c>
      <c r="L32" s="7" t="s">
        <v>2</v>
      </c>
      <c r="M32" s="6" t="s">
        <v>2</v>
      </c>
      <c r="N32" s="5">
        <v>24</v>
      </c>
      <c r="O32" s="18">
        <v>8</v>
      </c>
      <c r="P32" s="18">
        <v>192</v>
      </c>
      <c r="Q32" s="7" t="s">
        <v>2</v>
      </c>
      <c r="R32" s="7" t="s">
        <v>2</v>
      </c>
      <c r="S32" s="6" t="s">
        <v>2</v>
      </c>
      <c r="V32">
        <f t="shared" si="0"/>
        <v>8</v>
      </c>
    </row>
    <row r="33" spans="1:22">
      <c r="A33" s="16">
        <v>46206</v>
      </c>
      <c r="B33" s="6" t="s">
        <v>2</v>
      </c>
      <c r="C33" s="17">
        <v>1617186</v>
      </c>
      <c r="D33" s="17" t="s">
        <v>18</v>
      </c>
      <c r="E33" s="17" t="s">
        <v>19</v>
      </c>
      <c r="F33" s="5">
        <v>20405341</v>
      </c>
      <c r="G33" s="17" t="s">
        <v>38</v>
      </c>
      <c r="H33" s="7" t="s">
        <v>2</v>
      </c>
      <c r="I33" s="6" t="s">
        <v>2</v>
      </c>
      <c r="J33" s="17" t="s">
        <v>21</v>
      </c>
      <c r="K33" s="5">
        <v>1</v>
      </c>
      <c r="L33" s="7" t="s">
        <v>2</v>
      </c>
      <c r="M33" s="6" t="s">
        <v>2</v>
      </c>
      <c r="N33" s="5">
        <v>1</v>
      </c>
      <c r="O33" s="18">
        <v>8</v>
      </c>
      <c r="P33" s="18">
        <v>8</v>
      </c>
      <c r="Q33" s="7" t="s">
        <v>2</v>
      </c>
      <c r="R33" s="7" t="s">
        <v>2</v>
      </c>
      <c r="S33" s="6" t="s">
        <v>2</v>
      </c>
      <c r="V33">
        <f t="shared" si="0"/>
        <v>8</v>
      </c>
    </row>
    <row r="34" spans="1:22">
      <c r="A34" s="11" t="s">
        <v>2</v>
      </c>
      <c r="C34" s="11" t="s">
        <v>2</v>
      </c>
      <c r="D34" s="11" t="s">
        <v>2</v>
      </c>
      <c r="E34" s="11" t="s">
        <v>2</v>
      </c>
      <c r="F34" s="12" t="s">
        <v>2</v>
      </c>
      <c r="G34" s="11" t="s">
        <v>2</v>
      </c>
      <c r="J34" s="11" t="s">
        <v>2</v>
      </c>
      <c r="K34" s="11" t="s">
        <v>2</v>
      </c>
      <c r="N34" s="11" t="s">
        <v>2</v>
      </c>
      <c r="O34" s="11" t="s">
        <v>2</v>
      </c>
      <c r="P34" s="11" t="s">
        <v>2</v>
      </c>
    </row>
    <row r="35" spans="1:22">
      <c r="A35" s="11" t="s">
        <v>2</v>
      </c>
      <c r="C35" s="11" t="s">
        <v>2</v>
      </c>
      <c r="D35" s="11" t="s">
        <v>2</v>
      </c>
      <c r="E35" s="11" t="s">
        <v>2</v>
      </c>
      <c r="F35" s="12" t="s">
        <v>2</v>
      </c>
      <c r="G35" s="11" t="s">
        <v>2</v>
      </c>
      <c r="J35" s="11" t="s">
        <v>2</v>
      </c>
      <c r="K35" s="11" t="s">
        <v>2</v>
      </c>
      <c r="N35" s="11" t="s">
        <v>2</v>
      </c>
      <c r="O35" s="11" t="s">
        <v>2</v>
      </c>
      <c r="P35" s="11" t="s">
        <v>2</v>
      </c>
    </row>
    <row r="36" ht="0.05" customHeight="1"/>
    <row r="37" ht="0.9" customHeight="1"/>
  </sheetData>
  <autoFilter xmlns:etc="http://www.wps.cn/officeDocument/2017/etCustomData" ref="V1:V35" etc:filterBottomFollowUsedRange="0">
    <extLst/>
  </autoFilter>
  <mergeCells count="99">
    <mergeCell ref="A12:B12"/>
    <mergeCell ref="G12:I12"/>
    <mergeCell ref="K12:M12"/>
    <mergeCell ref="P12:S12"/>
    <mergeCell ref="A13:J13"/>
    <mergeCell ref="K13:M13"/>
    <mergeCell ref="P13:S13"/>
    <mergeCell ref="A14:B14"/>
    <mergeCell ref="G14:I14"/>
    <mergeCell ref="K14:M14"/>
    <mergeCell ref="P14:S14"/>
    <mergeCell ref="A15:J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B18"/>
    <mergeCell ref="G18:I18"/>
    <mergeCell ref="K18:M18"/>
    <mergeCell ref="P18:S18"/>
    <mergeCell ref="A19:B19"/>
    <mergeCell ref="G19:I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B26"/>
    <mergeCell ref="G26:I26"/>
    <mergeCell ref="K26:M26"/>
    <mergeCell ref="P26:S26"/>
    <mergeCell ref="A27:B27"/>
    <mergeCell ref="G27:I27"/>
    <mergeCell ref="K27:M27"/>
    <mergeCell ref="P27:S27"/>
    <mergeCell ref="A28:B28"/>
    <mergeCell ref="G28:I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A32:B32"/>
    <mergeCell ref="G32:I32"/>
    <mergeCell ref="K32:M32"/>
    <mergeCell ref="P32:S32"/>
    <mergeCell ref="A33:B33"/>
    <mergeCell ref="G33:I33"/>
    <mergeCell ref="K33:M33"/>
    <mergeCell ref="P33:S33"/>
    <mergeCell ref="A34:B34"/>
    <mergeCell ref="G34:I34"/>
    <mergeCell ref="K34:M34"/>
    <mergeCell ref="P34:S34"/>
    <mergeCell ref="A35:B35"/>
    <mergeCell ref="G35:I35"/>
    <mergeCell ref="K35:M35"/>
    <mergeCell ref="P35:S35"/>
    <mergeCell ref="B1:G2"/>
    <mergeCell ref="Q2:R4"/>
    <mergeCell ref="B4:G5"/>
    <mergeCell ref="I8:K9"/>
    <mergeCell ref="M9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&amp;"-,Regular"高健 &amp;C&amp;"Droid Sans Fallback,Regular"&amp;9 执行时间: 
&amp;"-,Regular"2026年8月14日 12:44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2026-08-14T04:45:00Z</dcterms:created>
  <dcterms:modified xsi:type="dcterms:W3CDTF">2026-08-14T04:56:25Z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28D279D5B11D462A80D78870630F55D9_13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