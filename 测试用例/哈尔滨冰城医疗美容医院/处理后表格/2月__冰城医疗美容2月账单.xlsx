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11925" activeTab="1"/>
  </bookViews>
  <sheets>
    <sheet name="手术室" sheetId="1" r:id="rId1"/>
    <sheet name="加急" sheetId="2" r:id="rId2"/>
  </sheets>
  <definedNames>
    <definedName name="_xlnm._FilterDatabase" localSheetId="0" hidden="1">手术室!$A$9:$K$41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<sst xmlns="http://schemas.openxmlformats.org/spreadsheetml/2006/main" count="125" uniqueCount="38">
  <si>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</si>
  <si>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</si>
  <si>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</si>
  <si>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黑龙江冰城医疗美容医院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</si>
  <si>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</si>
  <si>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</si>
  <si>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</si>
  <si>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</si>
  <si>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</si>
  <si>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</si>
  <si>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</si>
  <si>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</si>
  <si>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</si>
  <si>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</si>
  <si>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持物钳罐-2/Z2044</t>
  </si>
  <si>
    <t>电刀头-1（高温）/Z7520</t>
  </si>
  <si>
    <t>蚊式-1/Z1026</t>
  </si>
  <si>
    <t>小有齿镊-1/Z7526</t>
  </si>
  <si>
    <t>组织剪-1/Z1026</t>
  </si>
  <si>
    <t>器械包(ZSD)</t>
  </si>
  <si>
    <t>整形手术包</t>
  </si>
  <si>
    <t>额外包(无纺布)</t>
  </si>
  <si>
    <t>镊子缸-2/W6050</t>
  </si>
  <si>
    <t>换药碗-1/Z2530</t>
  </si>
  <si>
    <t>持针器-1/z1029</t>
  </si>
  <si>
    <t>刀柄-1/z7526</t>
  </si>
  <si>
    <t>剪刀-1/Z1026</t>
  </si>
  <si>
    <t>麻杯-1/Z1026</t>
  </si>
  <si>
    <t>弯盘/z2032</t>
  </si>
  <si>
    <t>小剪刀-1/Z7520</t>
  </si>
  <si>
    <t>止血钳-1/z1029</t>
  </si>
  <si>
    <t>组织钳-1/z1029</t>
  </si>
  <si>
    <t>黑龙江冰城医疗美容医院2026年2月加急灭菌费合计583.13元，加急物流费合计150元，总计金额733.13元。</t>
  </si>
  <si>
    <t>黑龙江冰城医疗美容医院2026年2月22日加急灭菌费466.5+466.5*25%=583.13元，加急物流费150元，合计金额733.13元。</t>
  </si>
  <si>
    <t>大有齿镊-1/Z1026</t>
  </si>
  <si>
    <t>额外包(低温等离子)</t>
  </si>
  <si>
    <t>电刀头（蓝）-1/z7520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</si>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</sst>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1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5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wrapText="1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  <xf numFmtId="0" fontId="8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8" fillId="2" borderId="3" xfId="0" applyNumberFormat="1" applyFont="1" applyFill="1" applyBorder="1" applyAlignment="1">
      <alignment horizontal="center" vertical="top" wrapText="1" readingOrder="1"/>
    </xf>
    <xf numFmtId="177" fontId="8" fillId="2" borderId="3" xfId="0" applyNumberFormat="1" applyFont="1" applyFill="1" applyBorder="1" applyAlignment="1">
      <alignment horizontal="center"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9" fillId="3" borderId="3" xfId="0" applyNumberFormat="1" applyFont="1" applyFill="1" applyBorder="1" applyAlignment="1">
      <alignment vertical="top" wrapText="1" readingOrder="1"/>
    </xf>
    <xf numFmtId="0" fontId="9" fillId="3" borderId="3" xfId="0" applyNumberFormat="1" applyFont="1" applyFill="1" applyBorder="1" applyAlignment="1">
      <alignment horizontal="center" vertical="top" wrapText="1" readingOrder="1"/>
    </xf>
    <xf numFmtId="177" fontId="9" fillId="3" borderId="3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0</xdr:row>
      <xdr:rowOff>152400</xdr:rowOff>
    </xdr:from>
    <xdr:to>
      <xdr:col>9</xdr:col>
      <xdr:colOff>871303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1524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I11" sqref="I11:I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0" t="s">
        <v>0</v>
      </c>
    </row>
    <row r="2" ht="23.05" customHeight="1"/>
    <row r="3" ht="2" customHeight="1"/>
    <row r="4" ht="15.2" customHeight="1" spans="2:11">
      <c r="B4" s="11" t="s">
        <v>1</v>
      </c>
    </row>
    <row r="6" ht="2.95" customHeight="1"/>
    <row r="7" ht="3.95" customHeight="1" spans="2:11">
      <c r="B7" s="12" t="s">
        <v>2</v>
      </c>
      <c r="C7" s="12" t="s">
        <v>2</v>
      </c>
      <c r="D7" s="12" t="s">
        <v>2</v>
      </c>
      <c r="E7" s="12" t="s">
        <v>2</v>
      </c>
      <c r="F7" s="12" t="s">
        <v>2</v>
      </c>
      <c r="G7" s="12" t="s">
        <v>2</v>
      </c>
      <c r="H7" s="12" t="s">
        <v>2</v>
      </c>
      <c r="I7" s="12" t="s">
        <v>2</v>
      </c>
      <c r="J7" s="12" t="s">
        <v>2</v>
      </c>
      <c r="K7" s="12" t="s">
        <v>2</v>
      </c>
    </row>
    <row r="8" ht="15" spans="2:11">
      <c r="C8" s="13" t="s">
        <v>2</v>
      </c>
      <c r="D8" s="14" t="s">
        <v>3</v>
      </c>
      <c r="E8" s="15" t="s">
        <v>2</v>
      </c>
      <c r="F8" s="15" t="s">
        <v>2</v>
      </c>
      <c r="G8" s="15" t="s">
        <v>2</v>
      </c>
      <c r="H8" s="15" t="s">
        <v>2</v>
      </c>
      <c r="I8" s="16"/>
      <c r="J8" s="17"/>
      <c r="K8" s="17"/>
    </row>
    <row r="9" spans="2:11">
      <c r="C9" s="13" t="s">
        <v>2</v>
      </c>
      <c r="D9" s="18" t="s">
        <v>4</v>
      </c>
      <c r="E9" s="18" t="s">
        <v>5</v>
      </c>
      <c r="F9" s="18" t="s">
        <v>6</v>
      </c>
      <c r="G9" s="18" t="s">
        <v>7</v>
      </c>
      <c r="H9" s="18" t="s">
        <v>8</v>
      </c>
      <c r="I9" s="18" t="s">
        <v>9</v>
      </c>
      <c r="J9" s="18" t="s">
        <v>10</v>
      </c>
      <c r="K9" s="18" t="s">
        <v>11</v>
      </c>
    </row>
    <row r="10" ht="14.25" spans="2:11">
      <c r="D10" s="19" t="s">
        <v>12</v>
      </c>
      <c r="E10" s="15" t="s">
        <v>2</v>
      </c>
      <c r="F10" s="15" t="s">
        <v>2</v>
      </c>
      <c r="G10" s="15" t="s">
        <v>2</v>
      </c>
      <c r="H10" s="15" t="s">
        <v>2</v>
      </c>
      <c r="I10" s="20">
        <f>SUM(I11:I41)</f>
        <v>53</v>
      </c>
      <c r="J10" s="21"/>
      <c r="K10" s="21">
        <f>SUM(K11:K41)</f>
        <v>1004</v>
      </c>
    </row>
    <row r="11" spans="2:11">
      <c r="D11" s="22">
        <v>46055</v>
      </c>
      <c r="E11" s="23">
        <v>1575614</v>
      </c>
      <c r="F11" s="23" t="s">
        <v>13</v>
      </c>
      <c r="G11" s="18">
        <v>20375881</v>
      </c>
      <c r="H11" s="23" t="s">
        <v>14</v>
      </c>
      <c r="I11" s="18">
        <v>1</v>
      </c>
      <c r="J11" s="24">
        <v>16.5</v>
      </c>
      <c r="K11" s="24">
        <f>J11*I11</f>
        <v>16.5</v>
      </c>
    </row>
    <row r="12" spans="2:11">
      <c r="D12" s="22">
        <v>46055</v>
      </c>
      <c r="E12" s="23">
        <v>1575614</v>
      </c>
      <c r="F12" s="23" t="s">
        <v>13</v>
      </c>
      <c r="G12" s="18">
        <v>20390817</v>
      </c>
      <c r="H12" s="23" t="s">
        <v>15</v>
      </c>
      <c r="I12" s="18">
        <v>1</v>
      </c>
      <c r="J12" s="24">
        <v>8</v>
      </c>
      <c r="K12" s="24">
        <f t="shared" ref="K12:K41" si="0">J12*I12</f>
        <v>8</v>
      </c>
    </row>
    <row r="13" spans="2:11">
      <c r="D13" s="22">
        <v>46055</v>
      </c>
      <c r="E13" s="23">
        <v>1575614</v>
      </c>
      <c r="F13" s="23" t="s">
        <v>13</v>
      </c>
      <c r="G13" s="18">
        <v>20390440</v>
      </c>
      <c r="H13" s="23" t="s">
        <v>16</v>
      </c>
      <c r="I13" s="18">
        <v>3</v>
      </c>
      <c r="J13" s="24">
        <v>8</v>
      </c>
      <c r="K13" s="24">
        <f t="shared" si="0"/>
        <v>24</v>
      </c>
    </row>
    <row r="14" spans="2:11">
      <c r="D14" s="22">
        <v>46055</v>
      </c>
      <c r="E14" s="23">
        <v>1575614</v>
      </c>
      <c r="F14" s="23" t="s">
        <v>13</v>
      </c>
      <c r="G14" s="18">
        <v>20367292</v>
      </c>
      <c r="H14" s="23" t="s">
        <v>17</v>
      </c>
      <c r="I14" s="18">
        <v>4</v>
      </c>
      <c r="J14" s="24">
        <v>8</v>
      </c>
      <c r="K14" s="24">
        <f t="shared" si="0"/>
        <v>32</v>
      </c>
    </row>
    <row r="15" spans="2:11">
      <c r="D15" s="22">
        <v>46055</v>
      </c>
      <c r="E15" s="23">
        <v>1575614</v>
      </c>
      <c r="F15" s="23" t="s">
        <v>13</v>
      </c>
      <c r="G15" s="18">
        <v>20400211</v>
      </c>
      <c r="H15" s="23" t="s">
        <v>18</v>
      </c>
      <c r="I15" s="18">
        <v>3</v>
      </c>
      <c r="J15" s="24">
        <v>8</v>
      </c>
      <c r="K15" s="24">
        <f t="shared" si="0"/>
        <v>24</v>
      </c>
    </row>
    <row r="16" spans="2:11">
      <c r="D16" s="22">
        <v>46055</v>
      </c>
      <c r="E16" s="23">
        <v>1575614</v>
      </c>
      <c r="F16" s="23" t="s">
        <v>19</v>
      </c>
      <c r="G16" s="18">
        <v>20362737</v>
      </c>
      <c r="H16" s="23" t="s">
        <v>20</v>
      </c>
      <c r="I16" s="18">
        <v>2</v>
      </c>
      <c r="J16" s="24">
        <v>58</v>
      </c>
      <c r="K16" s="24">
        <f t="shared" si="0"/>
        <v>116</v>
      </c>
    </row>
    <row r="17" spans="4:11">
      <c r="D17" s="22">
        <v>46055</v>
      </c>
      <c r="E17" s="23">
        <v>1575614</v>
      </c>
      <c r="F17" s="23" t="s">
        <v>21</v>
      </c>
      <c r="G17" s="18">
        <v>20366421</v>
      </c>
      <c r="H17" s="23" t="s">
        <v>22</v>
      </c>
      <c r="I17" s="18">
        <v>1</v>
      </c>
      <c r="J17" s="24">
        <v>16.5</v>
      </c>
      <c r="K17" s="24">
        <f t="shared" si="0"/>
        <v>16.5</v>
      </c>
    </row>
    <row r="18" spans="4:11">
      <c r="D18" s="22">
        <v>46059</v>
      </c>
      <c r="E18" s="23">
        <v>1576971</v>
      </c>
      <c r="F18" s="23" t="s">
        <v>13</v>
      </c>
      <c r="G18" s="18">
        <v>20375881</v>
      </c>
      <c r="H18" s="23" t="s">
        <v>14</v>
      </c>
      <c r="I18" s="18">
        <v>1</v>
      </c>
      <c r="J18" s="24">
        <v>16.5</v>
      </c>
      <c r="K18" s="24">
        <f t="shared" si="0"/>
        <v>16.5</v>
      </c>
    </row>
    <row r="19" spans="4:11">
      <c r="D19" s="22">
        <v>46059</v>
      </c>
      <c r="E19" s="23">
        <v>1576971</v>
      </c>
      <c r="F19" s="23" t="s">
        <v>13</v>
      </c>
      <c r="G19" s="18">
        <v>20390817</v>
      </c>
      <c r="H19" s="23" t="s">
        <v>15</v>
      </c>
      <c r="I19" s="18">
        <v>1</v>
      </c>
      <c r="J19" s="24">
        <v>8</v>
      </c>
      <c r="K19" s="24">
        <f t="shared" si="0"/>
        <v>8</v>
      </c>
    </row>
    <row r="20" spans="4:11">
      <c r="D20" s="22">
        <v>46059</v>
      </c>
      <c r="E20" s="23">
        <v>1576971</v>
      </c>
      <c r="F20" s="23" t="s">
        <v>13</v>
      </c>
      <c r="G20" s="18">
        <v>20411136</v>
      </c>
      <c r="H20" s="23" t="s">
        <v>23</v>
      </c>
      <c r="I20" s="18">
        <v>1</v>
      </c>
      <c r="J20" s="24">
        <v>16</v>
      </c>
      <c r="K20" s="24">
        <f t="shared" si="0"/>
        <v>16</v>
      </c>
    </row>
    <row r="21" spans="4:11">
      <c r="D21" s="22">
        <v>46059</v>
      </c>
      <c r="E21" s="23">
        <v>1576971</v>
      </c>
      <c r="F21" s="23" t="s">
        <v>13</v>
      </c>
      <c r="G21" s="18">
        <v>20390440</v>
      </c>
      <c r="H21" s="23" t="s">
        <v>16</v>
      </c>
      <c r="I21" s="18">
        <v>1</v>
      </c>
      <c r="J21" s="24">
        <v>8</v>
      </c>
      <c r="K21" s="24">
        <f t="shared" si="0"/>
        <v>8</v>
      </c>
    </row>
    <row r="22" spans="4:11">
      <c r="D22" s="22">
        <v>46059</v>
      </c>
      <c r="E22" s="23">
        <v>1576971</v>
      </c>
      <c r="F22" s="23" t="s">
        <v>19</v>
      </c>
      <c r="G22" s="18">
        <v>20362737</v>
      </c>
      <c r="H22" s="23" t="s">
        <v>20</v>
      </c>
      <c r="I22" s="18">
        <v>2</v>
      </c>
      <c r="J22" s="24">
        <v>58</v>
      </c>
      <c r="K22" s="24">
        <f t="shared" si="0"/>
        <v>116</v>
      </c>
    </row>
    <row r="23" spans="4:11">
      <c r="D23" s="22">
        <v>46059</v>
      </c>
      <c r="E23" s="23">
        <v>1576971</v>
      </c>
      <c r="F23" s="23" t="s">
        <v>21</v>
      </c>
      <c r="G23" s="18">
        <v>20366421</v>
      </c>
      <c r="H23" s="23" t="s">
        <v>22</v>
      </c>
      <c r="I23" s="18">
        <v>1</v>
      </c>
      <c r="J23" s="24">
        <v>16.5</v>
      </c>
      <c r="K23" s="24">
        <f t="shared" si="0"/>
        <v>16.5</v>
      </c>
    </row>
    <row r="24" spans="4:11">
      <c r="D24" s="22">
        <v>46065</v>
      </c>
      <c r="E24" s="23">
        <v>1578449</v>
      </c>
      <c r="F24" s="23" t="s">
        <v>13</v>
      </c>
      <c r="G24" s="18">
        <v>20375881</v>
      </c>
      <c r="H24" s="23" t="s">
        <v>14</v>
      </c>
      <c r="I24" s="18">
        <v>1</v>
      </c>
      <c r="J24" s="24">
        <v>16.5</v>
      </c>
      <c r="K24" s="24">
        <f t="shared" si="0"/>
        <v>16.5</v>
      </c>
    </row>
    <row r="25" spans="4:11">
      <c r="D25" s="22">
        <v>46065</v>
      </c>
      <c r="E25" s="23">
        <v>1578449</v>
      </c>
      <c r="F25" s="23" t="s">
        <v>13</v>
      </c>
      <c r="G25" s="18">
        <v>20390817</v>
      </c>
      <c r="H25" s="23" t="s">
        <v>15</v>
      </c>
      <c r="I25" s="18">
        <v>1</v>
      </c>
      <c r="J25" s="24">
        <v>8</v>
      </c>
      <c r="K25" s="24">
        <f t="shared" si="0"/>
        <v>8</v>
      </c>
    </row>
    <row r="26" spans="4:11">
      <c r="D26" s="22">
        <v>46065</v>
      </c>
      <c r="E26" s="23">
        <v>1578449</v>
      </c>
      <c r="F26" s="23" t="s">
        <v>19</v>
      </c>
      <c r="G26" s="18">
        <v>20362737</v>
      </c>
      <c r="H26" s="23" t="s">
        <v>20</v>
      </c>
      <c r="I26" s="18">
        <v>2</v>
      </c>
      <c r="J26" s="24">
        <v>58</v>
      </c>
      <c r="K26" s="24">
        <f t="shared" si="0"/>
        <v>116</v>
      </c>
    </row>
    <row r="27" spans="4:11">
      <c r="D27" s="22">
        <v>46065</v>
      </c>
      <c r="E27" s="23">
        <v>1578449</v>
      </c>
      <c r="F27" s="23" t="s">
        <v>21</v>
      </c>
      <c r="G27" s="18">
        <v>20366421</v>
      </c>
      <c r="H27" s="23" t="s">
        <v>22</v>
      </c>
      <c r="I27" s="18">
        <v>1</v>
      </c>
      <c r="J27" s="24">
        <v>16.5</v>
      </c>
      <c r="K27" s="24">
        <f t="shared" si="0"/>
        <v>16.5</v>
      </c>
    </row>
    <row r="28" spans="4:11">
      <c r="D28" s="22">
        <v>46078</v>
      </c>
      <c r="E28" s="23">
        <v>1580096</v>
      </c>
      <c r="F28" s="23" t="s">
        <v>13</v>
      </c>
      <c r="G28" s="18">
        <v>20375881</v>
      </c>
      <c r="H28" s="23" t="s">
        <v>14</v>
      </c>
      <c r="I28" s="18">
        <v>2</v>
      </c>
      <c r="J28" s="24">
        <v>16.5</v>
      </c>
      <c r="K28" s="24">
        <f t="shared" si="0"/>
        <v>33</v>
      </c>
    </row>
    <row r="29" spans="4:11">
      <c r="D29" s="22">
        <v>46078</v>
      </c>
      <c r="E29" s="23">
        <v>1580096</v>
      </c>
      <c r="F29" s="23" t="s">
        <v>13</v>
      </c>
      <c r="G29" s="18">
        <v>20366050</v>
      </c>
      <c r="H29" s="23" t="s">
        <v>24</v>
      </c>
      <c r="I29" s="18">
        <v>1</v>
      </c>
      <c r="J29" s="24">
        <v>8</v>
      </c>
      <c r="K29" s="24">
        <f t="shared" si="0"/>
        <v>8</v>
      </c>
    </row>
    <row r="30" spans="4:11">
      <c r="D30" s="22">
        <v>46078</v>
      </c>
      <c r="E30" s="23">
        <v>1580096</v>
      </c>
      <c r="F30" s="23" t="s">
        <v>13</v>
      </c>
      <c r="G30" s="18">
        <v>20366051</v>
      </c>
      <c r="H30" s="23" t="s">
        <v>25</v>
      </c>
      <c r="I30" s="18">
        <v>1</v>
      </c>
      <c r="J30" s="24">
        <v>8</v>
      </c>
      <c r="K30" s="24">
        <f t="shared" si="0"/>
        <v>8</v>
      </c>
    </row>
    <row r="31" spans="4:11">
      <c r="D31" s="22">
        <v>46078</v>
      </c>
      <c r="E31" s="23">
        <v>1580096</v>
      </c>
      <c r="F31" s="23" t="s">
        <v>13</v>
      </c>
      <c r="G31" s="18">
        <v>20390817</v>
      </c>
      <c r="H31" s="23" t="s">
        <v>15</v>
      </c>
      <c r="I31" s="18">
        <v>1</v>
      </c>
      <c r="J31" s="24">
        <v>8</v>
      </c>
      <c r="K31" s="24">
        <f t="shared" si="0"/>
        <v>8</v>
      </c>
    </row>
    <row r="32" spans="4:11">
      <c r="D32" s="22">
        <v>46078</v>
      </c>
      <c r="E32" s="23">
        <v>1580096</v>
      </c>
      <c r="F32" s="23" t="s">
        <v>13</v>
      </c>
      <c r="G32" s="18">
        <v>20411136</v>
      </c>
      <c r="H32" s="23" t="s">
        <v>23</v>
      </c>
      <c r="I32" s="18">
        <v>4</v>
      </c>
      <c r="J32" s="24">
        <v>16</v>
      </c>
      <c r="K32" s="24">
        <f t="shared" si="0"/>
        <v>64</v>
      </c>
    </row>
    <row r="33" spans="4:11">
      <c r="D33" s="22">
        <v>46078</v>
      </c>
      <c r="E33" s="23">
        <v>1580096</v>
      </c>
      <c r="F33" s="23" t="s">
        <v>13</v>
      </c>
      <c r="G33" s="18">
        <v>20365931</v>
      </c>
      <c r="H33" s="23" t="s">
        <v>26</v>
      </c>
      <c r="I33" s="18">
        <v>2</v>
      </c>
      <c r="J33" s="24">
        <v>8</v>
      </c>
      <c r="K33" s="24">
        <f t="shared" si="0"/>
        <v>16</v>
      </c>
    </row>
    <row r="34" spans="4:11">
      <c r="D34" s="22">
        <v>46078</v>
      </c>
      <c r="E34" s="23">
        <v>1580096</v>
      </c>
      <c r="F34" s="23" t="s">
        <v>13</v>
      </c>
      <c r="G34" s="18">
        <v>20365929</v>
      </c>
      <c r="H34" s="23" t="s">
        <v>27</v>
      </c>
      <c r="I34" s="18">
        <v>1</v>
      </c>
      <c r="J34" s="24">
        <v>8</v>
      </c>
      <c r="K34" s="24">
        <f t="shared" si="0"/>
        <v>8</v>
      </c>
    </row>
    <row r="35" spans="4:11">
      <c r="D35" s="22">
        <v>46078</v>
      </c>
      <c r="E35" s="23">
        <v>1580096</v>
      </c>
      <c r="F35" s="23" t="s">
        <v>13</v>
      </c>
      <c r="G35" s="18">
        <v>20365930</v>
      </c>
      <c r="H35" s="23" t="s">
        <v>28</v>
      </c>
      <c r="I35" s="18">
        <v>1</v>
      </c>
      <c r="J35" s="24">
        <v>13</v>
      </c>
      <c r="K35" s="24">
        <f t="shared" si="0"/>
        <v>13</v>
      </c>
    </row>
    <row r="36" spans="4:11">
      <c r="D36" s="22">
        <v>46078</v>
      </c>
      <c r="E36" s="23">
        <v>1580096</v>
      </c>
      <c r="F36" s="23" t="s">
        <v>13</v>
      </c>
      <c r="G36" s="18">
        <v>20365932</v>
      </c>
      <c r="H36" s="23" t="s">
        <v>29</v>
      </c>
      <c r="I36" s="18">
        <v>4</v>
      </c>
      <c r="J36" s="24">
        <v>8</v>
      </c>
      <c r="K36" s="24">
        <f t="shared" si="0"/>
        <v>32</v>
      </c>
    </row>
    <row r="37" spans="4:11">
      <c r="D37" s="22">
        <v>46078</v>
      </c>
      <c r="E37" s="23">
        <v>1580096</v>
      </c>
      <c r="F37" s="23" t="s">
        <v>13</v>
      </c>
      <c r="G37" s="18">
        <v>20367292</v>
      </c>
      <c r="H37" s="23" t="s">
        <v>17</v>
      </c>
      <c r="I37" s="18">
        <v>2</v>
      </c>
      <c r="J37" s="24">
        <v>8</v>
      </c>
      <c r="K37" s="24">
        <f t="shared" si="0"/>
        <v>16</v>
      </c>
    </row>
    <row r="38" spans="4:11">
      <c r="D38" s="22">
        <v>46078</v>
      </c>
      <c r="E38" s="23">
        <v>1580096</v>
      </c>
      <c r="F38" s="23" t="s">
        <v>13</v>
      </c>
      <c r="G38" s="18">
        <v>20366049</v>
      </c>
      <c r="H38" s="23" t="s">
        <v>30</v>
      </c>
      <c r="I38" s="18">
        <v>1</v>
      </c>
      <c r="J38" s="24">
        <v>8</v>
      </c>
      <c r="K38" s="24">
        <f t="shared" si="0"/>
        <v>8</v>
      </c>
    </row>
    <row r="39" spans="4:11">
      <c r="D39" s="22">
        <v>46078</v>
      </c>
      <c r="E39" s="23">
        <v>1580096</v>
      </c>
      <c r="F39" s="23" t="s">
        <v>13</v>
      </c>
      <c r="G39" s="18">
        <v>20399394</v>
      </c>
      <c r="H39" s="23" t="s">
        <v>31</v>
      </c>
      <c r="I39" s="18">
        <v>1</v>
      </c>
      <c r="J39" s="24">
        <v>8</v>
      </c>
      <c r="K39" s="24">
        <f t="shared" si="0"/>
        <v>8</v>
      </c>
    </row>
    <row r="40" spans="4:11">
      <c r="D40" s="22">
        <v>46078</v>
      </c>
      <c r="E40" s="23">
        <v>1580096</v>
      </c>
      <c r="F40" s="23" t="s">
        <v>19</v>
      </c>
      <c r="G40" s="18">
        <v>20362737</v>
      </c>
      <c r="H40" s="23" t="s">
        <v>20</v>
      </c>
      <c r="I40" s="18">
        <v>3</v>
      </c>
      <c r="J40" s="24">
        <v>58</v>
      </c>
      <c r="K40" s="24">
        <f t="shared" si="0"/>
        <v>174</v>
      </c>
    </row>
    <row r="41" spans="4:11">
      <c r="D41" s="22">
        <v>46078</v>
      </c>
      <c r="E41" s="23">
        <v>1580096</v>
      </c>
      <c r="F41" s="23" t="s">
        <v>21</v>
      </c>
      <c r="G41" s="18">
        <v>20366421</v>
      </c>
      <c r="H41" s="23" t="s">
        <v>22</v>
      </c>
      <c r="I41" s="18">
        <v>2</v>
      </c>
      <c r="J41" s="24">
        <v>16.5</v>
      </c>
      <c r="K41" s="24">
        <f t="shared" si="0"/>
        <v>33</v>
      </c>
    </row>
    <row r="42" ht="0.05" customHeight="1"/>
  </sheetData>
  <autoFilter xmlns:etc="http://www.wps.cn/officeDocument/2017/etCustomData" ref="A9:K41" etc:filterBottomFollowUsedRange="0">
    <extLst/>
  </autoFilter>
  <mergeCells count="6">
    <mergeCell ref="D8:H8"/>
    <mergeCell ref="D10:H10"/>
    <mergeCell ref="C9:C41"/>
    <mergeCell ref="B4:H5"/>
    <mergeCell ref="C1:H2"/>
    <mergeCell ref="A8:B4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13:59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view="pageBreakPreview" zoomScaleNormal="100" workbookViewId="0">
      <selection activeCell="M9" sqref="M9"/>
    </sheetView>
  </sheetViews>
  <sheetFormatPr defaultColWidth="9" defaultRowHeight="13.5" outlineLevelCol="7"/>
  <cols>
    <col min="1" max="1" width="10.625" customWidth="1"/>
    <col min="3" max="3" width="15.75" customWidth="1"/>
    <col min="4" max="4" width="14.25" customWidth="1"/>
    <col min="5" max="5" width="25" customWidth="1"/>
    <col min="6" max="6" width="7.75" customWidth="1"/>
    <col min="7" max="7" width="7.125" customWidth="1"/>
  </cols>
  <sheetData>
    <row r="1" customFormat="1" ht="40" customHeight="1" spans="1:8">
      <c r="A1" s="1" t="s">
        <v>32</v>
      </c>
      <c r="B1" s="1"/>
      <c r="C1" s="1"/>
      <c r="D1" s="1"/>
      <c r="E1" s="1"/>
      <c r="F1" s="1"/>
      <c r="G1" s="1"/>
      <c r="H1" s="1"/>
    </row>
    <row r="2" customFormat="1" customHeight="1" spans="1:8">
      <c r="A2" s="2" t="s">
        <v>33</v>
      </c>
      <c r="B2" s="2"/>
      <c r="C2" s="2"/>
      <c r="D2" s="2"/>
      <c r="E2" s="2"/>
      <c r="F2" s="2"/>
      <c r="G2" s="2"/>
      <c r="H2" s="2"/>
    </row>
    <row r="3" customFormat="1" customHeight="1" spans="1:8">
      <c r="A3" s="2"/>
      <c r="B3" s="2"/>
      <c r="C3" s="2"/>
      <c r="D3" s="2"/>
      <c r="E3" s="2"/>
      <c r="F3" s="2"/>
      <c r="G3" s="2"/>
      <c r="H3" s="2"/>
    </row>
    <row r="4" customFormat="1" customHeight="1" spans="1:8">
      <c r="A4" s="2"/>
      <c r="B4" s="2"/>
      <c r="C4" s="2"/>
      <c r="D4" s="2"/>
      <c r="E4" s="2"/>
      <c r="F4" s="2"/>
      <c r="G4" s="2"/>
      <c r="H4" s="2"/>
    </row>
    <row r="5" customFormat="1" customHeight="1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customFormat="1" spans="1:8">
      <c r="A6" s="4">
        <v>46075</v>
      </c>
      <c r="B6" s="5">
        <v>1579446</v>
      </c>
      <c r="C6" s="5" t="s">
        <v>13</v>
      </c>
      <c r="D6" s="6">
        <v>20375881</v>
      </c>
      <c r="E6" s="5" t="s">
        <v>14</v>
      </c>
      <c r="F6" s="7">
        <v>1</v>
      </c>
      <c r="G6" s="8">
        <v>16.5</v>
      </c>
      <c r="H6" s="8">
        <v>16.5</v>
      </c>
    </row>
    <row r="7" customFormat="1" spans="1:8">
      <c r="A7" s="4">
        <v>46075</v>
      </c>
      <c r="B7" s="5">
        <v>1579446</v>
      </c>
      <c r="C7" s="5" t="s">
        <v>13</v>
      </c>
      <c r="D7" s="6">
        <v>20407244</v>
      </c>
      <c r="E7" s="5" t="s">
        <v>34</v>
      </c>
      <c r="F7" s="7">
        <v>1</v>
      </c>
      <c r="G7" s="8">
        <v>8</v>
      </c>
      <c r="H7" s="8">
        <v>8</v>
      </c>
    </row>
    <row r="8" customFormat="1" spans="1:8">
      <c r="A8" s="4">
        <v>46075</v>
      </c>
      <c r="B8" s="5">
        <v>1579446</v>
      </c>
      <c r="C8" s="5" t="s">
        <v>13</v>
      </c>
      <c r="D8" s="6">
        <v>20390817</v>
      </c>
      <c r="E8" s="5" t="s">
        <v>15</v>
      </c>
      <c r="F8" s="7">
        <v>4</v>
      </c>
      <c r="G8" s="8">
        <v>8</v>
      </c>
      <c r="H8" s="8">
        <v>32</v>
      </c>
    </row>
    <row r="9" customFormat="1" spans="1:8">
      <c r="A9" s="4">
        <v>46075</v>
      </c>
      <c r="B9" s="5">
        <v>1579446</v>
      </c>
      <c r="C9" s="5" t="s">
        <v>13</v>
      </c>
      <c r="D9" s="6">
        <v>20390440</v>
      </c>
      <c r="E9" s="5" t="s">
        <v>16</v>
      </c>
      <c r="F9" s="7">
        <v>2</v>
      </c>
      <c r="G9" s="8">
        <v>8</v>
      </c>
      <c r="H9" s="8">
        <v>16</v>
      </c>
    </row>
    <row r="10" customFormat="1" spans="1:8">
      <c r="A10" s="4">
        <v>46075</v>
      </c>
      <c r="B10" s="5">
        <v>1579446</v>
      </c>
      <c r="C10" s="5" t="s">
        <v>13</v>
      </c>
      <c r="D10" s="6">
        <v>20367292</v>
      </c>
      <c r="E10" s="5" t="s">
        <v>17</v>
      </c>
      <c r="F10" s="7">
        <v>1</v>
      </c>
      <c r="G10" s="8">
        <v>8</v>
      </c>
      <c r="H10" s="8">
        <v>8</v>
      </c>
    </row>
    <row r="11" customFormat="1" spans="1:8">
      <c r="A11" s="4">
        <v>46075</v>
      </c>
      <c r="B11" s="5">
        <v>1579446</v>
      </c>
      <c r="C11" s="5" t="s">
        <v>13</v>
      </c>
      <c r="D11" s="6">
        <v>20400211</v>
      </c>
      <c r="E11" s="5" t="s">
        <v>18</v>
      </c>
      <c r="F11" s="7">
        <v>1</v>
      </c>
      <c r="G11" s="8">
        <v>8</v>
      </c>
      <c r="H11" s="8">
        <v>8</v>
      </c>
    </row>
    <row r="12" customFormat="1" spans="1:8">
      <c r="A12" s="4">
        <v>46075</v>
      </c>
      <c r="B12" s="5">
        <v>1579446</v>
      </c>
      <c r="C12" s="5" t="s">
        <v>19</v>
      </c>
      <c r="D12" s="6">
        <v>20362737</v>
      </c>
      <c r="E12" s="5" t="s">
        <v>20</v>
      </c>
      <c r="F12" s="7">
        <v>2</v>
      </c>
      <c r="G12" s="8">
        <v>58</v>
      </c>
      <c r="H12" s="8">
        <v>116</v>
      </c>
    </row>
    <row r="13" customFormat="1" spans="1:8">
      <c r="A13" s="4">
        <v>46075</v>
      </c>
      <c r="B13" s="5">
        <v>1579446</v>
      </c>
      <c r="C13" s="5" t="s">
        <v>21</v>
      </c>
      <c r="D13" s="6">
        <v>20366421</v>
      </c>
      <c r="E13" s="5" t="s">
        <v>22</v>
      </c>
      <c r="F13" s="7">
        <v>4</v>
      </c>
      <c r="G13" s="8">
        <v>16.5</v>
      </c>
      <c r="H13" s="8">
        <v>66</v>
      </c>
    </row>
    <row r="14" customFormat="1" spans="1:8">
      <c r="A14" s="4">
        <v>46075</v>
      </c>
      <c r="B14" s="5">
        <v>1579459</v>
      </c>
      <c r="C14" s="5" t="s">
        <v>35</v>
      </c>
      <c r="D14" s="6">
        <v>20413076</v>
      </c>
      <c r="E14" s="5" t="s">
        <v>36</v>
      </c>
      <c r="F14" s="7">
        <v>1</v>
      </c>
      <c r="G14" s="8">
        <v>22</v>
      </c>
      <c r="H14" s="8">
        <v>22</v>
      </c>
    </row>
    <row r="15" customFormat="1" spans="1:8">
      <c r="A15" s="4">
        <v>46075</v>
      </c>
      <c r="B15" s="5">
        <v>1579462</v>
      </c>
      <c r="C15" s="5" t="s">
        <v>19</v>
      </c>
      <c r="D15" s="6">
        <v>20362737</v>
      </c>
      <c r="E15" s="5" t="s">
        <v>20</v>
      </c>
      <c r="F15" s="7">
        <v>3</v>
      </c>
      <c r="G15" s="8">
        <v>58</v>
      </c>
      <c r="H15" s="8">
        <v>174</v>
      </c>
    </row>
    <row r="16" customFormat="1" spans="1:8">
      <c r="A16" s="9" t="s">
        <v>37</v>
      </c>
      <c r="B16" s="9"/>
      <c r="C16" s="9"/>
      <c r="D16" s="9"/>
      <c r="E16" s="9"/>
      <c r="F16" s="9"/>
      <c r="G16" s="9"/>
      <c r="H16" s="8">
        <f>SUM(H6:H15)</f>
        <v>466.5</v>
      </c>
    </row>
  </sheetData>
  <mergeCells count="3">
    <mergeCell ref="A1:H1"/>
    <mergeCell ref="A16:G16"/>
    <mergeCell ref="A2:H4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2026-03-02T06:00:00Z</dcterms:created>
  <dcterms:modified xsi:type="dcterms:W3CDTF">2026-03-03T06:48:11Z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C5591D0CB5BF496089CA6A69C0DFBA0F_13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