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急诊" sheetId="1" r:id="rId1"/>
  </sheets>
  <definedNames>
    <definedName name="_xlnm._FilterDatabase" localSheetId="0" hidden="1">急诊!$T$1:$T$32</definedName>
    <definedName name="_xlnm.Print_Titles" localSheetId="0">急诊!$1:$6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<sst xmlns="http://schemas.openxmlformats.org/spreadsheetml/2006/main" count="202" uniqueCount="41">
  <si>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</si>
  <si>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</si>
  <si>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</si>
  <si>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</si>
  <si>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</si>
  <si>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</si>
  <si>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</si>
  <si>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</si>
  <si>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</si>
  <si>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</si>
  <si>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</si>
  <si>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</si>
  <si>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</si>
  <si>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哈尔滨市公安医院</t>
  </si>
  <si>
    <t>急诊</t>
  </si>
  <si>
    <t>额外包(纸塑袋)</t>
  </si>
  <si>
    <t>两爪拉钩-2/z7530</t>
  </si>
  <si>
    <t xml:space="preserve">高温纸塑袋75*300 </t>
  </si>
  <si>
    <t>镊子-6/z1535</t>
  </si>
  <si>
    <t xml:space="preserve">高温纸塑袋150*350 </t>
  </si>
  <si>
    <t>止血钳-4件/z1526</t>
  </si>
  <si>
    <t xml:space="preserve">高温纸塑袋150*260 </t>
  </si>
  <si>
    <t>额外包(无纺布)</t>
  </si>
  <si>
    <t>眼科缝合包-4件/W6050</t>
  </si>
  <si>
    <t>拆线包-4件/W6050</t>
  </si>
  <si>
    <t xml:space="preserve">无纺布-60×60-50g </t>
  </si>
  <si>
    <t>敷料包(纸塑袋)</t>
  </si>
  <si>
    <t>棉球/Z3032</t>
  </si>
  <si>
    <t xml:space="preserve">高温纸塑袋300*320 </t>
  </si>
  <si>
    <t>缝合包-4件/W6050</t>
  </si>
  <si>
    <t>外科（四楼）</t>
  </si>
  <si>
    <t>开口器1舌钳子1压舌板1/W6050</t>
  </si>
  <si>
    <t>额外包(低温等离子)</t>
  </si>
  <si>
    <t>湿化瓶-1/z1526</t>
  </si>
  <si>
    <t xml:space="preserve">低温纸塑袋150*260 </t>
  </si>
  <si>
    <t>五官</t>
  </si>
  <si>
    <t>鼻骨检查-2件/z1526</t>
  </si>
  <si>
    <t>鼻骨检查包-3件/z1526</t>
  </si>
  <si>
    <t>换药包-4件/z1526</t>
  </si>
  <si>
    <t>鼻骨复位包-4件/w6050</t>
  </si>
  <si>
    <t>拆线包-3件/W6050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</si>
</sst>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showGridLines="0" tabSelected="1" workbookViewId="0">
      <pane ySplit="6" topLeftCell="A7" activePane="bottomLeft" state="frozen"/>
      <selection/>
      <selection pane="bottomLeft" activeCell="K40" sqref="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2.625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53</v>
      </c>
      <c r="M9" s="9">
        <v>170</v>
      </c>
      <c r="N9" s="10">
        <v>317.5</v>
      </c>
      <c r="O9" s="10">
        <v>994.5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40</v>
      </c>
      <c r="M11" s="12">
        <v>128</v>
      </c>
      <c r="N11" s="13">
        <v>160.5</v>
      </c>
      <c r="O11" s="13">
        <v>738.5</v>
      </c>
      <c r="P11" s="6" t="s">
        <v>2</v>
      </c>
      <c r="Q11" s="7" t="s">
        <v>2</v>
      </c>
    </row>
    <row r="12" spans="1:20">
      <c r="D12" s="14">
        <v>46212</v>
      </c>
      <c r="E12" s="15">
        <v>1619241</v>
      </c>
      <c r="F12" s="15" t="s">
        <v>15</v>
      </c>
      <c r="G12" s="5">
        <v>20312932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13.5</v>
      </c>
      <c r="O12" s="16">
        <v>13.5</v>
      </c>
      <c r="P12" s="6" t="s">
        <v>2</v>
      </c>
      <c r="Q12" s="7" t="s">
        <v>2</v>
      </c>
      <c r="T12">
        <f>O12/M12</f>
        <v>6.75</v>
      </c>
    </row>
    <row r="13" spans="1:20">
      <c r="D13" s="14">
        <v>46212</v>
      </c>
      <c r="E13" s="15">
        <v>1619241</v>
      </c>
      <c r="F13" s="15" t="s">
        <v>15</v>
      </c>
      <c r="G13" s="5">
        <v>20340432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6</v>
      </c>
      <c r="N13" s="16">
        <v>33</v>
      </c>
      <c r="O13" s="16">
        <v>33</v>
      </c>
      <c r="P13" s="6" t="s">
        <v>2</v>
      </c>
      <c r="Q13" s="7" t="s">
        <v>2</v>
      </c>
      <c r="T13">
        <f t="shared" ref="T13:T32" si="0">O13/M13</f>
        <v>5.5</v>
      </c>
    </row>
    <row r="14" spans="1:20">
      <c r="D14" s="14">
        <v>46212</v>
      </c>
      <c r="E14" s="15">
        <v>1619241</v>
      </c>
      <c r="F14" s="15" t="s">
        <v>15</v>
      </c>
      <c r="G14" s="5">
        <v>20338937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4</v>
      </c>
      <c r="N14" s="16">
        <v>22</v>
      </c>
      <c r="O14" s="16">
        <v>22</v>
      </c>
      <c r="P14" s="6" t="s">
        <v>2</v>
      </c>
      <c r="Q14" s="7" t="s">
        <v>2</v>
      </c>
      <c r="T14">
        <f t="shared" si="0"/>
        <v>5.5</v>
      </c>
    </row>
    <row r="15" spans="1:20">
      <c r="D15" s="14">
        <v>46212</v>
      </c>
      <c r="E15" s="15">
        <v>1619241</v>
      </c>
      <c r="F15" s="15" t="s">
        <v>22</v>
      </c>
      <c r="G15" s="5">
        <v>20311804</v>
      </c>
      <c r="H15" s="15" t="s">
        <v>23</v>
      </c>
      <c r="I15" s="6" t="s">
        <v>2</v>
      </c>
      <c r="J15" s="7" t="s">
        <v>2</v>
      </c>
      <c r="K15" s="15" t="s">
        <v>21</v>
      </c>
      <c r="L15" s="5">
        <v>7</v>
      </c>
      <c r="M15" s="5">
        <v>28</v>
      </c>
      <c r="N15" s="16">
        <v>22</v>
      </c>
      <c r="O15" s="16">
        <v>154</v>
      </c>
      <c r="P15" s="6" t="s">
        <v>2</v>
      </c>
      <c r="Q15" s="7" t="s">
        <v>2</v>
      </c>
      <c r="T15">
        <f t="shared" si="0"/>
        <v>5.5</v>
      </c>
    </row>
    <row r="16" spans="1:20">
      <c r="D16" s="14">
        <v>46213</v>
      </c>
      <c r="E16" s="15">
        <v>1619558</v>
      </c>
      <c r="F16" s="15" t="s">
        <v>22</v>
      </c>
      <c r="G16" s="5">
        <v>20321273</v>
      </c>
      <c r="H16" s="15" t="s">
        <v>24</v>
      </c>
      <c r="I16" s="6" t="s">
        <v>2</v>
      </c>
      <c r="J16" s="7" t="s">
        <v>2</v>
      </c>
      <c r="K16" s="15" t="s">
        <v>25</v>
      </c>
      <c r="L16" s="5">
        <v>3</v>
      </c>
      <c r="M16" s="5">
        <v>12</v>
      </c>
      <c r="N16" s="16">
        <v>22</v>
      </c>
      <c r="O16" s="16">
        <v>66</v>
      </c>
      <c r="P16" s="6" t="s">
        <v>2</v>
      </c>
      <c r="Q16" s="7" t="s">
        <v>2</v>
      </c>
      <c r="T16">
        <f t="shared" si="0"/>
        <v>5.5</v>
      </c>
    </row>
    <row r="17" spans="4:20">
      <c r="D17" s="14">
        <v>46213</v>
      </c>
      <c r="E17" s="15">
        <v>1619558</v>
      </c>
      <c r="F17" s="15" t="s">
        <v>26</v>
      </c>
      <c r="G17" s="5">
        <v>20405797</v>
      </c>
      <c r="H17" s="15" t="s">
        <v>27</v>
      </c>
      <c r="I17" s="6" t="s">
        <v>2</v>
      </c>
      <c r="J17" s="7" t="s">
        <v>2</v>
      </c>
      <c r="K17" s="15" t="s">
        <v>28</v>
      </c>
      <c r="L17" s="5">
        <v>8</v>
      </c>
      <c r="M17" s="5">
        <v>0</v>
      </c>
      <c r="N17" s="16">
        <v>4</v>
      </c>
      <c r="O17" s="16">
        <v>32</v>
      </c>
      <c r="P17" s="6" t="s">
        <v>2</v>
      </c>
      <c r="Q17" s="7" t="s">
        <v>2</v>
      </c>
      <c r="T17" t="e">
        <f t="shared" si="0"/>
        <v>#DIV/0!</v>
      </c>
    </row>
    <row r="18" spans="4:20">
      <c r="D18" s="14">
        <v>46231</v>
      </c>
      <c r="E18" s="15">
        <v>1624164</v>
      </c>
      <c r="F18" s="15" t="s">
        <v>22</v>
      </c>
      <c r="G18" s="5">
        <v>20311386</v>
      </c>
      <c r="H18" s="15" t="s">
        <v>29</v>
      </c>
      <c r="I18" s="6" t="s">
        <v>2</v>
      </c>
      <c r="J18" s="7" t="s">
        <v>2</v>
      </c>
      <c r="K18" s="15" t="s">
        <v>25</v>
      </c>
      <c r="L18" s="5">
        <v>15</v>
      </c>
      <c r="M18" s="5">
        <v>60</v>
      </c>
      <c r="N18" s="16">
        <v>22</v>
      </c>
      <c r="O18" s="16">
        <v>330</v>
      </c>
      <c r="P18" s="6" t="s">
        <v>2</v>
      </c>
      <c r="Q18" s="7" t="s">
        <v>2</v>
      </c>
      <c r="T18">
        <f t="shared" si="0"/>
        <v>5.5</v>
      </c>
    </row>
    <row r="19" spans="4:20">
      <c r="D19" s="14">
        <v>46231</v>
      </c>
      <c r="E19" s="15">
        <v>1624164</v>
      </c>
      <c r="F19" s="15" t="s">
        <v>22</v>
      </c>
      <c r="G19" s="5">
        <v>20311804</v>
      </c>
      <c r="H19" s="15" t="s">
        <v>23</v>
      </c>
      <c r="I19" s="6" t="s">
        <v>2</v>
      </c>
      <c r="J19" s="7" t="s">
        <v>2</v>
      </c>
      <c r="K19" s="15" t="s">
        <v>21</v>
      </c>
      <c r="L19" s="5">
        <v>4</v>
      </c>
      <c r="M19" s="5">
        <v>16</v>
      </c>
      <c r="N19" s="16">
        <v>22</v>
      </c>
      <c r="O19" s="16">
        <v>88</v>
      </c>
      <c r="P19" s="6" t="s">
        <v>2</v>
      </c>
      <c r="Q19" s="7" t="s">
        <v>2</v>
      </c>
      <c r="T19">
        <f t="shared" si="0"/>
        <v>5.5</v>
      </c>
    </row>
    <row r="20" spans="4:20">
      <c r="T20" t="e">
        <f t="shared" si="0"/>
        <v>#DIV/0!</v>
      </c>
    </row>
    <row r="21" customFormat="1" ht="14.25" spans="4:20">
      <c r="D21" s="11" t="s">
        <v>30</v>
      </c>
      <c r="E21" s="6" t="s">
        <v>2</v>
      </c>
      <c r="F21" s="6" t="s">
        <v>2</v>
      </c>
      <c r="G21" s="6" t="s">
        <v>2</v>
      </c>
      <c r="H21" s="6" t="s">
        <v>2</v>
      </c>
      <c r="I21" s="6" t="s">
        <v>2</v>
      </c>
      <c r="J21" s="6" t="s">
        <v>2</v>
      </c>
      <c r="K21" s="7" t="s">
        <v>2</v>
      </c>
      <c r="L21" s="12">
        <v>2</v>
      </c>
      <c r="M21" s="12">
        <v>4</v>
      </c>
      <c r="N21" s="13">
        <v>41.5</v>
      </c>
      <c r="O21" s="13">
        <v>41.5</v>
      </c>
      <c r="P21" s="6" t="s">
        <v>2</v>
      </c>
      <c r="Q21" s="7" t="s">
        <v>2</v>
      </c>
      <c r="T21">
        <f t="shared" si="0"/>
        <v>10.375</v>
      </c>
    </row>
    <row r="22" customFormat="1" spans="4:20">
      <c r="D22" s="14">
        <v>46223</v>
      </c>
      <c r="E22" s="15">
        <v>1622133</v>
      </c>
      <c r="F22" s="15" t="s">
        <v>22</v>
      </c>
      <c r="G22" s="5">
        <v>20321272</v>
      </c>
      <c r="H22" s="15" t="s">
        <v>31</v>
      </c>
      <c r="I22" s="6" t="s">
        <v>2</v>
      </c>
      <c r="J22" s="7" t="s">
        <v>2</v>
      </c>
      <c r="K22" s="15" t="s">
        <v>25</v>
      </c>
      <c r="L22" s="5">
        <v>1</v>
      </c>
      <c r="M22" s="5">
        <v>3</v>
      </c>
      <c r="N22" s="16">
        <v>16.5</v>
      </c>
      <c r="O22" s="16">
        <v>16.5</v>
      </c>
      <c r="P22" s="6" t="s">
        <v>2</v>
      </c>
      <c r="Q22" s="7" t="s">
        <v>2</v>
      </c>
      <c r="T22">
        <f t="shared" si="0"/>
        <v>5.5</v>
      </c>
    </row>
    <row r="23" customFormat="1" spans="4:20">
      <c r="D23" s="14">
        <v>46224</v>
      </c>
      <c r="E23" s="15">
        <v>1622214</v>
      </c>
      <c r="F23" s="15" t="s">
        <v>32</v>
      </c>
      <c r="G23" s="5">
        <v>20354488</v>
      </c>
      <c r="H23" s="15" t="s">
        <v>33</v>
      </c>
      <c r="I23" s="6" t="s">
        <v>2</v>
      </c>
      <c r="J23" s="7" t="s">
        <v>2</v>
      </c>
      <c r="K23" s="15" t="s">
        <v>34</v>
      </c>
      <c r="L23" s="5">
        <v>1</v>
      </c>
      <c r="M23" s="5">
        <v>1</v>
      </c>
      <c r="N23" s="16">
        <v>25</v>
      </c>
      <c r="O23" s="16">
        <v>25</v>
      </c>
      <c r="P23" s="6" t="s">
        <v>2</v>
      </c>
      <c r="Q23" s="7" t="s">
        <v>2</v>
      </c>
      <c r="T23">
        <f t="shared" si="0"/>
        <v>25</v>
      </c>
    </row>
    <row r="24" spans="4:20">
      <c r="T24" t="e">
        <f t="shared" si="0"/>
        <v>#DIV/0!</v>
      </c>
    </row>
    <row r="25" customFormat="1" ht="14.25" spans="4:20">
      <c r="D25" s="11" t="s">
        <v>35</v>
      </c>
      <c r="E25" s="6" t="s">
        <v>2</v>
      </c>
      <c r="F25" s="6" t="s">
        <v>2</v>
      </c>
      <c r="G25" s="6" t="s">
        <v>2</v>
      </c>
      <c r="H25" s="6" t="s">
        <v>2</v>
      </c>
      <c r="I25" s="6" t="s">
        <v>2</v>
      </c>
      <c r="J25" s="6" t="s">
        <v>2</v>
      </c>
      <c r="K25" s="7" t="s">
        <v>2</v>
      </c>
      <c r="L25" s="12">
        <v>11</v>
      </c>
      <c r="M25" s="12">
        <v>38</v>
      </c>
      <c r="N25" s="13">
        <v>115.5</v>
      </c>
      <c r="O25" s="13">
        <v>214.5</v>
      </c>
      <c r="P25" s="6" t="s">
        <v>2</v>
      </c>
      <c r="Q25" s="7" t="s">
        <v>2</v>
      </c>
      <c r="T25">
        <f t="shared" si="0"/>
        <v>5.64473684210526</v>
      </c>
    </row>
    <row r="26" customFormat="1" spans="4:20">
      <c r="D26" s="14">
        <v>46226</v>
      </c>
      <c r="E26" s="15">
        <v>1623248</v>
      </c>
      <c r="F26" s="15" t="s">
        <v>15</v>
      </c>
      <c r="G26" s="5">
        <v>20315090</v>
      </c>
      <c r="H26" s="15" t="s">
        <v>36</v>
      </c>
      <c r="I26" s="6" t="s">
        <v>2</v>
      </c>
      <c r="J26" s="7" t="s">
        <v>2</v>
      </c>
      <c r="K26" s="15" t="s">
        <v>21</v>
      </c>
      <c r="L26" s="5">
        <v>1</v>
      </c>
      <c r="M26" s="5">
        <v>2</v>
      </c>
      <c r="N26" s="16">
        <v>16.5</v>
      </c>
      <c r="O26" s="16">
        <v>16.5</v>
      </c>
      <c r="P26" s="6" t="s">
        <v>2</v>
      </c>
      <c r="Q26" s="7" t="s">
        <v>2</v>
      </c>
      <c r="T26">
        <f t="shared" si="0"/>
        <v>8.25</v>
      </c>
    </row>
    <row r="27" customFormat="1" spans="4:20">
      <c r="D27" s="14">
        <v>46226</v>
      </c>
      <c r="E27" s="15">
        <v>1623248</v>
      </c>
      <c r="F27" s="15" t="s">
        <v>15</v>
      </c>
      <c r="G27" s="5">
        <v>20311872</v>
      </c>
      <c r="H27" s="15" t="s">
        <v>37</v>
      </c>
      <c r="I27" s="6" t="s">
        <v>2</v>
      </c>
      <c r="J27" s="7" t="s">
        <v>2</v>
      </c>
      <c r="K27" s="15" t="s">
        <v>21</v>
      </c>
      <c r="L27" s="5">
        <v>1</v>
      </c>
      <c r="M27" s="5">
        <v>3</v>
      </c>
      <c r="N27" s="16">
        <v>16.5</v>
      </c>
      <c r="O27" s="16">
        <v>16.5</v>
      </c>
      <c r="P27" s="6" t="s">
        <v>2</v>
      </c>
      <c r="Q27" s="7" t="s">
        <v>2</v>
      </c>
      <c r="T27">
        <f t="shared" si="0"/>
        <v>5.5</v>
      </c>
    </row>
    <row r="28" customFormat="1" spans="4:20">
      <c r="D28" s="14">
        <v>46226</v>
      </c>
      <c r="E28" s="15">
        <v>1623248</v>
      </c>
      <c r="F28" s="15" t="s">
        <v>15</v>
      </c>
      <c r="G28" s="5">
        <v>20311405</v>
      </c>
      <c r="H28" s="15" t="s">
        <v>38</v>
      </c>
      <c r="I28" s="6" t="s">
        <v>2</v>
      </c>
      <c r="J28" s="7" t="s">
        <v>2</v>
      </c>
      <c r="K28" s="15" t="s">
        <v>21</v>
      </c>
      <c r="L28" s="5">
        <v>2</v>
      </c>
      <c r="M28" s="5">
        <v>8</v>
      </c>
      <c r="N28" s="16">
        <v>22</v>
      </c>
      <c r="O28" s="16">
        <v>44</v>
      </c>
      <c r="P28" s="6" t="s">
        <v>2</v>
      </c>
      <c r="Q28" s="7" t="s">
        <v>2</v>
      </c>
      <c r="T28">
        <f t="shared" si="0"/>
        <v>5.5</v>
      </c>
    </row>
    <row r="29" customFormat="1" spans="4:20">
      <c r="D29" s="14">
        <v>46226</v>
      </c>
      <c r="E29" s="15">
        <v>1623248</v>
      </c>
      <c r="F29" s="15" t="s">
        <v>22</v>
      </c>
      <c r="G29" s="5">
        <v>20311402</v>
      </c>
      <c r="H29" s="15" t="s">
        <v>39</v>
      </c>
      <c r="I29" s="6" t="s">
        <v>2</v>
      </c>
      <c r="J29" s="7" t="s">
        <v>2</v>
      </c>
      <c r="K29" s="15" t="s">
        <v>25</v>
      </c>
      <c r="L29" s="5">
        <v>3</v>
      </c>
      <c r="M29" s="5">
        <v>12</v>
      </c>
      <c r="N29" s="16">
        <v>22</v>
      </c>
      <c r="O29" s="16">
        <v>66</v>
      </c>
      <c r="P29" s="6" t="s">
        <v>2</v>
      </c>
      <c r="Q29" s="7" t="s">
        <v>2</v>
      </c>
      <c r="T29">
        <f t="shared" si="0"/>
        <v>5.5</v>
      </c>
    </row>
    <row r="30" customFormat="1" spans="4:20">
      <c r="D30" s="14">
        <v>46226</v>
      </c>
      <c r="E30" s="15">
        <v>1623248</v>
      </c>
      <c r="F30" s="15" t="s">
        <v>22</v>
      </c>
      <c r="G30" s="5">
        <v>20311867</v>
      </c>
      <c r="H30" s="15" t="s">
        <v>40</v>
      </c>
      <c r="I30" s="6" t="s">
        <v>2</v>
      </c>
      <c r="J30" s="7" t="s">
        <v>2</v>
      </c>
      <c r="K30" s="15" t="s">
        <v>25</v>
      </c>
      <c r="L30" s="5">
        <v>3</v>
      </c>
      <c r="M30" s="5">
        <v>9</v>
      </c>
      <c r="N30" s="16">
        <v>16.5</v>
      </c>
      <c r="O30" s="16">
        <v>49.5</v>
      </c>
      <c r="P30" s="6" t="s">
        <v>2</v>
      </c>
      <c r="Q30" s="7" t="s">
        <v>2</v>
      </c>
      <c r="T30">
        <f t="shared" si="0"/>
        <v>5.5</v>
      </c>
    </row>
    <row r="31" customFormat="1" spans="4:20">
      <c r="D31" s="14">
        <v>46226</v>
      </c>
      <c r="E31" s="15">
        <v>1623248</v>
      </c>
      <c r="F31" s="15" t="s">
        <v>22</v>
      </c>
      <c r="G31" s="5">
        <v>20311386</v>
      </c>
      <c r="H31" s="15" t="s">
        <v>29</v>
      </c>
      <c r="I31" s="6" t="s">
        <v>2</v>
      </c>
      <c r="J31" s="7" t="s">
        <v>2</v>
      </c>
      <c r="K31" s="15" t="s">
        <v>25</v>
      </c>
      <c r="L31" s="5">
        <v>1</v>
      </c>
      <c r="M31" s="5">
        <v>4</v>
      </c>
      <c r="N31" s="16">
        <v>22</v>
      </c>
      <c r="O31" s="16">
        <v>22</v>
      </c>
      <c r="P31" s="6" t="s">
        <v>2</v>
      </c>
      <c r="Q31" s="7" t="s">
        <v>2</v>
      </c>
      <c r="T31">
        <f t="shared" si="0"/>
        <v>5.5</v>
      </c>
    </row>
    <row r="32" customFormat="1" ht="0.05" customHeight="1" spans="4:20">
      <c r="T32" t="e">
        <f t="shared" si="0"/>
        <v>#DIV/0!</v>
      </c>
    </row>
  </sheetData>
  <autoFilter xmlns:etc="http://www.wps.cn/officeDocument/2017/etCustomData" ref="T1:T32" etc:filterBottomFollowUsedRange="0">
    <extLst/>
  </autoFilter>
  <mergeCells count="4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D21:K21"/>
    <mergeCell ref="O21:Q21"/>
    <mergeCell ref="H22:J22"/>
    <mergeCell ref="O22:Q22"/>
    <mergeCell ref="H23:J23"/>
    <mergeCell ref="O23:Q23"/>
    <mergeCell ref="D25:K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C10:C19"/>
    <mergeCell ref="P2:P4"/>
    <mergeCell ref="C1:I2"/>
    <mergeCell ref="B4:H5"/>
    <mergeCell ref="A8:B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10:20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急诊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2026-08-14T02:20:43Z</dcterms:created>
  <dcterms:modified xsi:type="dcterms:W3CDTF">2026-08-14T02:21:50Z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A9B9876F9FD847F5BF4F91B734AF0EF3_13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