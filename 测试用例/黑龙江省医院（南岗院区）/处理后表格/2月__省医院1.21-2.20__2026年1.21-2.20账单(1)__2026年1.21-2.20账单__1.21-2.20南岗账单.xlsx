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1" activeTab="1"/>
  </bookViews>
  <sheets>
    <sheet name="ICU" sheetId="1" r:id="rId1"/>
    <sheet name="耳鼻喉科" sheetId="2" r:id="rId2"/>
    <sheet name="妇科病房" sheetId="3" r:id="rId3"/>
    <sheet name="妇科门诊" sheetId="4" r:id="rId4"/>
    <sheet name="供应室" sheetId="5" r:id="rId5"/>
    <sheet name="骨脑" sheetId="6" r:id="rId6"/>
    <sheet name="急诊" sheetId="7" r:id="rId7"/>
    <sheet name="检验科" sheetId="8" r:id="rId8"/>
    <sheet name="介入科" sheetId="9" r:id="rId9"/>
    <sheet name="口腔科" sheetId="10" r:id="rId10"/>
    <sheet name="美容整形外科" sheetId="12" r:id="rId11"/>
    <sheet name="美外新" sheetId="13" r:id="rId12"/>
    <sheet name="泌外腔镜" sheetId="14" r:id="rId13"/>
    <sheet name="皮肤门诊" sheetId="15" r:id="rId14"/>
    <sheet name="普外一" sheetId="16" r:id="rId15"/>
    <sheet name="伤口造口门诊" sheetId="17" r:id="rId16"/>
    <sheet name="手术室" sheetId="18" r:id="rId17"/>
    <sheet name="外科门诊" sheetId="19" r:id="rId18"/>
    <sheet name="消化科" sheetId="20" r:id="rId19"/>
    <sheet name="消化内镜" sheetId="21" r:id="rId20"/>
    <sheet name="心内科" sheetId="22" r:id="rId21"/>
    <sheet name="血管科" sheetId="23" r:id="rId22"/>
    <sheet name="眼科门诊" sheetId="24" r:id="rId23"/>
  </sheets>
  <definedNames>
    <definedName name="_xlnm._FilterDatabase" localSheetId="1" hidden="1">耳鼻喉科!$A$7:$M$34</definedName>
    <definedName name="_xlnm._FilterDatabase" localSheetId="2" hidden="1">妇科病房!$A$7:$M$30</definedName>
    <definedName name="_xlnm._FilterDatabase" localSheetId="3" hidden="1">妇科门诊!$A$7:$M$74</definedName>
    <definedName name="_xlnm._FilterDatabase" localSheetId="5" hidden="1">骨脑!$A$7:$M$30</definedName>
    <definedName name="_xlnm._FilterDatabase" localSheetId="6" hidden="1">急诊!$A$7:$M$34</definedName>
    <definedName name="_xlnm._FilterDatabase" localSheetId="10" hidden="1">美容整形外科!$A$7:$M$214</definedName>
    <definedName name="_xlnm._FilterDatabase" localSheetId="13" hidden="1">皮肤门诊!$A$7:$M$44</definedName>
    <definedName name="_xlnm._FilterDatabase" localSheetId="14" hidden="1">普外一!$A$7:$M$27</definedName>
    <definedName name="_xlnm._FilterDatabase" localSheetId="15" hidden="1">伤口造口门诊!$A$7:$M$25</definedName>
    <definedName name="_xlnm._FilterDatabase" localSheetId="16" hidden="1">手术室!$A$7:$M$393</definedName>
    <definedName name="_xlnm._FilterDatabase" localSheetId="17" hidden="1">外科门诊!$A$7:$M$37</definedName>
    <definedName name="_xlnm._FilterDatabase" localSheetId="18" hidden="1">消化科!$A$7:$M$37</definedName>
    <definedName name="_xlnm._FilterDatabase" localSheetId="19" hidden="1">消化内镜!$A$7:$M$62</definedName>
    <definedName name="_xlnm.Print_Titles" localSheetId="0">ICU!$1:$6</definedName>
    <definedName name="_xlnm.Print_Titles" localSheetId="1">耳鼻喉科!$1:$6</definedName>
    <definedName name="_xlnm.Print_Titles" localSheetId="2">妇科病房!$1:$6</definedName>
    <definedName name="_xlnm.Print_Titles" localSheetId="3">妇科门诊!$1:$6</definedName>
    <definedName name="_xlnm.Print_Titles" localSheetId="4">供应室!$1:$6</definedName>
    <definedName name="_xlnm.Print_Titles" localSheetId="5">骨脑!$1:$6</definedName>
    <definedName name="_xlnm.Print_Titles" localSheetId="6">急诊!$1:$6</definedName>
    <definedName name="_xlnm.Print_Titles" localSheetId="7">检验科!$1:$6</definedName>
    <definedName name="_xlnm.Print_Titles" localSheetId="8">介入科!$1:$6</definedName>
    <definedName name="_xlnm.Print_Titles" localSheetId="9">口腔科!$1:$6</definedName>
    <definedName name="_xlnm.Print_Titles" localSheetId="10">美容整形外科!$1:$6</definedName>
    <definedName name="_xlnm.Print_Titles" localSheetId="11">美外新!$1:$6</definedName>
    <definedName name="_xlnm.Print_Titles" localSheetId="12">泌外腔镜!$1:$6</definedName>
    <definedName name="_xlnm.Print_Titles" localSheetId="13">皮肤门诊!$1:$6</definedName>
    <definedName name="_xlnm.Print_Titles" localSheetId="14">普外一!$1:$6</definedName>
    <definedName name="_xlnm.Print_Titles" localSheetId="15">伤口造口门诊!$1:$6</definedName>
    <definedName name="_xlnm.Print_Titles" localSheetId="16">手术室!$1:$6</definedName>
    <definedName name="_xlnm.Print_Titles" localSheetId="17">外科门诊!$1:$6</definedName>
    <definedName name="_xlnm.Print_Titles" localSheetId="18">消化科!$1:$6</definedName>
    <definedName name="_xlnm.Print_Titles" localSheetId="19">消化内镜!$1:$6</definedName>
    <definedName name="_xlnm.Print_Titles" localSheetId="20">心内科!$1:$6</definedName>
    <definedName name="_xlnm.Print_Titles" localSheetId="21">血管科!$1:$6</definedName>
    <definedName name="_xlnm.Print_Titles" localSheetId="22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<sst xmlns="http://schemas.openxmlformats.org/spreadsheetml/2006/main" count="3486" uniqueCount="339">
  <si>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</si>
  <si>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</si>
  <si>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</si>
  <si>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黑龙江省医院（南岗院区）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</si>
  <si>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</si>
  <si>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</si>
  <si>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</si>
  <si>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</si>
  <si>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</si>
  <si>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</si>
  <si>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</si>
  <si>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</si>
  <si>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</si>
  <si>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</si>
  <si>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ICU</t>
  </si>
  <si>
    <t>额外包(纸塑袋)</t>
  </si>
  <si>
    <t>剪刀-1/Z1029</t>
  </si>
  <si>
    <t xml:space="preserve">高温纸塑袋100*290 </t>
  </si>
  <si>
    <t>镊子-1/Z7526</t>
  </si>
  <si>
    <t xml:space="preserve">高温纸塑袋75*260 </t>
  </si>
  <si>
    <t>止血钳-1/Z1029</t>
  </si>
  <si>
    <t>额外包(ETO)</t>
  </si>
  <si>
    <t>简易呼吸器-3件/z3060</t>
  </si>
  <si>
    <t xml:space="preserve">高温纸塑袋300*600 </t>
  </si>
  <si>
    <t>额外包(低温等离子)</t>
  </si>
  <si>
    <t>喉镜片（低温）-1/Z1530</t>
  </si>
  <si>
    <t xml:space="preserve">低温纸塑袋150*300 </t>
  </si>
  <si>
    <t>耳鼻喉科</t>
  </si>
  <si>
    <t>额外包(无纺布)</t>
  </si>
  <si>
    <t>无菌缸-5件/W9050</t>
  </si>
  <si>
    <t xml:space="preserve">无纺布-90×90-50g </t>
  </si>
  <si>
    <t>鼻镜-5/Z2032</t>
  </si>
  <si>
    <t xml:space="preserve">高温纸塑袋200*320 </t>
  </si>
  <si>
    <t>镊子-5/Z1030</t>
  </si>
  <si>
    <t>吸引器头-5/z7526</t>
  </si>
  <si>
    <t>缸子-5/W9050</t>
  </si>
  <si>
    <t>消毒缸-5/w9050</t>
  </si>
  <si>
    <t xml:space="preserve">无纺布-70×70-50g </t>
  </si>
  <si>
    <t>耵聍钩-1/z7526</t>
  </si>
  <si>
    <t>耳息肉钳-1/z1530</t>
  </si>
  <si>
    <t xml:space="preserve">高温纸塑袋150*300 </t>
  </si>
  <si>
    <t>吸头-5/Z1035</t>
  </si>
  <si>
    <t xml:space="preserve">高温纸塑袋100*350 </t>
  </si>
  <si>
    <t>妇科病房</t>
  </si>
  <si>
    <t>额外包(棉布包装)</t>
  </si>
  <si>
    <t>大镊子-1/Z7534</t>
  </si>
  <si>
    <t xml:space="preserve">高温纸塑袋75*340 </t>
  </si>
  <si>
    <t>卵圆钳-1/Z1535</t>
  </si>
  <si>
    <t xml:space="preserve">高温纸塑袋150*350 </t>
  </si>
  <si>
    <t>大弯-1/z1029</t>
  </si>
  <si>
    <t>活检钳-1/Z2032</t>
  </si>
  <si>
    <t>妇科门诊</t>
  </si>
  <si>
    <t>病理钳-1/Z2032</t>
  </si>
  <si>
    <t>消毒缸-4/W9050</t>
  </si>
  <si>
    <t>器械包(ZSD)</t>
  </si>
  <si>
    <t>流产包（12件）</t>
  </si>
  <si>
    <t>7号吸头-1/Z7530</t>
  </si>
  <si>
    <t xml:space="preserve">高温纸塑袋75*300 </t>
  </si>
  <si>
    <t>宫颈钳-1/Z1535</t>
  </si>
  <si>
    <t>窥器-1/Z1526</t>
  </si>
  <si>
    <t xml:space="preserve">高温纸塑袋150*260 </t>
  </si>
  <si>
    <t>探针-1/Z7537</t>
  </si>
  <si>
    <t xml:space="preserve">高温纸塑袋75*370 </t>
  </si>
  <si>
    <t>扩棒（4号）-1件/Z7526</t>
  </si>
  <si>
    <t>取环钩-1(不套保护套)/z7537</t>
  </si>
  <si>
    <t>上取环包-9件</t>
  </si>
  <si>
    <t xml:space="preserve">无纺布-80×80-50g </t>
  </si>
  <si>
    <t>上环叉-1/Z7537</t>
  </si>
  <si>
    <t>扩棒（6.5号）-1件/Z7526</t>
  </si>
  <si>
    <t>缝合针-6件/Z7520</t>
  </si>
  <si>
    <t xml:space="preserve">高温纸塑袋75*200 </t>
  </si>
  <si>
    <t>扩棒（6号）-1件/Z7526</t>
  </si>
  <si>
    <t>扩棒（7号）-1件/Z7526</t>
  </si>
  <si>
    <t>供应室</t>
  </si>
  <si>
    <t>器械包-8件/w6050</t>
  </si>
  <si>
    <t xml:space="preserve">无纺布-60×60-50g </t>
  </si>
  <si>
    <t>简易呼吸器-1件/Z3060</t>
  </si>
  <si>
    <t>返消不计费</t>
  </si>
  <si>
    <t>骨脑</t>
  </si>
  <si>
    <t>持针器-1/Z1029</t>
  </si>
  <si>
    <t>克氏钳-1/z1526</t>
  </si>
  <si>
    <t>消毒缸-1 /W6050</t>
  </si>
  <si>
    <t>蚊式-1/Z1026</t>
  </si>
  <si>
    <t xml:space="preserve">高温纸塑袋100*260 </t>
  </si>
  <si>
    <t>刮勺-1/Z7530</t>
  </si>
  <si>
    <t>咬骨钳-1/（双）Z2032</t>
  </si>
  <si>
    <t>气管切开包-19件/w6050</t>
  </si>
  <si>
    <t>急诊</t>
  </si>
  <si>
    <t>消毒缸-8/w9050</t>
  </si>
  <si>
    <t>止血钳1弯盘1/w6050</t>
  </si>
  <si>
    <t>缝合包4件</t>
  </si>
  <si>
    <t xml:space="preserve">无纺布-60×60-50g. </t>
  </si>
  <si>
    <t>简易呼吸器-4/z3060</t>
  </si>
  <si>
    <t>整形包-13件</t>
  </si>
  <si>
    <t>呼吸机管路-1（EO）/z3040</t>
  </si>
  <si>
    <t xml:space="preserve">高温纸塑袋300*400 </t>
  </si>
  <si>
    <t>人工洗胃缸/W6050</t>
  </si>
  <si>
    <t>弯盘1止血钳1/w6050</t>
  </si>
  <si>
    <t>检验科</t>
  </si>
  <si>
    <t>加样枪头/w9050</t>
  </si>
  <si>
    <t>介入科</t>
  </si>
  <si>
    <t>敷料包(无纺布包)</t>
  </si>
  <si>
    <t>刷手服/W12050</t>
  </si>
  <si>
    <t xml:space="preserve">无纺布-120×120-50g </t>
  </si>
  <si>
    <t>敷料包/W12050</t>
  </si>
  <si>
    <t>口腔科</t>
  </si>
  <si>
    <t>消毒缸-15/w12050</t>
  </si>
  <si>
    <t>美容整形外科</t>
  </si>
  <si>
    <t>敷料包(纸塑袋)</t>
  </si>
  <si>
    <t>孔巾/Z2535</t>
  </si>
  <si>
    <t xml:space="preserve">高温纸塑袋250*350 </t>
  </si>
  <si>
    <t>镊子缸-2（缸底贴日期）/z1535</t>
  </si>
  <si>
    <t>手术包-6件（双信封包装 ！）</t>
  </si>
  <si>
    <t xml:space="preserve">无纺布-90×90-60g </t>
  </si>
  <si>
    <t>双头挖勺-1/Z7526</t>
  </si>
  <si>
    <t>单包装包(老肯低温)</t>
  </si>
  <si>
    <t>钻石手锯（面部，大）-1/W12050</t>
  </si>
  <si>
    <t>钻石手锯（面部，小）-1/Z2060</t>
  </si>
  <si>
    <t xml:space="preserve">低温纸塑袋200*600 </t>
  </si>
  <si>
    <t>钻石手锯（眼部）-1/Z2060</t>
  </si>
  <si>
    <t>吸脂盆-1W6050</t>
  </si>
  <si>
    <t>吸脂针-1/Z7526</t>
  </si>
  <si>
    <t>胸包-15件（双信封包装）</t>
  </si>
  <si>
    <t>开口器-1/Z1026</t>
  </si>
  <si>
    <t>小圆针-1/Z7520</t>
  </si>
  <si>
    <t xml:space="preserve">高温纸塑袋75*200* </t>
  </si>
  <si>
    <t>小圆针-2/Z7520</t>
  </si>
  <si>
    <t>拔牙钳-1/Z1029</t>
  </si>
  <si>
    <t>牙铤子-1/Z7526</t>
  </si>
  <si>
    <t>注射器-1/Z1026</t>
  </si>
  <si>
    <t>消毒缸-2/w7050</t>
  </si>
  <si>
    <t>排针-1/Z7520</t>
  </si>
  <si>
    <t>剥离子-1/（双）Z7530</t>
  </si>
  <si>
    <t>骨锉-1/Z7530</t>
  </si>
  <si>
    <t>小剪刀-1/Z7526</t>
  </si>
  <si>
    <t>凿子-1/z7530</t>
  </si>
  <si>
    <t>美外新</t>
  </si>
  <si>
    <t>泌外腔镜</t>
  </si>
  <si>
    <t>器械包(低温等离子)</t>
  </si>
  <si>
    <t>膀胱镜-6件</t>
  </si>
  <si>
    <t>基础-11</t>
  </si>
  <si>
    <t>尿道探子F20-1（低温）/z2060</t>
  </si>
  <si>
    <t>尿道探子18-1件/Z2060</t>
  </si>
  <si>
    <t>器械包</t>
  </si>
  <si>
    <t>基础-11件</t>
  </si>
  <si>
    <t>0°膀胱镜-1件/z2060</t>
  </si>
  <si>
    <t>皮肤门诊</t>
  </si>
  <si>
    <t>门皮 手术包-6件（双信封包装！！！）</t>
  </si>
  <si>
    <t>消毒缸-7/w9050</t>
  </si>
  <si>
    <t>小镊子-1/Z7526</t>
  </si>
  <si>
    <t>艾利斯-1/z1029</t>
  </si>
  <si>
    <t>普外一</t>
  </si>
  <si>
    <t>消毒缸-3/ZW7050</t>
  </si>
  <si>
    <t>刀柄-1/Z7526</t>
  </si>
  <si>
    <t>伤口造口门诊</t>
  </si>
  <si>
    <t>换药包-2件/w6050</t>
  </si>
  <si>
    <t>剪刀1持物罐1/w6050</t>
  </si>
  <si>
    <t>手术室</t>
  </si>
  <si>
    <t>PRD生物夹钳(绿)-1/（双，保）Z2060</t>
  </si>
  <si>
    <t xml:space="preserve">低温纸塑袋250*650 </t>
  </si>
  <si>
    <t>超声刀线-1/z3040</t>
  </si>
  <si>
    <t xml:space="preserve">低温纸塑袋300*400 </t>
  </si>
  <si>
    <t>生物夹钳-1/（双，保护）Z2060</t>
  </si>
  <si>
    <t>3D镜头-1件/Z2060</t>
  </si>
  <si>
    <t>开腹（66件）</t>
  </si>
  <si>
    <t xml:space="preserve">无纺布-120×120-60g </t>
  </si>
  <si>
    <t>阑尾40件（无纺布）</t>
  </si>
  <si>
    <t>普外肠道腔镜器械（56件）</t>
  </si>
  <si>
    <t>整形（37件）</t>
  </si>
  <si>
    <t>荷包钳-1/（双）Z1540</t>
  </si>
  <si>
    <t xml:space="preserve">高温纸塑袋150*400 </t>
  </si>
  <si>
    <t>持物钳罐-5件/w6050</t>
  </si>
  <si>
    <t>手术衣-1件/W9050</t>
  </si>
  <si>
    <t>单子/W12050</t>
  </si>
  <si>
    <t>复位钳-8件</t>
  </si>
  <si>
    <t>腹腔镜基础包23件</t>
  </si>
  <si>
    <t>甲状腺-52件</t>
  </si>
  <si>
    <t>绝育（34件）</t>
  </si>
  <si>
    <t>普外腹腔镜A(44件）</t>
  </si>
  <si>
    <t>普外腹腔镜C(45件）</t>
  </si>
  <si>
    <t>切开（28件）</t>
  </si>
  <si>
    <t>下肢内固定（37件）</t>
  </si>
  <si>
    <t>妇科针-2/Z7537</t>
  </si>
  <si>
    <t>扩棒6.5 7.5 8 8.5 9 9.5-6件/w6050</t>
  </si>
  <si>
    <t>拉钩-2/z1026</t>
  </si>
  <si>
    <t>妇科检查包-16件</t>
  </si>
  <si>
    <t xml:space="preserve">无纺布-70×70-60g </t>
  </si>
  <si>
    <t>扩棒（8-10.5）-6件/W6050</t>
  </si>
  <si>
    <t>单极线-1/Z3040</t>
  </si>
  <si>
    <t>电切环-1/Z7526</t>
  </si>
  <si>
    <t xml:space="preserve">低温纸塑袋75*260 </t>
  </si>
  <si>
    <t>电切镜套管-4/双2060</t>
  </si>
  <si>
    <t>分离钳-1（低温）/Z2060</t>
  </si>
  <si>
    <t>镜鞘2（双层）/z2060</t>
  </si>
  <si>
    <t>康基可吸收施夹钳-1/双Z2060</t>
  </si>
  <si>
    <t>2D镜头-1件/Z2060</t>
  </si>
  <si>
    <t>30 度镜头-1(STORZE)/Z2060</t>
  </si>
  <si>
    <t>妇科镜头12度-1/双Z1050</t>
  </si>
  <si>
    <t xml:space="preserve">低温纸塑袋100*500 </t>
  </si>
  <si>
    <t>妇科治疗镜-5件盒1/W12050</t>
  </si>
  <si>
    <t>检查镜-12度-1/Z2060</t>
  </si>
  <si>
    <t>治疗镜（粗）-12度-1/Z2060</t>
  </si>
  <si>
    <t>PRD生物夹钳(紫)-1/（双，保）Z2060</t>
  </si>
  <si>
    <t>胃钳-1件（低温）/（双，保）Z2060</t>
  </si>
  <si>
    <t>普外腹腔镜B(44件）</t>
  </si>
  <si>
    <t>普外腹腔镜D(45件）</t>
  </si>
  <si>
    <t>小拉勾-2/Z1026</t>
  </si>
  <si>
    <t>大盆2弯盘2碗1/w9050</t>
  </si>
  <si>
    <t>普外腹腔镜E(42件）</t>
  </si>
  <si>
    <t>取环勾-1/7530</t>
  </si>
  <si>
    <t>小碗-2/W6050</t>
  </si>
  <si>
    <t>持针器-1（低温等离子）/双/Z1555</t>
  </si>
  <si>
    <t xml:space="preserve">低温纸塑袋150*550 </t>
  </si>
  <si>
    <t>妇科腹腔镜B（46件）</t>
  </si>
  <si>
    <t>举宫杯16件</t>
  </si>
  <si>
    <t>流产包A（29件）</t>
  </si>
  <si>
    <t>泌尿号包-16件</t>
  </si>
  <si>
    <t>上肢内固定（22件）</t>
  </si>
  <si>
    <t>单包装包</t>
  </si>
  <si>
    <t>(黑色）电钻-4件筐1/W905060</t>
  </si>
  <si>
    <t>(新）电钻-4件筐1/W905060</t>
  </si>
  <si>
    <t>大弯-2/Z1535</t>
  </si>
  <si>
    <t>扩棒（7-9.5）-6件/W6050</t>
  </si>
  <si>
    <t>康基连发施夹钳（紫）-1/双保Z2060</t>
  </si>
  <si>
    <t>双极钳-1/Z2060</t>
  </si>
  <si>
    <t>双极线-1/Z3040</t>
  </si>
  <si>
    <t>妇科0度镜-1(OLYMPUS)/Z2060</t>
  </si>
  <si>
    <t>脑科固定器（22件）</t>
  </si>
  <si>
    <t>血管器械（13件）</t>
  </si>
  <si>
    <t xml:space="preserve">无纺布-100×100-50g </t>
  </si>
  <si>
    <t>宫颈钳（单齿）-1/Z1535</t>
  </si>
  <si>
    <t>弯盘-1/Z2032</t>
  </si>
  <si>
    <t xml:space="preserve">高温纸塑袋200×320* </t>
  </si>
  <si>
    <t>吸头-1/Z7530</t>
  </si>
  <si>
    <t>转换头-1/Z1026</t>
  </si>
  <si>
    <t>气胸（9件）</t>
  </si>
  <si>
    <t>大拉钩-4件/w9050</t>
  </si>
  <si>
    <t>二叶拉钩-2件/w9050</t>
  </si>
  <si>
    <t>弓形钻-5件（带筐）/w9050</t>
  </si>
  <si>
    <t>孙主任拉钩-1/w6050</t>
  </si>
  <si>
    <t>小弯-6件/W6050</t>
  </si>
  <si>
    <t>穿刺针-1/Z1526</t>
  </si>
  <si>
    <t xml:space="preserve">低温纸塑袋150*260 </t>
  </si>
  <si>
    <t>取石钳-1（低温）/Z2060</t>
  </si>
  <si>
    <t>空心钻-3件（加筐4件）/W905060</t>
  </si>
  <si>
    <t>肠钳子-1（低温）/Z2060</t>
  </si>
  <si>
    <t>蛇牌铣刀导线-1/Z3040</t>
  </si>
  <si>
    <t>颅钻-3件（带筐）/W905060</t>
  </si>
  <si>
    <t>蛇牌电钻-7件（加筐8件）/W905060</t>
  </si>
  <si>
    <t>蛇形拉钩-3 筐1/W12050</t>
  </si>
  <si>
    <t>T型六角-2件/（双）Z1526</t>
  </si>
  <si>
    <t>测深器-1/Z1035</t>
  </si>
  <si>
    <t>持夹器-1/Z1530</t>
  </si>
  <si>
    <t>胆道刮勺-2/Z1026</t>
  </si>
  <si>
    <t>骨刀-1/z7530</t>
  </si>
  <si>
    <t>哈巴狗钳-1/Z1026</t>
  </si>
  <si>
    <t>内六角-1/Z1029</t>
  </si>
  <si>
    <t>脑显剪刀-2/Z1530</t>
  </si>
  <si>
    <t>取石钳-1/Z2032</t>
  </si>
  <si>
    <t>取石钳-4件/z1535</t>
  </si>
  <si>
    <t>头钉-3/Z7520</t>
  </si>
  <si>
    <t>挖勺-1/Z7526</t>
  </si>
  <si>
    <t>吸头-2/Z7530</t>
  </si>
  <si>
    <t>吸引器-1件 （高温）/Z1045</t>
  </si>
  <si>
    <t xml:space="preserve">高温纸塑袋100*450 </t>
  </si>
  <si>
    <t>线锯-2/Z1526</t>
  </si>
  <si>
    <t>阴道拉钩-2/Z2032</t>
  </si>
  <si>
    <t>椎板咬骨钳-1/z2032</t>
  </si>
  <si>
    <t>钻头-3/Z7526</t>
  </si>
  <si>
    <t>大S钩-2/W6050</t>
  </si>
  <si>
    <t>骨撬-2/W6050</t>
  </si>
  <si>
    <t>腔镜持夹钳-3/Z2035</t>
  </si>
  <si>
    <t xml:space="preserve">低温纸塑袋200*350 </t>
  </si>
  <si>
    <t>中弯-31件</t>
  </si>
  <si>
    <t>大直角-2/Z1530</t>
  </si>
  <si>
    <t>肠钳子-1/Z2060</t>
  </si>
  <si>
    <t>华兴单极线-1/Z3040</t>
  </si>
  <si>
    <t>镜鞘-1/z1550</t>
  </si>
  <si>
    <t xml:space="preserve">低温纸塑袋150*500 </t>
  </si>
  <si>
    <t>胃钳子-1/Z2060（低温）</t>
  </si>
  <si>
    <t>30 度镜头-1(威沙普)/Z2060</t>
  </si>
  <si>
    <t>肛门拉钩-2/Z1526</t>
  </si>
  <si>
    <t>流产包B（29件）</t>
  </si>
  <si>
    <t>大S拉钩1小S拉钩1/W6050</t>
  </si>
  <si>
    <t>肛门探针-1/Z7526</t>
  </si>
  <si>
    <t>阴式（59件）</t>
  </si>
  <si>
    <t>消毒包/W12050</t>
  </si>
  <si>
    <t>检查镜-30度-1/Z2060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</si>
  <si>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</si>
  <si>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2026/2/24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2026/2/24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</si>
  <si>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</si>
  <si>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</si>
  <si>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</si>
  <si>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</si>
  <si>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</si>
  <si>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</si>
  <si>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</si>
  <si>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钻孔-79件</t>
  </si>
  <si>
    <t>外科门诊</t>
  </si>
  <si>
    <t>手术包-8件</t>
  </si>
  <si>
    <t>手术包-10件（80*80布）</t>
  </si>
  <si>
    <t>大直钳-1/Z1035</t>
  </si>
  <si>
    <t>消化科</t>
  </si>
  <si>
    <t>大单/W12050</t>
  </si>
  <si>
    <t>敷料/W9050</t>
  </si>
  <si>
    <t>消化内镜</t>
  </si>
  <si>
    <t>穿刺架-1/Z1029</t>
  </si>
  <si>
    <t>26N钳子-1/Z2032</t>
  </si>
  <si>
    <t>盒子-1/Z2540</t>
  </si>
  <si>
    <t xml:space="preserve">高温纸塑袋250*400 </t>
  </si>
  <si>
    <t>打孔器 带芯-1/（标签贴背面！）Z7526</t>
  </si>
  <si>
    <t>方盘-1/Z2530</t>
  </si>
  <si>
    <t xml:space="preserve">高温纸塑袋250*300 </t>
  </si>
  <si>
    <t>ERCP管-2/Z2032</t>
  </si>
  <si>
    <t>打孔器 带芯-2件/（标签贴背面！）Z7506</t>
  </si>
  <si>
    <t>盆-1/Z2530</t>
  </si>
  <si>
    <t>激光导线-1/Z2530</t>
  </si>
  <si>
    <t xml:space="preserve">低温纸塑袋250*300 </t>
  </si>
  <si>
    <t>听诊器-1/Z3035</t>
  </si>
  <si>
    <t xml:space="preserve">低温纸塑袋300*350 </t>
  </si>
  <si>
    <t>49L-1/Z2032</t>
  </si>
  <si>
    <t>简易呼吸器-1（低温）件/Z3060</t>
  </si>
  <si>
    <t xml:space="preserve">低温纸塑袋300*600 </t>
  </si>
  <si>
    <t>26N-1/Z2025</t>
  </si>
  <si>
    <t xml:space="preserve">高温纸塑袋200*250 </t>
  </si>
  <si>
    <t>46Q-1/Z2032</t>
  </si>
  <si>
    <t>MAJ-403 -1/z2030</t>
  </si>
  <si>
    <t>激光导线(高温)-1/Z2530</t>
  </si>
  <si>
    <t xml:space="preserve">高温纸塑袋250*300* </t>
  </si>
  <si>
    <t>乐奥输送器-2/Z2032</t>
  </si>
  <si>
    <t>110Q-1/Z2026</t>
  </si>
  <si>
    <t>乐奥2件/Z2035</t>
  </si>
  <si>
    <t>心内科</t>
  </si>
  <si>
    <t>血管科</t>
  </si>
  <si>
    <t>切开包4件</t>
  </si>
  <si>
    <t>眼科门诊</t>
  </si>
  <si>
    <t>泪点扩张器-1/Z7520</t>
  </si>
  <si>
    <t>散粒肿包</t>
  </si>
  <si>
    <t>霰粒肿包-5件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</si>
</sst>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34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6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3" fillId="3" borderId="6" xfId="0" applyNumberFormat="1" applyFont="1" applyFill="1" applyBorder="1" applyAlignment="1">
      <alignment vertical="top" wrapText="1" readingOrder="1"/>
    </xf>
    <xf numFmtId="178" fontId="3" fillId="3" borderId="6" xfId="0" applyNumberFormat="1" applyFont="1" applyFill="1" applyBorder="1" applyAlignment="1">
      <alignment vertical="top" wrapText="1" readingOrder="1"/>
    </xf>
    <xf numFmtId="0" fontId="4" fillId="2" borderId="6" xfId="0" applyNumberFormat="1" applyFont="1" applyFill="1" applyBorder="1" applyAlignment="1">
      <alignment vertical="top" wrapText="1" readingOrder="1"/>
    </xf>
    <xf numFmtId="0" fontId="3" fillId="2" borderId="6" xfId="0" applyNumberFormat="1" applyFont="1" applyFill="1" applyBorder="1" applyAlignment="1">
      <alignment vertical="top" wrapText="1" readingOrder="1"/>
    </xf>
    <xf numFmtId="178" fontId="3" fillId="2" borderId="6" xfId="0" applyNumberFormat="1" applyFont="1" applyFill="1" applyBorder="1" applyAlignment="1">
      <alignment vertical="top" wrapText="1" readingOrder="1"/>
    </xf>
    <xf numFmtId="0" fontId="3" fillId="4" borderId="6" xfId="0" applyNumberFormat="1" applyFont="1" applyFill="1" applyBorder="1" applyAlignment="1">
      <alignment horizontal="left" vertical="top" wrapText="1" readingOrder="1"/>
    </xf>
    <xf numFmtId="0" fontId="3" fillId="4" borderId="6" xfId="0" applyNumberFormat="1" applyFont="1" applyFill="1" applyBorder="1" applyAlignment="1">
      <alignment vertical="top" wrapText="1" readingOrder="1"/>
    </xf>
    <xf numFmtId="178" fontId="3" fillId="4" borderId="6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vertical="top" wrapText="1" readingOrder="1"/>
    </xf>
    <xf numFmtId="0" fontId="7" fillId="3" borderId="3" xfId="0" applyNumberFormat="1" applyFont="1" applyFill="1" applyBorder="1" applyAlignment="1">
      <alignment horizontal="center" vertical="top" wrapText="1" readingOrder="1"/>
    </xf>
    <xf numFmtId="176" fontId="7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H31" sqref="H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75" customWidth="1"/>
    <col min="7" max="7" width="9.36666666666667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10" customWidth="1"/>
    <col min="13" max="13" width="9.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31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32"/>
      <c r="K8" s="32"/>
      <c r="L8" s="33"/>
      <c r="M8" s="33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8</v>
      </c>
      <c r="K10" s="10">
        <v>10</v>
      </c>
      <c r="L10" s="11"/>
      <c r="M10" s="11">
        <v>83.4</v>
      </c>
    </row>
    <row r="11" spans="2:13">
      <c r="D11" s="12">
        <v>46048</v>
      </c>
      <c r="E11" s="13">
        <v>1573551</v>
      </c>
      <c r="F11" s="13" t="s">
        <v>15</v>
      </c>
      <c r="G11" s="14">
        <v>20305049</v>
      </c>
      <c r="H11" s="13" t="s">
        <v>16</v>
      </c>
      <c r="I11" s="13" t="s">
        <v>17</v>
      </c>
      <c r="J11" s="14">
        <v>2</v>
      </c>
      <c r="K11" s="14">
        <v>2</v>
      </c>
      <c r="L11" s="15">
        <v>4.8</v>
      </c>
      <c r="M11" s="15">
        <v>9.6</v>
      </c>
    </row>
    <row r="12" spans="2:13">
      <c r="D12" s="12">
        <v>46048</v>
      </c>
      <c r="E12" s="13">
        <v>1573551</v>
      </c>
      <c r="F12" s="13" t="s">
        <v>15</v>
      </c>
      <c r="G12" s="14">
        <v>20310341</v>
      </c>
      <c r="H12" s="13" t="s">
        <v>18</v>
      </c>
      <c r="I12" s="13" t="s">
        <v>19</v>
      </c>
      <c r="J12" s="14">
        <v>1</v>
      </c>
      <c r="K12" s="14">
        <v>1</v>
      </c>
      <c r="L12" s="15">
        <v>4.8</v>
      </c>
      <c r="M12" s="15">
        <v>4.8</v>
      </c>
    </row>
    <row r="13" spans="2:13">
      <c r="D13" s="12">
        <v>46048</v>
      </c>
      <c r="E13" s="13">
        <v>1573551</v>
      </c>
      <c r="F13" s="13" t="s">
        <v>15</v>
      </c>
      <c r="G13" s="14">
        <v>20303922</v>
      </c>
      <c r="H13" s="13" t="s">
        <v>20</v>
      </c>
      <c r="I13" s="13" t="s">
        <v>17</v>
      </c>
      <c r="J13" s="14">
        <v>3</v>
      </c>
      <c r="K13" s="14">
        <v>3</v>
      </c>
      <c r="L13" s="15">
        <v>4.8</v>
      </c>
      <c r="M13" s="15">
        <v>14.4</v>
      </c>
    </row>
    <row r="14" spans="2:13">
      <c r="D14" s="12">
        <v>46049</v>
      </c>
      <c r="E14" s="13">
        <v>1573829</v>
      </c>
      <c r="F14" s="13" t="s">
        <v>21</v>
      </c>
      <c r="G14" s="14">
        <v>20306246</v>
      </c>
      <c r="H14" s="13" t="s">
        <v>22</v>
      </c>
      <c r="I14" s="13" t="s">
        <v>23</v>
      </c>
      <c r="J14" s="14">
        <v>1</v>
      </c>
      <c r="K14" s="14">
        <v>3</v>
      </c>
      <c r="L14" s="15">
        <v>39.6</v>
      </c>
      <c r="M14" s="15">
        <v>39.6</v>
      </c>
    </row>
    <row r="15" spans="2:13">
      <c r="D15" s="12">
        <v>46055</v>
      </c>
      <c r="E15" s="13">
        <v>1575446</v>
      </c>
      <c r="F15" s="13" t="s">
        <v>24</v>
      </c>
      <c r="G15" s="14">
        <v>20303986</v>
      </c>
      <c r="H15" s="13" t="s">
        <v>25</v>
      </c>
      <c r="I15" s="13" t="s">
        <v>26</v>
      </c>
      <c r="J15" s="14">
        <v>1</v>
      </c>
      <c r="K15" s="14">
        <v>1</v>
      </c>
      <c r="L15" s="15">
        <v>15</v>
      </c>
      <c r="M15" s="15">
        <v>15</v>
      </c>
    </row>
  </sheetData>
  <mergeCells count="6">
    <mergeCell ref="D8:I8"/>
    <mergeCell ref="D10:I10"/>
    <mergeCell ref="C9:C15"/>
    <mergeCell ref="B4:H5"/>
    <mergeCell ref="A8:B15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9" sqref="M9:M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" customWidth="1"/>
    <col min="9" max="9" width="20.5416666666667" customWidth="1"/>
    <col min="10" max="10" width="6.475" customWidth="1"/>
    <col min="11" max="11" width="9.45" customWidth="1"/>
    <col min="12" max="12" width="9.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42</v>
      </c>
      <c r="K8" s="10">
        <v>202</v>
      </c>
      <c r="L8" s="11"/>
      <c r="M8" s="11">
        <v>671.4</v>
      </c>
    </row>
    <row r="9" spans="1:13">
      <c r="D9" s="12">
        <v>46044</v>
      </c>
      <c r="E9" s="13">
        <v>1572683</v>
      </c>
      <c r="F9" s="13" t="s">
        <v>28</v>
      </c>
      <c r="G9" s="14">
        <v>20377059</v>
      </c>
      <c r="H9" s="13" t="s">
        <v>29</v>
      </c>
      <c r="I9" s="13" t="s">
        <v>30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46045</v>
      </c>
      <c r="E10" s="13">
        <v>1573063</v>
      </c>
      <c r="F10" s="13" t="s">
        <v>15</v>
      </c>
      <c r="G10" s="14">
        <v>20331214</v>
      </c>
      <c r="H10" s="13" t="s">
        <v>31</v>
      </c>
      <c r="I10" s="13" t="s">
        <v>32</v>
      </c>
      <c r="J10" s="14">
        <v>3</v>
      </c>
      <c r="K10" s="14">
        <v>15</v>
      </c>
      <c r="L10" s="15">
        <v>16.5</v>
      </c>
      <c r="M10" s="15">
        <v>49.5</v>
      </c>
    </row>
    <row r="11" spans="1:13">
      <c r="D11" s="12">
        <v>46045</v>
      </c>
      <c r="E11" s="13">
        <v>1573063</v>
      </c>
      <c r="F11" s="13" t="s">
        <v>15</v>
      </c>
      <c r="G11" s="14">
        <v>20356194</v>
      </c>
      <c r="H11" s="13" t="s">
        <v>33</v>
      </c>
      <c r="I11" s="13" t="s">
        <v>17</v>
      </c>
      <c r="J11" s="14">
        <v>2</v>
      </c>
      <c r="K11" s="14">
        <v>10</v>
      </c>
      <c r="L11" s="15">
        <v>16.5</v>
      </c>
      <c r="M11" s="15">
        <v>33</v>
      </c>
    </row>
    <row r="12" spans="1:13">
      <c r="D12" s="12">
        <v>46045</v>
      </c>
      <c r="E12" s="13">
        <v>1573063</v>
      </c>
      <c r="F12" s="13" t="s">
        <v>15</v>
      </c>
      <c r="G12" s="14">
        <v>20331217</v>
      </c>
      <c r="H12" s="13" t="s">
        <v>34</v>
      </c>
      <c r="I12" s="13" t="s">
        <v>19</v>
      </c>
      <c r="J12" s="14">
        <v>2</v>
      </c>
      <c r="K12" s="14">
        <v>10</v>
      </c>
      <c r="L12" s="15">
        <v>16.5</v>
      </c>
      <c r="M12" s="15">
        <v>33</v>
      </c>
    </row>
    <row r="13" spans="1:13">
      <c r="D13" s="12">
        <v>46048</v>
      </c>
      <c r="E13" s="13">
        <v>1573561</v>
      </c>
      <c r="F13" s="13" t="s">
        <v>28</v>
      </c>
      <c r="G13" s="14">
        <v>20379196</v>
      </c>
      <c r="H13" s="13" t="s">
        <v>35</v>
      </c>
      <c r="I13" s="13" t="s">
        <v>30</v>
      </c>
      <c r="J13" s="14">
        <v>1</v>
      </c>
      <c r="K13" s="14">
        <v>5</v>
      </c>
      <c r="L13" s="15">
        <v>16.5</v>
      </c>
      <c r="M13" s="15">
        <v>16.5</v>
      </c>
    </row>
    <row r="14" spans="1:13">
      <c r="D14" s="12">
        <v>46051</v>
      </c>
      <c r="E14" s="13">
        <v>1574660</v>
      </c>
      <c r="F14" s="13" t="s">
        <v>15</v>
      </c>
      <c r="G14" s="14">
        <v>20331214</v>
      </c>
      <c r="H14" s="13" t="s">
        <v>31</v>
      </c>
      <c r="I14" s="13" t="s">
        <v>32</v>
      </c>
      <c r="J14" s="14">
        <v>3</v>
      </c>
      <c r="K14" s="14">
        <v>15</v>
      </c>
      <c r="L14" s="15">
        <v>16.5</v>
      </c>
      <c r="M14" s="15">
        <v>49.5</v>
      </c>
    </row>
    <row r="15" spans="1:13">
      <c r="D15" s="12">
        <v>46051</v>
      </c>
      <c r="E15" s="13">
        <v>1574660</v>
      </c>
      <c r="F15" s="13" t="s">
        <v>15</v>
      </c>
      <c r="G15" s="14">
        <v>20356194</v>
      </c>
      <c r="H15" s="13" t="s">
        <v>33</v>
      </c>
      <c r="I15" s="13" t="s">
        <v>17</v>
      </c>
      <c r="J15" s="14">
        <v>1</v>
      </c>
      <c r="K15" s="14">
        <v>5</v>
      </c>
      <c r="L15" s="15">
        <v>16.5</v>
      </c>
      <c r="M15" s="15">
        <v>16.5</v>
      </c>
    </row>
    <row r="16" spans="1:13">
      <c r="D16" s="12">
        <v>46051</v>
      </c>
      <c r="E16" s="13">
        <v>1574660</v>
      </c>
      <c r="F16" s="13" t="s">
        <v>15</v>
      </c>
      <c r="G16" s="14">
        <v>20331217</v>
      </c>
      <c r="H16" s="13" t="s">
        <v>34</v>
      </c>
      <c r="I16" s="13" t="s">
        <v>19</v>
      </c>
      <c r="J16" s="14">
        <v>3</v>
      </c>
      <c r="K16" s="14">
        <v>15</v>
      </c>
      <c r="L16" s="15">
        <v>16.5</v>
      </c>
      <c r="M16" s="15">
        <v>49.5</v>
      </c>
    </row>
    <row r="17" spans="4:13">
      <c r="D17" s="12">
        <v>46051</v>
      </c>
      <c r="E17" s="13">
        <v>1574660</v>
      </c>
      <c r="F17" s="13" t="s">
        <v>28</v>
      </c>
      <c r="G17" s="14">
        <v>20377059</v>
      </c>
      <c r="H17" s="13" t="s">
        <v>29</v>
      </c>
      <c r="I17" s="13" t="s">
        <v>30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46055</v>
      </c>
      <c r="E18" s="13">
        <v>1575473</v>
      </c>
      <c r="F18" s="13" t="s">
        <v>15</v>
      </c>
      <c r="G18" s="14">
        <v>20331214</v>
      </c>
      <c r="H18" s="13" t="s">
        <v>31</v>
      </c>
      <c r="I18" s="13" t="s">
        <v>32</v>
      </c>
      <c r="J18" s="14">
        <v>2</v>
      </c>
      <c r="K18" s="14">
        <v>10</v>
      </c>
      <c r="L18" s="15">
        <v>16.5</v>
      </c>
      <c r="M18" s="15">
        <v>33</v>
      </c>
    </row>
    <row r="19" spans="4:13">
      <c r="D19" s="12">
        <v>46055</v>
      </c>
      <c r="E19" s="13">
        <v>1575473</v>
      </c>
      <c r="F19" s="13" t="s">
        <v>15</v>
      </c>
      <c r="G19" s="14">
        <v>20356194</v>
      </c>
      <c r="H19" s="13" t="s">
        <v>33</v>
      </c>
      <c r="I19" s="13" t="s">
        <v>17</v>
      </c>
      <c r="J19" s="14">
        <v>1</v>
      </c>
      <c r="K19" s="14">
        <v>5</v>
      </c>
      <c r="L19" s="15">
        <v>16.5</v>
      </c>
      <c r="M19" s="15">
        <v>16.5</v>
      </c>
    </row>
    <row r="20" spans="4:13">
      <c r="D20" s="12">
        <v>46055</v>
      </c>
      <c r="E20" s="13">
        <v>1575473</v>
      </c>
      <c r="F20" s="13" t="s">
        <v>28</v>
      </c>
      <c r="G20" s="14">
        <v>20381548</v>
      </c>
      <c r="H20" s="13" t="s">
        <v>36</v>
      </c>
      <c r="I20" s="13" t="s">
        <v>37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46057</v>
      </c>
      <c r="E21" s="13">
        <v>1576139</v>
      </c>
      <c r="F21" s="13" t="s">
        <v>15</v>
      </c>
      <c r="G21" s="14">
        <v>20331214</v>
      </c>
      <c r="H21" s="13" t="s">
        <v>31</v>
      </c>
      <c r="I21" s="13" t="s">
        <v>32</v>
      </c>
      <c r="J21" s="14">
        <v>2</v>
      </c>
      <c r="K21" s="14">
        <v>10</v>
      </c>
      <c r="L21" s="15">
        <v>16.5</v>
      </c>
      <c r="M21" s="15">
        <v>33</v>
      </c>
    </row>
    <row r="22" spans="4:13">
      <c r="D22" s="12">
        <v>46057</v>
      </c>
      <c r="E22" s="13">
        <v>1576139</v>
      </c>
      <c r="F22" s="13" t="s">
        <v>15</v>
      </c>
      <c r="G22" s="14">
        <v>20382881</v>
      </c>
      <c r="H22" s="13" t="s">
        <v>38</v>
      </c>
      <c r="I22" s="13" t="s">
        <v>19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46057</v>
      </c>
      <c r="E23" s="13">
        <v>1576139</v>
      </c>
      <c r="F23" s="13" t="s">
        <v>15</v>
      </c>
      <c r="G23" s="14">
        <v>20356194</v>
      </c>
      <c r="H23" s="13" t="s">
        <v>33</v>
      </c>
      <c r="I23" s="13" t="s">
        <v>17</v>
      </c>
      <c r="J23" s="14">
        <v>1</v>
      </c>
      <c r="K23" s="14">
        <v>5</v>
      </c>
      <c r="L23" s="15">
        <v>16.5</v>
      </c>
      <c r="M23" s="15">
        <v>16.5</v>
      </c>
    </row>
    <row r="24" spans="4:13">
      <c r="D24" s="12">
        <v>46057</v>
      </c>
      <c r="E24" s="13">
        <v>1576139</v>
      </c>
      <c r="F24" s="13" t="s">
        <v>15</v>
      </c>
      <c r="G24" s="14">
        <v>20331217</v>
      </c>
      <c r="H24" s="13" t="s">
        <v>34</v>
      </c>
      <c r="I24" s="13" t="s">
        <v>19</v>
      </c>
      <c r="J24" s="14">
        <v>2</v>
      </c>
      <c r="K24" s="14">
        <v>10</v>
      </c>
      <c r="L24" s="15">
        <v>16.5</v>
      </c>
      <c r="M24" s="15">
        <v>33</v>
      </c>
    </row>
    <row r="25" spans="4:13">
      <c r="D25" s="12">
        <v>46058</v>
      </c>
      <c r="E25" s="13">
        <v>1576513</v>
      </c>
      <c r="F25" s="13" t="s">
        <v>28</v>
      </c>
      <c r="G25" s="14">
        <v>20381548</v>
      </c>
      <c r="H25" s="13" t="s">
        <v>36</v>
      </c>
      <c r="I25" s="13" t="s">
        <v>37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46059</v>
      </c>
      <c r="E26" s="13">
        <v>1576848</v>
      </c>
      <c r="F26" s="13" t="s">
        <v>15</v>
      </c>
      <c r="G26" s="14">
        <v>20331214</v>
      </c>
      <c r="H26" s="13" t="s">
        <v>31</v>
      </c>
      <c r="I26" s="13" t="s">
        <v>32</v>
      </c>
      <c r="J26" s="14">
        <v>2</v>
      </c>
      <c r="K26" s="14">
        <v>10</v>
      </c>
      <c r="L26" s="15">
        <v>16.5</v>
      </c>
      <c r="M26" s="15">
        <v>33</v>
      </c>
    </row>
    <row r="27" spans="4:13">
      <c r="D27" s="12">
        <v>46059</v>
      </c>
      <c r="E27" s="13">
        <v>1576848</v>
      </c>
      <c r="F27" s="13" t="s">
        <v>15</v>
      </c>
      <c r="G27" s="14">
        <v>20356194</v>
      </c>
      <c r="H27" s="13" t="s">
        <v>33</v>
      </c>
      <c r="I27" s="13" t="s">
        <v>17</v>
      </c>
      <c r="J27" s="14">
        <v>2</v>
      </c>
      <c r="K27" s="14">
        <v>10</v>
      </c>
      <c r="L27" s="15">
        <v>16.5</v>
      </c>
      <c r="M27" s="15">
        <v>33</v>
      </c>
    </row>
    <row r="28" spans="4:13">
      <c r="D28" s="12">
        <v>46059</v>
      </c>
      <c r="E28" s="13">
        <v>1576848</v>
      </c>
      <c r="F28" s="13" t="s">
        <v>15</v>
      </c>
      <c r="G28" s="14">
        <v>20331217</v>
      </c>
      <c r="H28" s="13" t="s">
        <v>34</v>
      </c>
      <c r="I28" s="13" t="s">
        <v>19</v>
      </c>
      <c r="J28" s="14">
        <v>2</v>
      </c>
      <c r="K28" s="14">
        <v>10</v>
      </c>
      <c r="L28" s="15">
        <v>16.5</v>
      </c>
      <c r="M28" s="15">
        <v>33</v>
      </c>
    </row>
    <row r="29" spans="4:13">
      <c r="D29" s="12">
        <v>46062</v>
      </c>
      <c r="E29" s="13">
        <v>1577320</v>
      </c>
      <c r="F29" s="13" t="s">
        <v>28</v>
      </c>
      <c r="G29" s="14">
        <v>20379196</v>
      </c>
      <c r="H29" s="13" t="s">
        <v>35</v>
      </c>
      <c r="I29" s="13" t="s">
        <v>30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46064</v>
      </c>
      <c r="E30" s="13">
        <v>1577985</v>
      </c>
      <c r="F30" s="13" t="s">
        <v>15</v>
      </c>
      <c r="G30" s="14">
        <v>20331214</v>
      </c>
      <c r="H30" s="13" t="s">
        <v>31</v>
      </c>
      <c r="I30" s="13" t="s">
        <v>32</v>
      </c>
      <c r="J30" s="14">
        <v>2</v>
      </c>
      <c r="K30" s="14">
        <v>10</v>
      </c>
      <c r="L30" s="15">
        <v>16.5</v>
      </c>
      <c r="M30" s="15">
        <v>33</v>
      </c>
    </row>
    <row r="31" spans="4:13">
      <c r="D31" s="12">
        <v>46064</v>
      </c>
      <c r="E31" s="13">
        <v>1577985</v>
      </c>
      <c r="F31" s="13" t="s">
        <v>15</v>
      </c>
      <c r="G31" s="14">
        <v>20311562</v>
      </c>
      <c r="H31" s="13" t="s">
        <v>39</v>
      </c>
      <c r="I31" s="13" t="s">
        <v>40</v>
      </c>
      <c r="J31" s="14">
        <v>1</v>
      </c>
      <c r="K31" s="14">
        <v>1</v>
      </c>
      <c r="L31" s="15">
        <v>6.6</v>
      </c>
      <c r="M31" s="15">
        <v>6.6</v>
      </c>
    </row>
    <row r="32" spans="4:13">
      <c r="D32" s="12">
        <v>46064</v>
      </c>
      <c r="E32" s="13">
        <v>1577985</v>
      </c>
      <c r="F32" s="13" t="s">
        <v>15</v>
      </c>
      <c r="G32" s="14">
        <v>20356194</v>
      </c>
      <c r="H32" s="13" t="s">
        <v>33</v>
      </c>
      <c r="I32" s="13" t="s">
        <v>17</v>
      </c>
      <c r="J32" s="14">
        <v>2</v>
      </c>
      <c r="K32" s="14">
        <v>10</v>
      </c>
      <c r="L32" s="15">
        <v>16.5</v>
      </c>
      <c r="M32" s="15">
        <v>33</v>
      </c>
    </row>
    <row r="33" spans="4:13">
      <c r="D33" s="12">
        <v>46064</v>
      </c>
      <c r="E33" s="13">
        <v>1577985</v>
      </c>
      <c r="F33" s="13" t="s">
        <v>15</v>
      </c>
      <c r="G33" s="14">
        <v>20337319</v>
      </c>
      <c r="H33" s="13" t="s">
        <v>41</v>
      </c>
      <c r="I33" s="13" t="s">
        <v>42</v>
      </c>
      <c r="J33" s="14">
        <v>1</v>
      </c>
      <c r="K33" s="14">
        <v>5</v>
      </c>
      <c r="L33" s="15">
        <v>16.5</v>
      </c>
      <c r="M33" s="15">
        <v>16.5</v>
      </c>
    </row>
    <row r="34" spans="4:13">
      <c r="D34" s="12">
        <v>46065</v>
      </c>
      <c r="E34" s="13">
        <v>1578289</v>
      </c>
      <c r="F34" s="13" t="s">
        <v>28</v>
      </c>
      <c r="G34" s="14">
        <v>20379196</v>
      </c>
      <c r="H34" s="13" t="s">
        <v>35</v>
      </c>
      <c r="I34" s="13" t="s">
        <v>30</v>
      </c>
      <c r="J34" s="14">
        <v>1</v>
      </c>
      <c r="K34" s="14">
        <v>5</v>
      </c>
      <c r="L34" s="15">
        <v>16.5</v>
      </c>
      <c r="M34" s="15">
        <v>16.5</v>
      </c>
    </row>
  </sheetData>
  <autoFilter xmlns:etc="http://www.wps.cn/officeDocument/2017/etCustomData" ref="A7:M34" etc:filterBottomFollowUsedRange="0">
    <extLst/>
  </autoFilter>
  <mergeCells count="5">
    <mergeCell ref="D8:I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5" customWidth="1"/>
    <col min="9" max="9" width="17.625" customWidth="1"/>
    <col min="10" max="10" width="6.475" customWidth="1"/>
    <col min="11" max="11" width="9.45" customWidth="1"/>
    <col min="12" max="12" width="9.6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43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28</v>
      </c>
      <c r="K8" s="10">
        <v>60</v>
      </c>
      <c r="L8" s="11"/>
      <c r="M8" s="11">
        <v>232.8</v>
      </c>
    </row>
    <row r="9" spans="1:13">
      <c r="D9" s="12">
        <v>46044</v>
      </c>
      <c r="E9" s="13">
        <v>1572679</v>
      </c>
      <c r="F9" s="13" t="s">
        <v>15</v>
      </c>
      <c r="G9" s="14">
        <v>20305049</v>
      </c>
      <c r="H9" s="13" t="s">
        <v>16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46044</v>
      </c>
      <c r="E10" s="13">
        <v>1572679</v>
      </c>
      <c r="F10" s="13" t="s">
        <v>44</v>
      </c>
      <c r="G10" s="14">
        <v>20305025</v>
      </c>
      <c r="H10" s="13" t="s">
        <v>36</v>
      </c>
      <c r="I10" s="13" t="s">
        <v>30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46048</v>
      </c>
      <c r="E11" s="13">
        <v>1573555</v>
      </c>
      <c r="F11" s="13" t="s">
        <v>15</v>
      </c>
      <c r="G11" s="14">
        <v>20303920</v>
      </c>
      <c r="H11" s="13" t="s">
        <v>45</v>
      </c>
      <c r="I11" s="13" t="s">
        <v>46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46048</v>
      </c>
      <c r="E12" s="13">
        <v>1573555</v>
      </c>
      <c r="F12" s="13" t="s">
        <v>15</v>
      </c>
      <c r="G12" s="14">
        <v>20305049</v>
      </c>
      <c r="H12" s="13" t="s">
        <v>16</v>
      </c>
      <c r="I12" s="13" t="s">
        <v>17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46048</v>
      </c>
      <c r="E13" s="13">
        <v>1573555</v>
      </c>
      <c r="F13" s="13" t="s">
        <v>15</v>
      </c>
      <c r="G13" s="14">
        <v>20303922</v>
      </c>
      <c r="H13" s="13" t="s">
        <v>20</v>
      </c>
      <c r="I13" s="13" t="s">
        <v>17</v>
      </c>
      <c r="J13" s="14">
        <v>4</v>
      </c>
      <c r="K13" s="14">
        <v>4</v>
      </c>
      <c r="L13" s="15">
        <v>4.8</v>
      </c>
      <c r="M13" s="15">
        <v>19.2</v>
      </c>
    </row>
    <row r="14" spans="1:13">
      <c r="D14" s="12">
        <v>46048</v>
      </c>
      <c r="E14" s="13">
        <v>1573555</v>
      </c>
      <c r="F14" s="13" t="s">
        <v>44</v>
      </c>
      <c r="G14" s="14">
        <v>20305025</v>
      </c>
      <c r="H14" s="13" t="s">
        <v>36</v>
      </c>
      <c r="I14" s="13" t="s">
        <v>30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46049</v>
      </c>
      <c r="E15" s="13">
        <v>1573929</v>
      </c>
      <c r="F15" s="13" t="s">
        <v>15</v>
      </c>
      <c r="G15" s="14">
        <v>20303920</v>
      </c>
      <c r="H15" s="13" t="s">
        <v>45</v>
      </c>
      <c r="I15" s="13" t="s">
        <v>46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46050</v>
      </c>
      <c r="E16" s="13">
        <v>1574270</v>
      </c>
      <c r="F16" s="13" t="s">
        <v>15</v>
      </c>
      <c r="G16" s="14">
        <v>20303920</v>
      </c>
      <c r="H16" s="13" t="s">
        <v>45</v>
      </c>
      <c r="I16" s="13" t="s">
        <v>46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46050</v>
      </c>
      <c r="E17" s="13">
        <v>1574270</v>
      </c>
      <c r="F17" s="13" t="s">
        <v>15</v>
      </c>
      <c r="G17" s="14">
        <v>20309722</v>
      </c>
      <c r="H17" s="13" t="s">
        <v>47</v>
      </c>
      <c r="I17" s="13" t="s">
        <v>48</v>
      </c>
      <c r="J17" s="14">
        <v>1</v>
      </c>
      <c r="K17" s="14">
        <v>1</v>
      </c>
      <c r="L17" s="15">
        <v>6.6</v>
      </c>
      <c r="M17" s="15">
        <v>6.6</v>
      </c>
    </row>
    <row r="18" spans="4:13">
      <c r="D18" s="12">
        <v>46051</v>
      </c>
      <c r="E18" s="13">
        <v>1574663</v>
      </c>
      <c r="F18" s="13" t="s">
        <v>15</v>
      </c>
      <c r="G18" s="14">
        <v>20303920</v>
      </c>
      <c r="H18" s="13" t="s">
        <v>45</v>
      </c>
      <c r="I18" s="13" t="s">
        <v>46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46051</v>
      </c>
      <c r="E19" s="13">
        <v>1574663</v>
      </c>
      <c r="F19" s="13" t="s">
        <v>15</v>
      </c>
      <c r="G19" s="14">
        <v>20314009</v>
      </c>
      <c r="H19" s="13" t="s">
        <v>49</v>
      </c>
      <c r="I19" s="13" t="s">
        <v>17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46051</v>
      </c>
      <c r="E20" s="13">
        <v>1574663</v>
      </c>
      <c r="F20" s="13" t="s">
        <v>15</v>
      </c>
      <c r="G20" s="14">
        <v>20309572</v>
      </c>
      <c r="H20" s="13" t="s">
        <v>50</v>
      </c>
      <c r="I20" s="13" t="s">
        <v>32</v>
      </c>
      <c r="J20" s="14">
        <v>1</v>
      </c>
      <c r="K20" s="14">
        <v>1</v>
      </c>
      <c r="L20" s="15">
        <v>7.8</v>
      </c>
      <c r="M20" s="15">
        <v>7.8</v>
      </c>
    </row>
    <row r="21" spans="4:13">
      <c r="D21" s="12">
        <v>46051</v>
      </c>
      <c r="E21" s="13">
        <v>1574663</v>
      </c>
      <c r="F21" s="13" t="s">
        <v>44</v>
      </c>
      <c r="G21" s="14">
        <v>20305025</v>
      </c>
      <c r="H21" s="13" t="s">
        <v>36</v>
      </c>
      <c r="I21" s="13" t="s">
        <v>30</v>
      </c>
      <c r="J21" s="14">
        <v>1</v>
      </c>
      <c r="K21" s="14">
        <v>5</v>
      </c>
      <c r="L21" s="15">
        <v>16.5</v>
      </c>
      <c r="M21" s="15">
        <v>16.5</v>
      </c>
    </row>
    <row r="22" spans="4:13">
      <c r="D22" s="12">
        <v>46055</v>
      </c>
      <c r="E22" s="13">
        <v>1575454</v>
      </c>
      <c r="F22" s="13" t="s">
        <v>44</v>
      </c>
      <c r="G22" s="14">
        <v>20305025</v>
      </c>
      <c r="H22" s="13" t="s">
        <v>36</v>
      </c>
      <c r="I22" s="13" t="s">
        <v>30</v>
      </c>
      <c r="J22" s="14">
        <v>1</v>
      </c>
      <c r="K22" s="14">
        <v>5</v>
      </c>
      <c r="L22" s="15">
        <v>16.5</v>
      </c>
      <c r="M22" s="15">
        <v>16.5</v>
      </c>
    </row>
    <row r="23" spans="4:13">
      <c r="D23" s="12">
        <v>46057</v>
      </c>
      <c r="E23" s="13">
        <v>1576137</v>
      </c>
      <c r="F23" s="13" t="s">
        <v>15</v>
      </c>
      <c r="G23" s="14">
        <v>20303920</v>
      </c>
      <c r="H23" s="13" t="s">
        <v>45</v>
      </c>
      <c r="I23" s="13" t="s">
        <v>46</v>
      </c>
      <c r="J23" s="14">
        <v>3</v>
      </c>
      <c r="K23" s="14">
        <v>3</v>
      </c>
      <c r="L23" s="15">
        <v>4.8</v>
      </c>
      <c r="M23" s="15">
        <v>14.4</v>
      </c>
    </row>
    <row r="24" spans="4:13">
      <c r="D24" s="12">
        <v>46057</v>
      </c>
      <c r="E24" s="13">
        <v>1576137</v>
      </c>
      <c r="F24" s="13" t="s">
        <v>15</v>
      </c>
      <c r="G24" s="14">
        <v>20314009</v>
      </c>
      <c r="H24" s="13" t="s">
        <v>49</v>
      </c>
      <c r="I24" s="13" t="s">
        <v>17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46058</v>
      </c>
      <c r="E25" s="13">
        <v>1576509</v>
      </c>
      <c r="F25" s="13" t="s">
        <v>44</v>
      </c>
      <c r="G25" s="14">
        <v>20305025</v>
      </c>
      <c r="H25" s="13" t="s">
        <v>36</v>
      </c>
      <c r="I25" s="13" t="s">
        <v>30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46062</v>
      </c>
      <c r="E26" s="13">
        <v>1577321</v>
      </c>
      <c r="F26" s="13" t="s">
        <v>44</v>
      </c>
      <c r="G26" s="14">
        <v>20305025</v>
      </c>
      <c r="H26" s="13" t="s">
        <v>36</v>
      </c>
      <c r="I26" s="13" t="s">
        <v>30</v>
      </c>
      <c r="J26" s="14">
        <v>1</v>
      </c>
      <c r="K26" s="14">
        <v>5</v>
      </c>
      <c r="L26" s="15">
        <v>16.5</v>
      </c>
      <c r="M26" s="15">
        <v>16.5</v>
      </c>
    </row>
    <row r="27" spans="4:13">
      <c r="D27" s="12">
        <v>46063</v>
      </c>
      <c r="E27" s="13">
        <v>1577641</v>
      </c>
      <c r="F27" s="13" t="s">
        <v>15</v>
      </c>
      <c r="G27" s="14">
        <v>20305049</v>
      </c>
      <c r="H27" s="13" t="s">
        <v>16</v>
      </c>
      <c r="I27" s="13" t="s">
        <v>17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46063</v>
      </c>
      <c r="E28" s="13">
        <v>1577641</v>
      </c>
      <c r="F28" s="13" t="s">
        <v>15</v>
      </c>
      <c r="G28" s="14">
        <v>20303922</v>
      </c>
      <c r="H28" s="13" t="s">
        <v>20</v>
      </c>
      <c r="I28" s="13" t="s">
        <v>17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46065</v>
      </c>
      <c r="E29" s="13">
        <v>1578292</v>
      </c>
      <c r="F29" s="13" t="s">
        <v>44</v>
      </c>
      <c r="G29" s="14">
        <v>20305025</v>
      </c>
      <c r="H29" s="13" t="s">
        <v>36</v>
      </c>
      <c r="I29" s="13" t="s">
        <v>30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46067</v>
      </c>
      <c r="E30" s="13">
        <v>1578905</v>
      </c>
      <c r="F30" s="13" t="s">
        <v>44</v>
      </c>
      <c r="G30" s="14">
        <v>20305025</v>
      </c>
      <c r="H30" s="13" t="s">
        <v>36</v>
      </c>
      <c r="I30" s="13" t="s">
        <v>30</v>
      </c>
      <c r="J30" s="14">
        <v>1</v>
      </c>
      <c r="K30" s="14">
        <v>5</v>
      </c>
      <c r="L30" s="15">
        <v>16.5</v>
      </c>
      <c r="M30" s="15">
        <v>16.5</v>
      </c>
    </row>
  </sheetData>
  <autoFilter xmlns:etc="http://www.wps.cn/officeDocument/2017/etCustomData" ref="A7:M30" etc:filterBottomFollowUsedRange="0">
    <extLst/>
  </autoFilter>
  <mergeCells count="5">
    <mergeCell ref="D8:I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8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8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9.87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95</v>
      </c>
      <c r="K8" s="10">
        <v>361</v>
      </c>
      <c r="L8" s="11"/>
      <c r="M8" s="11">
        <v>1295.4</v>
      </c>
    </row>
    <row r="9" spans="1:13">
      <c r="D9" s="12">
        <v>46044</v>
      </c>
      <c r="E9" s="13">
        <v>1572719</v>
      </c>
      <c r="F9" s="13" t="s">
        <v>15</v>
      </c>
      <c r="G9" s="14">
        <v>20310512</v>
      </c>
      <c r="H9" s="13" t="s">
        <v>52</v>
      </c>
      <c r="I9" s="13" t="s">
        <v>32</v>
      </c>
      <c r="J9" s="14">
        <v>1</v>
      </c>
      <c r="K9" s="14">
        <v>1</v>
      </c>
      <c r="L9" s="15">
        <v>7.8</v>
      </c>
      <c r="M9" s="15">
        <v>7.8</v>
      </c>
    </row>
    <row r="10" spans="1:13">
      <c r="D10" s="12">
        <v>46044</v>
      </c>
      <c r="E10" s="13">
        <v>1572719</v>
      </c>
      <c r="F10" s="13" t="s">
        <v>15</v>
      </c>
      <c r="G10" s="14">
        <v>20303920</v>
      </c>
      <c r="H10" s="13" t="s">
        <v>45</v>
      </c>
      <c r="I10" s="13" t="s">
        <v>46</v>
      </c>
      <c r="J10" s="14">
        <v>3</v>
      </c>
      <c r="K10" s="14">
        <v>3</v>
      </c>
      <c r="L10" s="15">
        <v>4.8</v>
      </c>
      <c r="M10" s="15">
        <v>14.4</v>
      </c>
    </row>
    <row r="11" spans="1:13">
      <c r="D11" s="12">
        <v>46044</v>
      </c>
      <c r="E11" s="13">
        <v>1572719</v>
      </c>
      <c r="F11" s="13" t="s">
        <v>15</v>
      </c>
      <c r="G11" s="14">
        <v>20305049</v>
      </c>
      <c r="H11" s="13" t="s">
        <v>16</v>
      </c>
      <c r="I11" s="13" t="s">
        <v>17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46044</v>
      </c>
      <c r="E12" s="13">
        <v>1572719</v>
      </c>
      <c r="F12" s="13" t="s">
        <v>15</v>
      </c>
      <c r="G12" s="14">
        <v>20303922</v>
      </c>
      <c r="H12" s="13" t="s">
        <v>20</v>
      </c>
      <c r="I12" s="13" t="s">
        <v>17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46044</v>
      </c>
      <c r="E13" s="13">
        <v>1572719</v>
      </c>
      <c r="F13" s="13" t="s">
        <v>44</v>
      </c>
      <c r="G13" s="14">
        <v>20305026</v>
      </c>
      <c r="H13" s="13" t="s">
        <v>53</v>
      </c>
      <c r="I13" s="13" t="s">
        <v>30</v>
      </c>
      <c r="J13" s="14">
        <v>1</v>
      </c>
      <c r="K13" s="14">
        <v>4</v>
      </c>
      <c r="L13" s="15">
        <v>13.2</v>
      </c>
      <c r="M13" s="15">
        <v>13.2</v>
      </c>
    </row>
    <row r="14" spans="1:13">
      <c r="D14" s="12">
        <v>46044</v>
      </c>
      <c r="E14" s="13">
        <v>1572719</v>
      </c>
      <c r="F14" s="13" t="s">
        <v>54</v>
      </c>
      <c r="G14" s="14">
        <v>20353231</v>
      </c>
      <c r="H14" s="13" t="s">
        <v>55</v>
      </c>
      <c r="I14" s="13" t="s">
        <v>37</v>
      </c>
      <c r="J14" s="14">
        <v>3</v>
      </c>
      <c r="K14" s="14">
        <v>36</v>
      </c>
      <c r="L14" s="15">
        <v>39.6</v>
      </c>
      <c r="M14" s="15">
        <v>118.8</v>
      </c>
    </row>
    <row r="15" spans="1:13">
      <c r="D15" s="12">
        <v>46047</v>
      </c>
      <c r="E15" s="13">
        <v>1573421</v>
      </c>
      <c r="F15" s="13" t="s">
        <v>15</v>
      </c>
      <c r="G15" s="14">
        <v>20310196</v>
      </c>
      <c r="H15" s="13" t="s">
        <v>56</v>
      </c>
      <c r="I15" s="13" t="s">
        <v>57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46047</v>
      </c>
      <c r="E16" s="13">
        <v>1573421</v>
      </c>
      <c r="F16" s="13" t="s">
        <v>15</v>
      </c>
      <c r="G16" s="14">
        <v>20310512</v>
      </c>
      <c r="H16" s="13" t="s">
        <v>52</v>
      </c>
      <c r="I16" s="13" t="s">
        <v>32</v>
      </c>
      <c r="J16" s="14">
        <v>1</v>
      </c>
      <c r="K16" s="14">
        <v>1</v>
      </c>
      <c r="L16" s="15">
        <v>7.8</v>
      </c>
      <c r="M16" s="15">
        <v>7.8</v>
      </c>
    </row>
    <row r="17" spans="4:13">
      <c r="D17" s="12">
        <v>46047</v>
      </c>
      <c r="E17" s="13">
        <v>1573421</v>
      </c>
      <c r="F17" s="13" t="s">
        <v>15</v>
      </c>
      <c r="G17" s="14">
        <v>20303920</v>
      </c>
      <c r="H17" s="13" t="s">
        <v>45</v>
      </c>
      <c r="I17" s="13" t="s">
        <v>46</v>
      </c>
      <c r="J17" s="14">
        <v>6</v>
      </c>
      <c r="K17" s="14">
        <v>6</v>
      </c>
      <c r="L17" s="15">
        <v>4.8</v>
      </c>
      <c r="M17" s="15">
        <v>28.8</v>
      </c>
    </row>
    <row r="18" spans="4:13">
      <c r="D18" s="12">
        <v>46047</v>
      </c>
      <c r="E18" s="13">
        <v>1573421</v>
      </c>
      <c r="F18" s="13" t="s">
        <v>15</v>
      </c>
      <c r="G18" s="14">
        <v>20363783</v>
      </c>
      <c r="H18" s="13" t="s">
        <v>58</v>
      </c>
      <c r="I18" s="13" t="s">
        <v>48</v>
      </c>
      <c r="J18" s="14">
        <v>1</v>
      </c>
      <c r="K18" s="14">
        <v>1</v>
      </c>
      <c r="L18" s="15">
        <v>6.6</v>
      </c>
      <c r="M18" s="15">
        <v>6.6</v>
      </c>
    </row>
    <row r="19" spans="4:13">
      <c r="D19" s="12">
        <v>46047</v>
      </c>
      <c r="E19" s="13">
        <v>1573421</v>
      </c>
      <c r="F19" s="13" t="s">
        <v>15</v>
      </c>
      <c r="G19" s="14">
        <v>20309574</v>
      </c>
      <c r="H19" s="13" t="s">
        <v>59</v>
      </c>
      <c r="I19" s="13" t="s">
        <v>60</v>
      </c>
      <c r="J19" s="14">
        <v>1</v>
      </c>
      <c r="K19" s="14">
        <v>1</v>
      </c>
      <c r="L19" s="15">
        <v>6.6</v>
      </c>
      <c r="M19" s="15">
        <v>6.6</v>
      </c>
    </row>
    <row r="20" spans="4:13">
      <c r="D20" s="12">
        <v>46047</v>
      </c>
      <c r="E20" s="13">
        <v>1573421</v>
      </c>
      <c r="F20" s="13" t="s">
        <v>15</v>
      </c>
      <c r="G20" s="14">
        <v>20309721</v>
      </c>
      <c r="H20" s="13" t="s">
        <v>61</v>
      </c>
      <c r="I20" s="13" t="s">
        <v>62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46047</v>
      </c>
      <c r="E21" s="13">
        <v>1573421</v>
      </c>
      <c r="F21" s="13" t="s">
        <v>54</v>
      </c>
      <c r="G21" s="14">
        <v>20353231</v>
      </c>
      <c r="H21" s="13" t="s">
        <v>55</v>
      </c>
      <c r="I21" s="13" t="s">
        <v>37</v>
      </c>
      <c r="J21" s="14">
        <v>2</v>
      </c>
      <c r="K21" s="14">
        <v>24</v>
      </c>
      <c r="L21" s="15">
        <v>39.6</v>
      </c>
      <c r="M21" s="15">
        <v>79.2</v>
      </c>
    </row>
    <row r="22" spans="4:13">
      <c r="D22" s="12">
        <v>46048</v>
      </c>
      <c r="E22" s="13">
        <v>1573562</v>
      </c>
      <c r="F22" s="13" t="s">
        <v>44</v>
      </c>
      <c r="G22" s="14">
        <v>20305026</v>
      </c>
      <c r="H22" s="13" t="s">
        <v>53</v>
      </c>
      <c r="I22" s="13" t="s">
        <v>30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46049</v>
      </c>
      <c r="E23" s="13">
        <v>1573961</v>
      </c>
      <c r="F23" s="13" t="s">
        <v>15</v>
      </c>
      <c r="G23" s="14">
        <v>20310512</v>
      </c>
      <c r="H23" s="13" t="s">
        <v>52</v>
      </c>
      <c r="I23" s="13" t="s">
        <v>32</v>
      </c>
      <c r="J23" s="14">
        <v>1</v>
      </c>
      <c r="K23" s="14">
        <v>1</v>
      </c>
      <c r="L23" s="15">
        <v>7.8</v>
      </c>
      <c r="M23" s="15">
        <v>7.8</v>
      </c>
    </row>
    <row r="24" spans="4:13">
      <c r="D24" s="12">
        <v>46049</v>
      </c>
      <c r="E24" s="13">
        <v>1573961</v>
      </c>
      <c r="F24" s="13" t="s">
        <v>15</v>
      </c>
      <c r="G24" s="14">
        <v>20303920</v>
      </c>
      <c r="H24" s="13" t="s">
        <v>45</v>
      </c>
      <c r="I24" s="13" t="s">
        <v>46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46049</v>
      </c>
      <c r="E25" s="13">
        <v>1573961</v>
      </c>
      <c r="F25" s="13" t="s">
        <v>15</v>
      </c>
      <c r="G25" s="14">
        <v>20311076</v>
      </c>
      <c r="H25" s="13" t="s">
        <v>63</v>
      </c>
      <c r="I25" s="13" t="s">
        <v>19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46049</v>
      </c>
      <c r="E26" s="13">
        <v>1573961</v>
      </c>
      <c r="F26" s="13" t="s">
        <v>15</v>
      </c>
      <c r="G26" s="14">
        <v>20313247</v>
      </c>
      <c r="H26" s="13" t="s">
        <v>64</v>
      </c>
      <c r="I26" s="13" t="s">
        <v>62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46049</v>
      </c>
      <c r="E27" s="13">
        <v>1573961</v>
      </c>
      <c r="F27" s="13" t="s">
        <v>15</v>
      </c>
      <c r="G27" s="14">
        <v>20303922</v>
      </c>
      <c r="H27" s="13" t="s">
        <v>20</v>
      </c>
      <c r="I27" s="13" t="s">
        <v>17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46049</v>
      </c>
      <c r="E28" s="13">
        <v>1573961</v>
      </c>
      <c r="F28" s="13" t="s">
        <v>54</v>
      </c>
      <c r="G28" s="14">
        <v>20353231</v>
      </c>
      <c r="H28" s="13" t="s">
        <v>55</v>
      </c>
      <c r="I28" s="13" t="s">
        <v>37</v>
      </c>
      <c r="J28" s="14">
        <v>2</v>
      </c>
      <c r="K28" s="14">
        <v>24</v>
      </c>
      <c r="L28" s="15">
        <v>39.6</v>
      </c>
      <c r="M28" s="15">
        <v>79.2</v>
      </c>
    </row>
    <row r="29" spans="4:13">
      <c r="D29" s="12">
        <v>46049</v>
      </c>
      <c r="E29" s="13">
        <v>1573961</v>
      </c>
      <c r="F29" s="13" t="s">
        <v>54</v>
      </c>
      <c r="G29" s="14">
        <v>20331850</v>
      </c>
      <c r="H29" s="13" t="s">
        <v>65</v>
      </c>
      <c r="I29" s="13" t="s">
        <v>66</v>
      </c>
      <c r="J29" s="14">
        <v>1</v>
      </c>
      <c r="K29" s="14">
        <v>9</v>
      </c>
      <c r="L29" s="15">
        <v>29.7</v>
      </c>
      <c r="M29" s="15">
        <v>29.7</v>
      </c>
    </row>
    <row r="30" spans="4:13">
      <c r="D30" s="12">
        <v>46050</v>
      </c>
      <c r="E30" s="13">
        <v>1574276</v>
      </c>
      <c r="F30" s="13" t="s">
        <v>54</v>
      </c>
      <c r="G30" s="14">
        <v>20353231</v>
      </c>
      <c r="H30" s="13" t="s">
        <v>55</v>
      </c>
      <c r="I30" s="13" t="s">
        <v>37</v>
      </c>
      <c r="J30" s="14">
        <v>1</v>
      </c>
      <c r="K30" s="14">
        <v>12</v>
      </c>
      <c r="L30" s="15">
        <v>39.6</v>
      </c>
      <c r="M30" s="15">
        <v>39.6</v>
      </c>
    </row>
    <row r="31" spans="4:13">
      <c r="D31" s="12">
        <v>46051</v>
      </c>
      <c r="E31" s="13">
        <v>1574668</v>
      </c>
      <c r="F31" s="13" t="s">
        <v>44</v>
      </c>
      <c r="G31" s="14">
        <v>20305026</v>
      </c>
      <c r="H31" s="13" t="s">
        <v>53</v>
      </c>
      <c r="I31" s="13" t="s">
        <v>30</v>
      </c>
      <c r="J31" s="14">
        <v>1</v>
      </c>
      <c r="K31" s="14">
        <v>4</v>
      </c>
      <c r="L31" s="15">
        <v>13.2</v>
      </c>
      <c r="M31" s="15">
        <v>13.2</v>
      </c>
    </row>
    <row r="32" spans="4:13">
      <c r="D32" s="12">
        <v>46052</v>
      </c>
      <c r="E32" s="13">
        <v>1575066</v>
      </c>
      <c r="F32" s="13" t="s">
        <v>15</v>
      </c>
      <c r="G32" s="14">
        <v>20310512</v>
      </c>
      <c r="H32" s="13" t="s">
        <v>52</v>
      </c>
      <c r="I32" s="13" t="s">
        <v>32</v>
      </c>
      <c r="J32" s="14">
        <v>1</v>
      </c>
      <c r="K32" s="14">
        <v>1</v>
      </c>
      <c r="L32" s="15">
        <v>7.8</v>
      </c>
      <c r="M32" s="15">
        <v>7.8</v>
      </c>
    </row>
    <row r="33" spans="4:13">
      <c r="D33" s="12">
        <v>46052</v>
      </c>
      <c r="E33" s="13">
        <v>1575066</v>
      </c>
      <c r="F33" s="13" t="s">
        <v>15</v>
      </c>
      <c r="G33" s="14">
        <v>20303920</v>
      </c>
      <c r="H33" s="13" t="s">
        <v>45</v>
      </c>
      <c r="I33" s="13" t="s">
        <v>46</v>
      </c>
      <c r="J33" s="14">
        <v>3</v>
      </c>
      <c r="K33" s="14">
        <v>3</v>
      </c>
      <c r="L33" s="15">
        <v>4.8</v>
      </c>
      <c r="M33" s="15">
        <v>14.4</v>
      </c>
    </row>
    <row r="34" spans="4:13">
      <c r="D34" s="12">
        <v>46052</v>
      </c>
      <c r="E34" s="13">
        <v>1575066</v>
      </c>
      <c r="F34" s="13" t="s">
        <v>15</v>
      </c>
      <c r="G34" s="14">
        <v>20363783</v>
      </c>
      <c r="H34" s="13" t="s">
        <v>58</v>
      </c>
      <c r="I34" s="13" t="s">
        <v>48</v>
      </c>
      <c r="J34" s="14">
        <v>1</v>
      </c>
      <c r="K34" s="14">
        <v>1</v>
      </c>
      <c r="L34" s="15">
        <v>6.6</v>
      </c>
      <c r="M34" s="15">
        <v>6.6</v>
      </c>
    </row>
    <row r="35" spans="4:13">
      <c r="D35" s="12">
        <v>46052</v>
      </c>
      <c r="E35" s="13">
        <v>1575066</v>
      </c>
      <c r="F35" s="13" t="s">
        <v>15</v>
      </c>
      <c r="G35" s="14">
        <v>20309574</v>
      </c>
      <c r="H35" s="13" t="s">
        <v>59</v>
      </c>
      <c r="I35" s="13" t="s">
        <v>60</v>
      </c>
      <c r="J35" s="14">
        <v>1</v>
      </c>
      <c r="K35" s="14">
        <v>1</v>
      </c>
      <c r="L35" s="15">
        <v>6.6</v>
      </c>
      <c r="M35" s="15">
        <v>6.6</v>
      </c>
    </row>
    <row r="36" spans="4:13">
      <c r="D36" s="12">
        <v>46052</v>
      </c>
      <c r="E36" s="13">
        <v>1575066</v>
      </c>
      <c r="F36" s="13" t="s">
        <v>15</v>
      </c>
      <c r="G36" s="14">
        <v>20313247</v>
      </c>
      <c r="H36" s="13" t="s">
        <v>64</v>
      </c>
      <c r="I36" s="13" t="s">
        <v>62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46052</v>
      </c>
      <c r="E37" s="13">
        <v>1575066</v>
      </c>
      <c r="F37" s="13" t="s">
        <v>15</v>
      </c>
      <c r="G37" s="14">
        <v>20310411</v>
      </c>
      <c r="H37" s="13" t="s">
        <v>67</v>
      </c>
      <c r="I37" s="13" t="s">
        <v>62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46052</v>
      </c>
      <c r="E38" s="13">
        <v>1575066</v>
      </c>
      <c r="F38" s="13" t="s">
        <v>54</v>
      </c>
      <c r="G38" s="14">
        <v>20331850</v>
      </c>
      <c r="H38" s="13" t="s">
        <v>65</v>
      </c>
      <c r="I38" s="13" t="s">
        <v>66</v>
      </c>
      <c r="J38" s="14">
        <v>2</v>
      </c>
      <c r="K38" s="14">
        <v>18</v>
      </c>
      <c r="L38" s="15">
        <v>29.7</v>
      </c>
      <c r="M38" s="15">
        <v>59.4</v>
      </c>
    </row>
    <row r="39" spans="4:13">
      <c r="D39" s="12">
        <v>46054</v>
      </c>
      <c r="E39" s="13">
        <v>1575319</v>
      </c>
      <c r="F39" s="13" t="s">
        <v>15</v>
      </c>
      <c r="G39" s="14">
        <v>20303920</v>
      </c>
      <c r="H39" s="13" t="s">
        <v>45</v>
      </c>
      <c r="I39" s="13" t="s">
        <v>46</v>
      </c>
      <c r="J39" s="14">
        <v>3</v>
      </c>
      <c r="K39" s="14">
        <v>3</v>
      </c>
      <c r="L39" s="15">
        <v>4.8</v>
      </c>
      <c r="M39" s="15">
        <v>14.4</v>
      </c>
    </row>
    <row r="40" spans="4:13">
      <c r="D40" s="12">
        <v>46054</v>
      </c>
      <c r="E40" s="13">
        <v>1575319</v>
      </c>
      <c r="F40" s="13" t="s">
        <v>15</v>
      </c>
      <c r="G40" s="14">
        <v>20363783</v>
      </c>
      <c r="H40" s="13" t="s">
        <v>58</v>
      </c>
      <c r="I40" s="13" t="s">
        <v>48</v>
      </c>
      <c r="J40" s="14">
        <v>1</v>
      </c>
      <c r="K40" s="14">
        <v>1</v>
      </c>
      <c r="L40" s="15">
        <v>6.6</v>
      </c>
      <c r="M40" s="15">
        <v>6.6</v>
      </c>
    </row>
    <row r="41" spans="4:13">
      <c r="D41" s="12">
        <v>46054</v>
      </c>
      <c r="E41" s="13">
        <v>1575319</v>
      </c>
      <c r="F41" s="13" t="s">
        <v>15</v>
      </c>
      <c r="G41" s="14">
        <v>20305049</v>
      </c>
      <c r="H41" s="13" t="s">
        <v>16</v>
      </c>
      <c r="I41" s="13" t="s">
        <v>17</v>
      </c>
      <c r="J41" s="14">
        <v>1</v>
      </c>
      <c r="K41" s="14">
        <v>1</v>
      </c>
      <c r="L41" s="15">
        <v>4.8</v>
      </c>
      <c r="M41" s="15">
        <v>4.8</v>
      </c>
    </row>
    <row r="42" spans="4:13">
      <c r="D42" s="12">
        <v>46054</v>
      </c>
      <c r="E42" s="13">
        <v>1575319</v>
      </c>
      <c r="F42" s="13" t="s">
        <v>15</v>
      </c>
      <c r="G42" s="14">
        <v>20311682</v>
      </c>
      <c r="H42" s="13" t="s">
        <v>68</v>
      </c>
      <c r="I42" s="13" t="s">
        <v>19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46054</v>
      </c>
      <c r="E43" s="13">
        <v>1575319</v>
      </c>
      <c r="F43" s="13" t="s">
        <v>15</v>
      </c>
      <c r="G43" s="14">
        <v>20313247</v>
      </c>
      <c r="H43" s="13" t="s">
        <v>64</v>
      </c>
      <c r="I43" s="13" t="s">
        <v>62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46054</v>
      </c>
      <c r="E44" s="13">
        <v>1575319</v>
      </c>
      <c r="F44" s="13" t="s">
        <v>15</v>
      </c>
      <c r="G44" s="14">
        <v>20303922</v>
      </c>
      <c r="H44" s="13" t="s">
        <v>20</v>
      </c>
      <c r="I44" s="13" t="s">
        <v>17</v>
      </c>
      <c r="J44" s="14">
        <v>2</v>
      </c>
      <c r="K44" s="14">
        <v>2</v>
      </c>
      <c r="L44" s="15">
        <v>4.8</v>
      </c>
      <c r="M44" s="15">
        <v>9.6</v>
      </c>
    </row>
    <row r="45" spans="4:13">
      <c r="D45" s="12">
        <v>46054</v>
      </c>
      <c r="E45" s="13">
        <v>1575319</v>
      </c>
      <c r="F45" s="13" t="s">
        <v>54</v>
      </c>
      <c r="G45" s="14">
        <v>20353231</v>
      </c>
      <c r="H45" s="13" t="s">
        <v>55</v>
      </c>
      <c r="I45" s="13" t="s">
        <v>37</v>
      </c>
      <c r="J45" s="14">
        <v>1</v>
      </c>
      <c r="K45" s="14">
        <v>12</v>
      </c>
      <c r="L45" s="15">
        <v>39.6</v>
      </c>
      <c r="M45" s="15">
        <v>39.6</v>
      </c>
    </row>
    <row r="46" spans="4:13">
      <c r="D46" s="12">
        <v>46054</v>
      </c>
      <c r="E46" s="13">
        <v>1575319</v>
      </c>
      <c r="F46" s="13" t="s">
        <v>54</v>
      </c>
      <c r="G46" s="14">
        <v>20331850</v>
      </c>
      <c r="H46" s="13" t="s">
        <v>65</v>
      </c>
      <c r="I46" s="13" t="s">
        <v>66</v>
      </c>
      <c r="J46" s="14">
        <v>2</v>
      </c>
      <c r="K46" s="14">
        <v>18</v>
      </c>
      <c r="L46" s="15">
        <v>29.7</v>
      </c>
      <c r="M46" s="15">
        <v>59.4</v>
      </c>
    </row>
    <row r="47" spans="4:13">
      <c r="D47" s="12">
        <v>46055</v>
      </c>
      <c r="E47" s="13">
        <v>1575448</v>
      </c>
      <c r="F47" s="13" t="s">
        <v>44</v>
      </c>
      <c r="G47" s="14">
        <v>20305026</v>
      </c>
      <c r="H47" s="13" t="s">
        <v>53</v>
      </c>
      <c r="I47" s="13" t="s">
        <v>30</v>
      </c>
      <c r="J47" s="14">
        <v>1</v>
      </c>
      <c r="K47" s="14">
        <v>4</v>
      </c>
      <c r="L47" s="15">
        <v>13.2</v>
      </c>
      <c r="M47" s="15">
        <v>13.2</v>
      </c>
    </row>
    <row r="48" spans="4:13">
      <c r="D48" s="12">
        <v>46056</v>
      </c>
      <c r="E48" s="13">
        <v>1575824</v>
      </c>
      <c r="F48" s="13" t="s">
        <v>15</v>
      </c>
      <c r="G48" s="14">
        <v>20310405</v>
      </c>
      <c r="H48" s="13" t="s">
        <v>69</v>
      </c>
      <c r="I48" s="13" t="s">
        <v>70</v>
      </c>
      <c r="J48" s="14">
        <v>1</v>
      </c>
      <c r="K48" s="14">
        <v>6</v>
      </c>
      <c r="L48" s="15">
        <v>8.1</v>
      </c>
      <c r="M48" s="15">
        <v>8.1</v>
      </c>
    </row>
    <row r="49" spans="4:13">
      <c r="D49" s="12">
        <v>46056</v>
      </c>
      <c r="E49" s="13">
        <v>1575824</v>
      </c>
      <c r="F49" s="13" t="s">
        <v>15</v>
      </c>
      <c r="G49" s="14">
        <v>20311682</v>
      </c>
      <c r="H49" s="13" t="s">
        <v>68</v>
      </c>
      <c r="I49" s="13" t="s">
        <v>19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46056</v>
      </c>
      <c r="E50" s="13">
        <v>1575824</v>
      </c>
      <c r="F50" s="13" t="s">
        <v>15</v>
      </c>
      <c r="G50" s="14">
        <v>20311077</v>
      </c>
      <c r="H50" s="13" t="s">
        <v>71</v>
      </c>
      <c r="I50" s="13" t="s">
        <v>19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46056</v>
      </c>
      <c r="E51" s="13">
        <v>1575824</v>
      </c>
      <c r="F51" s="13" t="s">
        <v>15</v>
      </c>
      <c r="G51" s="14">
        <v>20316454</v>
      </c>
      <c r="H51" s="13" t="s">
        <v>72</v>
      </c>
      <c r="I51" s="13" t="s">
        <v>19</v>
      </c>
      <c r="J51" s="14">
        <v>1</v>
      </c>
      <c r="K51" s="14">
        <v>1</v>
      </c>
      <c r="L51" s="15">
        <v>4.8</v>
      </c>
      <c r="M51" s="15">
        <v>4.8</v>
      </c>
    </row>
    <row r="52" spans="4:13">
      <c r="D52" s="12">
        <v>46056</v>
      </c>
      <c r="E52" s="13">
        <v>1575824</v>
      </c>
      <c r="F52" s="13" t="s">
        <v>15</v>
      </c>
      <c r="G52" s="14">
        <v>20309722</v>
      </c>
      <c r="H52" s="13" t="s">
        <v>47</v>
      </c>
      <c r="I52" s="13" t="s">
        <v>48</v>
      </c>
      <c r="J52" s="14">
        <v>1</v>
      </c>
      <c r="K52" s="14">
        <v>1</v>
      </c>
      <c r="L52" s="15">
        <v>6.6</v>
      </c>
      <c r="M52" s="15">
        <v>6.6</v>
      </c>
    </row>
    <row r="53" spans="4:13">
      <c r="D53" s="12">
        <v>46056</v>
      </c>
      <c r="E53" s="13">
        <v>1575824</v>
      </c>
      <c r="F53" s="13" t="s">
        <v>15</v>
      </c>
      <c r="G53" s="14">
        <v>20313247</v>
      </c>
      <c r="H53" s="13" t="s">
        <v>64</v>
      </c>
      <c r="I53" s="13" t="s">
        <v>62</v>
      </c>
      <c r="J53" s="14">
        <v>2</v>
      </c>
      <c r="K53" s="14">
        <v>2</v>
      </c>
      <c r="L53" s="15">
        <v>4.8</v>
      </c>
      <c r="M53" s="15">
        <v>9.6</v>
      </c>
    </row>
    <row r="54" spans="4:13">
      <c r="D54" s="12">
        <v>46056</v>
      </c>
      <c r="E54" s="13">
        <v>1575824</v>
      </c>
      <c r="F54" s="13" t="s">
        <v>15</v>
      </c>
      <c r="G54" s="14">
        <v>20310411</v>
      </c>
      <c r="H54" s="13" t="s">
        <v>67</v>
      </c>
      <c r="I54" s="13" t="s">
        <v>62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46056</v>
      </c>
      <c r="E55" s="13">
        <v>1575824</v>
      </c>
      <c r="F55" s="13" t="s">
        <v>54</v>
      </c>
      <c r="G55" s="14">
        <v>20353231</v>
      </c>
      <c r="H55" s="13" t="s">
        <v>55</v>
      </c>
      <c r="I55" s="13" t="s">
        <v>37</v>
      </c>
      <c r="J55" s="14">
        <v>1</v>
      </c>
      <c r="K55" s="14">
        <v>12</v>
      </c>
      <c r="L55" s="15">
        <v>39.6</v>
      </c>
      <c r="M55" s="15">
        <v>39.6</v>
      </c>
    </row>
    <row r="56" spans="4:13">
      <c r="D56" s="12">
        <v>46056</v>
      </c>
      <c r="E56" s="13">
        <v>1575824</v>
      </c>
      <c r="F56" s="13" t="s">
        <v>54</v>
      </c>
      <c r="G56" s="14">
        <v>20331850</v>
      </c>
      <c r="H56" s="13" t="s">
        <v>65</v>
      </c>
      <c r="I56" s="13" t="s">
        <v>66</v>
      </c>
      <c r="J56" s="14">
        <v>1</v>
      </c>
      <c r="K56" s="14">
        <v>9</v>
      </c>
      <c r="L56" s="15">
        <v>29.7</v>
      </c>
      <c r="M56" s="15">
        <v>29.7</v>
      </c>
    </row>
    <row r="57" spans="4:13">
      <c r="D57" s="12">
        <v>46058</v>
      </c>
      <c r="E57" s="13">
        <v>1576508</v>
      </c>
      <c r="F57" s="13" t="s">
        <v>15</v>
      </c>
      <c r="G57" s="14">
        <v>20303920</v>
      </c>
      <c r="H57" s="13" t="s">
        <v>45</v>
      </c>
      <c r="I57" s="13" t="s">
        <v>46</v>
      </c>
      <c r="J57" s="14">
        <v>1</v>
      </c>
      <c r="K57" s="14">
        <v>1</v>
      </c>
      <c r="L57" s="15">
        <v>4.8</v>
      </c>
      <c r="M57" s="15">
        <v>4.8</v>
      </c>
    </row>
    <row r="58" spans="4:13">
      <c r="D58" s="12">
        <v>46058</v>
      </c>
      <c r="E58" s="13">
        <v>1576508</v>
      </c>
      <c r="F58" s="13" t="s">
        <v>44</v>
      </c>
      <c r="G58" s="14">
        <v>20305026</v>
      </c>
      <c r="H58" s="13" t="s">
        <v>53</v>
      </c>
      <c r="I58" s="13" t="s">
        <v>30</v>
      </c>
      <c r="J58" s="14">
        <v>1</v>
      </c>
      <c r="K58" s="14">
        <v>4</v>
      </c>
      <c r="L58" s="15">
        <v>13.2</v>
      </c>
      <c r="M58" s="15">
        <v>13.2</v>
      </c>
    </row>
    <row r="59" spans="4:13">
      <c r="D59" s="12">
        <v>46059</v>
      </c>
      <c r="E59" s="13">
        <v>1576849</v>
      </c>
      <c r="F59" s="13" t="s">
        <v>15</v>
      </c>
      <c r="G59" s="14">
        <v>20313247</v>
      </c>
      <c r="H59" s="13" t="s">
        <v>64</v>
      </c>
      <c r="I59" s="13" t="s">
        <v>62</v>
      </c>
      <c r="J59" s="14">
        <v>1</v>
      </c>
      <c r="K59" s="14">
        <v>1</v>
      </c>
      <c r="L59" s="15">
        <v>4.8</v>
      </c>
      <c r="M59" s="15">
        <v>4.8</v>
      </c>
    </row>
    <row r="60" spans="4:13">
      <c r="D60" s="12">
        <v>46059</v>
      </c>
      <c r="E60" s="13">
        <v>1576849</v>
      </c>
      <c r="F60" s="13" t="s">
        <v>54</v>
      </c>
      <c r="G60" s="14">
        <v>20331850</v>
      </c>
      <c r="H60" s="13" t="s">
        <v>65</v>
      </c>
      <c r="I60" s="13" t="s">
        <v>66</v>
      </c>
      <c r="J60" s="14">
        <v>1</v>
      </c>
      <c r="K60" s="14">
        <v>9</v>
      </c>
      <c r="L60" s="15">
        <v>29.7</v>
      </c>
      <c r="M60" s="15">
        <v>29.7</v>
      </c>
    </row>
    <row r="61" spans="4:13">
      <c r="D61" s="12">
        <v>46062</v>
      </c>
      <c r="E61" s="13">
        <v>1577319</v>
      </c>
      <c r="F61" s="13" t="s">
        <v>15</v>
      </c>
      <c r="G61" s="14">
        <v>20303920</v>
      </c>
      <c r="H61" s="13" t="s">
        <v>45</v>
      </c>
      <c r="I61" s="13" t="s">
        <v>46</v>
      </c>
      <c r="J61" s="14">
        <v>1</v>
      </c>
      <c r="K61" s="14">
        <v>1</v>
      </c>
      <c r="L61" s="15">
        <v>4.8</v>
      </c>
      <c r="M61" s="15">
        <v>4.8</v>
      </c>
    </row>
    <row r="62" spans="4:13">
      <c r="D62" s="12">
        <v>46062</v>
      </c>
      <c r="E62" s="13">
        <v>1577319</v>
      </c>
      <c r="F62" s="13" t="s">
        <v>44</v>
      </c>
      <c r="G62" s="14">
        <v>20305026</v>
      </c>
      <c r="H62" s="13" t="s">
        <v>53</v>
      </c>
      <c r="I62" s="13" t="s">
        <v>30</v>
      </c>
      <c r="J62" s="14">
        <v>1</v>
      </c>
      <c r="K62" s="14">
        <v>4</v>
      </c>
      <c r="L62" s="15">
        <v>13.2</v>
      </c>
      <c r="M62" s="15">
        <v>13.2</v>
      </c>
    </row>
    <row r="63" spans="4:13">
      <c r="D63" s="12">
        <v>46062</v>
      </c>
      <c r="E63" s="13">
        <v>1577319</v>
      </c>
      <c r="F63" s="13" t="s">
        <v>54</v>
      </c>
      <c r="G63" s="14">
        <v>20353231</v>
      </c>
      <c r="H63" s="13" t="s">
        <v>55</v>
      </c>
      <c r="I63" s="13" t="s">
        <v>37</v>
      </c>
      <c r="J63" s="14">
        <v>2</v>
      </c>
      <c r="K63" s="14">
        <v>24</v>
      </c>
      <c r="L63" s="15">
        <v>39.6</v>
      </c>
      <c r="M63" s="15">
        <v>79.2</v>
      </c>
    </row>
    <row r="64" spans="4:13">
      <c r="D64" s="12">
        <v>46064</v>
      </c>
      <c r="E64" s="13">
        <v>1577975</v>
      </c>
      <c r="F64" s="13" t="s">
        <v>54</v>
      </c>
      <c r="G64" s="14">
        <v>20353231</v>
      </c>
      <c r="H64" s="13" t="s">
        <v>55</v>
      </c>
      <c r="I64" s="13" t="s">
        <v>37</v>
      </c>
      <c r="J64" s="14">
        <v>1</v>
      </c>
      <c r="K64" s="14">
        <v>12</v>
      </c>
      <c r="L64" s="15">
        <v>39.6</v>
      </c>
      <c r="M64" s="15">
        <v>39.6</v>
      </c>
    </row>
    <row r="65" spans="4:13">
      <c r="D65" s="12">
        <v>46065</v>
      </c>
      <c r="E65" s="13">
        <v>1578288</v>
      </c>
      <c r="F65" s="13" t="s">
        <v>44</v>
      </c>
      <c r="G65" s="14">
        <v>20305026</v>
      </c>
      <c r="H65" s="13" t="s">
        <v>53</v>
      </c>
      <c r="I65" s="13" t="s">
        <v>30</v>
      </c>
      <c r="J65" s="14">
        <v>1</v>
      </c>
      <c r="K65" s="14">
        <v>4</v>
      </c>
      <c r="L65" s="15">
        <v>13.2</v>
      </c>
      <c r="M65" s="15">
        <v>13.2</v>
      </c>
    </row>
    <row r="66" spans="4:13">
      <c r="D66" s="12">
        <v>46067</v>
      </c>
      <c r="E66" s="13">
        <v>1578857</v>
      </c>
      <c r="F66" s="13" t="s">
        <v>15</v>
      </c>
      <c r="G66" s="14">
        <v>20303920</v>
      </c>
      <c r="H66" s="13" t="s">
        <v>45</v>
      </c>
      <c r="I66" s="13" t="s">
        <v>46</v>
      </c>
      <c r="J66" s="14">
        <v>5</v>
      </c>
      <c r="K66" s="14">
        <v>5</v>
      </c>
      <c r="L66" s="15">
        <v>4.8</v>
      </c>
      <c r="M66" s="15">
        <v>24</v>
      </c>
    </row>
    <row r="67" spans="4:13">
      <c r="D67" s="12">
        <v>46067</v>
      </c>
      <c r="E67" s="13">
        <v>1578857</v>
      </c>
      <c r="F67" s="13" t="s">
        <v>15</v>
      </c>
      <c r="G67" s="14">
        <v>20310411</v>
      </c>
      <c r="H67" s="13" t="s">
        <v>67</v>
      </c>
      <c r="I67" s="13" t="s">
        <v>62</v>
      </c>
      <c r="J67" s="14">
        <v>1</v>
      </c>
      <c r="K67" s="14">
        <v>1</v>
      </c>
      <c r="L67" s="15">
        <v>4.8</v>
      </c>
      <c r="M67" s="15">
        <v>4.8</v>
      </c>
    </row>
    <row r="68" spans="4:13">
      <c r="D68" s="12">
        <v>46067</v>
      </c>
      <c r="E68" s="13">
        <v>1578857</v>
      </c>
      <c r="F68" s="13" t="s">
        <v>54</v>
      </c>
      <c r="G68" s="14">
        <v>20353231</v>
      </c>
      <c r="H68" s="13" t="s">
        <v>55</v>
      </c>
      <c r="I68" s="13" t="s">
        <v>37</v>
      </c>
      <c r="J68" s="14">
        <v>1</v>
      </c>
      <c r="K68" s="14">
        <v>12</v>
      </c>
      <c r="L68" s="15">
        <v>39.6</v>
      </c>
      <c r="M68" s="15">
        <v>39.6</v>
      </c>
    </row>
    <row r="69" spans="4:13">
      <c r="D69" s="12">
        <v>46067</v>
      </c>
      <c r="E69" s="13">
        <v>1578857</v>
      </c>
      <c r="F69" s="13" t="s">
        <v>54</v>
      </c>
      <c r="G69" s="14">
        <v>20331850</v>
      </c>
      <c r="H69" s="13" t="s">
        <v>65</v>
      </c>
      <c r="I69" s="13" t="s">
        <v>66</v>
      </c>
      <c r="J69" s="14">
        <v>1</v>
      </c>
      <c r="K69" s="14">
        <v>9</v>
      </c>
      <c r="L69" s="15">
        <v>29.7</v>
      </c>
      <c r="M69" s="15">
        <v>29.7</v>
      </c>
    </row>
    <row r="70" spans="4:13">
      <c r="D70" s="12">
        <v>46067</v>
      </c>
      <c r="E70" s="13">
        <v>1578899</v>
      </c>
      <c r="F70" s="13" t="s">
        <v>44</v>
      </c>
      <c r="G70" s="14">
        <v>20305026</v>
      </c>
      <c r="H70" s="13" t="s">
        <v>53</v>
      </c>
      <c r="I70" s="13" t="s">
        <v>30</v>
      </c>
      <c r="J70" s="14">
        <v>1</v>
      </c>
      <c r="K70" s="14">
        <v>4</v>
      </c>
      <c r="L70" s="15">
        <v>13.2</v>
      </c>
      <c r="M70" s="15">
        <v>13.2</v>
      </c>
    </row>
    <row r="71" spans="4:13">
      <c r="D71" s="12">
        <v>46072</v>
      </c>
      <c r="E71" s="13">
        <v>1579240</v>
      </c>
      <c r="F71" s="13" t="s">
        <v>15</v>
      </c>
      <c r="G71" s="14">
        <v>20303920</v>
      </c>
      <c r="H71" s="13" t="s">
        <v>45</v>
      </c>
      <c r="I71" s="13" t="s">
        <v>46</v>
      </c>
      <c r="J71" s="14">
        <v>5</v>
      </c>
      <c r="K71" s="14">
        <v>5</v>
      </c>
      <c r="L71" s="15">
        <v>4.8</v>
      </c>
      <c r="M71" s="15">
        <v>24</v>
      </c>
    </row>
    <row r="72" spans="4:13">
      <c r="D72" s="12">
        <v>46072</v>
      </c>
      <c r="E72" s="13">
        <v>1579240</v>
      </c>
      <c r="F72" s="13" t="s">
        <v>15</v>
      </c>
      <c r="G72" s="14">
        <v>20313247</v>
      </c>
      <c r="H72" s="13" t="s">
        <v>64</v>
      </c>
      <c r="I72" s="13" t="s">
        <v>62</v>
      </c>
      <c r="J72" s="14">
        <v>1</v>
      </c>
      <c r="K72" s="14">
        <v>1</v>
      </c>
      <c r="L72" s="15">
        <v>4.8</v>
      </c>
      <c r="M72" s="15">
        <v>4.8</v>
      </c>
    </row>
    <row r="73" spans="4:13">
      <c r="D73" s="12">
        <v>46072</v>
      </c>
      <c r="E73" s="13">
        <v>1579240</v>
      </c>
      <c r="F73" s="13" t="s">
        <v>54</v>
      </c>
      <c r="G73" s="14">
        <v>20353231</v>
      </c>
      <c r="H73" s="13" t="s">
        <v>55</v>
      </c>
      <c r="I73" s="13" t="s">
        <v>37</v>
      </c>
      <c r="J73" s="14">
        <v>1</v>
      </c>
      <c r="K73" s="14">
        <v>12</v>
      </c>
      <c r="L73" s="15">
        <v>39.6</v>
      </c>
      <c r="M73" s="15">
        <v>39.6</v>
      </c>
    </row>
    <row r="74" spans="4:13">
      <c r="D74" s="12">
        <v>46072</v>
      </c>
      <c r="E74" s="13">
        <v>1579240</v>
      </c>
      <c r="F74" s="13" t="s">
        <v>54</v>
      </c>
      <c r="G74" s="14">
        <v>20331850</v>
      </c>
      <c r="H74" s="13" t="s">
        <v>65</v>
      </c>
      <c r="I74" s="13" t="s">
        <v>66</v>
      </c>
      <c r="J74" s="14">
        <v>1</v>
      </c>
      <c r="K74" s="14">
        <v>9</v>
      </c>
      <c r="L74" s="15">
        <v>29.7</v>
      </c>
      <c r="M74" s="15">
        <v>29.7</v>
      </c>
    </row>
  </sheetData>
  <autoFilter xmlns:etc="http://www.wps.cn/officeDocument/2017/etCustomData" ref="A7:M74" etc:filterBottomFollowUsedRange="0">
    <extLst/>
  </autoFilter>
  <mergeCells count="5">
    <mergeCell ref="D8:I8"/>
    <mergeCell ref="C7:C74"/>
    <mergeCell ref="B4:H5"/>
    <mergeCell ref="A7:B74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showGridLines="0" view="pageBreakPreview" zoomScaleNormal="100" workbookViewId="0">
      <pane ySplit="6" topLeftCell="A7" activePane="bottomLeft" state="frozen"/>
      <selection/>
      <selection pane="bottomLeft" activeCell="H19" sqref="H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875" customWidth="1"/>
    <col min="9" max="9" width="20.5416666666667" customWidth="1"/>
    <col min="10" max="10" width="6.475" customWidth="1"/>
    <col min="11" max="11" width="9.45" customWidth="1"/>
    <col min="12" max="12" width="11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</v>
      </c>
      <c r="K8" s="10">
        <v>9</v>
      </c>
      <c r="L8" s="11"/>
      <c r="M8" s="11">
        <v>47.4</v>
      </c>
    </row>
    <row r="9" spans="1:13">
      <c r="D9" s="12">
        <v>46058</v>
      </c>
      <c r="E9" s="13">
        <v>1576511</v>
      </c>
      <c r="F9" s="13" t="s">
        <v>28</v>
      </c>
      <c r="G9" s="14">
        <v>20307294</v>
      </c>
      <c r="H9" s="13" t="s">
        <v>74</v>
      </c>
      <c r="I9" s="13" t="s">
        <v>75</v>
      </c>
      <c r="J9" s="14">
        <v>1</v>
      </c>
      <c r="K9" s="14">
        <v>8</v>
      </c>
      <c r="L9" s="15">
        <v>26.4</v>
      </c>
      <c r="M9" s="15">
        <v>26.4</v>
      </c>
    </row>
    <row r="10" spans="1:13">
      <c r="D10" s="12">
        <v>46059</v>
      </c>
      <c r="E10" s="13">
        <v>1576753</v>
      </c>
      <c r="F10" s="13" t="s">
        <v>21</v>
      </c>
      <c r="G10" s="14">
        <v>20313493</v>
      </c>
      <c r="H10" s="13" t="s">
        <v>76</v>
      </c>
      <c r="I10" s="13" t="s">
        <v>23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t="s">
        <v>77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625" customWidth="1"/>
    <col min="9" max="9" width="20.5416666666667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22</v>
      </c>
      <c r="K8" s="10">
        <v>40</v>
      </c>
      <c r="L8" s="11"/>
      <c r="M8" s="11">
        <v>211.2</v>
      </c>
    </row>
    <row r="9" spans="1:13">
      <c r="D9" s="12">
        <v>46043</v>
      </c>
      <c r="E9" s="13">
        <v>1572294</v>
      </c>
      <c r="F9" s="13" t="s">
        <v>15</v>
      </c>
      <c r="G9" s="14">
        <v>20305129</v>
      </c>
      <c r="H9" s="13" t="s">
        <v>79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46043</v>
      </c>
      <c r="E10" s="13">
        <v>1572294</v>
      </c>
      <c r="F10" s="13" t="s">
        <v>15</v>
      </c>
      <c r="G10" s="14">
        <v>20311369</v>
      </c>
      <c r="H10" s="13" t="s">
        <v>80</v>
      </c>
      <c r="I10" s="13" t="s">
        <v>60</v>
      </c>
      <c r="J10" s="14">
        <v>1</v>
      </c>
      <c r="K10" s="14">
        <v>1</v>
      </c>
      <c r="L10" s="15">
        <v>6.6</v>
      </c>
      <c r="M10" s="15">
        <v>6.6</v>
      </c>
    </row>
    <row r="11" spans="1:13">
      <c r="D11" s="12">
        <v>46044</v>
      </c>
      <c r="E11" s="13">
        <v>1572684</v>
      </c>
      <c r="F11" s="13" t="s">
        <v>44</v>
      </c>
      <c r="G11" s="14">
        <v>20305130</v>
      </c>
      <c r="H11" s="13" t="s">
        <v>81</v>
      </c>
      <c r="I11" s="13" t="s">
        <v>75</v>
      </c>
      <c r="J11" s="14">
        <v>1</v>
      </c>
      <c r="K11" s="14">
        <v>1</v>
      </c>
      <c r="L11" s="15">
        <v>9.9</v>
      </c>
      <c r="M11" s="15">
        <v>9.9</v>
      </c>
    </row>
    <row r="12" spans="1:13">
      <c r="D12" s="12">
        <v>46045</v>
      </c>
      <c r="E12" s="13">
        <v>1573068</v>
      </c>
      <c r="F12" s="13" t="s">
        <v>15</v>
      </c>
      <c r="G12" s="14">
        <v>20303984</v>
      </c>
      <c r="H12" s="13" t="s">
        <v>82</v>
      </c>
      <c r="I12" s="13" t="s">
        <v>83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46048</v>
      </c>
      <c r="E13" s="13">
        <v>1573563</v>
      </c>
      <c r="F13" s="13" t="s">
        <v>44</v>
      </c>
      <c r="G13" s="14">
        <v>20305130</v>
      </c>
      <c r="H13" s="13" t="s">
        <v>81</v>
      </c>
      <c r="I13" s="13" t="s">
        <v>75</v>
      </c>
      <c r="J13" s="14">
        <v>1</v>
      </c>
      <c r="K13" s="14">
        <v>1</v>
      </c>
      <c r="L13" s="15">
        <v>9.9</v>
      </c>
      <c r="M13" s="15">
        <v>9.9</v>
      </c>
    </row>
    <row r="14" spans="1:13">
      <c r="D14" s="12">
        <v>46049</v>
      </c>
      <c r="E14" s="13">
        <v>1573931</v>
      </c>
      <c r="F14" s="13" t="s">
        <v>15</v>
      </c>
      <c r="G14" s="14">
        <v>20305129</v>
      </c>
      <c r="H14" s="13" t="s">
        <v>79</v>
      </c>
      <c r="I14" s="13" t="s">
        <v>17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46049</v>
      </c>
      <c r="E15" s="13">
        <v>1573931</v>
      </c>
      <c r="F15" s="13" t="s">
        <v>15</v>
      </c>
      <c r="G15" s="14">
        <v>20311277</v>
      </c>
      <c r="H15" s="13" t="s">
        <v>84</v>
      </c>
      <c r="I15" s="13" t="s">
        <v>57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46049</v>
      </c>
      <c r="E16" s="13">
        <v>1573931</v>
      </c>
      <c r="F16" s="13" t="s">
        <v>15</v>
      </c>
      <c r="G16" s="14">
        <v>20310341</v>
      </c>
      <c r="H16" s="13" t="s">
        <v>18</v>
      </c>
      <c r="I16" s="13" t="s">
        <v>19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46049</v>
      </c>
      <c r="E17" s="13">
        <v>1573931</v>
      </c>
      <c r="F17" s="13" t="s">
        <v>15</v>
      </c>
      <c r="G17" s="14">
        <v>20303922</v>
      </c>
      <c r="H17" s="13" t="s">
        <v>20</v>
      </c>
      <c r="I17" s="13" t="s">
        <v>17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46051</v>
      </c>
      <c r="E18" s="13">
        <v>1574667</v>
      </c>
      <c r="F18" s="13" t="s">
        <v>44</v>
      </c>
      <c r="G18" s="14">
        <v>20305130</v>
      </c>
      <c r="H18" s="13" t="s">
        <v>81</v>
      </c>
      <c r="I18" s="13" t="s">
        <v>75</v>
      </c>
      <c r="J18" s="14">
        <v>1</v>
      </c>
      <c r="K18" s="14">
        <v>1</v>
      </c>
      <c r="L18" s="15">
        <v>9.9</v>
      </c>
      <c r="M18" s="15">
        <v>9.9</v>
      </c>
    </row>
    <row r="19" spans="4:13">
      <c r="D19" s="12">
        <v>46055</v>
      </c>
      <c r="E19" s="13">
        <v>1575453</v>
      </c>
      <c r="F19" s="13" t="s">
        <v>44</v>
      </c>
      <c r="G19" s="14">
        <v>20305130</v>
      </c>
      <c r="H19" s="13" t="s">
        <v>81</v>
      </c>
      <c r="I19" s="13" t="s">
        <v>75</v>
      </c>
      <c r="J19" s="14">
        <v>1</v>
      </c>
      <c r="K19" s="14">
        <v>1</v>
      </c>
      <c r="L19" s="15">
        <v>9.9</v>
      </c>
      <c r="M19" s="15">
        <v>9.9</v>
      </c>
    </row>
    <row r="20" spans="4:13">
      <c r="D20" s="12">
        <v>46058</v>
      </c>
      <c r="E20" s="13">
        <v>1576512</v>
      </c>
      <c r="F20" s="13" t="s">
        <v>44</v>
      </c>
      <c r="G20" s="14">
        <v>20305130</v>
      </c>
      <c r="H20" s="13" t="s">
        <v>81</v>
      </c>
      <c r="I20" s="13" t="s">
        <v>75</v>
      </c>
      <c r="J20" s="14">
        <v>1</v>
      </c>
      <c r="K20" s="14">
        <v>1</v>
      </c>
      <c r="L20" s="15">
        <v>9.9</v>
      </c>
      <c r="M20" s="15">
        <v>9.9</v>
      </c>
    </row>
    <row r="21" spans="4:13">
      <c r="D21" s="12">
        <v>46062</v>
      </c>
      <c r="E21" s="13">
        <v>1577311</v>
      </c>
      <c r="F21" s="13" t="s">
        <v>15</v>
      </c>
      <c r="G21" s="14">
        <v>20305129</v>
      </c>
      <c r="H21" s="13" t="s">
        <v>79</v>
      </c>
      <c r="I21" s="13" t="s">
        <v>17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46062</v>
      </c>
      <c r="E22" s="13">
        <v>1577311</v>
      </c>
      <c r="F22" s="13" t="s">
        <v>15</v>
      </c>
      <c r="G22" s="14">
        <v>20311277</v>
      </c>
      <c r="H22" s="13" t="s">
        <v>84</v>
      </c>
      <c r="I22" s="13" t="s">
        <v>57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46062</v>
      </c>
      <c r="E23" s="13">
        <v>1577311</v>
      </c>
      <c r="F23" s="13" t="s">
        <v>15</v>
      </c>
      <c r="G23" s="14">
        <v>20305049</v>
      </c>
      <c r="H23" s="13" t="s">
        <v>16</v>
      </c>
      <c r="I23" s="13" t="s">
        <v>17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46062</v>
      </c>
      <c r="E24" s="13">
        <v>1577311</v>
      </c>
      <c r="F24" s="13" t="s">
        <v>15</v>
      </c>
      <c r="G24" s="14">
        <v>20310341</v>
      </c>
      <c r="H24" s="13" t="s">
        <v>18</v>
      </c>
      <c r="I24" s="13" t="s">
        <v>19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46062</v>
      </c>
      <c r="E25" s="13">
        <v>1577311</v>
      </c>
      <c r="F25" s="13" t="s">
        <v>44</v>
      </c>
      <c r="G25" s="14">
        <v>20305130</v>
      </c>
      <c r="H25" s="13" t="s">
        <v>81</v>
      </c>
      <c r="I25" s="13" t="s">
        <v>75</v>
      </c>
      <c r="J25" s="14">
        <v>1</v>
      </c>
      <c r="K25" s="14">
        <v>1</v>
      </c>
      <c r="L25" s="15">
        <v>9.9</v>
      </c>
      <c r="M25" s="15">
        <v>9.9</v>
      </c>
    </row>
    <row r="26" spans="4:13">
      <c r="D26" s="12">
        <v>46065</v>
      </c>
      <c r="E26" s="13">
        <v>1578286</v>
      </c>
      <c r="F26" s="13" t="s">
        <v>15</v>
      </c>
      <c r="G26" s="14">
        <v>20305021</v>
      </c>
      <c r="H26" s="13" t="s">
        <v>85</v>
      </c>
      <c r="I26" s="13" t="s">
        <v>32</v>
      </c>
      <c r="J26" s="14">
        <v>1</v>
      </c>
      <c r="K26" s="14">
        <v>1</v>
      </c>
      <c r="L26" s="15">
        <v>9.9</v>
      </c>
      <c r="M26" s="15">
        <v>9.9</v>
      </c>
    </row>
    <row r="27" spans="4:13">
      <c r="D27" s="12">
        <v>46065</v>
      </c>
      <c r="E27" s="13">
        <v>1578286</v>
      </c>
      <c r="F27" s="13" t="s">
        <v>44</v>
      </c>
      <c r="G27" s="14">
        <v>20305130</v>
      </c>
      <c r="H27" s="13" t="s">
        <v>81</v>
      </c>
      <c r="I27" s="13" t="s">
        <v>75</v>
      </c>
      <c r="J27" s="14">
        <v>1</v>
      </c>
      <c r="K27" s="14">
        <v>1</v>
      </c>
      <c r="L27" s="15">
        <v>9.9</v>
      </c>
      <c r="M27" s="15">
        <v>9.9</v>
      </c>
    </row>
    <row r="28" spans="4:13">
      <c r="D28" s="12">
        <v>46065</v>
      </c>
      <c r="E28" s="13">
        <v>1578286</v>
      </c>
      <c r="F28" s="13" t="s">
        <v>28</v>
      </c>
      <c r="G28" s="14">
        <v>20312649</v>
      </c>
      <c r="H28" s="13" t="s">
        <v>86</v>
      </c>
      <c r="I28" s="13" t="s">
        <v>75</v>
      </c>
      <c r="J28" s="14">
        <v>1</v>
      </c>
      <c r="K28" s="14">
        <v>19</v>
      </c>
      <c r="L28" s="15">
        <v>62.7</v>
      </c>
      <c r="M28" s="15">
        <v>62.7</v>
      </c>
    </row>
    <row r="29" spans="4:13">
      <c r="D29" s="12">
        <v>46066</v>
      </c>
      <c r="E29" s="13">
        <v>1578623</v>
      </c>
      <c r="F29" s="13" t="s">
        <v>15</v>
      </c>
      <c r="G29" s="14">
        <v>20303922</v>
      </c>
      <c r="H29" s="13" t="s">
        <v>20</v>
      </c>
      <c r="I29" s="13" t="s">
        <v>17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46067</v>
      </c>
      <c r="E30" s="13">
        <v>1578902</v>
      </c>
      <c r="F30" s="13" t="s">
        <v>44</v>
      </c>
      <c r="G30" s="14">
        <v>20305130</v>
      </c>
      <c r="H30" s="13" t="s">
        <v>81</v>
      </c>
      <c r="I30" s="13" t="s">
        <v>75</v>
      </c>
      <c r="J30" s="14">
        <v>1</v>
      </c>
      <c r="K30" s="14">
        <v>1</v>
      </c>
      <c r="L30" s="15">
        <v>9.9</v>
      </c>
      <c r="M30" s="15">
        <v>9.9</v>
      </c>
    </row>
  </sheetData>
  <autoFilter xmlns:etc="http://www.wps.cn/officeDocument/2017/etCustomData" ref="A7:M30" etc:filterBottomFollowUsedRange="0">
    <extLst/>
  </autoFilter>
  <mergeCells count="5">
    <mergeCell ref="D8:I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2.75" customWidth="1"/>
    <col min="9" max="9" width="17.75" customWidth="1"/>
    <col min="10" max="10" width="6.475" customWidth="1"/>
    <col min="11" max="11" width="9.45" customWidth="1"/>
    <col min="12" max="12" width="10.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27</v>
      </c>
      <c r="K8" s="10">
        <v>103</v>
      </c>
      <c r="L8" s="11"/>
      <c r="M8" s="11">
        <v>438.6</v>
      </c>
    </row>
    <row r="9" spans="1:13">
      <c r="D9" s="12">
        <v>46044</v>
      </c>
      <c r="E9" s="13">
        <v>1572680</v>
      </c>
      <c r="F9" s="13" t="s">
        <v>44</v>
      </c>
      <c r="G9" s="14">
        <v>20305024</v>
      </c>
      <c r="H9" s="13" t="s">
        <v>88</v>
      </c>
      <c r="I9" s="13" t="s">
        <v>30</v>
      </c>
      <c r="J9" s="14">
        <v>1</v>
      </c>
      <c r="K9" s="14">
        <v>8</v>
      </c>
      <c r="L9" s="15">
        <v>26.4</v>
      </c>
      <c r="M9" s="15">
        <v>26.4</v>
      </c>
    </row>
    <row r="10" spans="1:13">
      <c r="D10" s="12">
        <v>46048</v>
      </c>
      <c r="E10" s="13">
        <v>1573554</v>
      </c>
      <c r="F10" s="13" t="s">
        <v>15</v>
      </c>
      <c r="G10" s="14">
        <v>20303922</v>
      </c>
      <c r="H10" s="13" t="s">
        <v>20</v>
      </c>
      <c r="I10" s="13" t="s">
        <v>17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46048</v>
      </c>
      <c r="E11" s="13">
        <v>1573554</v>
      </c>
      <c r="F11" s="13" t="s">
        <v>44</v>
      </c>
      <c r="G11" s="14">
        <v>20305024</v>
      </c>
      <c r="H11" s="13" t="s">
        <v>88</v>
      </c>
      <c r="I11" s="13" t="s">
        <v>30</v>
      </c>
      <c r="J11" s="14">
        <v>1</v>
      </c>
      <c r="K11" s="14">
        <v>8</v>
      </c>
      <c r="L11" s="15">
        <v>26.4</v>
      </c>
      <c r="M11" s="15">
        <v>26.4</v>
      </c>
    </row>
    <row r="12" spans="1:13">
      <c r="D12" s="12">
        <v>46048</v>
      </c>
      <c r="E12" s="13">
        <v>1573554</v>
      </c>
      <c r="F12" s="13" t="s">
        <v>28</v>
      </c>
      <c r="G12" s="14">
        <v>20311101</v>
      </c>
      <c r="H12" s="13" t="s">
        <v>89</v>
      </c>
      <c r="I12" s="13" t="s">
        <v>75</v>
      </c>
      <c r="J12" s="14">
        <v>1</v>
      </c>
      <c r="K12" s="14">
        <v>2</v>
      </c>
      <c r="L12" s="15">
        <v>9.9</v>
      </c>
      <c r="M12" s="15">
        <v>9.9</v>
      </c>
    </row>
    <row r="13" spans="1:13">
      <c r="D13" s="12">
        <v>46051</v>
      </c>
      <c r="E13" s="13">
        <v>1574669</v>
      </c>
      <c r="F13" s="13" t="s">
        <v>44</v>
      </c>
      <c r="G13" s="14">
        <v>20305024</v>
      </c>
      <c r="H13" s="13" t="s">
        <v>88</v>
      </c>
      <c r="I13" s="13" t="s">
        <v>30</v>
      </c>
      <c r="J13" s="14">
        <v>1</v>
      </c>
      <c r="K13" s="14">
        <v>8</v>
      </c>
      <c r="L13" s="15">
        <v>26.4</v>
      </c>
      <c r="M13" s="15">
        <v>26.4</v>
      </c>
    </row>
    <row r="14" spans="1:13">
      <c r="D14" s="12">
        <v>46054</v>
      </c>
      <c r="E14" s="13">
        <v>1575318</v>
      </c>
      <c r="F14" s="13" t="s">
        <v>15</v>
      </c>
      <c r="G14" s="14">
        <v>20303922</v>
      </c>
      <c r="H14" s="13" t="s">
        <v>20</v>
      </c>
      <c r="I14" s="13" t="s">
        <v>17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46054</v>
      </c>
      <c r="E15" s="13">
        <v>1575318</v>
      </c>
      <c r="F15" s="13" t="s">
        <v>54</v>
      </c>
      <c r="G15" s="14">
        <v>20305048</v>
      </c>
      <c r="H15" s="13" t="s">
        <v>90</v>
      </c>
      <c r="I15" s="13" t="s">
        <v>91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46055</v>
      </c>
      <c r="E16" s="13">
        <v>1575449</v>
      </c>
      <c r="F16" s="13" t="s">
        <v>44</v>
      </c>
      <c r="G16" s="14">
        <v>20305024</v>
      </c>
      <c r="H16" s="13" t="s">
        <v>88</v>
      </c>
      <c r="I16" s="13" t="s">
        <v>30</v>
      </c>
      <c r="J16" s="14">
        <v>1</v>
      </c>
      <c r="K16" s="14">
        <v>8</v>
      </c>
      <c r="L16" s="15">
        <v>26.4</v>
      </c>
      <c r="M16" s="15">
        <v>26.4</v>
      </c>
    </row>
    <row r="17" spans="4:13">
      <c r="D17" s="12">
        <v>46056</v>
      </c>
      <c r="E17" s="13">
        <v>1575835</v>
      </c>
      <c r="F17" s="13" t="s">
        <v>15</v>
      </c>
      <c r="G17" s="14">
        <v>20305049</v>
      </c>
      <c r="H17" s="13" t="s">
        <v>16</v>
      </c>
      <c r="I17" s="13" t="s">
        <v>17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46056</v>
      </c>
      <c r="E18" s="13">
        <v>1575835</v>
      </c>
      <c r="F18" s="13" t="s">
        <v>24</v>
      </c>
      <c r="G18" s="14">
        <v>20303986</v>
      </c>
      <c r="H18" s="13" t="s">
        <v>25</v>
      </c>
      <c r="I18" s="13" t="s">
        <v>26</v>
      </c>
      <c r="J18" s="14">
        <v>1</v>
      </c>
      <c r="K18" s="14">
        <v>1</v>
      </c>
      <c r="L18" s="15">
        <v>15</v>
      </c>
      <c r="M18" s="15">
        <v>15</v>
      </c>
    </row>
    <row r="19" spans="4:13">
      <c r="D19" s="12">
        <v>46057</v>
      </c>
      <c r="E19" s="13">
        <v>1576070</v>
      </c>
      <c r="F19" s="13" t="s">
        <v>21</v>
      </c>
      <c r="G19" s="14">
        <v>20305077</v>
      </c>
      <c r="H19" s="13" t="s">
        <v>92</v>
      </c>
      <c r="I19" s="13" t="s">
        <v>23</v>
      </c>
      <c r="J19" s="14">
        <v>1</v>
      </c>
      <c r="K19" s="14">
        <v>4</v>
      </c>
      <c r="L19" s="15">
        <v>52.8</v>
      </c>
      <c r="M19" s="15">
        <v>52.8</v>
      </c>
    </row>
    <row r="20" spans="4:13">
      <c r="D20" s="12">
        <v>46058</v>
      </c>
      <c r="E20" s="13">
        <v>1576538</v>
      </c>
      <c r="F20" s="13" t="s">
        <v>44</v>
      </c>
      <c r="G20" s="14">
        <v>20305024</v>
      </c>
      <c r="H20" s="13" t="s">
        <v>88</v>
      </c>
      <c r="I20" s="13" t="s">
        <v>30</v>
      </c>
      <c r="J20" s="14">
        <v>1</v>
      </c>
      <c r="K20" s="14">
        <v>8</v>
      </c>
      <c r="L20" s="15">
        <v>26.4</v>
      </c>
      <c r="M20" s="15">
        <v>26.4</v>
      </c>
    </row>
    <row r="21" spans="4:13">
      <c r="D21" s="12">
        <v>46058</v>
      </c>
      <c r="E21" s="13">
        <v>1576538</v>
      </c>
      <c r="F21" s="13" t="s">
        <v>54</v>
      </c>
      <c r="G21" s="14">
        <v>20311446</v>
      </c>
      <c r="H21" s="13" t="s">
        <v>93</v>
      </c>
      <c r="I21" s="13" t="s">
        <v>37</v>
      </c>
      <c r="J21" s="14">
        <v>1</v>
      </c>
      <c r="K21" s="14">
        <v>13</v>
      </c>
      <c r="L21" s="15">
        <v>42.9</v>
      </c>
      <c r="M21" s="15">
        <v>42.9</v>
      </c>
    </row>
    <row r="22" spans="4:13">
      <c r="D22" s="12">
        <v>46059</v>
      </c>
      <c r="E22" s="13">
        <v>1576754</v>
      </c>
      <c r="F22" s="13" t="s">
        <v>21</v>
      </c>
      <c r="G22" s="14">
        <v>20345877</v>
      </c>
      <c r="H22" s="13" t="s">
        <v>94</v>
      </c>
      <c r="I22" s="13" t="s">
        <v>95</v>
      </c>
      <c r="J22" s="14">
        <v>1</v>
      </c>
      <c r="K22" s="14">
        <v>1</v>
      </c>
      <c r="L22" s="15">
        <v>21</v>
      </c>
      <c r="M22" s="15">
        <v>21</v>
      </c>
    </row>
    <row r="23" spans="4:13">
      <c r="D23" s="12">
        <v>46062</v>
      </c>
      <c r="E23" s="13">
        <v>1577314</v>
      </c>
      <c r="F23" s="13" t="s">
        <v>44</v>
      </c>
      <c r="G23" s="14">
        <v>20305024</v>
      </c>
      <c r="H23" s="13" t="s">
        <v>88</v>
      </c>
      <c r="I23" s="13" t="s">
        <v>30</v>
      </c>
      <c r="J23" s="14">
        <v>1</v>
      </c>
      <c r="K23" s="14">
        <v>8</v>
      </c>
      <c r="L23" s="15">
        <v>26.4</v>
      </c>
      <c r="M23" s="15">
        <v>26.4</v>
      </c>
    </row>
    <row r="24" spans="4:13">
      <c r="D24" s="12">
        <v>46062</v>
      </c>
      <c r="E24" s="13">
        <v>1577314</v>
      </c>
      <c r="F24" s="13" t="s">
        <v>28</v>
      </c>
      <c r="G24" s="14">
        <v>20367943</v>
      </c>
      <c r="H24" s="13" t="s">
        <v>96</v>
      </c>
      <c r="I24" s="13" t="s">
        <v>75</v>
      </c>
      <c r="J24" s="14">
        <v>1</v>
      </c>
      <c r="K24" s="14">
        <v>1</v>
      </c>
      <c r="L24" s="15">
        <v>9.9</v>
      </c>
      <c r="M24" s="15">
        <v>9.9</v>
      </c>
    </row>
    <row r="25" spans="4:13">
      <c r="D25" s="12">
        <v>46063</v>
      </c>
      <c r="E25" s="13">
        <v>1577644</v>
      </c>
      <c r="F25" s="13" t="s">
        <v>15</v>
      </c>
      <c r="G25" s="14">
        <v>20305049</v>
      </c>
      <c r="H25" s="13" t="s">
        <v>16</v>
      </c>
      <c r="I25" s="13" t="s">
        <v>17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46064</v>
      </c>
      <c r="E26" s="13">
        <v>1577972</v>
      </c>
      <c r="F26" s="13" t="s">
        <v>28</v>
      </c>
      <c r="G26" s="14">
        <v>20315956</v>
      </c>
      <c r="H26" s="13" t="s">
        <v>97</v>
      </c>
      <c r="I26" s="13" t="s">
        <v>75</v>
      </c>
      <c r="J26" s="14">
        <v>1</v>
      </c>
      <c r="K26" s="14">
        <v>2</v>
      </c>
      <c r="L26" s="15">
        <v>9.9</v>
      </c>
      <c r="M26" s="15">
        <v>9.9</v>
      </c>
    </row>
    <row r="27" spans="4:13">
      <c r="D27" s="12">
        <v>46065</v>
      </c>
      <c r="E27" s="13">
        <v>1578313</v>
      </c>
      <c r="F27" s="13" t="s">
        <v>15</v>
      </c>
      <c r="G27" s="14">
        <v>20303922</v>
      </c>
      <c r="H27" s="13" t="s">
        <v>20</v>
      </c>
      <c r="I27" s="13" t="s">
        <v>17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46065</v>
      </c>
      <c r="E28" s="13">
        <v>1578313</v>
      </c>
      <c r="F28" s="13" t="s">
        <v>44</v>
      </c>
      <c r="G28" s="14">
        <v>20305024</v>
      </c>
      <c r="H28" s="13" t="s">
        <v>88</v>
      </c>
      <c r="I28" s="13" t="s">
        <v>30</v>
      </c>
      <c r="J28" s="14">
        <v>1</v>
      </c>
      <c r="K28" s="14">
        <v>8</v>
      </c>
      <c r="L28" s="15">
        <v>26.4</v>
      </c>
      <c r="M28" s="15">
        <v>26.4</v>
      </c>
    </row>
    <row r="29" spans="4:13">
      <c r="D29" s="12">
        <v>46066</v>
      </c>
      <c r="E29" s="13">
        <v>1578621</v>
      </c>
      <c r="F29" s="13" t="s">
        <v>15</v>
      </c>
      <c r="G29" s="14">
        <v>20310341</v>
      </c>
      <c r="H29" s="13" t="s">
        <v>18</v>
      </c>
      <c r="I29" s="13" t="s">
        <v>19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46066</v>
      </c>
      <c r="E30" s="13">
        <v>1578621</v>
      </c>
      <c r="F30" s="13" t="s">
        <v>15</v>
      </c>
      <c r="G30" s="14">
        <v>20303922</v>
      </c>
      <c r="H30" s="13" t="s">
        <v>20</v>
      </c>
      <c r="I30" s="13" t="s">
        <v>17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46067</v>
      </c>
      <c r="E31" s="13">
        <v>1578898</v>
      </c>
      <c r="F31" s="13" t="s">
        <v>44</v>
      </c>
      <c r="G31" s="14">
        <v>20305024</v>
      </c>
      <c r="H31" s="13" t="s">
        <v>88</v>
      </c>
      <c r="I31" s="13" t="s">
        <v>30</v>
      </c>
      <c r="J31" s="14">
        <v>1</v>
      </c>
      <c r="K31" s="14">
        <v>8</v>
      </c>
      <c r="L31" s="15">
        <v>26.4</v>
      </c>
      <c r="M31" s="15">
        <v>26.4</v>
      </c>
    </row>
    <row r="32" spans="4:13">
      <c r="D32" s="12">
        <v>46072</v>
      </c>
      <c r="E32" s="13">
        <v>1579242</v>
      </c>
      <c r="F32" s="13" t="s">
        <v>15</v>
      </c>
      <c r="G32" s="14">
        <v>20305049</v>
      </c>
      <c r="H32" s="13" t="s">
        <v>16</v>
      </c>
      <c r="I32" s="13" t="s">
        <v>17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46072</v>
      </c>
      <c r="E33" s="13">
        <v>1579242</v>
      </c>
      <c r="F33" s="13" t="s">
        <v>15</v>
      </c>
      <c r="G33" s="14">
        <v>20310341</v>
      </c>
      <c r="H33" s="13" t="s">
        <v>18</v>
      </c>
      <c r="I33" s="13" t="s">
        <v>19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46072</v>
      </c>
      <c r="E34" s="13">
        <v>1579242</v>
      </c>
      <c r="F34" s="13" t="s">
        <v>15</v>
      </c>
      <c r="G34" s="14">
        <v>20303922</v>
      </c>
      <c r="H34" s="13" t="s">
        <v>20</v>
      </c>
      <c r="I34" s="13" t="s">
        <v>17</v>
      </c>
      <c r="J34" s="14">
        <v>1</v>
      </c>
      <c r="K34" s="14">
        <v>1</v>
      </c>
      <c r="L34" s="15">
        <v>4.8</v>
      </c>
      <c r="M34" s="15">
        <v>4.8</v>
      </c>
    </row>
  </sheetData>
  <autoFilter xmlns:etc="http://www.wps.cn/officeDocument/2017/etCustomData" ref="A7:M34" etc:filterBottomFollowUsedRange="0">
    <extLst/>
  </autoFilter>
  <mergeCells count="5">
    <mergeCell ref="D8:I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L25" sqref="L20:L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5.5" customWidth="1"/>
    <col min="9" max="9" width="16.375" customWidth="1"/>
    <col min="10" max="10" width="6.475" customWidth="1"/>
    <col min="11" max="11" width="9.45" customWidth="1"/>
    <col min="12" max="12" width="10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spans="1:13">
      <c r="D9" s="12">
        <v>46048</v>
      </c>
      <c r="E9" s="13">
        <v>1573564</v>
      </c>
      <c r="F9" s="13" t="s">
        <v>24</v>
      </c>
      <c r="G9" s="14">
        <v>20310377</v>
      </c>
      <c r="H9" s="13" t="s">
        <v>99</v>
      </c>
      <c r="I9" s="13" t="s">
        <v>30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56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625" customWidth="1"/>
    <col min="9" max="9" width="17.625" customWidth="1"/>
    <col min="10" max="10" width="6.475" customWidth="1"/>
    <col min="11" max="11" width="9.45" customWidth="1"/>
    <col min="12" max="12" width="10.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2</v>
      </c>
      <c r="L8" s="11"/>
      <c r="M8" s="11">
        <v>135.6</v>
      </c>
    </row>
    <row r="9" spans="1:13">
      <c r="D9" s="12">
        <v>46047</v>
      </c>
      <c r="E9" s="13">
        <v>1573444</v>
      </c>
      <c r="F9" s="13" t="s">
        <v>101</v>
      </c>
      <c r="G9" s="14">
        <v>20303990</v>
      </c>
      <c r="H9" s="13" t="s">
        <v>102</v>
      </c>
      <c r="I9" s="13" t="s">
        <v>103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46054</v>
      </c>
      <c r="E10" s="13">
        <v>1575355</v>
      </c>
      <c r="F10" s="13" t="s">
        <v>101</v>
      </c>
      <c r="G10" s="14">
        <v>20305088</v>
      </c>
      <c r="H10" s="13" t="s">
        <v>104</v>
      </c>
      <c r="I10" s="13" t="s">
        <v>103</v>
      </c>
      <c r="J10" s="14">
        <v>1</v>
      </c>
      <c r="K10" s="14">
        <v>0</v>
      </c>
      <c r="L10" s="15">
        <v>21</v>
      </c>
      <c r="M10" s="15">
        <v>21</v>
      </c>
    </row>
    <row r="11" spans="1:13">
      <c r="D11" s="12">
        <v>46056</v>
      </c>
      <c r="E11" s="13">
        <v>1575947</v>
      </c>
      <c r="F11" s="13" t="s">
        <v>101</v>
      </c>
      <c r="G11" s="14">
        <v>20305088</v>
      </c>
      <c r="H11" s="13" t="s">
        <v>104</v>
      </c>
      <c r="I11" s="13" t="s">
        <v>103</v>
      </c>
      <c r="J11" s="14">
        <v>1</v>
      </c>
      <c r="K11" s="14">
        <v>0</v>
      </c>
      <c r="L11" s="15">
        <v>21</v>
      </c>
      <c r="M11" s="15">
        <v>21</v>
      </c>
    </row>
    <row r="12" spans="1:13">
      <c r="D12" s="12">
        <v>46057</v>
      </c>
      <c r="E12" s="13">
        <v>1576136</v>
      </c>
      <c r="F12" s="13" t="s">
        <v>15</v>
      </c>
      <c r="G12" s="14">
        <v>20303984</v>
      </c>
      <c r="H12" s="13" t="s">
        <v>82</v>
      </c>
      <c r="I12" s="13" t="s">
        <v>83</v>
      </c>
      <c r="J12" s="14">
        <v>2</v>
      </c>
      <c r="K12" s="14">
        <v>2</v>
      </c>
      <c r="L12" s="15">
        <v>4.8</v>
      </c>
      <c r="M12" s="15">
        <v>9.6</v>
      </c>
    </row>
    <row r="13" spans="1:13">
      <c r="D13" s="12">
        <v>46058</v>
      </c>
      <c r="E13" s="13">
        <v>1576620</v>
      </c>
      <c r="F13" s="13" t="s">
        <v>101</v>
      </c>
      <c r="G13" s="14">
        <v>20303990</v>
      </c>
      <c r="H13" s="13" t="s">
        <v>102</v>
      </c>
      <c r="I13" s="13" t="s">
        <v>103</v>
      </c>
      <c r="J13" s="14">
        <v>1</v>
      </c>
      <c r="K13" s="14">
        <v>0</v>
      </c>
      <c r="L13" s="15">
        <v>21</v>
      </c>
      <c r="M13" s="15">
        <v>21</v>
      </c>
    </row>
    <row r="14" spans="1:13">
      <c r="D14" s="12">
        <v>46060</v>
      </c>
      <c r="E14" s="13">
        <v>1577095</v>
      </c>
      <c r="F14" s="13" t="s">
        <v>101</v>
      </c>
      <c r="G14" s="14">
        <v>20305088</v>
      </c>
      <c r="H14" s="13" t="s">
        <v>104</v>
      </c>
      <c r="I14" s="13" t="s">
        <v>103</v>
      </c>
      <c r="J14" s="14">
        <v>1</v>
      </c>
      <c r="K14" s="14">
        <v>0</v>
      </c>
      <c r="L14" s="15">
        <v>21</v>
      </c>
      <c r="M14" s="15">
        <v>21</v>
      </c>
    </row>
    <row r="15" spans="1:13">
      <c r="D15" s="12">
        <v>46065</v>
      </c>
      <c r="E15" s="13">
        <v>1578418</v>
      </c>
      <c r="F15" s="13" t="s">
        <v>101</v>
      </c>
      <c r="G15" s="14">
        <v>20305088</v>
      </c>
      <c r="H15" s="13" t="s">
        <v>104</v>
      </c>
      <c r="I15" s="13" t="s">
        <v>103</v>
      </c>
      <c r="J15" s="14">
        <v>1</v>
      </c>
      <c r="K15" s="14">
        <v>0</v>
      </c>
      <c r="L15" s="15">
        <v>21</v>
      </c>
      <c r="M15" s="15">
        <v>21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375" customWidth="1"/>
    <col min="9" max="9" width="17.625" customWidth="1"/>
    <col min="10" max="10" width="6.475" customWidth="1"/>
    <col min="11" max="11" width="9.45" customWidth="1"/>
    <col min="12" max="12" width="9.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120</v>
      </c>
      <c r="L8" s="11"/>
      <c r="M8" s="11">
        <v>396</v>
      </c>
    </row>
    <row r="9" spans="1:13">
      <c r="D9" s="12">
        <v>46044</v>
      </c>
      <c r="E9" s="13">
        <v>1572685</v>
      </c>
      <c r="F9" s="13" t="s">
        <v>44</v>
      </c>
      <c r="G9" s="14">
        <v>20305027</v>
      </c>
      <c r="H9" s="13" t="s">
        <v>106</v>
      </c>
      <c r="I9" s="13" t="s">
        <v>103</v>
      </c>
      <c r="J9" s="14">
        <v>1</v>
      </c>
      <c r="K9" s="14">
        <v>15</v>
      </c>
      <c r="L9" s="15">
        <v>49.5</v>
      </c>
      <c r="M9" s="15">
        <v>49.5</v>
      </c>
    </row>
    <row r="10" spans="1:13">
      <c r="D10" s="12">
        <v>46048</v>
      </c>
      <c r="E10" s="13">
        <v>1573559</v>
      </c>
      <c r="F10" s="13" t="s">
        <v>44</v>
      </c>
      <c r="G10" s="14">
        <v>20305027</v>
      </c>
      <c r="H10" s="13" t="s">
        <v>106</v>
      </c>
      <c r="I10" s="13" t="s">
        <v>103</v>
      </c>
      <c r="J10" s="14">
        <v>1</v>
      </c>
      <c r="K10" s="14">
        <v>15</v>
      </c>
      <c r="L10" s="15">
        <v>49.5</v>
      </c>
      <c r="M10" s="15">
        <v>49.5</v>
      </c>
    </row>
    <row r="11" spans="1:13">
      <c r="D11" s="12">
        <v>46051</v>
      </c>
      <c r="E11" s="13">
        <v>1574658</v>
      </c>
      <c r="F11" s="13" t="s">
        <v>44</v>
      </c>
      <c r="G11" s="14">
        <v>20305027</v>
      </c>
      <c r="H11" s="13" t="s">
        <v>106</v>
      </c>
      <c r="I11" s="13" t="s">
        <v>103</v>
      </c>
      <c r="J11" s="14">
        <v>1</v>
      </c>
      <c r="K11" s="14">
        <v>15</v>
      </c>
      <c r="L11" s="15">
        <v>49.5</v>
      </c>
      <c r="M11" s="15">
        <v>49.5</v>
      </c>
    </row>
    <row r="12" spans="1:13">
      <c r="D12" s="12">
        <v>46055</v>
      </c>
      <c r="E12" s="13">
        <v>1575452</v>
      </c>
      <c r="F12" s="13" t="s">
        <v>44</v>
      </c>
      <c r="G12" s="14">
        <v>20305027</v>
      </c>
      <c r="H12" s="13" t="s">
        <v>106</v>
      </c>
      <c r="I12" s="13" t="s">
        <v>103</v>
      </c>
      <c r="J12" s="14">
        <v>1</v>
      </c>
      <c r="K12" s="14">
        <v>15</v>
      </c>
      <c r="L12" s="15">
        <v>49.5</v>
      </c>
      <c r="M12" s="15">
        <v>49.5</v>
      </c>
    </row>
    <row r="13" spans="1:13">
      <c r="D13" s="12">
        <v>46058</v>
      </c>
      <c r="E13" s="13">
        <v>1576514</v>
      </c>
      <c r="F13" s="13" t="s">
        <v>44</v>
      </c>
      <c r="G13" s="14">
        <v>20305027</v>
      </c>
      <c r="H13" s="13" t="s">
        <v>106</v>
      </c>
      <c r="I13" s="13" t="s">
        <v>103</v>
      </c>
      <c r="J13" s="14">
        <v>1</v>
      </c>
      <c r="K13" s="14">
        <v>15</v>
      </c>
      <c r="L13" s="15">
        <v>49.5</v>
      </c>
      <c r="M13" s="15">
        <v>49.5</v>
      </c>
    </row>
    <row r="14" spans="1:13">
      <c r="D14" s="12">
        <v>46062</v>
      </c>
      <c r="E14" s="13">
        <v>1577323</v>
      </c>
      <c r="F14" s="13" t="s">
        <v>44</v>
      </c>
      <c r="G14" s="14">
        <v>20305027</v>
      </c>
      <c r="H14" s="13" t="s">
        <v>106</v>
      </c>
      <c r="I14" s="13" t="s">
        <v>103</v>
      </c>
      <c r="J14" s="14">
        <v>1</v>
      </c>
      <c r="K14" s="14">
        <v>15</v>
      </c>
      <c r="L14" s="15">
        <v>49.5</v>
      </c>
      <c r="M14" s="15">
        <v>49.5</v>
      </c>
    </row>
    <row r="15" spans="1:13">
      <c r="D15" s="12">
        <v>46065</v>
      </c>
      <c r="E15" s="13">
        <v>1578287</v>
      </c>
      <c r="F15" s="13" t="s">
        <v>44</v>
      </c>
      <c r="G15" s="14">
        <v>20305027</v>
      </c>
      <c r="H15" s="13" t="s">
        <v>106</v>
      </c>
      <c r="I15" s="13" t="s">
        <v>103</v>
      </c>
      <c r="J15" s="14">
        <v>1</v>
      </c>
      <c r="K15" s="14">
        <v>15</v>
      </c>
      <c r="L15" s="15">
        <v>49.5</v>
      </c>
      <c r="M15" s="15">
        <v>49.5</v>
      </c>
    </row>
    <row r="16" spans="1:13">
      <c r="D16" s="12">
        <v>46067</v>
      </c>
      <c r="E16" s="13">
        <v>1578897</v>
      </c>
      <c r="F16" s="13" t="s">
        <v>44</v>
      </c>
      <c r="G16" s="14">
        <v>20305027</v>
      </c>
      <c r="H16" s="13" t="s">
        <v>106</v>
      </c>
      <c r="I16" s="13" t="s">
        <v>103</v>
      </c>
      <c r="J16" s="14">
        <v>1</v>
      </c>
      <c r="K16" s="14">
        <v>15</v>
      </c>
      <c r="L16" s="15">
        <v>49.5</v>
      </c>
      <c r="M16" s="15">
        <v>49.5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4"/>
  <sheetViews>
    <sheetView showGridLines="0" view="pageBreakPreview" zoomScaleNormal="100" workbookViewId="0">
      <pane ySplit="6" topLeftCell="A7" activePane="bottomLeft" state="frozen"/>
      <selection/>
      <selection pane="bottomLeft" activeCell="J16" sqref="J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7.875" customWidth="1"/>
    <col min="10" max="10" width="9.625" customWidth="1"/>
    <col min="11" max="11" width="9.45" customWidth="1"/>
    <col min="12" max="12" width="10.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SUM(J9:J214)</f>
        <v>460</v>
      </c>
      <c r="K8" s="10">
        <f>SUM(K9:K214)</f>
        <v>925</v>
      </c>
      <c r="L8" s="10"/>
      <c r="M8" s="10">
        <v>3962.51</v>
      </c>
    </row>
    <row r="9" spans="1:13">
      <c r="D9" s="12">
        <v>46043</v>
      </c>
      <c r="E9" s="13">
        <v>1572352</v>
      </c>
      <c r="F9" s="13" t="s">
        <v>108</v>
      </c>
      <c r="G9" s="14">
        <v>20303993</v>
      </c>
      <c r="H9" s="13" t="s">
        <v>109</v>
      </c>
      <c r="I9" s="13" t="s">
        <v>110</v>
      </c>
      <c r="J9" s="14">
        <v>7</v>
      </c>
      <c r="K9" s="14">
        <v>0</v>
      </c>
      <c r="L9" s="15">
        <v>2.4</v>
      </c>
      <c r="M9" s="15">
        <v>16.8</v>
      </c>
    </row>
    <row r="10" spans="1:13">
      <c r="D10" s="12">
        <v>46043</v>
      </c>
      <c r="E10" s="13">
        <v>1572393</v>
      </c>
      <c r="F10" s="13" t="s">
        <v>108</v>
      </c>
      <c r="G10" s="14">
        <v>20303993</v>
      </c>
      <c r="H10" s="13" t="s">
        <v>109</v>
      </c>
      <c r="I10" s="13" t="s">
        <v>110</v>
      </c>
      <c r="J10" s="14">
        <v>2</v>
      </c>
      <c r="K10" s="14">
        <v>0</v>
      </c>
      <c r="L10" s="15">
        <v>2.4</v>
      </c>
      <c r="M10" s="15">
        <v>4.8</v>
      </c>
    </row>
    <row r="11" spans="1:13">
      <c r="D11" s="12">
        <v>46044</v>
      </c>
      <c r="E11" s="13">
        <v>1572686</v>
      </c>
      <c r="F11" s="13" t="s">
        <v>15</v>
      </c>
      <c r="G11" s="14">
        <v>20303923</v>
      </c>
      <c r="H11" s="13" t="s">
        <v>111</v>
      </c>
      <c r="I11" s="13" t="s">
        <v>48</v>
      </c>
      <c r="J11" s="14">
        <v>2</v>
      </c>
      <c r="K11" s="14">
        <v>4</v>
      </c>
      <c r="L11" s="15">
        <v>9.9</v>
      </c>
      <c r="M11" s="15">
        <v>19.8</v>
      </c>
    </row>
    <row r="12" spans="1:13">
      <c r="D12" s="12">
        <v>46044</v>
      </c>
      <c r="E12" s="13">
        <v>1572686</v>
      </c>
      <c r="F12" s="13" t="s">
        <v>44</v>
      </c>
      <c r="G12" s="14">
        <v>20305026</v>
      </c>
      <c r="H12" s="13" t="s">
        <v>53</v>
      </c>
      <c r="I12" s="13" t="s">
        <v>30</v>
      </c>
      <c r="J12" s="14">
        <v>2</v>
      </c>
      <c r="K12" s="14">
        <v>8</v>
      </c>
      <c r="L12" s="15">
        <v>13.2</v>
      </c>
      <c r="M12" s="15">
        <v>26.4</v>
      </c>
    </row>
    <row r="13" spans="1:13">
      <c r="D13" s="12">
        <v>46044</v>
      </c>
      <c r="E13" s="13">
        <v>1572686</v>
      </c>
      <c r="F13" s="13" t="s">
        <v>54</v>
      </c>
      <c r="G13" s="14">
        <v>20303918</v>
      </c>
      <c r="H13" s="13" t="s">
        <v>112</v>
      </c>
      <c r="I13" s="13" t="s">
        <v>113</v>
      </c>
      <c r="J13" s="14">
        <v>2</v>
      </c>
      <c r="K13" s="14">
        <v>12</v>
      </c>
      <c r="L13" s="15">
        <v>22.01</v>
      </c>
      <c r="M13" s="15">
        <f>L13*J13</f>
        <v>44.02</v>
      </c>
    </row>
    <row r="14" spans="1:13">
      <c r="D14" s="12">
        <v>46044</v>
      </c>
      <c r="E14" s="13">
        <v>1572811</v>
      </c>
      <c r="F14" s="13" t="s">
        <v>15</v>
      </c>
      <c r="G14" s="14">
        <v>20309796</v>
      </c>
      <c r="H14" s="13" t="s">
        <v>114</v>
      </c>
      <c r="I14" s="13" t="s">
        <v>19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46045</v>
      </c>
      <c r="E15" s="13">
        <v>1573062</v>
      </c>
      <c r="F15" s="13" t="s">
        <v>15</v>
      </c>
      <c r="G15" s="14">
        <v>20303923</v>
      </c>
      <c r="H15" s="13" t="s">
        <v>111</v>
      </c>
      <c r="I15" s="13" t="s">
        <v>48</v>
      </c>
      <c r="J15" s="14">
        <v>1</v>
      </c>
      <c r="K15" s="14">
        <v>2</v>
      </c>
      <c r="L15" s="15">
        <v>9.9</v>
      </c>
      <c r="M15" s="15">
        <v>9.9</v>
      </c>
    </row>
    <row r="16" spans="1:13">
      <c r="D16" s="12">
        <v>46045</v>
      </c>
      <c r="E16" s="13">
        <v>1573062</v>
      </c>
      <c r="F16" s="13" t="s">
        <v>15</v>
      </c>
      <c r="G16" s="14">
        <v>20303922</v>
      </c>
      <c r="H16" s="13" t="s">
        <v>20</v>
      </c>
      <c r="I16" s="13" t="s">
        <v>17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46045</v>
      </c>
      <c r="E17" s="13">
        <v>1573062</v>
      </c>
      <c r="F17" s="13" t="s">
        <v>54</v>
      </c>
      <c r="G17" s="14">
        <v>20303918</v>
      </c>
      <c r="H17" s="13" t="s">
        <v>112</v>
      </c>
      <c r="I17" s="13" t="s">
        <v>113</v>
      </c>
      <c r="J17" s="14">
        <v>3</v>
      </c>
      <c r="K17" s="14">
        <v>18</v>
      </c>
      <c r="L17" s="15">
        <v>22.01</v>
      </c>
      <c r="M17" s="15">
        <f>L17*J17</f>
        <v>66.03</v>
      </c>
    </row>
    <row r="18" spans="4:13">
      <c r="D18" s="12">
        <v>46045</v>
      </c>
      <c r="E18" s="13">
        <v>1573062</v>
      </c>
      <c r="F18" s="13" t="s">
        <v>108</v>
      </c>
      <c r="G18" s="14">
        <v>20303993</v>
      </c>
      <c r="H18" s="13" t="s">
        <v>109</v>
      </c>
      <c r="I18" s="13" t="s">
        <v>110</v>
      </c>
      <c r="J18" s="14">
        <v>7</v>
      </c>
      <c r="K18" s="14">
        <v>0</v>
      </c>
      <c r="L18" s="15">
        <v>2.4</v>
      </c>
      <c r="M18" s="15">
        <v>16.8</v>
      </c>
    </row>
    <row r="19" spans="4:13">
      <c r="D19" s="12">
        <v>46047</v>
      </c>
      <c r="E19" s="13">
        <v>1573422</v>
      </c>
      <c r="F19" s="13" t="s">
        <v>108</v>
      </c>
      <c r="G19" s="14">
        <v>20303993</v>
      </c>
      <c r="H19" s="13" t="s">
        <v>109</v>
      </c>
      <c r="I19" s="13" t="s">
        <v>110</v>
      </c>
      <c r="J19" s="14">
        <v>3</v>
      </c>
      <c r="K19" s="14">
        <v>0</v>
      </c>
      <c r="L19" s="15">
        <v>2.4</v>
      </c>
      <c r="M19" s="15">
        <v>7.2</v>
      </c>
    </row>
    <row r="20" spans="4:13">
      <c r="D20" s="12">
        <v>46048</v>
      </c>
      <c r="E20" s="13">
        <v>1573516</v>
      </c>
      <c r="F20" s="13" t="s">
        <v>15</v>
      </c>
      <c r="G20" s="14">
        <v>20303923</v>
      </c>
      <c r="H20" s="13" t="s">
        <v>111</v>
      </c>
      <c r="I20" s="13" t="s">
        <v>48</v>
      </c>
      <c r="J20" s="14">
        <v>2</v>
      </c>
      <c r="K20" s="14">
        <v>4</v>
      </c>
      <c r="L20" s="15">
        <v>9.9</v>
      </c>
      <c r="M20" s="15">
        <v>19.8</v>
      </c>
    </row>
    <row r="21" spans="4:13">
      <c r="D21" s="12">
        <v>46048</v>
      </c>
      <c r="E21" s="13">
        <v>1573516</v>
      </c>
      <c r="F21" s="13" t="s">
        <v>54</v>
      </c>
      <c r="G21" s="14">
        <v>20303918</v>
      </c>
      <c r="H21" s="13" t="s">
        <v>112</v>
      </c>
      <c r="I21" s="13" t="s">
        <v>113</v>
      </c>
      <c r="J21" s="14">
        <v>4</v>
      </c>
      <c r="K21" s="14">
        <v>24</v>
      </c>
      <c r="L21" s="15">
        <v>22.01</v>
      </c>
      <c r="M21" s="15">
        <f>L21*J21</f>
        <v>88.04</v>
      </c>
    </row>
    <row r="22" spans="4:13">
      <c r="D22" s="12">
        <v>46048</v>
      </c>
      <c r="E22" s="13">
        <v>1573560</v>
      </c>
      <c r="F22" s="13" t="s">
        <v>44</v>
      </c>
      <c r="G22" s="14">
        <v>20305026</v>
      </c>
      <c r="H22" s="13" t="s">
        <v>53</v>
      </c>
      <c r="I22" s="13" t="s">
        <v>30</v>
      </c>
      <c r="J22" s="14">
        <v>2</v>
      </c>
      <c r="K22" s="14">
        <v>8</v>
      </c>
      <c r="L22" s="15">
        <v>13.2</v>
      </c>
      <c r="M22" s="15">
        <v>26.4</v>
      </c>
    </row>
    <row r="23" spans="4:13">
      <c r="D23" s="12">
        <v>46048</v>
      </c>
      <c r="E23" s="13">
        <v>1573648</v>
      </c>
      <c r="F23" s="13" t="s">
        <v>115</v>
      </c>
      <c r="G23" s="14">
        <v>20355264</v>
      </c>
      <c r="H23" s="13" t="s">
        <v>116</v>
      </c>
      <c r="I23" s="13" t="s">
        <v>103</v>
      </c>
      <c r="J23" s="14">
        <v>1</v>
      </c>
      <c r="K23" s="14">
        <v>1</v>
      </c>
      <c r="L23" s="15">
        <v>21</v>
      </c>
      <c r="M23" s="15">
        <v>21</v>
      </c>
    </row>
    <row r="24" spans="4:13">
      <c r="D24" s="12">
        <v>46048</v>
      </c>
      <c r="E24" s="13">
        <v>1573648</v>
      </c>
      <c r="F24" s="13" t="s">
        <v>115</v>
      </c>
      <c r="G24" s="14">
        <v>20355266</v>
      </c>
      <c r="H24" s="13" t="s">
        <v>117</v>
      </c>
      <c r="I24" s="13" t="s">
        <v>118</v>
      </c>
      <c r="J24" s="14">
        <v>1</v>
      </c>
      <c r="K24" s="14">
        <v>1</v>
      </c>
      <c r="L24" s="15">
        <v>16.8</v>
      </c>
      <c r="M24" s="15">
        <v>16.8</v>
      </c>
    </row>
    <row r="25" spans="4:13">
      <c r="D25" s="12">
        <v>46048</v>
      </c>
      <c r="E25" s="13">
        <v>1573648</v>
      </c>
      <c r="F25" s="13" t="s">
        <v>115</v>
      </c>
      <c r="G25" s="14">
        <v>20310520</v>
      </c>
      <c r="H25" s="13" t="s">
        <v>119</v>
      </c>
      <c r="I25" s="13" t="s">
        <v>118</v>
      </c>
      <c r="J25" s="14">
        <v>1</v>
      </c>
      <c r="K25" s="14">
        <v>1</v>
      </c>
      <c r="L25" s="15">
        <v>16.8</v>
      </c>
      <c r="M25" s="15">
        <v>16.8</v>
      </c>
    </row>
    <row r="26" spans="4:13">
      <c r="D26" s="12">
        <v>46048</v>
      </c>
      <c r="E26" s="13">
        <v>1573648</v>
      </c>
      <c r="F26" s="13" t="s">
        <v>28</v>
      </c>
      <c r="G26" s="14">
        <v>20365496</v>
      </c>
      <c r="H26" s="13" t="s">
        <v>120</v>
      </c>
      <c r="I26" s="13" t="s">
        <v>75</v>
      </c>
      <c r="J26" s="14">
        <v>1</v>
      </c>
      <c r="K26" s="14">
        <v>1</v>
      </c>
      <c r="L26" s="15">
        <v>9.9</v>
      </c>
      <c r="M26" s="15">
        <v>9.9</v>
      </c>
    </row>
    <row r="27" spans="4:13">
      <c r="D27" s="12">
        <v>46049</v>
      </c>
      <c r="E27" s="13">
        <v>1573933</v>
      </c>
      <c r="F27" s="13" t="s">
        <v>15</v>
      </c>
      <c r="G27" s="14">
        <v>20303923</v>
      </c>
      <c r="H27" s="13" t="s">
        <v>111</v>
      </c>
      <c r="I27" s="13" t="s">
        <v>48</v>
      </c>
      <c r="J27" s="14">
        <v>2</v>
      </c>
      <c r="K27" s="14">
        <v>4</v>
      </c>
      <c r="L27" s="15">
        <v>9.9</v>
      </c>
      <c r="M27" s="15">
        <v>19.8</v>
      </c>
    </row>
    <row r="28" spans="4:13">
      <c r="D28" s="12">
        <v>46049</v>
      </c>
      <c r="E28" s="13">
        <v>1573933</v>
      </c>
      <c r="F28" s="13" t="s">
        <v>54</v>
      </c>
      <c r="G28" s="14">
        <v>20303918</v>
      </c>
      <c r="H28" s="13" t="s">
        <v>112</v>
      </c>
      <c r="I28" s="13" t="s">
        <v>113</v>
      </c>
      <c r="J28" s="14">
        <v>6</v>
      </c>
      <c r="K28" s="14">
        <v>36</v>
      </c>
      <c r="L28" s="15">
        <v>22.01</v>
      </c>
      <c r="M28" s="15">
        <f>L28*J28</f>
        <v>132.06</v>
      </c>
    </row>
    <row r="29" spans="4:13">
      <c r="D29" s="12">
        <v>46050</v>
      </c>
      <c r="E29" s="13">
        <v>1574273</v>
      </c>
      <c r="F29" s="13" t="s">
        <v>15</v>
      </c>
      <c r="G29" s="14">
        <v>20303923</v>
      </c>
      <c r="H29" s="13" t="s">
        <v>111</v>
      </c>
      <c r="I29" s="13" t="s">
        <v>48</v>
      </c>
      <c r="J29" s="14">
        <v>3</v>
      </c>
      <c r="K29" s="14">
        <v>6</v>
      </c>
      <c r="L29" s="15">
        <v>9.9</v>
      </c>
      <c r="M29" s="15">
        <v>29.7</v>
      </c>
    </row>
    <row r="30" spans="4:13">
      <c r="D30" s="12">
        <v>46050</v>
      </c>
      <c r="E30" s="13">
        <v>1574273</v>
      </c>
      <c r="F30" s="13" t="s">
        <v>15</v>
      </c>
      <c r="G30" s="14">
        <v>20371317</v>
      </c>
      <c r="H30" s="13" t="s">
        <v>121</v>
      </c>
      <c r="I30" s="13" t="s">
        <v>19</v>
      </c>
      <c r="J30" s="14">
        <v>3</v>
      </c>
      <c r="K30" s="14">
        <v>3</v>
      </c>
      <c r="L30" s="15">
        <v>4.8</v>
      </c>
      <c r="M30" s="15">
        <v>14.4</v>
      </c>
    </row>
    <row r="31" spans="4:13">
      <c r="D31" s="12">
        <v>46050</v>
      </c>
      <c r="E31" s="13">
        <v>1574273</v>
      </c>
      <c r="F31" s="13" t="s">
        <v>54</v>
      </c>
      <c r="G31" s="14">
        <v>20303918</v>
      </c>
      <c r="H31" s="13" t="s">
        <v>112</v>
      </c>
      <c r="I31" s="13" t="s">
        <v>113</v>
      </c>
      <c r="J31" s="14">
        <v>4</v>
      </c>
      <c r="K31" s="14">
        <v>24</v>
      </c>
      <c r="L31" s="15">
        <v>22.01</v>
      </c>
      <c r="M31" s="15">
        <f>L31*J31</f>
        <v>88.04</v>
      </c>
    </row>
    <row r="32" spans="4:13">
      <c r="D32" s="12">
        <v>46050</v>
      </c>
      <c r="E32" s="13">
        <v>1574273</v>
      </c>
      <c r="F32" s="13" t="s">
        <v>115</v>
      </c>
      <c r="G32" s="14">
        <v>20355264</v>
      </c>
      <c r="H32" s="13" t="s">
        <v>116</v>
      </c>
      <c r="I32" s="13" t="s">
        <v>103</v>
      </c>
      <c r="J32" s="14">
        <v>1</v>
      </c>
      <c r="K32" s="14">
        <v>1</v>
      </c>
      <c r="L32" s="15">
        <v>21</v>
      </c>
      <c r="M32" s="15">
        <v>21</v>
      </c>
    </row>
    <row r="33" spans="4:13">
      <c r="D33" s="12">
        <v>46050</v>
      </c>
      <c r="E33" s="13">
        <v>1574273</v>
      </c>
      <c r="F33" s="13" t="s">
        <v>28</v>
      </c>
      <c r="G33" s="14">
        <v>20365496</v>
      </c>
      <c r="H33" s="13" t="s">
        <v>120</v>
      </c>
      <c r="I33" s="13" t="s">
        <v>75</v>
      </c>
      <c r="J33" s="14">
        <v>1</v>
      </c>
      <c r="K33" s="14">
        <v>1</v>
      </c>
      <c r="L33" s="15">
        <v>9.9</v>
      </c>
      <c r="M33" s="15">
        <v>9.9</v>
      </c>
    </row>
    <row r="34" spans="4:13">
      <c r="D34" s="12">
        <v>46050</v>
      </c>
      <c r="E34" s="13">
        <v>1574287</v>
      </c>
      <c r="F34" s="13" t="s">
        <v>108</v>
      </c>
      <c r="G34" s="14">
        <v>20303993</v>
      </c>
      <c r="H34" s="13" t="s">
        <v>109</v>
      </c>
      <c r="I34" s="13" t="s">
        <v>110</v>
      </c>
      <c r="J34" s="14">
        <v>10</v>
      </c>
      <c r="K34" s="14">
        <v>0</v>
      </c>
      <c r="L34" s="15">
        <v>2.4</v>
      </c>
      <c r="M34" s="15">
        <v>24</v>
      </c>
    </row>
    <row r="35" spans="4:13">
      <c r="D35" s="12">
        <v>46051</v>
      </c>
      <c r="E35" s="13">
        <v>1574666</v>
      </c>
      <c r="F35" s="13" t="s">
        <v>44</v>
      </c>
      <c r="G35" s="14">
        <v>20305026</v>
      </c>
      <c r="H35" s="13" t="s">
        <v>53</v>
      </c>
      <c r="I35" s="13" t="s">
        <v>30</v>
      </c>
      <c r="J35" s="14">
        <v>2</v>
      </c>
      <c r="K35" s="14">
        <v>8</v>
      </c>
      <c r="L35" s="15">
        <v>13.2</v>
      </c>
      <c r="M35" s="15">
        <v>26.4</v>
      </c>
    </row>
    <row r="36" spans="4:13">
      <c r="D36" s="12">
        <v>46051</v>
      </c>
      <c r="E36" s="13">
        <v>1574666</v>
      </c>
      <c r="F36" s="13" t="s">
        <v>54</v>
      </c>
      <c r="G36" s="14">
        <v>20303918</v>
      </c>
      <c r="H36" s="13" t="s">
        <v>112</v>
      </c>
      <c r="I36" s="13" t="s">
        <v>113</v>
      </c>
      <c r="J36" s="14">
        <v>1</v>
      </c>
      <c r="K36" s="14">
        <v>6</v>
      </c>
      <c r="L36" s="15">
        <v>22.01</v>
      </c>
      <c r="M36" s="15">
        <f>L36*J36</f>
        <v>22.01</v>
      </c>
    </row>
    <row r="37" spans="4:13">
      <c r="D37" s="12">
        <v>46051</v>
      </c>
      <c r="E37" s="13">
        <v>1574666</v>
      </c>
      <c r="F37" s="13" t="s">
        <v>108</v>
      </c>
      <c r="G37" s="14">
        <v>20303993</v>
      </c>
      <c r="H37" s="13" t="s">
        <v>109</v>
      </c>
      <c r="I37" s="13" t="s">
        <v>110</v>
      </c>
      <c r="J37" s="14">
        <v>4</v>
      </c>
      <c r="K37" s="14">
        <v>0</v>
      </c>
      <c r="L37" s="15">
        <v>2.4</v>
      </c>
      <c r="M37" s="15">
        <v>9.6</v>
      </c>
    </row>
    <row r="38" spans="4:13">
      <c r="D38" s="12">
        <v>46051</v>
      </c>
      <c r="E38" s="13">
        <v>1574742</v>
      </c>
      <c r="F38" s="13" t="s">
        <v>15</v>
      </c>
      <c r="G38" s="14">
        <v>20303923</v>
      </c>
      <c r="H38" s="13" t="s">
        <v>111</v>
      </c>
      <c r="I38" s="13" t="s">
        <v>48</v>
      </c>
      <c r="J38" s="14">
        <v>1</v>
      </c>
      <c r="K38" s="14">
        <v>2</v>
      </c>
      <c r="L38" s="15">
        <v>9.9</v>
      </c>
      <c r="M38" s="15">
        <v>9.9</v>
      </c>
    </row>
    <row r="39" spans="4:13">
      <c r="D39" s="12">
        <v>46051</v>
      </c>
      <c r="E39" s="13">
        <v>1574742</v>
      </c>
      <c r="F39" s="13" t="s">
        <v>54</v>
      </c>
      <c r="G39" s="14">
        <v>20303918</v>
      </c>
      <c r="H39" s="13" t="s">
        <v>112</v>
      </c>
      <c r="I39" s="13" t="s">
        <v>113</v>
      </c>
      <c r="J39" s="14">
        <v>5</v>
      </c>
      <c r="K39" s="14">
        <v>30</v>
      </c>
      <c r="L39" s="15">
        <v>22.01</v>
      </c>
      <c r="M39" s="15">
        <f>L39*J39</f>
        <v>110.05</v>
      </c>
    </row>
    <row r="40" spans="4:13">
      <c r="D40" s="12">
        <v>46051</v>
      </c>
      <c r="E40" s="13">
        <v>1574742</v>
      </c>
      <c r="F40" s="13" t="s">
        <v>108</v>
      </c>
      <c r="G40" s="14">
        <v>20303993</v>
      </c>
      <c r="H40" s="13" t="s">
        <v>109</v>
      </c>
      <c r="I40" s="13" t="s">
        <v>110</v>
      </c>
      <c r="J40" s="14">
        <v>1</v>
      </c>
      <c r="K40" s="14">
        <v>0</v>
      </c>
      <c r="L40" s="15">
        <v>2.4</v>
      </c>
      <c r="M40" s="15">
        <v>2.4</v>
      </c>
    </row>
    <row r="41" spans="4:13">
      <c r="D41" s="12">
        <v>46052</v>
      </c>
      <c r="E41" s="13">
        <v>1575065</v>
      </c>
      <c r="F41" s="13" t="s">
        <v>15</v>
      </c>
      <c r="G41" s="14">
        <v>20310405</v>
      </c>
      <c r="H41" s="13" t="s">
        <v>69</v>
      </c>
      <c r="I41" s="13" t="s">
        <v>70</v>
      </c>
      <c r="J41" s="14">
        <v>1</v>
      </c>
      <c r="K41" s="14">
        <v>6</v>
      </c>
      <c r="L41" s="15">
        <v>8.1</v>
      </c>
      <c r="M41" s="15">
        <v>8.1</v>
      </c>
    </row>
    <row r="42" spans="4:13">
      <c r="D42" s="12">
        <v>46052</v>
      </c>
      <c r="E42" s="13">
        <v>1575065</v>
      </c>
      <c r="F42" s="13" t="s">
        <v>15</v>
      </c>
      <c r="G42" s="14">
        <v>20303923</v>
      </c>
      <c r="H42" s="13" t="s">
        <v>111</v>
      </c>
      <c r="I42" s="13" t="s">
        <v>48</v>
      </c>
      <c r="J42" s="14">
        <v>2</v>
      </c>
      <c r="K42" s="14">
        <v>4</v>
      </c>
      <c r="L42" s="15">
        <v>9.9</v>
      </c>
      <c r="M42" s="15">
        <v>19.8</v>
      </c>
    </row>
    <row r="43" spans="4:13">
      <c r="D43" s="12">
        <v>46052</v>
      </c>
      <c r="E43" s="13">
        <v>1575065</v>
      </c>
      <c r="F43" s="13" t="s">
        <v>54</v>
      </c>
      <c r="G43" s="14">
        <v>20303918</v>
      </c>
      <c r="H43" s="13" t="s">
        <v>112</v>
      </c>
      <c r="I43" s="13" t="s">
        <v>113</v>
      </c>
      <c r="J43" s="14">
        <v>3</v>
      </c>
      <c r="K43" s="14">
        <v>18</v>
      </c>
      <c r="L43" s="15">
        <v>22.01</v>
      </c>
      <c r="M43" s="15">
        <f>L43*J43</f>
        <v>66.03</v>
      </c>
    </row>
    <row r="44" spans="4:13">
      <c r="D44" s="12">
        <v>46054</v>
      </c>
      <c r="E44" s="13">
        <v>1575317</v>
      </c>
      <c r="F44" s="13" t="s">
        <v>15</v>
      </c>
      <c r="G44" s="14">
        <v>20303923</v>
      </c>
      <c r="H44" s="13" t="s">
        <v>111</v>
      </c>
      <c r="I44" s="13" t="s">
        <v>48</v>
      </c>
      <c r="J44" s="14">
        <v>2</v>
      </c>
      <c r="K44" s="14">
        <v>4</v>
      </c>
      <c r="L44" s="15">
        <v>9.9</v>
      </c>
      <c r="M44" s="15">
        <v>19.8</v>
      </c>
    </row>
    <row r="45" spans="4:13">
      <c r="D45" s="12">
        <v>46054</v>
      </c>
      <c r="E45" s="13">
        <v>1575317</v>
      </c>
      <c r="F45" s="13" t="s">
        <v>15</v>
      </c>
      <c r="G45" s="14">
        <v>20303984</v>
      </c>
      <c r="H45" s="13" t="s">
        <v>82</v>
      </c>
      <c r="I45" s="13" t="s">
        <v>83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46054</v>
      </c>
      <c r="E46" s="13">
        <v>1575317</v>
      </c>
      <c r="F46" s="13" t="s">
        <v>54</v>
      </c>
      <c r="G46" s="14">
        <v>20303918</v>
      </c>
      <c r="H46" s="13" t="s">
        <v>112</v>
      </c>
      <c r="I46" s="13" t="s">
        <v>113</v>
      </c>
      <c r="J46" s="14">
        <v>7</v>
      </c>
      <c r="K46" s="14">
        <v>42</v>
      </c>
      <c r="L46" s="15">
        <v>22.01</v>
      </c>
      <c r="M46" s="15">
        <f>L46*J46</f>
        <v>154.07</v>
      </c>
    </row>
    <row r="47" spans="4:13">
      <c r="D47" s="12">
        <v>46054</v>
      </c>
      <c r="E47" s="13">
        <v>1575317</v>
      </c>
      <c r="F47" s="13" t="s">
        <v>54</v>
      </c>
      <c r="G47" s="14">
        <v>20313126</v>
      </c>
      <c r="H47" s="13" t="s">
        <v>122</v>
      </c>
      <c r="I47" s="13" t="s">
        <v>113</v>
      </c>
      <c r="J47" s="14">
        <v>1</v>
      </c>
      <c r="K47" s="14">
        <v>15</v>
      </c>
      <c r="L47" s="15">
        <v>51.528</v>
      </c>
      <c r="M47" s="15">
        <v>51.528</v>
      </c>
    </row>
    <row r="48" spans="4:13">
      <c r="D48" s="12">
        <v>46054</v>
      </c>
      <c r="E48" s="13">
        <v>1575317</v>
      </c>
      <c r="F48" s="13" t="s">
        <v>108</v>
      </c>
      <c r="G48" s="14">
        <v>20303993</v>
      </c>
      <c r="H48" s="13" t="s">
        <v>109</v>
      </c>
      <c r="I48" s="13" t="s">
        <v>110</v>
      </c>
      <c r="J48" s="14">
        <v>6</v>
      </c>
      <c r="K48" s="14">
        <v>0</v>
      </c>
      <c r="L48" s="15">
        <v>2.4</v>
      </c>
      <c r="M48" s="15">
        <v>14.4</v>
      </c>
    </row>
    <row r="49" spans="4:13">
      <c r="D49" s="12">
        <v>46055</v>
      </c>
      <c r="E49" s="13">
        <v>1575472</v>
      </c>
      <c r="F49" s="13" t="s">
        <v>44</v>
      </c>
      <c r="G49" s="14">
        <v>20305026</v>
      </c>
      <c r="H49" s="13" t="s">
        <v>53</v>
      </c>
      <c r="I49" s="13" t="s">
        <v>30</v>
      </c>
      <c r="J49" s="14">
        <v>2</v>
      </c>
      <c r="K49" s="14">
        <v>8</v>
      </c>
      <c r="L49" s="15">
        <v>13.2</v>
      </c>
      <c r="M49" s="15">
        <v>26.4</v>
      </c>
    </row>
    <row r="50" spans="4:13">
      <c r="D50" s="12">
        <v>46056</v>
      </c>
      <c r="E50" s="13">
        <v>1575820</v>
      </c>
      <c r="F50" s="13" t="s">
        <v>15</v>
      </c>
      <c r="G50" s="14">
        <v>20305094</v>
      </c>
      <c r="H50" s="13" t="s">
        <v>123</v>
      </c>
      <c r="I50" s="13" t="s">
        <v>83</v>
      </c>
      <c r="J50" s="14">
        <v>1</v>
      </c>
      <c r="K50" s="14">
        <v>1</v>
      </c>
      <c r="L50" s="15">
        <v>4.8</v>
      </c>
      <c r="M50" s="15">
        <v>4.8</v>
      </c>
    </row>
    <row r="51" spans="4:13">
      <c r="D51" s="12">
        <v>46056</v>
      </c>
      <c r="E51" s="13">
        <v>1575820</v>
      </c>
      <c r="F51" s="13" t="s">
        <v>15</v>
      </c>
      <c r="G51" s="14">
        <v>20303923</v>
      </c>
      <c r="H51" s="13" t="s">
        <v>111</v>
      </c>
      <c r="I51" s="13" t="s">
        <v>48</v>
      </c>
      <c r="J51" s="14">
        <v>1</v>
      </c>
      <c r="K51" s="14">
        <v>2</v>
      </c>
      <c r="L51" s="15">
        <v>9.9</v>
      </c>
      <c r="M51" s="15">
        <v>9.9</v>
      </c>
    </row>
    <row r="52" spans="4:13">
      <c r="D52" s="12">
        <v>46056</v>
      </c>
      <c r="E52" s="13">
        <v>1575820</v>
      </c>
      <c r="F52" s="13" t="s">
        <v>54</v>
      </c>
      <c r="G52" s="14">
        <v>20303918</v>
      </c>
      <c r="H52" s="13" t="s">
        <v>112</v>
      </c>
      <c r="I52" s="13" t="s">
        <v>113</v>
      </c>
      <c r="J52" s="14">
        <v>2</v>
      </c>
      <c r="K52" s="14">
        <v>12</v>
      </c>
      <c r="L52" s="15">
        <v>22.01</v>
      </c>
      <c r="M52" s="15">
        <f>L52*J52</f>
        <v>44.02</v>
      </c>
    </row>
    <row r="53" spans="4:13">
      <c r="D53" s="12">
        <v>46056</v>
      </c>
      <c r="E53" s="13">
        <v>1575836</v>
      </c>
      <c r="F53" s="13" t="s">
        <v>108</v>
      </c>
      <c r="G53" s="14">
        <v>20303993</v>
      </c>
      <c r="H53" s="13" t="s">
        <v>109</v>
      </c>
      <c r="I53" s="13" t="s">
        <v>110</v>
      </c>
      <c r="J53" s="14">
        <v>8</v>
      </c>
      <c r="K53" s="14">
        <v>0</v>
      </c>
      <c r="L53" s="15">
        <v>2.4</v>
      </c>
      <c r="M53" s="15">
        <v>19.2</v>
      </c>
    </row>
    <row r="54" spans="4:13">
      <c r="D54" s="12">
        <v>46057</v>
      </c>
      <c r="E54" s="13">
        <v>1576141</v>
      </c>
      <c r="F54" s="13" t="s">
        <v>15</v>
      </c>
      <c r="G54" s="14">
        <v>20303923</v>
      </c>
      <c r="H54" s="13" t="s">
        <v>111</v>
      </c>
      <c r="I54" s="13" t="s">
        <v>48</v>
      </c>
      <c r="J54" s="14">
        <v>1</v>
      </c>
      <c r="K54" s="14">
        <v>2</v>
      </c>
      <c r="L54" s="15">
        <v>9.9</v>
      </c>
      <c r="M54" s="15">
        <v>9.9</v>
      </c>
    </row>
    <row r="55" spans="4:13">
      <c r="D55" s="12">
        <v>46057</v>
      </c>
      <c r="E55" s="13">
        <v>1576141</v>
      </c>
      <c r="F55" s="13" t="s">
        <v>15</v>
      </c>
      <c r="G55" s="14">
        <v>20303984</v>
      </c>
      <c r="H55" s="13" t="s">
        <v>82</v>
      </c>
      <c r="I55" s="13" t="s">
        <v>83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46057</v>
      </c>
      <c r="E56" s="13">
        <v>1576141</v>
      </c>
      <c r="F56" s="13" t="s">
        <v>54</v>
      </c>
      <c r="G56" s="14">
        <v>20303918</v>
      </c>
      <c r="H56" s="13" t="s">
        <v>112</v>
      </c>
      <c r="I56" s="13" t="s">
        <v>113</v>
      </c>
      <c r="J56" s="14">
        <v>2</v>
      </c>
      <c r="K56" s="14">
        <v>12</v>
      </c>
      <c r="L56" s="15">
        <v>22.01</v>
      </c>
      <c r="M56" s="15">
        <f>L56*J56</f>
        <v>44.02</v>
      </c>
    </row>
    <row r="57" spans="4:13">
      <c r="D57" s="12">
        <v>46057</v>
      </c>
      <c r="E57" s="13">
        <v>1576174</v>
      </c>
      <c r="F57" s="13" t="s">
        <v>108</v>
      </c>
      <c r="G57" s="14">
        <v>20303993</v>
      </c>
      <c r="H57" s="13" t="s">
        <v>109</v>
      </c>
      <c r="I57" s="13" t="s">
        <v>110</v>
      </c>
      <c r="J57" s="14">
        <v>11</v>
      </c>
      <c r="K57" s="14">
        <v>0</v>
      </c>
      <c r="L57" s="15">
        <v>2.4</v>
      </c>
      <c r="M57" s="15">
        <v>26.4</v>
      </c>
    </row>
    <row r="58" spans="4:13">
      <c r="D58" s="12">
        <v>46058</v>
      </c>
      <c r="E58" s="13">
        <v>1576544</v>
      </c>
      <c r="F58" s="13" t="s">
        <v>44</v>
      </c>
      <c r="G58" s="14">
        <v>20305026</v>
      </c>
      <c r="H58" s="13" t="s">
        <v>53</v>
      </c>
      <c r="I58" s="13" t="s">
        <v>30</v>
      </c>
      <c r="J58" s="14">
        <v>2</v>
      </c>
      <c r="K58" s="14">
        <v>8</v>
      </c>
      <c r="L58" s="15">
        <v>13.2</v>
      </c>
      <c r="M58" s="15">
        <v>26.4</v>
      </c>
    </row>
    <row r="59" spans="4:13">
      <c r="D59" s="12">
        <v>46058</v>
      </c>
      <c r="E59" s="13">
        <v>1576544</v>
      </c>
      <c r="F59" s="13" t="s">
        <v>54</v>
      </c>
      <c r="G59" s="14">
        <v>20303918</v>
      </c>
      <c r="H59" s="13" t="s">
        <v>112</v>
      </c>
      <c r="I59" s="13" t="s">
        <v>113</v>
      </c>
      <c r="J59" s="14">
        <v>1</v>
      </c>
      <c r="K59" s="14">
        <v>6</v>
      </c>
      <c r="L59" s="15">
        <v>22.01</v>
      </c>
      <c r="M59" s="15">
        <f>L59*J59</f>
        <v>22.01</v>
      </c>
    </row>
    <row r="60" spans="4:13">
      <c r="D60" s="12">
        <v>46058</v>
      </c>
      <c r="E60" s="13">
        <v>1576544</v>
      </c>
      <c r="F60" s="13" t="s">
        <v>108</v>
      </c>
      <c r="G60" s="14">
        <v>20303993</v>
      </c>
      <c r="H60" s="13" t="s">
        <v>109</v>
      </c>
      <c r="I60" s="13" t="s">
        <v>110</v>
      </c>
      <c r="J60" s="14">
        <v>2</v>
      </c>
      <c r="K60" s="14">
        <v>0</v>
      </c>
      <c r="L60" s="15">
        <v>2.4</v>
      </c>
      <c r="M60" s="15">
        <v>4.8</v>
      </c>
    </row>
    <row r="61" spans="4:13">
      <c r="D61" s="12">
        <v>46059</v>
      </c>
      <c r="E61" s="13">
        <v>1576829</v>
      </c>
      <c r="F61" s="13" t="s">
        <v>15</v>
      </c>
      <c r="G61" s="14">
        <v>20303923</v>
      </c>
      <c r="H61" s="13" t="s">
        <v>111</v>
      </c>
      <c r="I61" s="13" t="s">
        <v>48</v>
      </c>
      <c r="J61" s="14">
        <v>2</v>
      </c>
      <c r="K61" s="14">
        <v>4</v>
      </c>
      <c r="L61" s="15">
        <v>9.9</v>
      </c>
      <c r="M61" s="15">
        <v>19.8</v>
      </c>
    </row>
    <row r="62" spans="4:13">
      <c r="D62" s="12">
        <v>46059</v>
      </c>
      <c r="E62" s="13">
        <v>1576829</v>
      </c>
      <c r="F62" s="13" t="s">
        <v>54</v>
      </c>
      <c r="G62" s="14">
        <v>20303918</v>
      </c>
      <c r="H62" s="13" t="s">
        <v>112</v>
      </c>
      <c r="I62" s="13" t="s">
        <v>113</v>
      </c>
      <c r="J62" s="14">
        <v>7</v>
      </c>
      <c r="K62" s="14">
        <v>42</v>
      </c>
      <c r="L62" s="15">
        <v>22.01</v>
      </c>
      <c r="M62" s="15">
        <f>L62*J62</f>
        <v>154.07</v>
      </c>
    </row>
    <row r="63" spans="4:13">
      <c r="D63" s="12">
        <v>46059</v>
      </c>
      <c r="E63" s="13">
        <v>1576878</v>
      </c>
      <c r="F63" s="13" t="s">
        <v>108</v>
      </c>
      <c r="G63" s="14">
        <v>20303993</v>
      </c>
      <c r="H63" s="13" t="s">
        <v>109</v>
      </c>
      <c r="I63" s="13" t="s">
        <v>110</v>
      </c>
      <c r="J63" s="14">
        <v>1</v>
      </c>
      <c r="K63" s="14">
        <v>0</v>
      </c>
      <c r="L63" s="15">
        <v>2.4</v>
      </c>
      <c r="M63" s="15">
        <v>2.4</v>
      </c>
    </row>
    <row r="64" spans="4:13">
      <c r="D64" s="12">
        <v>46059</v>
      </c>
      <c r="E64" s="13">
        <v>1576947</v>
      </c>
      <c r="F64" s="13" t="s">
        <v>54</v>
      </c>
      <c r="G64" s="14">
        <v>20303918</v>
      </c>
      <c r="H64" s="13" t="s">
        <v>112</v>
      </c>
      <c r="I64" s="13" t="s">
        <v>113</v>
      </c>
      <c r="J64" s="14">
        <v>2</v>
      </c>
      <c r="K64" s="14">
        <v>12</v>
      </c>
      <c r="L64" s="15">
        <v>22.01</v>
      </c>
      <c r="M64" s="15">
        <f>L64*J64</f>
        <v>44.02</v>
      </c>
    </row>
    <row r="65" spans="4:13">
      <c r="D65" s="12">
        <v>46060</v>
      </c>
      <c r="E65" s="13">
        <v>1577096</v>
      </c>
      <c r="F65" s="13" t="s">
        <v>108</v>
      </c>
      <c r="G65" s="14">
        <v>20303993</v>
      </c>
      <c r="H65" s="13" t="s">
        <v>109</v>
      </c>
      <c r="I65" s="13" t="s">
        <v>110</v>
      </c>
      <c r="J65" s="14">
        <v>8</v>
      </c>
      <c r="K65" s="14">
        <v>0</v>
      </c>
      <c r="L65" s="15">
        <v>2.4</v>
      </c>
      <c r="M65" s="15">
        <v>19.2</v>
      </c>
    </row>
    <row r="66" spans="4:13">
      <c r="D66" s="12">
        <v>46062</v>
      </c>
      <c r="E66" s="13">
        <v>1577318</v>
      </c>
      <c r="F66" s="13" t="s">
        <v>15</v>
      </c>
      <c r="G66" s="14">
        <v>20303923</v>
      </c>
      <c r="H66" s="13" t="s">
        <v>111</v>
      </c>
      <c r="I66" s="13" t="s">
        <v>48</v>
      </c>
      <c r="J66" s="14">
        <v>2</v>
      </c>
      <c r="K66" s="14">
        <v>4</v>
      </c>
      <c r="L66" s="15">
        <v>9.9</v>
      </c>
      <c r="M66" s="15">
        <v>19.8</v>
      </c>
    </row>
    <row r="67" spans="4:13">
      <c r="D67" s="12">
        <v>46062</v>
      </c>
      <c r="E67" s="13">
        <v>1577318</v>
      </c>
      <c r="F67" s="13" t="s">
        <v>44</v>
      </c>
      <c r="G67" s="14">
        <v>20305026</v>
      </c>
      <c r="H67" s="13" t="s">
        <v>53</v>
      </c>
      <c r="I67" s="13" t="s">
        <v>30</v>
      </c>
      <c r="J67" s="14">
        <v>2</v>
      </c>
      <c r="K67" s="14">
        <v>8</v>
      </c>
      <c r="L67" s="15">
        <v>13.2</v>
      </c>
      <c r="M67" s="15">
        <v>26.4</v>
      </c>
    </row>
    <row r="68" spans="4:13">
      <c r="D68" s="12">
        <v>46062</v>
      </c>
      <c r="E68" s="13">
        <v>1577318</v>
      </c>
      <c r="F68" s="13" t="s">
        <v>54</v>
      </c>
      <c r="G68" s="14">
        <v>20303918</v>
      </c>
      <c r="H68" s="13" t="s">
        <v>112</v>
      </c>
      <c r="I68" s="13" t="s">
        <v>113</v>
      </c>
      <c r="J68" s="14">
        <v>3</v>
      </c>
      <c r="K68" s="14">
        <v>18</v>
      </c>
      <c r="L68" s="15">
        <v>22.01</v>
      </c>
      <c r="M68" s="15">
        <f>L68*J68</f>
        <v>66.03</v>
      </c>
    </row>
    <row r="69" spans="4:13">
      <c r="D69" s="12">
        <v>46062</v>
      </c>
      <c r="E69" s="13">
        <v>1577393</v>
      </c>
      <c r="F69" s="13" t="s">
        <v>108</v>
      </c>
      <c r="G69" s="14">
        <v>20303993</v>
      </c>
      <c r="H69" s="13" t="s">
        <v>109</v>
      </c>
      <c r="I69" s="13" t="s">
        <v>110</v>
      </c>
      <c r="J69" s="14">
        <v>2</v>
      </c>
      <c r="K69" s="14">
        <v>0</v>
      </c>
      <c r="L69" s="15">
        <v>2.4</v>
      </c>
      <c r="M69" s="15">
        <v>4.8</v>
      </c>
    </row>
    <row r="70" spans="4:13">
      <c r="D70" s="12">
        <v>46064</v>
      </c>
      <c r="E70" s="13">
        <v>1577986</v>
      </c>
      <c r="F70" s="13" t="s">
        <v>15</v>
      </c>
      <c r="G70" s="14">
        <v>20303923</v>
      </c>
      <c r="H70" s="13" t="s">
        <v>111</v>
      </c>
      <c r="I70" s="13" t="s">
        <v>48</v>
      </c>
      <c r="J70" s="14">
        <v>2</v>
      </c>
      <c r="K70" s="14">
        <v>4</v>
      </c>
      <c r="L70" s="15">
        <v>9.9</v>
      </c>
      <c r="M70" s="15">
        <v>19.8</v>
      </c>
    </row>
    <row r="71" spans="4:13">
      <c r="D71" s="12">
        <v>46064</v>
      </c>
      <c r="E71" s="13">
        <v>1577986</v>
      </c>
      <c r="F71" s="13" t="s">
        <v>54</v>
      </c>
      <c r="G71" s="14">
        <v>20303918</v>
      </c>
      <c r="H71" s="13" t="s">
        <v>112</v>
      </c>
      <c r="I71" s="13" t="s">
        <v>113</v>
      </c>
      <c r="J71" s="14">
        <v>4</v>
      </c>
      <c r="K71" s="14">
        <v>24</v>
      </c>
      <c r="L71" s="15">
        <v>22.01</v>
      </c>
      <c r="M71" s="15">
        <f>L71*J71</f>
        <v>88.04</v>
      </c>
    </row>
    <row r="72" spans="4:13">
      <c r="D72" s="12">
        <v>46064</v>
      </c>
      <c r="E72" s="13">
        <v>1577986</v>
      </c>
      <c r="F72" s="13" t="s">
        <v>108</v>
      </c>
      <c r="G72" s="14">
        <v>20303993</v>
      </c>
      <c r="H72" s="13" t="s">
        <v>109</v>
      </c>
      <c r="I72" s="13" t="s">
        <v>110</v>
      </c>
      <c r="J72" s="14">
        <v>3</v>
      </c>
      <c r="K72" s="14">
        <v>0</v>
      </c>
      <c r="L72" s="15">
        <v>2.4</v>
      </c>
      <c r="M72" s="15">
        <v>7.2</v>
      </c>
    </row>
    <row r="73" spans="4:13">
      <c r="D73" s="12">
        <v>46065</v>
      </c>
      <c r="E73" s="13">
        <v>1578290</v>
      </c>
      <c r="F73" s="13" t="s">
        <v>15</v>
      </c>
      <c r="G73" s="14">
        <v>20303923</v>
      </c>
      <c r="H73" s="13" t="s">
        <v>111</v>
      </c>
      <c r="I73" s="13" t="s">
        <v>48</v>
      </c>
      <c r="J73" s="14">
        <v>1</v>
      </c>
      <c r="K73" s="14">
        <v>2</v>
      </c>
      <c r="L73" s="15">
        <v>9.9</v>
      </c>
      <c r="M73" s="15">
        <v>9.9</v>
      </c>
    </row>
    <row r="74" spans="4:13">
      <c r="D74" s="12">
        <v>46065</v>
      </c>
      <c r="E74" s="13">
        <v>1578290</v>
      </c>
      <c r="F74" s="13" t="s">
        <v>44</v>
      </c>
      <c r="G74" s="14">
        <v>20305026</v>
      </c>
      <c r="H74" s="13" t="s">
        <v>53</v>
      </c>
      <c r="I74" s="13" t="s">
        <v>30</v>
      </c>
      <c r="J74" s="14">
        <v>2</v>
      </c>
      <c r="K74" s="14">
        <v>8</v>
      </c>
      <c r="L74" s="15">
        <v>13.2</v>
      </c>
      <c r="M74" s="15">
        <v>26.4</v>
      </c>
    </row>
    <row r="75" spans="4:13">
      <c r="D75" s="12">
        <v>46065</v>
      </c>
      <c r="E75" s="13">
        <v>1578290</v>
      </c>
      <c r="F75" s="13" t="s">
        <v>54</v>
      </c>
      <c r="G75" s="14">
        <v>20303918</v>
      </c>
      <c r="H75" s="13" t="s">
        <v>112</v>
      </c>
      <c r="I75" s="13" t="s">
        <v>113</v>
      </c>
      <c r="J75" s="14">
        <v>3</v>
      </c>
      <c r="K75" s="14">
        <v>18</v>
      </c>
      <c r="L75" s="15">
        <v>22.01</v>
      </c>
      <c r="M75" s="15">
        <f>L75*J75</f>
        <v>66.03</v>
      </c>
    </row>
    <row r="76" spans="4:13">
      <c r="D76" s="12">
        <v>46065</v>
      </c>
      <c r="E76" s="13">
        <v>1578315</v>
      </c>
      <c r="F76" s="13" t="s">
        <v>108</v>
      </c>
      <c r="G76" s="14">
        <v>20303993</v>
      </c>
      <c r="H76" s="13" t="s">
        <v>109</v>
      </c>
      <c r="I76" s="13" t="s">
        <v>110</v>
      </c>
      <c r="J76" s="14">
        <v>4</v>
      </c>
      <c r="K76" s="14">
        <v>0</v>
      </c>
      <c r="L76" s="15">
        <v>2.4</v>
      </c>
      <c r="M76" s="15">
        <v>9.6</v>
      </c>
    </row>
    <row r="77" spans="4:13">
      <c r="D77" s="12">
        <v>46066</v>
      </c>
      <c r="E77" s="13">
        <v>1578611</v>
      </c>
      <c r="F77" s="13" t="s">
        <v>15</v>
      </c>
      <c r="G77" s="14">
        <v>20303923</v>
      </c>
      <c r="H77" s="13" t="s">
        <v>111</v>
      </c>
      <c r="I77" s="13" t="s">
        <v>48</v>
      </c>
      <c r="J77" s="14">
        <v>2</v>
      </c>
      <c r="K77" s="14">
        <v>4</v>
      </c>
      <c r="L77" s="15">
        <v>9.9</v>
      </c>
      <c r="M77" s="15">
        <v>19.8</v>
      </c>
    </row>
    <row r="78" spans="4:13">
      <c r="D78" s="12">
        <v>46066</v>
      </c>
      <c r="E78" s="13">
        <v>1578611</v>
      </c>
      <c r="F78" s="13" t="s">
        <v>54</v>
      </c>
      <c r="G78" s="14">
        <v>20303918</v>
      </c>
      <c r="H78" s="13" t="s">
        <v>112</v>
      </c>
      <c r="I78" s="13" t="s">
        <v>113</v>
      </c>
      <c r="J78" s="14">
        <v>7</v>
      </c>
      <c r="K78" s="14">
        <v>42</v>
      </c>
      <c r="L78" s="15">
        <v>22.01</v>
      </c>
      <c r="M78" s="15">
        <f>L78*J78</f>
        <v>154.07</v>
      </c>
    </row>
    <row r="79" spans="4:13">
      <c r="D79" s="12">
        <v>46066</v>
      </c>
      <c r="E79" s="13">
        <v>1578624</v>
      </c>
      <c r="F79" s="13" t="s">
        <v>15</v>
      </c>
      <c r="G79" s="14">
        <v>20387479</v>
      </c>
      <c r="H79" s="13" t="s">
        <v>124</v>
      </c>
      <c r="I79" s="13" t="s">
        <v>125</v>
      </c>
      <c r="J79" s="14">
        <v>1</v>
      </c>
      <c r="K79" s="14">
        <v>1</v>
      </c>
      <c r="L79" s="15">
        <v>4.8</v>
      </c>
      <c r="M79" s="15">
        <v>4.8</v>
      </c>
    </row>
    <row r="80" spans="4:13">
      <c r="D80" s="12">
        <v>46066</v>
      </c>
      <c r="E80" s="13">
        <v>1578629</v>
      </c>
      <c r="F80" s="13" t="s">
        <v>108</v>
      </c>
      <c r="G80" s="14">
        <v>20303993</v>
      </c>
      <c r="H80" s="13" t="s">
        <v>109</v>
      </c>
      <c r="I80" s="13" t="s">
        <v>110</v>
      </c>
      <c r="J80" s="14">
        <v>3</v>
      </c>
      <c r="K80" s="14">
        <v>0</v>
      </c>
      <c r="L80" s="15">
        <v>2.4</v>
      </c>
      <c r="M80" s="15">
        <v>7.2</v>
      </c>
    </row>
    <row r="81" spans="4:13">
      <c r="D81" s="12">
        <v>46067</v>
      </c>
      <c r="E81" s="13">
        <v>1578855</v>
      </c>
      <c r="F81" s="13" t="s">
        <v>54</v>
      </c>
      <c r="G81" s="14">
        <v>20303918</v>
      </c>
      <c r="H81" s="13" t="s">
        <v>112</v>
      </c>
      <c r="I81" s="13" t="s">
        <v>113</v>
      </c>
      <c r="J81" s="14">
        <v>3</v>
      </c>
      <c r="K81" s="14">
        <v>18</v>
      </c>
      <c r="L81" s="15">
        <v>22.01</v>
      </c>
      <c r="M81" s="15">
        <f>L81*J81</f>
        <v>66.03</v>
      </c>
    </row>
    <row r="82" spans="4:13">
      <c r="D82" s="12">
        <v>46067</v>
      </c>
      <c r="E82" s="13">
        <v>1578856</v>
      </c>
      <c r="F82" s="13" t="s">
        <v>15</v>
      </c>
      <c r="G82" s="14">
        <v>20305129</v>
      </c>
      <c r="H82" s="13" t="s">
        <v>79</v>
      </c>
      <c r="I82" s="13" t="s">
        <v>17</v>
      </c>
      <c r="J82" s="14">
        <v>1</v>
      </c>
      <c r="K82" s="14">
        <v>1</v>
      </c>
      <c r="L82" s="15">
        <v>4.8</v>
      </c>
      <c r="M82" s="15">
        <v>4.8</v>
      </c>
    </row>
    <row r="83" spans="4:13">
      <c r="D83" s="12">
        <v>46067</v>
      </c>
      <c r="E83" s="13">
        <v>1578856</v>
      </c>
      <c r="F83" s="13" t="s">
        <v>15</v>
      </c>
      <c r="G83" s="14">
        <v>20305049</v>
      </c>
      <c r="H83" s="13" t="s">
        <v>16</v>
      </c>
      <c r="I83" s="13" t="s">
        <v>17</v>
      </c>
      <c r="J83" s="14">
        <v>1</v>
      </c>
      <c r="K83" s="14">
        <v>1</v>
      </c>
      <c r="L83" s="15">
        <v>4.8</v>
      </c>
      <c r="M83" s="15">
        <v>4.8</v>
      </c>
    </row>
    <row r="84" spans="4:13">
      <c r="D84" s="12">
        <v>46067</v>
      </c>
      <c r="E84" s="13">
        <v>1578856</v>
      </c>
      <c r="F84" s="13" t="s">
        <v>15</v>
      </c>
      <c r="G84" s="14">
        <v>20310341</v>
      </c>
      <c r="H84" s="13" t="s">
        <v>18</v>
      </c>
      <c r="I84" s="13" t="s">
        <v>19</v>
      </c>
      <c r="J84" s="14">
        <v>1</v>
      </c>
      <c r="K84" s="14">
        <v>1</v>
      </c>
      <c r="L84" s="15">
        <v>4.8</v>
      </c>
      <c r="M84" s="15">
        <v>4.8</v>
      </c>
    </row>
    <row r="85" spans="4:13">
      <c r="D85" s="12">
        <v>46067</v>
      </c>
      <c r="E85" s="13">
        <v>1578856</v>
      </c>
      <c r="F85" s="13" t="s">
        <v>15</v>
      </c>
      <c r="G85" s="14">
        <v>20303923</v>
      </c>
      <c r="H85" s="13" t="s">
        <v>111</v>
      </c>
      <c r="I85" s="13" t="s">
        <v>48</v>
      </c>
      <c r="J85" s="14">
        <v>1</v>
      </c>
      <c r="K85" s="14">
        <v>2</v>
      </c>
      <c r="L85" s="15">
        <v>9.9</v>
      </c>
      <c r="M85" s="15">
        <v>9.9</v>
      </c>
    </row>
    <row r="86" spans="4:13">
      <c r="D86" s="12">
        <v>46067</v>
      </c>
      <c r="E86" s="13">
        <v>1578856</v>
      </c>
      <c r="F86" s="13" t="s">
        <v>15</v>
      </c>
      <c r="G86" s="14">
        <v>20303984</v>
      </c>
      <c r="H86" s="13" t="s">
        <v>82</v>
      </c>
      <c r="I86" s="13" t="s">
        <v>83</v>
      </c>
      <c r="J86" s="14">
        <v>1</v>
      </c>
      <c r="K86" s="14">
        <v>1</v>
      </c>
      <c r="L86" s="15">
        <v>4.8</v>
      </c>
      <c r="M86" s="15">
        <v>4.8</v>
      </c>
    </row>
    <row r="87" spans="4:13">
      <c r="D87" s="12">
        <v>46067</v>
      </c>
      <c r="E87" s="13">
        <v>1578904</v>
      </c>
      <c r="F87" s="13" t="s">
        <v>44</v>
      </c>
      <c r="G87" s="14">
        <v>20305026</v>
      </c>
      <c r="H87" s="13" t="s">
        <v>53</v>
      </c>
      <c r="I87" s="13" t="s">
        <v>30</v>
      </c>
      <c r="J87" s="14">
        <v>2</v>
      </c>
      <c r="K87" s="14">
        <v>8</v>
      </c>
      <c r="L87" s="15">
        <v>13.2</v>
      </c>
      <c r="M87" s="15">
        <v>26.4</v>
      </c>
    </row>
    <row r="88" spans="4:13">
      <c r="D88" s="12">
        <v>46067</v>
      </c>
      <c r="E88" s="13">
        <v>1578915</v>
      </c>
      <c r="F88" s="13" t="s">
        <v>15</v>
      </c>
      <c r="G88" s="14">
        <v>20387478</v>
      </c>
      <c r="H88" s="13" t="s">
        <v>126</v>
      </c>
      <c r="I88" s="13" t="s">
        <v>125</v>
      </c>
      <c r="J88" s="14">
        <v>9</v>
      </c>
      <c r="K88" s="14">
        <v>18</v>
      </c>
      <c r="L88" s="15">
        <v>4.8</v>
      </c>
      <c r="M88" s="15">
        <v>43.2</v>
      </c>
    </row>
    <row r="89" spans="4:13">
      <c r="D89" s="12">
        <v>46067</v>
      </c>
      <c r="E89" s="13">
        <v>1578976</v>
      </c>
      <c r="F89" s="13" t="s">
        <v>15</v>
      </c>
      <c r="G89" s="14">
        <v>20305129</v>
      </c>
      <c r="H89" s="13" t="s">
        <v>79</v>
      </c>
      <c r="I89" s="13" t="s">
        <v>17</v>
      </c>
      <c r="J89" s="14">
        <v>1</v>
      </c>
      <c r="K89" s="14">
        <v>1</v>
      </c>
      <c r="L89" s="15">
        <v>4.8</v>
      </c>
      <c r="M89" s="15">
        <v>4.8</v>
      </c>
    </row>
    <row r="90" spans="4:13">
      <c r="D90" s="12">
        <v>46067</v>
      </c>
      <c r="E90" s="13">
        <v>1578976</v>
      </c>
      <c r="F90" s="13" t="s">
        <v>15</v>
      </c>
      <c r="G90" s="14">
        <v>20305049</v>
      </c>
      <c r="H90" s="13" t="s">
        <v>16</v>
      </c>
      <c r="I90" s="13" t="s">
        <v>17</v>
      </c>
      <c r="J90" s="14">
        <v>1</v>
      </c>
      <c r="K90" s="14">
        <v>1</v>
      </c>
      <c r="L90" s="15">
        <v>4.8</v>
      </c>
      <c r="M90" s="15">
        <v>4.8</v>
      </c>
    </row>
    <row r="91" spans="4:13">
      <c r="D91" s="12">
        <v>46067</v>
      </c>
      <c r="E91" s="13">
        <v>1578976</v>
      </c>
      <c r="F91" s="13" t="s">
        <v>54</v>
      </c>
      <c r="G91" s="14">
        <v>20303918</v>
      </c>
      <c r="H91" s="13" t="s">
        <v>112</v>
      </c>
      <c r="I91" s="13" t="s">
        <v>113</v>
      </c>
      <c r="J91" s="14">
        <v>3</v>
      </c>
      <c r="K91" s="14">
        <v>18</v>
      </c>
      <c r="L91" s="15">
        <v>22.01</v>
      </c>
      <c r="M91" s="15">
        <f>L91*J91</f>
        <v>66.03</v>
      </c>
    </row>
    <row r="92" spans="4:13">
      <c r="D92" s="12">
        <v>46068</v>
      </c>
      <c r="E92" s="13">
        <v>1579057</v>
      </c>
      <c r="F92" s="13" t="s">
        <v>108</v>
      </c>
      <c r="G92" s="14">
        <v>20303993</v>
      </c>
      <c r="H92" s="13" t="s">
        <v>109</v>
      </c>
      <c r="I92" s="13" t="s">
        <v>110</v>
      </c>
      <c r="J92" s="14">
        <v>8</v>
      </c>
      <c r="K92" s="14">
        <v>0</v>
      </c>
      <c r="L92" s="15">
        <v>2.4</v>
      </c>
      <c r="M92" s="15">
        <v>19.2</v>
      </c>
    </row>
    <row r="93" spans="4:13">
      <c r="D93" s="12">
        <v>46072</v>
      </c>
      <c r="E93" s="13">
        <v>1579239</v>
      </c>
      <c r="F93" s="13" t="s">
        <v>108</v>
      </c>
      <c r="G93" s="14">
        <v>20303993</v>
      </c>
      <c r="H93" s="13" t="s">
        <v>109</v>
      </c>
      <c r="I93" s="13" t="s">
        <v>110</v>
      </c>
      <c r="J93" s="14">
        <v>8</v>
      </c>
      <c r="K93" s="14">
        <v>0</v>
      </c>
      <c r="L93" s="15">
        <v>2.4</v>
      </c>
      <c r="M93" s="15">
        <v>19.2</v>
      </c>
    </row>
    <row r="94" ht="17" customHeight="1" spans="4:13">
      <c r="D94" s="12">
        <v>46044</v>
      </c>
      <c r="E94" s="13">
        <v>1572687</v>
      </c>
      <c r="F94" s="13" t="s">
        <v>15</v>
      </c>
      <c r="G94" s="14">
        <v>20303919</v>
      </c>
      <c r="H94" s="13" t="s">
        <v>127</v>
      </c>
      <c r="I94" s="13" t="s">
        <v>17</v>
      </c>
      <c r="J94" s="14">
        <v>3</v>
      </c>
      <c r="K94" s="14">
        <v>3</v>
      </c>
      <c r="L94" s="15">
        <v>4.8</v>
      </c>
      <c r="M94" s="15">
        <v>14.4</v>
      </c>
    </row>
    <row r="95" spans="4:13">
      <c r="D95" s="12">
        <v>46044</v>
      </c>
      <c r="E95" s="13">
        <v>1572687</v>
      </c>
      <c r="F95" s="13" t="s">
        <v>15</v>
      </c>
      <c r="G95" s="14">
        <v>20303923</v>
      </c>
      <c r="H95" s="13" t="s">
        <v>111</v>
      </c>
      <c r="I95" s="13" t="s">
        <v>48</v>
      </c>
      <c r="J95" s="14">
        <v>2</v>
      </c>
      <c r="K95" s="14">
        <v>4</v>
      </c>
      <c r="L95" s="15">
        <v>9.9</v>
      </c>
      <c r="M95" s="15">
        <v>19.8</v>
      </c>
    </row>
    <row r="96" spans="4:13">
      <c r="D96" s="12">
        <v>46044</v>
      </c>
      <c r="E96" s="13">
        <v>1572687</v>
      </c>
      <c r="F96" s="13" t="s">
        <v>15</v>
      </c>
      <c r="G96" s="14">
        <v>20309796</v>
      </c>
      <c r="H96" s="13" t="s">
        <v>114</v>
      </c>
      <c r="I96" s="13" t="s">
        <v>19</v>
      </c>
      <c r="J96" s="14">
        <v>3</v>
      </c>
      <c r="K96" s="14">
        <v>3</v>
      </c>
      <c r="L96" s="15">
        <v>4.8</v>
      </c>
      <c r="M96" s="15">
        <v>14.4</v>
      </c>
    </row>
    <row r="97" spans="4:13">
      <c r="D97" s="12">
        <v>46044</v>
      </c>
      <c r="E97" s="13">
        <v>1572687</v>
      </c>
      <c r="F97" s="13" t="s">
        <v>15</v>
      </c>
      <c r="G97" s="14">
        <v>20303984</v>
      </c>
      <c r="H97" s="13" t="s">
        <v>82</v>
      </c>
      <c r="I97" s="13" t="s">
        <v>83</v>
      </c>
      <c r="J97" s="14">
        <v>1</v>
      </c>
      <c r="K97" s="14">
        <v>1</v>
      </c>
      <c r="L97" s="15">
        <v>4.8</v>
      </c>
      <c r="M97" s="15">
        <v>4.8</v>
      </c>
    </row>
    <row r="98" spans="4:13">
      <c r="D98" s="12">
        <v>46044</v>
      </c>
      <c r="E98" s="13">
        <v>1572687</v>
      </c>
      <c r="F98" s="13" t="s">
        <v>15</v>
      </c>
      <c r="G98" s="14">
        <v>20303929</v>
      </c>
      <c r="H98" s="13" t="s">
        <v>128</v>
      </c>
      <c r="I98" s="13" t="s">
        <v>19</v>
      </c>
      <c r="J98" s="14">
        <v>2</v>
      </c>
      <c r="K98" s="14">
        <v>2</v>
      </c>
      <c r="L98" s="15">
        <v>4.8</v>
      </c>
      <c r="M98" s="15">
        <v>9.6</v>
      </c>
    </row>
    <row r="99" spans="4:13">
      <c r="D99" s="12">
        <v>46044</v>
      </c>
      <c r="E99" s="13">
        <v>1572687</v>
      </c>
      <c r="F99" s="13" t="s">
        <v>15</v>
      </c>
      <c r="G99" s="14">
        <v>20303925</v>
      </c>
      <c r="H99" s="13" t="s">
        <v>129</v>
      </c>
      <c r="I99" s="13" t="s">
        <v>83</v>
      </c>
      <c r="J99" s="14">
        <v>3</v>
      </c>
      <c r="K99" s="14">
        <v>3</v>
      </c>
      <c r="L99" s="15">
        <v>4.8</v>
      </c>
      <c r="M99" s="15">
        <v>14.4</v>
      </c>
    </row>
    <row r="100" spans="4:13">
      <c r="D100" s="12">
        <v>46044</v>
      </c>
      <c r="E100" s="13">
        <v>1572687</v>
      </c>
      <c r="F100" s="13" t="s">
        <v>44</v>
      </c>
      <c r="G100" s="14">
        <v>20305036</v>
      </c>
      <c r="H100" s="13" t="s">
        <v>130</v>
      </c>
      <c r="I100" s="13" t="s">
        <v>37</v>
      </c>
      <c r="J100" s="14">
        <v>1</v>
      </c>
      <c r="K100" s="14">
        <v>2</v>
      </c>
      <c r="L100" s="15">
        <v>9.9</v>
      </c>
      <c r="M100" s="15">
        <v>9.9</v>
      </c>
    </row>
    <row r="101" spans="4:13">
      <c r="D101" s="12">
        <v>46044</v>
      </c>
      <c r="E101" s="13">
        <v>1572687</v>
      </c>
      <c r="F101" s="13" t="s">
        <v>44</v>
      </c>
      <c r="G101" s="14">
        <v>20305026</v>
      </c>
      <c r="H101" s="13" t="s">
        <v>53</v>
      </c>
      <c r="I101" s="13" t="s">
        <v>30</v>
      </c>
      <c r="J101" s="14">
        <v>2</v>
      </c>
      <c r="K101" s="14">
        <v>8</v>
      </c>
      <c r="L101" s="15">
        <v>13.2</v>
      </c>
      <c r="M101" s="15">
        <v>26.4</v>
      </c>
    </row>
    <row r="102" spans="4:13">
      <c r="D102" s="12">
        <v>46045</v>
      </c>
      <c r="E102" s="13">
        <v>1573106</v>
      </c>
      <c r="F102" s="13" t="s">
        <v>15</v>
      </c>
      <c r="G102" s="14">
        <v>20314009</v>
      </c>
      <c r="H102" s="13" t="s">
        <v>49</v>
      </c>
      <c r="I102" s="13" t="s">
        <v>17</v>
      </c>
      <c r="J102" s="14">
        <v>1</v>
      </c>
      <c r="K102" s="14">
        <v>1</v>
      </c>
      <c r="L102" s="15">
        <v>4.8</v>
      </c>
      <c r="M102" s="15">
        <v>4.8</v>
      </c>
    </row>
    <row r="103" spans="4:13">
      <c r="D103" s="12">
        <v>46045</v>
      </c>
      <c r="E103" s="13">
        <v>1573106</v>
      </c>
      <c r="F103" s="13" t="s">
        <v>15</v>
      </c>
      <c r="G103" s="14">
        <v>20303923</v>
      </c>
      <c r="H103" s="13" t="s">
        <v>111</v>
      </c>
      <c r="I103" s="13" t="s">
        <v>48</v>
      </c>
      <c r="J103" s="14">
        <v>1</v>
      </c>
      <c r="K103" s="14">
        <v>2</v>
      </c>
      <c r="L103" s="15">
        <v>9.9</v>
      </c>
      <c r="M103" s="15">
        <v>9.9</v>
      </c>
    </row>
    <row r="104" spans="4:13">
      <c r="D104" s="12">
        <v>46045</v>
      </c>
      <c r="E104" s="13">
        <v>1573106</v>
      </c>
      <c r="F104" s="13" t="s">
        <v>15</v>
      </c>
      <c r="G104" s="14">
        <v>20303924</v>
      </c>
      <c r="H104" s="13" t="s">
        <v>131</v>
      </c>
      <c r="I104" s="13" t="s">
        <v>70</v>
      </c>
      <c r="J104" s="14">
        <v>2</v>
      </c>
      <c r="K104" s="14">
        <v>2</v>
      </c>
      <c r="L104" s="15">
        <v>4.8</v>
      </c>
      <c r="M104" s="15">
        <v>9.6</v>
      </c>
    </row>
    <row r="105" spans="4:13">
      <c r="D105" s="12">
        <v>46045</v>
      </c>
      <c r="E105" s="13">
        <v>1573106</v>
      </c>
      <c r="F105" s="13" t="s">
        <v>15</v>
      </c>
      <c r="G105" s="14">
        <v>20309796</v>
      </c>
      <c r="H105" s="13" t="s">
        <v>114</v>
      </c>
      <c r="I105" s="13" t="s">
        <v>19</v>
      </c>
      <c r="J105" s="14">
        <v>1</v>
      </c>
      <c r="K105" s="14">
        <v>1</v>
      </c>
      <c r="L105" s="15">
        <v>4.8</v>
      </c>
      <c r="M105" s="15">
        <v>4.8</v>
      </c>
    </row>
    <row r="106" spans="4:13">
      <c r="D106" s="12">
        <v>46045</v>
      </c>
      <c r="E106" s="13">
        <v>1573106</v>
      </c>
      <c r="F106" s="13" t="s">
        <v>15</v>
      </c>
      <c r="G106" s="14">
        <v>20303984</v>
      </c>
      <c r="H106" s="13" t="s">
        <v>82</v>
      </c>
      <c r="I106" s="13" t="s">
        <v>83</v>
      </c>
      <c r="J106" s="14">
        <v>1</v>
      </c>
      <c r="K106" s="14">
        <v>1</v>
      </c>
      <c r="L106" s="15">
        <v>4.8</v>
      </c>
      <c r="M106" s="15">
        <v>4.8</v>
      </c>
    </row>
    <row r="107" spans="4:13">
      <c r="D107" s="12">
        <v>46045</v>
      </c>
      <c r="E107" s="13">
        <v>1573106</v>
      </c>
      <c r="F107" s="13" t="s">
        <v>15</v>
      </c>
      <c r="G107" s="14">
        <v>20303929</v>
      </c>
      <c r="H107" s="13" t="s">
        <v>128</v>
      </c>
      <c r="I107" s="13" t="s">
        <v>19</v>
      </c>
      <c r="J107" s="14">
        <v>2</v>
      </c>
      <c r="K107" s="14">
        <v>2</v>
      </c>
      <c r="L107" s="15">
        <v>4.8</v>
      </c>
      <c r="M107" s="15">
        <v>9.6</v>
      </c>
    </row>
    <row r="108" spans="4:13">
      <c r="D108" s="12">
        <v>46045</v>
      </c>
      <c r="E108" s="13">
        <v>1573106</v>
      </c>
      <c r="F108" s="13" t="s">
        <v>15</v>
      </c>
      <c r="G108" s="14">
        <v>20303922</v>
      </c>
      <c r="H108" s="13" t="s">
        <v>20</v>
      </c>
      <c r="I108" s="13" t="s">
        <v>17</v>
      </c>
      <c r="J108" s="14">
        <v>1</v>
      </c>
      <c r="K108" s="14">
        <v>1</v>
      </c>
      <c r="L108" s="15">
        <v>4.8</v>
      </c>
      <c r="M108" s="15">
        <v>4.8</v>
      </c>
    </row>
    <row r="109" spans="4:13">
      <c r="D109" s="12">
        <v>46045</v>
      </c>
      <c r="E109" s="13">
        <v>1573106</v>
      </c>
      <c r="F109" s="13" t="s">
        <v>15</v>
      </c>
      <c r="G109" s="14">
        <v>20303925</v>
      </c>
      <c r="H109" s="13" t="s">
        <v>129</v>
      </c>
      <c r="I109" s="13" t="s">
        <v>83</v>
      </c>
      <c r="J109" s="14">
        <v>1</v>
      </c>
      <c r="K109" s="14">
        <v>1</v>
      </c>
      <c r="L109" s="15">
        <v>4.8</v>
      </c>
      <c r="M109" s="15">
        <v>4.8</v>
      </c>
    </row>
    <row r="110" spans="4:13">
      <c r="D110" s="12">
        <v>46048</v>
      </c>
      <c r="E110" s="13">
        <v>1573553</v>
      </c>
      <c r="F110" s="13" t="s">
        <v>15</v>
      </c>
      <c r="G110" s="14">
        <v>20303919</v>
      </c>
      <c r="H110" s="13" t="s">
        <v>127</v>
      </c>
      <c r="I110" s="13" t="s">
        <v>17</v>
      </c>
      <c r="J110" s="14">
        <v>2</v>
      </c>
      <c r="K110" s="14">
        <v>2</v>
      </c>
      <c r="L110" s="15">
        <v>4.8</v>
      </c>
      <c r="M110" s="15">
        <v>9.6</v>
      </c>
    </row>
    <row r="111" spans="4:13">
      <c r="D111" s="12">
        <v>46048</v>
      </c>
      <c r="E111" s="13">
        <v>1573553</v>
      </c>
      <c r="F111" s="13" t="s">
        <v>15</v>
      </c>
      <c r="G111" s="14">
        <v>20305094</v>
      </c>
      <c r="H111" s="13" t="s">
        <v>123</v>
      </c>
      <c r="I111" s="13" t="s">
        <v>83</v>
      </c>
      <c r="J111" s="14">
        <v>1</v>
      </c>
      <c r="K111" s="14">
        <v>1</v>
      </c>
      <c r="L111" s="15">
        <v>4.8</v>
      </c>
      <c r="M111" s="15">
        <v>4.8</v>
      </c>
    </row>
    <row r="112" spans="4:13">
      <c r="D112" s="12">
        <v>46048</v>
      </c>
      <c r="E112" s="13">
        <v>1573553</v>
      </c>
      <c r="F112" s="13" t="s">
        <v>15</v>
      </c>
      <c r="G112" s="14">
        <v>20378300</v>
      </c>
      <c r="H112" s="13" t="s">
        <v>18</v>
      </c>
      <c r="I112" s="13" t="s">
        <v>19</v>
      </c>
      <c r="J112" s="14">
        <v>1</v>
      </c>
      <c r="K112" s="14">
        <v>1</v>
      </c>
      <c r="L112" s="15">
        <v>4.8</v>
      </c>
      <c r="M112" s="15">
        <v>4.8</v>
      </c>
    </row>
    <row r="113" spans="4:13">
      <c r="D113" s="12">
        <v>46048</v>
      </c>
      <c r="E113" s="13">
        <v>1573553</v>
      </c>
      <c r="F113" s="13" t="s">
        <v>15</v>
      </c>
      <c r="G113" s="14">
        <v>20303924</v>
      </c>
      <c r="H113" s="13" t="s">
        <v>131</v>
      </c>
      <c r="I113" s="13" t="s">
        <v>70</v>
      </c>
      <c r="J113" s="14">
        <v>1</v>
      </c>
      <c r="K113" s="14">
        <v>1</v>
      </c>
      <c r="L113" s="15">
        <v>4.8</v>
      </c>
      <c r="M113" s="15">
        <v>4.8</v>
      </c>
    </row>
    <row r="114" spans="4:13">
      <c r="D114" s="12">
        <v>46048</v>
      </c>
      <c r="E114" s="13">
        <v>1573553</v>
      </c>
      <c r="F114" s="13" t="s">
        <v>15</v>
      </c>
      <c r="G114" s="14">
        <v>20309796</v>
      </c>
      <c r="H114" s="13" t="s">
        <v>114</v>
      </c>
      <c r="I114" s="13" t="s">
        <v>19</v>
      </c>
      <c r="J114" s="14">
        <v>1</v>
      </c>
      <c r="K114" s="14">
        <v>1</v>
      </c>
      <c r="L114" s="15">
        <v>4.8</v>
      </c>
      <c r="M114" s="15">
        <v>4.8</v>
      </c>
    </row>
    <row r="115" spans="4:13">
      <c r="D115" s="12">
        <v>46048</v>
      </c>
      <c r="E115" s="13">
        <v>1573553</v>
      </c>
      <c r="F115" s="13" t="s">
        <v>15</v>
      </c>
      <c r="G115" s="14">
        <v>20303984</v>
      </c>
      <c r="H115" s="13" t="s">
        <v>82</v>
      </c>
      <c r="I115" s="13" t="s">
        <v>83</v>
      </c>
      <c r="J115" s="14">
        <v>1</v>
      </c>
      <c r="K115" s="14">
        <v>1</v>
      </c>
      <c r="L115" s="15">
        <v>4.8</v>
      </c>
      <c r="M115" s="15">
        <v>4.8</v>
      </c>
    </row>
    <row r="116" spans="4:13">
      <c r="D116" s="12">
        <v>46048</v>
      </c>
      <c r="E116" s="13">
        <v>1573553</v>
      </c>
      <c r="F116" s="13" t="s">
        <v>15</v>
      </c>
      <c r="G116" s="14">
        <v>20303929</v>
      </c>
      <c r="H116" s="13" t="s">
        <v>128</v>
      </c>
      <c r="I116" s="13" t="s">
        <v>19</v>
      </c>
      <c r="J116" s="14">
        <v>1</v>
      </c>
      <c r="K116" s="14">
        <v>1</v>
      </c>
      <c r="L116" s="15">
        <v>4.8</v>
      </c>
      <c r="M116" s="15">
        <v>4.8</v>
      </c>
    </row>
    <row r="117" spans="4:13">
      <c r="D117" s="12">
        <v>46048</v>
      </c>
      <c r="E117" s="13">
        <v>1573553</v>
      </c>
      <c r="F117" s="13" t="s">
        <v>15</v>
      </c>
      <c r="G117" s="14">
        <v>20303925</v>
      </c>
      <c r="H117" s="13" t="s">
        <v>129</v>
      </c>
      <c r="I117" s="13" t="s">
        <v>83</v>
      </c>
      <c r="J117" s="14">
        <v>1</v>
      </c>
      <c r="K117" s="14">
        <v>1</v>
      </c>
      <c r="L117" s="15">
        <v>4.8</v>
      </c>
      <c r="M117" s="15">
        <v>4.8</v>
      </c>
    </row>
    <row r="118" spans="4:13">
      <c r="D118" s="12">
        <v>46048</v>
      </c>
      <c r="E118" s="13">
        <v>1573553</v>
      </c>
      <c r="F118" s="13" t="s">
        <v>44</v>
      </c>
      <c r="G118" s="14">
        <v>20305036</v>
      </c>
      <c r="H118" s="13" t="s">
        <v>130</v>
      </c>
      <c r="I118" s="13" t="s">
        <v>37</v>
      </c>
      <c r="J118" s="14">
        <v>1</v>
      </c>
      <c r="K118" s="14">
        <v>2</v>
      </c>
      <c r="L118" s="15">
        <v>9.9</v>
      </c>
      <c r="M118" s="15">
        <v>9.9</v>
      </c>
    </row>
    <row r="119" spans="4:13">
      <c r="D119" s="12">
        <v>46048</v>
      </c>
      <c r="E119" s="13">
        <v>1573553</v>
      </c>
      <c r="F119" s="13" t="s">
        <v>44</v>
      </c>
      <c r="G119" s="14">
        <v>20305026</v>
      </c>
      <c r="H119" s="13" t="s">
        <v>53</v>
      </c>
      <c r="I119" s="13" t="s">
        <v>30</v>
      </c>
      <c r="J119" s="14">
        <v>2</v>
      </c>
      <c r="K119" s="14">
        <v>8</v>
      </c>
      <c r="L119" s="15">
        <v>13.2</v>
      </c>
      <c r="M119" s="15">
        <v>26.4</v>
      </c>
    </row>
    <row r="120" spans="4:13">
      <c r="D120" s="12">
        <v>46048</v>
      </c>
      <c r="E120" s="13">
        <v>1573553</v>
      </c>
      <c r="F120" s="13" t="s">
        <v>54</v>
      </c>
      <c r="G120" s="14">
        <v>20303918</v>
      </c>
      <c r="H120" s="13" t="s">
        <v>112</v>
      </c>
      <c r="I120" s="13" t="s">
        <v>113</v>
      </c>
      <c r="J120" s="14">
        <v>1</v>
      </c>
      <c r="K120" s="14">
        <v>6</v>
      </c>
      <c r="L120" s="15">
        <v>22.01</v>
      </c>
      <c r="M120" s="15">
        <v>22.01</v>
      </c>
    </row>
    <row r="121" spans="4:13">
      <c r="D121" s="12">
        <v>46049</v>
      </c>
      <c r="E121" s="13">
        <v>1573928</v>
      </c>
      <c r="F121" s="13" t="s">
        <v>15</v>
      </c>
      <c r="G121" s="14">
        <v>20314034</v>
      </c>
      <c r="H121" s="13" t="s">
        <v>132</v>
      </c>
      <c r="I121" s="13" t="s">
        <v>57</v>
      </c>
      <c r="J121" s="14">
        <v>1</v>
      </c>
      <c r="K121" s="14">
        <v>1</v>
      </c>
      <c r="L121" s="15">
        <v>6.3</v>
      </c>
      <c r="M121" s="15">
        <v>6.3</v>
      </c>
    </row>
    <row r="122" spans="4:13">
      <c r="D122" s="12">
        <v>46049</v>
      </c>
      <c r="E122" s="13">
        <v>1573928</v>
      </c>
      <c r="F122" s="13" t="s">
        <v>15</v>
      </c>
      <c r="G122" s="14">
        <v>20303923</v>
      </c>
      <c r="H122" s="13" t="s">
        <v>111</v>
      </c>
      <c r="I122" s="13" t="s">
        <v>48</v>
      </c>
      <c r="J122" s="14">
        <v>1</v>
      </c>
      <c r="K122" s="14">
        <v>2</v>
      </c>
      <c r="L122" s="15">
        <v>9.9</v>
      </c>
      <c r="M122" s="15">
        <v>9.9</v>
      </c>
    </row>
    <row r="123" spans="4:13">
      <c r="D123" s="12">
        <v>46049</v>
      </c>
      <c r="E123" s="13">
        <v>1573928</v>
      </c>
      <c r="F123" s="13" t="s">
        <v>15</v>
      </c>
      <c r="G123" s="14">
        <v>20309796</v>
      </c>
      <c r="H123" s="13" t="s">
        <v>114</v>
      </c>
      <c r="I123" s="13" t="s">
        <v>19</v>
      </c>
      <c r="J123" s="14">
        <v>2</v>
      </c>
      <c r="K123" s="14">
        <v>2</v>
      </c>
      <c r="L123" s="15">
        <v>4.8</v>
      </c>
      <c r="M123" s="15">
        <v>9.6</v>
      </c>
    </row>
    <row r="124" spans="4:13">
      <c r="D124" s="12">
        <v>46049</v>
      </c>
      <c r="E124" s="13">
        <v>1573928</v>
      </c>
      <c r="F124" s="13" t="s">
        <v>15</v>
      </c>
      <c r="G124" s="14">
        <v>20303929</v>
      </c>
      <c r="H124" s="13" t="s">
        <v>128</v>
      </c>
      <c r="I124" s="13" t="s">
        <v>19</v>
      </c>
      <c r="J124" s="14">
        <v>5</v>
      </c>
      <c r="K124" s="14">
        <v>5</v>
      </c>
      <c r="L124" s="15">
        <v>4.8</v>
      </c>
      <c r="M124" s="15">
        <v>24</v>
      </c>
    </row>
    <row r="125" spans="4:13">
      <c r="D125" s="12">
        <v>46049</v>
      </c>
      <c r="E125" s="13">
        <v>1573928</v>
      </c>
      <c r="F125" s="13" t="s">
        <v>15</v>
      </c>
      <c r="G125" s="14">
        <v>20303922</v>
      </c>
      <c r="H125" s="13" t="s">
        <v>20</v>
      </c>
      <c r="I125" s="13" t="s">
        <v>17</v>
      </c>
      <c r="J125" s="14">
        <v>2</v>
      </c>
      <c r="K125" s="14">
        <v>2</v>
      </c>
      <c r="L125" s="15">
        <v>4.8</v>
      </c>
      <c r="M125" s="15">
        <v>9.6</v>
      </c>
    </row>
    <row r="126" spans="4:13">
      <c r="D126" s="12">
        <v>46049</v>
      </c>
      <c r="E126" s="13">
        <v>1573928</v>
      </c>
      <c r="F126" s="13" t="s">
        <v>15</v>
      </c>
      <c r="G126" s="14">
        <v>20303925</v>
      </c>
      <c r="H126" s="13" t="s">
        <v>129</v>
      </c>
      <c r="I126" s="13" t="s">
        <v>83</v>
      </c>
      <c r="J126" s="14">
        <v>2</v>
      </c>
      <c r="K126" s="14">
        <v>2</v>
      </c>
      <c r="L126" s="15">
        <v>4.8</v>
      </c>
      <c r="M126" s="15">
        <v>9.6</v>
      </c>
    </row>
    <row r="127" spans="4:13">
      <c r="D127" s="12">
        <v>46050</v>
      </c>
      <c r="E127" s="13">
        <v>1574277</v>
      </c>
      <c r="F127" s="13" t="s">
        <v>54</v>
      </c>
      <c r="G127" s="14">
        <v>20303918</v>
      </c>
      <c r="H127" s="13" t="s">
        <v>112</v>
      </c>
      <c r="I127" s="13" t="s">
        <v>113</v>
      </c>
      <c r="J127" s="14">
        <v>1</v>
      </c>
      <c r="K127" s="14">
        <v>6</v>
      </c>
      <c r="L127" s="15">
        <v>22.01</v>
      </c>
      <c r="M127" s="15">
        <v>22.01</v>
      </c>
    </row>
    <row r="128" spans="4:13">
      <c r="D128" s="12">
        <v>46051</v>
      </c>
      <c r="E128" s="13">
        <v>1574671</v>
      </c>
      <c r="F128" s="13" t="s">
        <v>15</v>
      </c>
      <c r="G128" s="14">
        <v>20303919</v>
      </c>
      <c r="H128" s="13" t="s">
        <v>127</v>
      </c>
      <c r="I128" s="13" t="s">
        <v>17</v>
      </c>
      <c r="J128" s="14">
        <v>1</v>
      </c>
      <c r="K128" s="14">
        <v>1</v>
      </c>
      <c r="L128" s="15">
        <v>4.8</v>
      </c>
      <c r="M128" s="15">
        <v>4.8</v>
      </c>
    </row>
    <row r="129" spans="4:13">
      <c r="D129" s="12">
        <v>46051</v>
      </c>
      <c r="E129" s="13">
        <v>1574671</v>
      </c>
      <c r="F129" s="13" t="s">
        <v>15</v>
      </c>
      <c r="G129" s="14">
        <v>20314034</v>
      </c>
      <c r="H129" s="13" t="s">
        <v>132</v>
      </c>
      <c r="I129" s="13" t="s">
        <v>57</v>
      </c>
      <c r="J129" s="14">
        <v>1</v>
      </c>
      <c r="K129" s="14">
        <v>1</v>
      </c>
      <c r="L129" s="15">
        <v>6.3</v>
      </c>
      <c r="M129" s="15">
        <v>6.3</v>
      </c>
    </row>
    <row r="130" spans="4:13">
      <c r="D130" s="12">
        <v>46051</v>
      </c>
      <c r="E130" s="13">
        <v>1574671</v>
      </c>
      <c r="F130" s="13" t="s">
        <v>15</v>
      </c>
      <c r="G130" s="14">
        <v>20303923</v>
      </c>
      <c r="H130" s="13" t="s">
        <v>111</v>
      </c>
      <c r="I130" s="13" t="s">
        <v>48</v>
      </c>
      <c r="J130" s="14">
        <v>2</v>
      </c>
      <c r="K130" s="14">
        <v>4</v>
      </c>
      <c r="L130" s="15">
        <v>9.9</v>
      </c>
      <c r="M130" s="15">
        <v>19.8</v>
      </c>
    </row>
    <row r="131" spans="4:13">
      <c r="D131" s="12">
        <v>46051</v>
      </c>
      <c r="E131" s="13">
        <v>1574671</v>
      </c>
      <c r="F131" s="13" t="s">
        <v>15</v>
      </c>
      <c r="G131" s="14">
        <v>20303924</v>
      </c>
      <c r="H131" s="13" t="s">
        <v>131</v>
      </c>
      <c r="I131" s="13" t="s">
        <v>70</v>
      </c>
      <c r="J131" s="14">
        <v>3</v>
      </c>
      <c r="K131" s="14">
        <v>3</v>
      </c>
      <c r="L131" s="15">
        <v>4.8</v>
      </c>
      <c r="M131" s="15">
        <v>14.4</v>
      </c>
    </row>
    <row r="132" spans="4:13">
      <c r="D132" s="12">
        <v>46051</v>
      </c>
      <c r="E132" s="13">
        <v>1574671</v>
      </c>
      <c r="F132" s="13" t="s">
        <v>15</v>
      </c>
      <c r="G132" s="14">
        <v>20309796</v>
      </c>
      <c r="H132" s="13" t="s">
        <v>114</v>
      </c>
      <c r="I132" s="13" t="s">
        <v>19</v>
      </c>
      <c r="J132" s="14">
        <v>3</v>
      </c>
      <c r="K132" s="14">
        <v>3</v>
      </c>
      <c r="L132" s="15">
        <v>4.8</v>
      </c>
      <c r="M132" s="15">
        <v>14.4</v>
      </c>
    </row>
    <row r="133" spans="4:13">
      <c r="D133" s="12">
        <v>46051</v>
      </c>
      <c r="E133" s="13">
        <v>1574671</v>
      </c>
      <c r="F133" s="13" t="s">
        <v>15</v>
      </c>
      <c r="G133" s="14">
        <v>20303984</v>
      </c>
      <c r="H133" s="13" t="s">
        <v>82</v>
      </c>
      <c r="I133" s="13" t="s">
        <v>83</v>
      </c>
      <c r="J133" s="14">
        <v>1</v>
      </c>
      <c r="K133" s="14">
        <v>1</v>
      </c>
      <c r="L133" s="15">
        <v>4.8</v>
      </c>
      <c r="M133" s="15">
        <v>4.8</v>
      </c>
    </row>
    <row r="134" spans="4:13">
      <c r="D134" s="12">
        <v>46051</v>
      </c>
      <c r="E134" s="13">
        <v>1574671</v>
      </c>
      <c r="F134" s="13" t="s">
        <v>15</v>
      </c>
      <c r="G134" s="14">
        <v>20303929</v>
      </c>
      <c r="H134" s="13" t="s">
        <v>128</v>
      </c>
      <c r="I134" s="13" t="s">
        <v>19</v>
      </c>
      <c r="J134" s="14">
        <v>4</v>
      </c>
      <c r="K134" s="14">
        <v>4</v>
      </c>
      <c r="L134" s="15">
        <v>4.8</v>
      </c>
      <c r="M134" s="15">
        <v>19.2</v>
      </c>
    </row>
    <row r="135" spans="4:13">
      <c r="D135" s="12">
        <v>46051</v>
      </c>
      <c r="E135" s="13">
        <v>1574671</v>
      </c>
      <c r="F135" s="13" t="s">
        <v>15</v>
      </c>
      <c r="G135" s="14">
        <v>20303925</v>
      </c>
      <c r="H135" s="13" t="s">
        <v>129</v>
      </c>
      <c r="I135" s="13" t="s">
        <v>83</v>
      </c>
      <c r="J135" s="14">
        <v>3</v>
      </c>
      <c r="K135" s="14">
        <v>3</v>
      </c>
      <c r="L135" s="15">
        <v>4.8</v>
      </c>
      <c r="M135" s="15">
        <v>14.4</v>
      </c>
    </row>
    <row r="136" spans="4:13">
      <c r="D136" s="12">
        <v>46051</v>
      </c>
      <c r="E136" s="13">
        <v>1574671</v>
      </c>
      <c r="F136" s="13" t="s">
        <v>44</v>
      </c>
      <c r="G136" s="14">
        <v>20305036</v>
      </c>
      <c r="H136" s="13" t="s">
        <v>130</v>
      </c>
      <c r="I136" s="13" t="s">
        <v>37</v>
      </c>
      <c r="J136" s="14">
        <v>1</v>
      </c>
      <c r="K136" s="14">
        <v>2</v>
      </c>
      <c r="L136" s="15">
        <v>9.9</v>
      </c>
      <c r="M136" s="15">
        <v>9.9</v>
      </c>
    </row>
    <row r="137" spans="4:13">
      <c r="D137" s="12">
        <v>46051</v>
      </c>
      <c r="E137" s="13">
        <v>1574671</v>
      </c>
      <c r="F137" s="13" t="s">
        <v>44</v>
      </c>
      <c r="G137" s="14">
        <v>20305026</v>
      </c>
      <c r="H137" s="13" t="s">
        <v>53</v>
      </c>
      <c r="I137" s="13" t="s">
        <v>30</v>
      </c>
      <c r="J137" s="14">
        <v>2</v>
      </c>
      <c r="K137" s="14">
        <v>8</v>
      </c>
      <c r="L137" s="15">
        <v>13.2</v>
      </c>
      <c r="M137" s="15">
        <v>26.4</v>
      </c>
    </row>
    <row r="138" spans="4:13">
      <c r="D138" s="12">
        <v>46051</v>
      </c>
      <c r="E138" s="13">
        <v>1574740</v>
      </c>
      <c r="F138" s="13" t="s">
        <v>54</v>
      </c>
      <c r="G138" s="14">
        <v>20303918</v>
      </c>
      <c r="H138" s="13" t="s">
        <v>112</v>
      </c>
      <c r="I138" s="13" t="s">
        <v>113</v>
      </c>
      <c r="J138" s="14">
        <v>1</v>
      </c>
      <c r="K138" s="14">
        <v>6</v>
      </c>
      <c r="L138" s="15">
        <v>22.01</v>
      </c>
      <c r="M138" s="15">
        <v>22.01</v>
      </c>
    </row>
    <row r="139" spans="4:13">
      <c r="D139" s="12">
        <v>46052</v>
      </c>
      <c r="E139" s="13">
        <v>1575064</v>
      </c>
      <c r="F139" s="13" t="s">
        <v>15</v>
      </c>
      <c r="G139" s="14">
        <v>20303919</v>
      </c>
      <c r="H139" s="13" t="s">
        <v>127</v>
      </c>
      <c r="I139" s="13" t="s">
        <v>17</v>
      </c>
      <c r="J139" s="14">
        <v>2</v>
      </c>
      <c r="K139" s="14">
        <v>2</v>
      </c>
      <c r="L139" s="15">
        <v>4.8</v>
      </c>
      <c r="M139" s="15">
        <v>9.6</v>
      </c>
    </row>
    <row r="140" spans="4:13">
      <c r="D140" s="12">
        <v>46052</v>
      </c>
      <c r="E140" s="13">
        <v>1575064</v>
      </c>
      <c r="F140" s="13" t="s">
        <v>15</v>
      </c>
      <c r="G140" s="14">
        <v>20314034</v>
      </c>
      <c r="H140" s="13" t="s">
        <v>132</v>
      </c>
      <c r="I140" s="13" t="s">
        <v>57</v>
      </c>
      <c r="J140" s="14">
        <v>1</v>
      </c>
      <c r="K140" s="14">
        <v>1</v>
      </c>
      <c r="L140" s="15">
        <v>6.3</v>
      </c>
      <c r="M140" s="15">
        <v>6.3</v>
      </c>
    </row>
    <row r="141" spans="4:13">
      <c r="D141" s="12">
        <v>46052</v>
      </c>
      <c r="E141" s="13">
        <v>1575064</v>
      </c>
      <c r="F141" s="13" t="s">
        <v>15</v>
      </c>
      <c r="G141" s="14">
        <v>20303923</v>
      </c>
      <c r="H141" s="13" t="s">
        <v>111</v>
      </c>
      <c r="I141" s="13" t="s">
        <v>48</v>
      </c>
      <c r="J141" s="14">
        <v>1</v>
      </c>
      <c r="K141" s="14">
        <v>2</v>
      </c>
      <c r="L141" s="15">
        <v>9.9</v>
      </c>
      <c r="M141" s="15">
        <v>9.9</v>
      </c>
    </row>
    <row r="142" spans="4:13">
      <c r="D142" s="12">
        <v>46052</v>
      </c>
      <c r="E142" s="13">
        <v>1575064</v>
      </c>
      <c r="F142" s="13" t="s">
        <v>15</v>
      </c>
      <c r="G142" s="14">
        <v>20309796</v>
      </c>
      <c r="H142" s="13" t="s">
        <v>114</v>
      </c>
      <c r="I142" s="13" t="s">
        <v>19</v>
      </c>
      <c r="J142" s="14">
        <v>3</v>
      </c>
      <c r="K142" s="14">
        <v>3</v>
      </c>
      <c r="L142" s="15">
        <v>4.8</v>
      </c>
      <c r="M142" s="15">
        <v>14.4</v>
      </c>
    </row>
    <row r="143" spans="4:13">
      <c r="D143" s="12">
        <v>46052</v>
      </c>
      <c r="E143" s="13">
        <v>1575064</v>
      </c>
      <c r="F143" s="13" t="s">
        <v>15</v>
      </c>
      <c r="G143" s="14">
        <v>20303929</v>
      </c>
      <c r="H143" s="13" t="s">
        <v>128</v>
      </c>
      <c r="I143" s="13" t="s">
        <v>19</v>
      </c>
      <c r="J143" s="14">
        <v>7</v>
      </c>
      <c r="K143" s="14">
        <v>7</v>
      </c>
      <c r="L143" s="15">
        <v>4.8</v>
      </c>
      <c r="M143" s="15">
        <v>33.6</v>
      </c>
    </row>
    <row r="144" spans="4:13">
      <c r="D144" s="12">
        <v>46052</v>
      </c>
      <c r="E144" s="13">
        <v>1575064</v>
      </c>
      <c r="F144" s="13" t="s">
        <v>15</v>
      </c>
      <c r="G144" s="14">
        <v>20303925</v>
      </c>
      <c r="H144" s="13" t="s">
        <v>129</v>
      </c>
      <c r="I144" s="13" t="s">
        <v>83</v>
      </c>
      <c r="J144" s="14">
        <v>3</v>
      </c>
      <c r="K144" s="14">
        <v>3</v>
      </c>
      <c r="L144" s="15">
        <v>4.8</v>
      </c>
      <c r="M144" s="15">
        <v>14.4</v>
      </c>
    </row>
    <row r="145" spans="4:13">
      <c r="D145" s="12">
        <v>46055</v>
      </c>
      <c r="E145" s="13">
        <v>1575474</v>
      </c>
      <c r="F145" s="13" t="s">
        <v>15</v>
      </c>
      <c r="G145" s="14">
        <v>20303919</v>
      </c>
      <c r="H145" s="13" t="s">
        <v>127</v>
      </c>
      <c r="I145" s="13" t="s">
        <v>17</v>
      </c>
      <c r="J145" s="14">
        <v>4</v>
      </c>
      <c r="K145" s="14">
        <v>4</v>
      </c>
      <c r="L145" s="15">
        <v>4.8</v>
      </c>
      <c r="M145" s="15">
        <v>19.2</v>
      </c>
    </row>
    <row r="146" spans="4:13">
      <c r="D146" s="12">
        <v>46055</v>
      </c>
      <c r="E146" s="13">
        <v>1575474</v>
      </c>
      <c r="F146" s="13" t="s">
        <v>15</v>
      </c>
      <c r="G146" s="14">
        <v>20310164</v>
      </c>
      <c r="H146" s="13" t="s">
        <v>133</v>
      </c>
      <c r="I146" s="13" t="s">
        <v>57</v>
      </c>
      <c r="J146" s="14">
        <v>1</v>
      </c>
      <c r="K146" s="14">
        <v>1</v>
      </c>
      <c r="L146" s="15">
        <v>4.8</v>
      </c>
      <c r="M146" s="15">
        <v>4.8</v>
      </c>
    </row>
    <row r="147" spans="4:13">
      <c r="D147" s="12">
        <v>46055</v>
      </c>
      <c r="E147" s="13">
        <v>1575474</v>
      </c>
      <c r="F147" s="13" t="s">
        <v>15</v>
      </c>
      <c r="G147" s="14">
        <v>20378300</v>
      </c>
      <c r="H147" s="13" t="s">
        <v>18</v>
      </c>
      <c r="I147" s="13" t="s">
        <v>19</v>
      </c>
      <c r="J147" s="14">
        <v>1</v>
      </c>
      <c r="K147" s="14">
        <v>1</v>
      </c>
      <c r="L147" s="15">
        <v>4.8</v>
      </c>
      <c r="M147" s="15">
        <v>4.8</v>
      </c>
    </row>
    <row r="148" spans="4:13">
      <c r="D148" s="12">
        <v>46055</v>
      </c>
      <c r="E148" s="13">
        <v>1575474</v>
      </c>
      <c r="F148" s="13" t="s">
        <v>15</v>
      </c>
      <c r="G148" s="14">
        <v>20303923</v>
      </c>
      <c r="H148" s="13" t="s">
        <v>111</v>
      </c>
      <c r="I148" s="13" t="s">
        <v>48</v>
      </c>
      <c r="J148" s="14">
        <v>1</v>
      </c>
      <c r="K148" s="14">
        <v>2</v>
      </c>
      <c r="L148" s="15">
        <v>9.9</v>
      </c>
      <c r="M148" s="15">
        <v>9.9</v>
      </c>
    </row>
    <row r="149" spans="4:13">
      <c r="D149" s="12">
        <v>46055</v>
      </c>
      <c r="E149" s="13">
        <v>1575474</v>
      </c>
      <c r="F149" s="13" t="s">
        <v>15</v>
      </c>
      <c r="G149" s="14">
        <v>20309796</v>
      </c>
      <c r="H149" s="13" t="s">
        <v>114</v>
      </c>
      <c r="I149" s="13" t="s">
        <v>19</v>
      </c>
      <c r="J149" s="14">
        <v>3</v>
      </c>
      <c r="K149" s="14">
        <v>3</v>
      </c>
      <c r="L149" s="15">
        <v>4.8</v>
      </c>
      <c r="M149" s="15">
        <v>14.4</v>
      </c>
    </row>
    <row r="150" spans="4:13">
      <c r="D150" s="12">
        <v>46055</v>
      </c>
      <c r="E150" s="13">
        <v>1575474</v>
      </c>
      <c r="F150" s="13" t="s">
        <v>15</v>
      </c>
      <c r="G150" s="14">
        <v>20310296</v>
      </c>
      <c r="H150" s="13" t="s">
        <v>134</v>
      </c>
      <c r="I150" s="13" t="s">
        <v>19</v>
      </c>
      <c r="J150" s="14">
        <v>1</v>
      </c>
      <c r="K150" s="14">
        <v>1</v>
      </c>
      <c r="L150" s="15">
        <v>4.8</v>
      </c>
      <c r="M150" s="15">
        <v>4.8</v>
      </c>
    </row>
    <row r="151" spans="4:13">
      <c r="D151" s="12">
        <v>46055</v>
      </c>
      <c r="E151" s="13">
        <v>1575474</v>
      </c>
      <c r="F151" s="13" t="s">
        <v>15</v>
      </c>
      <c r="G151" s="14">
        <v>20303929</v>
      </c>
      <c r="H151" s="13" t="s">
        <v>128</v>
      </c>
      <c r="I151" s="13" t="s">
        <v>19</v>
      </c>
      <c r="J151" s="14">
        <v>5</v>
      </c>
      <c r="K151" s="14">
        <v>5</v>
      </c>
      <c r="L151" s="15">
        <v>4.8</v>
      </c>
      <c r="M151" s="15">
        <v>24</v>
      </c>
    </row>
    <row r="152" spans="4:13">
      <c r="D152" s="12">
        <v>46055</v>
      </c>
      <c r="E152" s="13">
        <v>1575474</v>
      </c>
      <c r="F152" s="13" t="s">
        <v>15</v>
      </c>
      <c r="G152" s="14">
        <v>20314185</v>
      </c>
      <c r="H152" s="13" t="s">
        <v>135</v>
      </c>
      <c r="I152" s="13" t="s">
        <v>57</v>
      </c>
      <c r="J152" s="14">
        <v>1</v>
      </c>
      <c r="K152" s="14">
        <v>1</v>
      </c>
      <c r="L152" s="15">
        <v>4.8</v>
      </c>
      <c r="M152" s="15">
        <v>4.8</v>
      </c>
    </row>
    <row r="153" spans="4:13">
      <c r="D153" s="12">
        <v>46055</v>
      </c>
      <c r="E153" s="13">
        <v>1575474</v>
      </c>
      <c r="F153" s="13" t="s">
        <v>15</v>
      </c>
      <c r="G153" s="14">
        <v>20303925</v>
      </c>
      <c r="H153" s="13" t="s">
        <v>129</v>
      </c>
      <c r="I153" s="13" t="s">
        <v>83</v>
      </c>
      <c r="J153" s="14">
        <v>1</v>
      </c>
      <c r="K153" s="14">
        <v>1</v>
      </c>
      <c r="L153" s="15">
        <v>4.8</v>
      </c>
      <c r="M153" s="15">
        <v>4.8</v>
      </c>
    </row>
    <row r="154" spans="4:13">
      <c r="D154" s="12">
        <v>46055</v>
      </c>
      <c r="E154" s="13">
        <v>1575474</v>
      </c>
      <c r="F154" s="13" t="s">
        <v>44</v>
      </c>
      <c r="G154" s="14">
        <v>20305036</v>
      </c>
      <c r="H154" s="13" t="s">
        <v>130</v>
      </c>
      <c r="I154" s="13" t="s">
        <v>37</v>
      </c>
      <c r="J154" s="14">
        <v>1</v>
      </c>
      <c r="K154" s="14">
        <v>2</v>
      </c>
      <c r="L154" s="15">
        <v>9.9</v>
      </c>
      <c r="M154" s="15">
        <v>9.9</v>
      </c>
    </row>
    <row r="155" spans="4:13">
      <c r="D155" s="12">
        <v>46055</v>
      </c>
      <c r="E155" s="13">
        <v>1575474</v>
      </c>
      <c r="F155" s="13" t="s">
        <v>44</v>
      </c>
      <c r="G155" s="14">
        <v>20305026</v>
      </c>
      <c r="H155" s="13" t="s">
        <v>53</v>
      </c>
      <c r="I155" s="13" t="s">
        <v>30</v>
      </c>
      <c r="J155" s="14">
        <v>2</v>
      </c>
      <c r="K155" s="14">
        <v>8</v>
      </c>
      <c r="L155" s="15">
        <v>13.2</v>
      </c>
      <c r="M155" s="15">
        <v>26.4</v>
      </c>
    </row>
    <row r="156" spans="4:13">
      <c r="D156" s="12">
        <v>46056</v>
      </c>
      <c r="E156" s="13">
        <v>1575825</v>
      </c>
      <c r="F156" s="13" t="s">
        <v>54</v>
      </c>
      <c r="G156" s="14">
        <v>20303918</v>
      </c>
      <c r="H156" s="13" t="s">
        <v>112</v>
      </c>
      <c r="I156" s="13" t="s">
        <v>113</v>
      </c>
      <c r="J156" s="14">
        <v>1</v>
      </c>
      <c r="K156" s="14">
        <v>6</v>
      </c>
      <c r="L156" s="15">
        <v>22.01</v>
      </c>
      <c r="M156" s="15">
        <v>22.01</v>
      </c>
    </row>
    <row r="157" spans="4:13">
      <c r="D157" s="12">
        <v>46057</v>
      </c>
      <c r="E157" s="13">
        <v>1576175</v>
      </c>
      <c r="F157" s="13" t="s">
        <v>15</v>
      </c>
      <c r="G157" s="14">
        <v>20303919</v>
      </c>
      <c r="H157" s="13" t="s">
        <v>127</v>
      </c>
      <c r="I157" s="13" t="s">
        <v>17</v>
      </c>
      <c r="J157" s="14">
        <v>1</v>
      </c>
      <c r="K157" s="14">
        <v>1</v>
      </c>
      <c r="L157" s="15">
        <v>4.8</v>
      </c>
      <c r="M157" s="15">
        <v>4.8</v>
      </c>
    </row>
    <row r="158" spans="4:13">
      <c r="D158" s="12">
        <v>46057</v>
      </c>
      <c r="E158" s="13">
        <v>1576175</v>
      </c>
      <c r="F158" s="13" t="s">
        <v>15</v>
      </c>
      <c r="G158" s="14">
        <v>20303923</v>
      </c>
      <c r="H158" s="13" t="s">
        <v>111</v>
      </c>
      <c r="I158" s="13" t="s">
        <v>48</v>
      </c>
      <c r="J158" s="14">
        <v>1</v>
      </c>
      <c r="K158" s="14">
        <v>2</v>
      </c>
      <c r="L158" s="15">
        <v>9.9</v>
      </c>
      <c r="M158" s="15">
        <v>9.9</v>
      </c>
    </row>
    <row r="159" spans="4:13">
      <c r="D159" s="12">
        <v>46057</v>
      </c>
      <c r="E159" s="13">
        <v>1576175</v>
      </c>
      <c r="F159" s="13" t="s">
        <v>15</v>
      </c>
      <c r="G159" s="14">
        <v>20309796</v>
      </c>
      <c r="H159" s="13" t="s">
        <v>114</v>
      </c>
      <c r="I159" s="13" t="s">
        <v>19</v>
      </c>
      <c r="J159" s="14">
        <v>2</v>
      </c>
      <c r="K159" s="14">
        <v>2</v>
      </c>
      <c r="L159" s="15">
        <v>4.8</v>
      </c>
      <c r="M159" s="15">
        <v>9.6</v>
      </c>
    </row>
    <row r="160" spans="4:13">
      <c r="D160" s="12">
        <v>46057</v>
      </c>
      <c r="E160" s="13">
        <v>1576175</v>
      </c>
      <c r="F160" s="13" t="s">
        <v>15</v>
      </c>
      <c r="G160" s="14">
        <v>20303929</v>
      </c>
      <c r="H160" s="13" t="s">
        <v>128</v>
      </c>
      <c r="I160" s="13" t="s">
        <v>19</v>
      </c>
      <c r="J160" s="14">
        <v>4</v>
      </c>
      <c r="K160" s="14">
        <v>4</v>
      </c>
      <c r="L160" s="15">
        <v>4.8</v>
      </c>
      <c r="M160" s="15">
        <v>19.2</v>
      </c>
    </row>
    <row r="161" spans="4:13">
      <c r="D161" s="12">
        <v>46057</v>
      </c>
      <c r="E161" s="13">
        <v>1576175</v>
      </c>
      <c r="F161" s="13" t="s">
        <v>15</v>
      </c>
      <c r="G161" s="14">
        <v>20303925</v>
      </c>
      <c r="H161" s="13" t="s">
        <v>129</v>
      </c>
      <c r="I161" s="13" t="s">
        <v>83</v>
      </c>
      <c r="J161" s="14">
        <v>2</v>
      </c>
      <c r="K161" s="14">
        <v>2</v>
      </c>
      <c r="L161" s="15">
        <v>4.8</v>
      </c>
      <c r="M161" s="15">
        <v>9.6</v>
      </c>
    </row>
    <row r="162" spans="4:13">
      <c r="D162" s="12">
        <v>46058</v>
      </c>
      <c r="E162" s="13">
        <v>1576539</v>
      </c>
      <c r="F162" s="13" t="s">
        <v>15</v>
      </c>
      <c r="G162" s="14">
        <v>20314034</v>
      </c>
      <c r="H162" s="13" t="s">
        <v>132</v>
      </c>
      <c r="I162" s="13" t="s">
        <v>57</v>
      </c>
      <c r="J162" s="14">
        <v>1</v>
      </c>
      <c r="K162" s="14">
        <v>1</v>
      </c>
      <c r="L162" s="15">
        <v>6.3</v>
      </c>
      <c r="M162" s="15">
        <v>6.3</v>
      </c>
    </row>
    <row r="163" spans="4:13">
      <c r="D163" s="12">
        <v>46058</v>
      </c>
      <c r="E163" s="13">
        <v>1576539</v>
      </c>
      <c r="F163" s="13" t="s">
        <v>15</v>
      </c>
      <c r="G163" s="14">
        <v>20303923</v>
      </c>
      <c r="H163" s="13" t="s">
        <v>111</v>
      </c>
      <c r="I163" s="13" t="s">
        <v>48</v>
      </c>
      <c r="J163" s="14">
        <v>1</v>
      </c>
      <c r="K163" s="14">
        <v>2</v>
      </c>
      <c r="L163" s="15">
        <v>9.9</v>
      </c>
      <c r="M163" s="15">
        <v>9.9</v>
      </c>
    </row>
    <row r="164" spans="4:13">
      <c r="D164" s="12">
        <v>46058</v>
      </c>
      <c r="E164" s="13">
        <v>1576539</v>
      </c>
      <c r="F164" s="13" t="s">
        <v>15</v>
      </c>
      <c r="G164" s="14">
        <v>20303924</v>
      </c>
      <c r="H164" s="13" t="s">
        <v>131</v>
      </c>
      <c r="I164" s="13" t="s">
        <v>70</v>
      </c>
      <c r="J164" s="14">
        <v>5</v>
      </c>
      <c r="K164" s="14">
        <v>5</v>
      </c>
      <c r="L164" s="15">
        <v>4.8</v>
      </c>
      <c r="M164" s="15">
        <v>24</v>
      </c>
    </row>
    <row r="165" spans="4:13">
      <c r="D165" s="12">
        <v>46058</v>
      </c>
      <c r="E165" s="13">
        <v>1576539</v>
      </c>
      <c r="F165" s="13" t="s">
        <v>15</v>
      </c>
      <c r="G165" s="14">
        <v>20309796</v>
      </c>
      <c r="H165" s="13" t="s">
        <v>114</v>
      </c>
      <c r="I165" s="13" t="s">
        <v>19</v>
      </c>
      <c r="J165" s="14">
        <v>2</v>
      </c>
      <c r="K165" s="14">
        <v>2</v>
      </c>
      <c r="L165" s="15">
        <v>4.8</v>
      </c>
      <c r="M165" s="15">
        <v>9.6</v>
      </c>
    </row>
    <row r="166" spans="4:13">
      <c r="D166" s="12">
        <v>46058</v>
      </c>
      <c r="E166" s="13">
        <v>1576539</v>
      </c>
      <c r="F166" s="13" t="s">
        <v>15</v>
      </c>
      <c r="G166" s="14">
        <v>20303929</v>
      </c>
      <c r="H166" s="13" t="s">
        <v>128</v>
      </c>
      <c r="I166" s="13" t="s">
        <v>19</v>
      </c>
      <c r="J166" s="14">
        <v>6</v>
      </c>
      <c r="K166" s="14">
        <v>6</v>
      </c>
      <c r="L166" s="15">
        <v>4.8</v>
      </c>
      <c r="M166" s="15">
        <v>28.8</v>
      </c>
    </row>
    <row r="167" spans="4:13">
      <c r="D167" s="12">
        <v>46058</v>
      </c>
      <c r="E167" s="13">
        <v>1576539</v>
      </c>
      <c r="F167" s="13" t="s">
        <v>15</v>
      </c>
      <c r="G167" s="14">
        <v>20303925</v>
      </c>
      <c r="H167" s="13" t="s">
        <v>129</v>
      </c>
      <c r="I167" s="13" t="s">
        <v>83</v>
      </c>
      <c r="J167" s="14">
        <v>2</v>
      </c>
      <c r="K167" s="14">
        <v>2</v>
      </c>
      <c r="L167" s="15">
        <v>4.8</v>
      </c>
      <c r="M167" s="15">
        <v>9.6</v>
      </c>
    </row>
    <row r="168" spans="4:13">
      <c r="D168" s="12">
        <v>46058</v>
      </c>
      <c r="E168" s="13">
        <v>1576539</v>
      </c>
      <c r="F168" s="13" t="s">
        <v>44</v>
      </c>
      <c r="G168" s="14">
        <v>20305036</v>
      </c>
      <c r="H168" s="13" t="s">
        <v>130</v>
      </c>
      <c r="I168" s="13" t="s">
        <v>37</v>
      </c>
      <c r="J168" s="14">
        <v>1</v>
      </c>
      <c r="K168" s="14">
        <v>2</v>
      </c>
      <c r="L168" s="15">
        <v>9.9</v>
      </c>
      <c r="M168" s="15">
        <v>9.9</v>
      </c>
    </row>
    <row r="169" spans="4:13">
      <c r="D169" s="12">
        <v>46058</v>
      </c>
      <c r="E169" s="13">
        <v>1576539</v>
      </c>
      <c r="F169" s="13" t="s">
        <v>44</v>
      </c>
      <c r="G169" s="14">
        <v>20305026</v>
      </c>
      <c r="H169" s="13" t="s">
        <v>53</v>
      </c>
      <c r="I169" s="13" t="s">
        <v>30</v>
      </c>
      <c r="J169" s="14">
        <v>2</v>
      </c>
      <c r="K169" s="14">
        <v>8</v>
      </c>
      <c r="L169" s="15">
        <v>13.2</v>
      </c>
      <c r="M169" s="15">
        <v>26.4</v>
      </c>
    </row>
    <row r="170" spans="4:13">
      <c r="D170" s="12">
        <v>46059</v>
      </c>
      <c r="E170" s="13">
        <v>1576847</v>
      </c>
      <c r="F170" s="13" t="s">
        <v>15</v>
      </c>
      <c r="G170" s="14">
        <v>20314034</v>
      </c>
      <c r="H170" s="13" t="s">
        <v>132</v>
      </c>
      <c r="I170" s="13" t="s">
        <v>57</v>
      </c>
      <c r="J170" s="14">
        <v>1</v>
      </c>
      <c r="K170" s="14">
        <v>1</v>
      </c>
      <c r="L170" s="15">
        <v>6.3</v>
      </c>
      <c r="M170" s="15">
        <v>6.3</v>
      </c>
    </row>
    <row r="171" spans="4:13">
      <c r="D171" s="12">
        <v>46059</v>
      </c>
      <c r="E171" s="13">
        <v>1576847</v>
      </c>
      <c r="F171" s="13" t="s">
        <v>15</v>
      </c>
      <c r="G171" s="14">
        <v>20303923</v>
      </c>
      <c r="H171" s="13" t="s">
        <v>111</v>
      </c>
      <c r="I171" s="13" t="s">
        <v>48</v>
      </c>
      <c r="J171" s="14">
        <v>1</v>
      </c>
      <c r="K171" s="14">
        <v>2</v>
      </c>
      <c r="L171" s="15">
        <v>9.9</v>
      </c>
      <c r="M171" s="15">
        <v>9.9</v>
      </c>
    </row>
    <row r="172" spans="4:13">
      <c r="D172" s="12">
        <v>46059</v>
      </c>
      <c r="E172" s="13">
        <v>1576847</v>
      </c>
      <c r="F172" s="13" t="s">
        <v>15</v>
      </c>
      <c r="G172" s="14">
        <v>20309796</v>
      </c>
      <c r="H172" s="13" t="s">
        <v>114</v>
      </c>
      <c r="I172" s="13" t="s">
        <v>19</v>
      </c>
      <c r="J172" s="14">
        <v>2</v>
      </c>
      <c r="K172" s="14">
        <v>2</v>
      </c>
      <c r="L172" s="15">
        <v>4.8</v>
      </c>
      <c r="M172" s="15">
        <v>9.6</v>
      </c>
    </row>
    <row r="173" spans="4:13">
      <c r="D173" s="12">
        <v>46059</v>
      </c>
      <c r="E173" s="13">
        <v>1576847</v>
      </c>
      <c r="F173" s="13" t="s">
        <v>15</v>
      </c>
      <c r="G173" s="14">
        <v>20303984</v>
      </c>
      <c r="H173" s="13" t="s">
        <v>82</v>
      </c>
      <c r="I173" s="13" t="s">
        <v>83</v>
      </c>
      <c r="J173" s="14">
        <v>2</v>
      </c>
      <c r="K173" s="14">
        <v>2</v>
      </c>
      <c r="L173" s="15">
        <v>4.8</v>
      </c>
      <c r="M173" s="15">
        <v>9.6</v>
      </c>
    </row>
    <row r="174" spans="4:13">
      <c r="D174" s="12">
        <v>46059</v>
      </c>
      <c r="E174" s="13">
        <v>1576847</v>
      </c>
      <c r="F174" s="13" t="s">
        <v>15</v>
      </c>
      <c r="G174" s="14">
        <v>20303929</v>
      </c>
      <c r="H174" s="13" t="s">
        <v>128</v>
      </c>
      <c r="I174" s="13" t="s">
        <v>19</v>
      </c>
      <c r="J174" s="14">
        <v>2</v>
      </c>
      <c r="K174" s="14">
        <v>2</v>
      </c>
      <c r="L174" s="15">
        <v>4.8</v>
      </c>
      <c r="M174" s="15">
        <v>9.6</v>
      </c>
    </row>
    <row r="175" spans="4:13">
      <c r="D175" s="12">
        <v>46059</v>
      </c>
      <c r="E175" s="13">
        <v>1576847</v>
      </c>
      <c r="F175" s="13" t="s">
        <v>15</v>
      </c>
      <c r="G175" s="14">
        <v>20303922</v>
      </c>
      <c r="H175" s="13" t="s">
        <v>20</v>
      </c>
      <c r="I175" s="13" t="s">
        <v>17</v>
      </c>
      <c r="J175" s="14">
        <v>1</v>
      </c>
      <c r="K175" s="14">
        <v>1</v>
      </c>
      <c r="L175" s="15">
        <v>4.8</v>
      </c>
      <c r="M175" s="15">
        <v>4.8</v>
      </c>
    </row>
    <row r="176" spans="4:13">
      <c r="D176" s="12">
        <v>46059</v>
      </c>
      <c r="E176" s="13">
        <v>1576847</v>
      </c>
      <c r="F176" s="13" t="s">
        <v>15</v>
      </c>
      <c r="G176" s="14">
        <v>20303925</v>
      </c>
      <c r="H176" s="13" t="s">
        <v>129</v>
      </c>
      <c r="I176" s="13" t="s">
        <v>83</v>
      </c>
      <c r="J176" s="14">
        <v>1</v>
      </c>
      <c r="K176" s="14">
        <v>1</v>
      </c>
      <c r="L176" s="15">
        <v>4.8</v>
      </c>
      <c r="M176" s="15">
        <v>4.8</v>
      </c>
    </row>
    <row r="177" spans="4:13">
      <c r="D177" s="12">
        <v>46059</v>
      </c>
      <c r="E177" s="13">
        <v>1576847</v>
      </c>
      <c r="F177" s="13" t="s">
        <v>54</v>
      </c>
      <c r="G177" s="14">
        <v>20303918</v>
      </c>
      <c r="H177" s="13" t="s">
        <v>112</v>
      </c>
      <c r="I177" s="13" t="s">
        <v>113</v>
      </c>
      <c r="J177" s="14">
        <v>1</v>
      </c>
      <c r="K177" s="14">
        <v>6</v>
      </c>
      <c r="L177" s="15">
        <v>22.01</v>
      </c>
      <c r="M177" s="15">
        <v>22.01</v>
      </c>
    </row>
    <row r="178" spans="4:13">
      <c r="D178" s="12">
        <v>46062</v>
      </c>
      <c r="E178" s="13">
        <v>1577392</v>
      </c>
      <c r="F178" s="13" t="s">
        <v>15</v>
      </c>
      <c r="G178" s="14">
        <v>20303919</v>
      </c>
      <c r="H178" s="13" t="s">
        <v>127</v>
      </c>
      <c r="I178" s="13" t="s">
        <v>17</v>
      </c>
      <c r="J178" s="14">
        <v>1</v>
      </c>
      <c r="K178" s="14">
        <v>1</v>
      </c>
      <c r="L178" s="15">
        <v>4.8</v>
      </c>
      <c r="M178" s="15">
        <v>4.8</v>
      </c>
    </row>
    <row r="179" spans="4:13">
      <c r="D179" s="12">
        <v>46062</v>
      </c>
      <c r="E179" s="13">
        <v>1577392</v>
      </c>
      <c r="F179" s="13" t="s">
        <v>15</v>
      </c>
      <c r="G179" s="14">
        <v>20314034</v>
      </c>
      <c r="H179" s="13" t="s">
        <v>132</v>
      </c>
      <c r="I179" s="13" t="s">
        <v>57</v>
      </c>
      <c r="J179" s="14">
        <v>1</v>
      </c>
      <c r="K179" s="14">
        <v>1</v>
      </c>
      <c r="L179" s="15">
        <v>6.3</v>
      </c>
      <c r="M179" s="15">
        <v>6.3</v>
      </c>
    </row>
    <row r="180" spans="4:13">
      <c r="D180" s="12">
        <v>46062</v>
      </c>
      <c r="E180" s="13">
        <v>1577392</v>
      </c>
      <c r="F180" s="13" t="s">
        <v>15</v>
      </c>
      <c r="G180" s="14">
        <v>20303923</v>
      </c>
      <c r="H180" s="13" t="s">
        <v>111</v>
      </c>
      <c r="I180" s="13" t="s">
        <v>48</v>
      </c>
      <c r="J180" s="14">
        <v>1</v>
      </c>
      <c r="K180" s="14">
        <v>2</v>
      </c>
      <c r="L180" s="15">
        <v>9.9</v>
      </c>
      <c r="M180" s="15">
        <v>9.9</v>
      </c>
    </row>
    <row r="181" spans="4:13">
      <c r="D181" s="12">
        <v>46062</v>
      </c>
      <c r="E181" s="13">
        <v>1577392</v>
      </c>
      <c r="F181" s="13" t="s">
        <v>15</v>
      </c>
      <c r="G181" s="14">
        <v>20303924</v>
      </c>
      <c r="H181" s="13" t="s">
        <v>131</v>
      </c>
      <c r="I181" s="13" t="s">
        <v>70</v>
      </c>
      <c r="J181" s="14">
        <v>3</v>
      </c>
      <c r="K181" s="14">
        <v>3</v>
      </c>
      <c r="L181" s="15">
        <v>4.8</v>
      </c>
      <c r="M181" s="15">
        <v>14.4</v>
      </c>
    </row>
    <row r="182" spans="4:13">
      <c r="D182" s="12">
        <v>46062</v>
      </c>
      <c r="E182" s="13">
        <v>1577392</v>
      </c>
      <c r="F182" s="13" t="s">
        <v>15</v>
      </c>
      <c r="G182" s="14">
        <v>20309796</v>
      </c>
      <c r="H182" s="13" t="s">
        <v>114</v>
      </c>
      <c r="I182" s="13" t="s">
        <v>19</v>
      </c>
      <c r="J182" s="14">
        <v>2</v>
      </c>
      <c r="K182" s="14">
        <v>2</v>
      </c>
      <c r="L182" s="15">
        <v>4.8</v>
      </c>
      <c r="M182" s="15">
        <v>9.6</v>
      </c>
    </row>
    <row r="183" spans="4:13">
      <c r="D183" s="12">
        <v>46062</v>
      </c>
      <c r="E183" s="13">
        <v>1577392</v>
      </c>
      <c r="F183" s="13" t="s">
        <v>15</v>
      </c>
      <c r="G183" s="14">
        <v>20303929</v>
      </c>
      <c r="H183" s="13" t="s">
        <v>128</v>
      </c>
      <c r="I183" s="13" t="s">
        <v>19</v>
      </c>
      <c r="J183" s="14">
        <v>2</v>
      </c>
      <c r="K183" s="14">
        <v>2</v>
      </c>
      <c r="L183" s="15">
        <v>4.8</v>
      </c>
      <c r="M183" s="15">
        <v>9.6</v>
      </c>
    </row>
    <row r="184" spans="4:13">
      <c r="D184" s="12">
        <v>46062</v>
      </c>
      <c r="E184" s="13">
        <v>1577392</v>
      </c>
      <c r="F184" s="13" t="s">
        <v>15</v>
      </c>
      <c r="G184" s="14">
        <v>20303922</v>
      </c>
      <c r="H184" s="13" t="s">
        <v>20</v>
      </c>
      <c r="I184" s="13" t="s">
        <v>17</v>
      </c>
      <c r="J184" s="14">
        <v>1</v>
      </c>
      <c r="K184" s="14">
        <v>1</v>
      </c>
      <c r="L184" s="15">
        <v>4.8</v>
      </c>
      <c r="M184" s="15">
        <v>4.8</v>
      </c>
    </row>
    <row r="185" spans="4:13">
      <c r="D185" s="12">
        <v>46062</v>
      </c>
      <c r="E185" s="13">
        <v>1577392</v>
      </c>
      <c r="F185" s="13" t="s">
        <v>15</v>
      </c>
      <c r="G185" s="14">
        <v>20303925</v>
      </c>
      <c r="H185" s="13" t="s">
        <v>129</v>
      </c>
      <c r="I185" s="13" t="s">
        <v>83</v>
      </c>
      <c r="J185" s="14">
        <v>2</v>
      </c>
      <c r="K185" s="14">
        <v>2</v>
      </c>
      <c r="L185" s="15">
        <v>4.8</v>
      </c>
      <c r="M185" s="15">
        <v>9.6</v>
      </c>
    </row>
    <row r="186" spans="4:13">
      <c r="D186" s="12">
        <v>46062</v>
      </c>
      <c r="E186" s="13">
        <v>1577392</v>
      </c>
      <c r="F186" s="13" t="s">
        <v>44</v>
      </c>
      <c r="G186" s="14">
        <v>20305036</v>
      </c>
      <c r="H186" s="13" t="s">
        <v>130</v>
      </c>
      <c r="I186" s="13" t="s">
        <v>37</v>
      </c>
      <c r="J186" s="14">
        <v>1</v>
      </c>
      <c r="K186" s="14">
        <v>2</v>
      </c>
      <c r="L186" s="15">
        <v>9.9</v>
      </c>
      <c r="M186" s="15">
        <v>9.9</v>
      </c>
    </row>
    <row r="187" spans="4:13">
      <c r="D187" s="12">
        <v>46062</v>
      </c>
      <c r="E187" s="13">
        <v>1577392</v>
      </c>
      <c r="F187" s="13" t="s">
        <v>44</v>
      </c>
      <c r="G187" s="14">
        <v>20305026</v>
      </c>
      <c r="H187" s="13" t="s">
        <v>53</v>
      </c>
      <c r="I187" s="13" t="s">
        <v>30</v>
      </c>
      <c r="J187" s="14">
        <v>2</v>
      </c>
      <c r="K187" s="14">
        <v>8</v>
      </c>
      <c r="L187" s="15">
        <v>13.2</v>
      </c>
      <c r="M187" s="15">
        <v>26.4</v>
      </c>
    </row>
    <row r="188" spans="4:13">
      <c r="D188" s="12">
        <v>46062</v>
      </c>
      <c r="E188" s="13">
        <v>1577416</v>
      </c>
      <c r="F188" s="13" t="s">
        <v>15</v>
      </c>
      <c r="G188" s="14">
        <v>20303924</v>
      </c>
      <c r="H188" s="13" t="s">
        <v>131</v>
      </c>
      <c r="I188" s="13" t="s">
        <v>70</v>
      </c>
      <c r="J188" s="14">
        <v>1</v>
      </c>
      <c r="K188" s="14">
        <v>1</v>
      </c>
      <c r="L188" s="15">
        <v>4.8</v>
      </c>
      <c r="M188" s="15">
        <v>4.8</v>
      </c>
    </row>
    <row r="189" spans="4:13">
      <c r="D189" s="12">
        <v>46065</v>
      </c>
      <c r="E189" s="13">
        <v>1578314</v>
      </c>
      <c r="F189" s="13" t="s">
        <v>15</v>
      </c>
      <c r="G189" s="14">
        <v>20303919</v>
      </c>
      <c r="H189" s="13" t="s">
        <v>127</v>
      </c>
      <c r="I189" s="13" t="s">
        <v>17</v>
      </c>
      <c r="J189" s="14">
        <v>1</v>
      </c>
      <c r="K189" s="14">
        <v>1</v>
      </c>
      <c r="L189" s="15">
        <v>4.8</v>
      </c>
      <c r="M189" s="15">
        <v>4.8</v>
      </c>
    </row>
    <row r="190" spans="4:13">
      <c r="D190" s="12">
        <v>46065</v>
      </c>
      <c r="E190" s="13">
        <v>1578314</v>
      </c>
      <c r="F190" s="13" t="s">
        <v>15</v>
      </c>
      <c r="G190" s="14">
        <v>20314009</v>
      </c>
      <c r="H190" s="13" t="s">
        <v>49</v>
      </c>
      <c r="I190" s="13" t="s">
        <v>17</v>
      </c>
      <c r="J190" s="14">
        <v>1</v>
      </c>
      <c r="K190" s="14">
        <v>1</v>
      </c>
      <c r="L190" s="15">
        <v>4.8</v>
      </c>
      <c r="M190" s="15">
        <v>4.8</v>
      </c>
    </row>
    <row r="191" spans="4:13">
      <c r="D191" s="12">
        <v>46065</v>
      </c>
      <c r="E191" s="13">
        <v>1578314</v>
      </c>
      <c r="F191" s="13" t="s">
        <v>15</v>
      </c>
      <c r="G191" s="14">
        <v>20378300</v>
      </c>
      <c r="H191" s="13" t="s">
        <v>18</v>
      </c>
      <c r="I191" s="13" t="s">
        <v>19</v>
      </c>
      <c r="J191" s="14">
        <v>1</v>
      </c>
      <c r="K191" s="14">
        <v>1</v>
      </c>
      <c r="L191" s="15">
        <v>4.8</v>
      </c>
      <c r="M191" s="15">
        <v>4.8</v>
      </c>
    </row>
    <row r="192" spans="4:13">
      <c r="D192" s="12">
        <v>46065</v>
      </c>
      <c r="E192" s="13">
        <v>1578314</v>
      </c>
      <c r="F192" s="13" t="s">
        <v>15</v>
      </c>
      <c r="G192" s="14">
        <v>20303923</v>
      </c>
      <c r="H192" s="13" t="s">
        <v>111</v>
      </c>
      <c r="I192" s="13" t="s">
        <v>48</v>
      </c>
      <c r="J192" s="14">
        <v>1</v>
      </c>
      <c r="K192" s="14">
        <v>2</v>
      </c>
      <c r="L192" s="15">
        <v>9.9</v>
      </c>
      <c r="M192" s="15">
        <v>9.9</v>
      </c>
    </row>
    <row r="193" spans="4:13">
      <c r="D193" s="12">
        <v>46065</v>
      </c>
      <c r="E193" s="13">
        <v>1578314</v>
      </c>
      <c r="F193" s="13" t="s">
        <v>15</v>
      </c>
      <c r="G193" s="14">
        <v>20303924</v>
      </c>
      <c r="H193" s="13" t="s">
        <v>131</v>
      </c>
      <c r="I193" s="13" t="s">
        <v>70</v>
      </c>
      <c r="J193" s="14">
        <v>2</v>
      </c>
      <c r="K193" s="14">
        <v>2</v>
      </c>
      <c r="L193" s="15">
        <v>4.8</v>
      </c>
      <c r="M193" s="15">
        <v>9.6</v>
      </c>
    </row>
    <row r="194" spans="4:13">
      <c r="D194" s="12">
        <v>46065</v>
      </c>
      <c r="E194" s="13">
        <v>1578314</v>
      </c>
      <c r="F194" s="13" t="s">
        <v>15</v>
      </c>
      <c r="G194" s="14">
        <v>20309796</v>
      </c>
      <c r="H194" s="13" t="s">
        <v>114</v>
      </c>
      <c r="I194" s="13" t="s">
        <v>19</v>
      </c>
      <c r="J194" s="14">
        <v>2</v>
      </c>
      <c r="K194" s="14">
        <v>2</v>
      </c>
      <c r="L194" s="15">
        <v>4.8</v>
      </c>
      <c r="M194" s="15">
        <v>9.6</v>
      </c>
    </row>
    <row r="195" spans="4:13">
      <c r="D195" s="12">
        <v>46065</v>
      </c>
      <c r="E195" s="13">
        <v>1578314</v>
      </c>
      <c r="F195" s="13" t="s">
        <v>15</v>
      </c>
      <c r="G195" s="14">
        <v>20303984</v>
      </c>
      <c r="H195" s="13" t="s">
        <v>82</v>
      </c>
      <c r="I195" s="13" t="s">
        <v>83</v>
      </c>
      <c r="J195" s="14">
        <v>2</v>
      </c>
      <c r="K195" s="14">
        <v>2</v>
      </c>
      <c r="L195" s="15">
        <v>4.8</v>
      </c>
      <c r="M195" s="15">
        <v>9.6</v>
      </c>
    </row>
    <row r="196" spans="4:13">
      <c r="D196" s="12">
        <v>46065</v>
      </c>
      <c r="E196" s="13">
        <v>1578314</v>
      </c>
      <c r="F196" s="13" t="s">
        <v>15</v>
      </c>
      <c r="G196" s="14">
        <v>20310296</v>
      </c>
      <c r="H196" s="13" t="s">
        <v>134</v>
      </c>
      <c r="I196" s="13" t="s">
        <v>19</v>
      </c>
      <c r="J196" s="14">
        <v>1</v>
      </c>
      <c r="K196" s="14">
        <v>1</v>
      </c>
      <c r="L196" s="15">
        <v>4.8</v>
      </c>
      <c r="M196" s="15">
        <v>4.8</v>
      </c>
    </row>
    <row r="197" spans="4:13">
      <c r="D197" s="12">
        <v>46065</v>
      </c>
      <c r="E197" s="13">
        <v>1578314</v>
      </c>
      <c r="F197" s="13" t="s">
        <v>15</v>
      </c>
      <c r="G197" s="14">
        <v>20303929</v>
      </c>
      <c r="H197" s="13" t="s">
        <v>128</v>
      </c>
      <c r="I197" s="13" t="s">
        <v>19</v>
      </c>
      <c r="J197" s="14">
        <v>1</v>
      </c>
      <c r="K197" s="14">
        <v>1</v>
      </c>
      <c r="L197" s="15">
        <v>4.8</v>
      </c>
      <c r="M197" s="15">
        <v>4.8</v>
      </c>
    </row>
    <row r="198" spans="4:13">
      <c r="D198" s="12">
        <v>46065</v>
      </c>
      <c r="E198" s="13">
        <v>1578314</v>
      </c>
      <c r="F198" s="13" t="s">
        <v>15</v>
      </c>
      <c r="G198" s="14">
        <v>20303925</v>
      </c>
      <c r="H198" s="13" t="s">
        <v>129</v>
      </c>
      <c r="I198" s="13" t="s">
        <v>83</v>
      </c>
      <c r="J198" s="14">
        <v>2</v>
      </c>
      <c r="K198" s="14">
        <v>2</v>
      </c>
      <c r="L198" s="15">
        <v>4.8</v>
      </c>
      <c r="M198" s="15">
        <v>9.6</v>
      </c>
    </row>
    <row r="199" spans="4:13">
      <c r="D199" s="12">
        <v>46065</v>
      </c>
      <c r="E199" s="13">
        <v>1578314</v>
      </c>
      <c r="F199" s="13" t="s">
        <v>44</v>
      </c>
      <c r="G199" s="14">
        <v>20305036</v>
      </c>
      <c r="H199" s="13" t="s">
        <v>130</v>
      </c>
      <c r="I199" s="13" t="s">
        <v>37</v>
      </c>
      <c r="J199" s="14">
        <v>1</v>
      </c>
      <c r="K199" s="14">
        <v>2</v>
      </c>
      <c r="L199" s="15">
        <v>9.9</v>
      </c>
      <c r="M199" s="15">
        <v>9.9</v>
      </c>
    </row>
    <row r="200" spans="4:13">
      <c r="D200" s="12">
        <v>46065</v>
      </c>
      <c r="E200" s="13">
        <v>1578314</v>
      </c>
      <c r="F200" s="13" t="s">
        <v>44</v>
      </c>
      <c r="G200" s="14">
        <v>20305026</v>
      </c>
      <c r="H200" s="13" t="s">
        <v>53</v>
      </c>
      <c r="I200" s="13" t="s">
        <v>30</v>
      </c>
      <c r="J200" s="14">
        <v>2</v>
      </c>
      <c r="K200" s="14">
        <v>8</v>
      </c>
      <c r="L200" s="15">
        <v>13.2</v>
      </c>
      <c r="M200" s="15">
        <v>26.4</v>
      </c>
    </row>
    <row r="201" spans="4:13">
      <c r="D201" s="12">
        <v>46066</v>
      </c>
      <c r="E201" s="13">
        <v>1578628</v>
      </c>
      <c r="F201" s="13" t="s">
        <v>15</v>
      </c>
      <c r="G201" s="14">
        <v>20303919</v>
      </c>
      <c r="H201" s="13" t="s">
        <v>127</v>
      </c>
      <c r="I201" s="13" t="s">
        <v>17</v>
      </c>
      <c r="J201" s="14">
        <v>1</v>
      </c>
      <c r="K201" s="14">
        <v>1</v>
      </c>
      <c r="L201" s="15">
        <v>4.8</v>
      </c>
      <c r="M201" s="15">
        <v>4.8</v>
      </c>
    </row>
    <row r="202" spans="4:13">
      <c r="D202" s="12">
        <v>46066</v>
      </c>
      <c r="E202" s="13">
        <v>1578628</v>
      </c>
      <c r="F202" s="13" t="s">
        <v>15</v>
      </c>
      <c r="G202" s="14">
        <v>20314034</v>
      </c>
      <c r="H202" s="13" t="s">
        <v>132</v>
      </c>
      <c r="I202" s="13" t="s">
        <v>57</v>
      </c>
      <c r="J202" s="14">
        <v>2</v>
      </c>
      <c r="K202" s="14">
        <v>2</v>
      </c>
      <c r="L202" s="15">
        <v>6.3</v>
      </c>
      <c r="M202" s="15">
        <v>12.6</v>
      </c>
    </row>
    <row r="203" spans="4:13">
      <c r="D203" s="12">
        <v>46066</v>
      </c>
      <c r="E203" s="13">
        <v>1578628</v>
      </c>
      <c r="F203" s="13" t="s">
        <v>15</v>
      </c>
      <c r="G203" s="14">
        <v>20303923</v>
      </c>
      <c r="H203" s="13" t="s">
        <v>111</v>
      </c>
      <c r="I203" s="13" t="s">
        <v>48</v>
      </c>
      <c r="J203" s="14">
        <v>1</v>
      </c>
      <c r="K203" s="14">
        <v>2</v>
      </c>
      <c r="L203" s="15">
        <v>9.9</v>
      </c>
      <c r="M203" s="15">
        <v>9.9</v>
      </c>
    </row>
    <row r="204" spans="4:13">
      <c r="D204" s="12">
        <v>46066</v>
      </c>
      <c r="E204" s="13">
        <v>1578628</v>
      </c>
      <c r="F204" s="13" t="s">
        <v>15</v>
      </c>
      <c r="G204" s="14">
        <v>20303924</v>
      </c>
      <c r="H204" s="13" t="s">
        <v>131</v>
      </c>
      <c r="I204" s="13" t="s">
        <v>70</v>
      </c>
      <c r="J204" s="14">
        <v>1</v>
      </c>
      <c r="K204" s="14">
        <v>1</v>
      </c>
      <c r="L204" s="15">
        <v>4.8</v>
      </c>
      <c r="M204" s="15">
        <v>4.8</v>
      </c>
    </row>
    <row r="205" spans="4:13">
      <c r="D205" s="12">
        <v>46066</v>
      </c>
      <c r="E205" s="13">
        <v>1578628</v>
      </c>
      <c r="F205" s="13" t="s">
        <v>15</v>
      </c>
      <c r="G205" s="14">
        <v>20309796</v>
      </c>
      <c r="H205" s="13" t="s">
        <v>114</v>
      </c>
      <c r="I205" s="13" t="s">
        <v>19</v>
      </c>
      <c r="J205" s="14">
        <v>2</v>
      </c>
      <c r="K205" s="14">
        <v>2</v>
      </c>
      <c r="L205" s="15">
        <v>4.8</v>
      </c>
      <c r="M205" s="15">
        <v>9.6</v>
      </c>
    </row>
    <row r="206" spans="4:13">
      <c r="D206" s="12">
        <v>46066</v>
      </c>
      <c r="E206" s="13">
        <v>1578628</v>
      </c>
      <c r="F206" s="13" t="s">
        <v>15</v>
      </c>
      <c r="G206" s="14">
        <v>20303929</v>
      </c>
      <c r="H206" s="13" t="s">
        <v>128</v>
      </c>
      <c r="I206" s="13" t="s">
        <v>19</v>
      </c>
      <c r="J206" s="14">
        <v>5</v>
      </c>
      <c r="K206" s="14">
        <v>5</v>
      </c>
      <c r="L206" s="15">
        <v>4.8</v>
      </c>
      <c r="M206" s="15">
        <v>24</v>
      </c>
    </row>
    <row r="207" spans="4:13">
      <c r="D207" s="12">
        <v>46066</v>
      </c>
      <c r="E207" s="13">
        <v>1578628</v>
      </c>
      <c r="F207" s="13" t="s">
        <v>15</v>
      </c>
      <c r="G207" s="14">
        <v>20303922</v>
      </c>
      <c r="H207" s="13" t="s">
        <v>20</v>
      </c>
      <c r="I207" s="13" t="s">
        <v>17</v>
      </c>
      <c r="J207" s="14">
        <v>1</v>
      </c>
      <c r="K207" s="14">
        <v>1</v>
      </c>
      <c r="L207" s="15">
        <v>4.8</v>
      </c>
      <c r="M207" s="15">
        <v>4.8</v>
      </c>
    </row>
    <row r="208" spans="4:13">
      <c r="D208" s="12">
        <v>46066</v>
      </c>
      <c r="E208" s="13">
        <v>1578628</v>
      </c>
      <c r="F208" s="13" t="s">
        <v>15</v>
      </c>
      <c r="G208" s="14">
        <v>20303925</v>
      </c>
      <c r="H208" s="13" t="s">
        <v>129</v>
      </c>
      <c r="I208" s="13" t="s">
        <v>83</v>
      </c>
      <c r="J208" s="14">
        <v>3</v>
      </c>
      <c r="K208" s="14">
        <v>3</v>
      </c>
      <c r="L208" s="15">
        <v>4.8</v>
      </c>
      <c r="M208" s="15">
        <v>14.4</v>
      </c>
    </row>
    <row r="209" spans="4:13">
      <c r="D209" s="12">
        <v>46066</v>
      </c>
      <c r="E209" s="13">
        <v>1578628</v>
      </c>
      <c r="F209" s="13" t="s">
        <v>54</v>
      </c>
      <c r="G209" s="14">
        <v>20303918</v>
      </c>
      <c r="H209" s="13" t="s">
        <v>112</v>
      </c>
      <c r="I209" s="13" t="s">
        <v>113</v>
      </c>
      <c r="J209" s="14">
        <v>1</v>
      </c>
      <c r="K209" s="14">
        <v>6</v>
      </c>
      <c r="L209" s="15">
        <v>22.01</v>
      </c>
      <c r="M209" s="15">
        <v>22.01</v>
      </c>
    </row>
    <row r="210" spans="4:13">
      <c r="D210" s="12">
        <v>46067</v>
      </c>
      <c r="E210" s="13">
        <v>1578911</v>
      </c>
      <c r="F210" s="13" t="s">
        <v>44</v>
      </c>
      <c r="G210" s="14">
        <v>20305036</v>
      </c>
      <c r="H210" s="13" t="s">
        <v>130</v>
      </c>
      <c r="I210" s="13" t="s">
        <v>37</v>
      </c>
      <c r="J210" s="14">
        <v>1</v>
      </c>
      <c r="K210" s="14">
        <v>2</v>
      </c>
      <c r="L210" s="15">
        <v>9.9</v>
      </c>
      <c r="M210" s="15">
        <v>9.9</v>
      </c>
    </row>
    <row r="211" spans="4:13">
      <c r="D211" s="12">
        <v>46067</v>
      </c>
      <c r="E211" s="13">
        <v>1578911</v>
      </c>
      <c r="F211" s="13" t="s">
        <v>44</v>
      </c>
      <c r="G211" s="14">
        <v>20305026</v>
      </c>
      <c r="H211" s="13" t="s">
        <v>53</v>
      </c>
      <c r="I211" s="13" t="s">
        <v>30</v>
      </c>
      <c r="J211" s="14">
        <v>2</v>
      </c>
      <c r="K211" s="14">
        <v>8</v>
      </c>
      <c r="L211" s="15">
        <v>13.2</v>
      </c>
      <c r="M211" s="15">
        <v>26.4</v>
      </c>
    </row>
    <row r="212" spans="4:13">
      <c r="D212" s="12">
        <v>46067</v>
      </c>
      <c r="E212" s="13">
        <v>1578912</v>
      </c>
      <c r="F212" s="13" t="s">
        <v>15</v>
      </c>
      <c r="G212" s="14">
        <v>20378300</v>
      </c>
      <c r="H212" s="13" t="s">
        <v>18</v>
      </c>
      <c r="I212" s="13" t="s">
        <v>19</v>
      </c>
      <c r="J212" s="14">
        <v>1</v>
      </c>
      <c r="K212" s="14">
        <v>1</v>
      </c>
      <c r="L212" s="15">
        <v>4.8</v>
      </c>
      <c r="M212" s="15">
        <v>4.8</v>
      </c>
    </row>
    <row r="213" spans="4:13">
      <c r="D213" s="12">
        <v>46067</v>
      </c>
      <c r="E213" s="13">
        <v>1578912</v>
      </c>
      <c r="F213" s="13" t="s">
        <v>15</v>
      </c>
      <c r="G213" s="14">
        <v>20303924</v>
      </c>
      <c r="H213" s="13" t="s">
        <v>131</v>
      </c>
      <c r="I213" s="13" t="s">
        <v>70</v>
      </c>
      <c r="J213" s="14">
        <v>3</v>
      </c>
      <c r="K213" s="14">
        <v>3</v>
      </c>
      <c r="L213" s="15">
        <v>4.8</v>
      </c>
      <c r="M213" s="15">
        <v>14.4</v>
      </c>
    </row>
    <row r="214" spans="4:13">
      <c r="D214" s="12">
        <v>46067</v>
      </c>
      <c r="E214" s="13">
        <v>1578912</v>
      </c>
      <c r="F214" s="13" t="s">
        <v>15</v>
      </c>
      <c r="G214" s="14">
        <v>20309796</v>
      </c>
      <c r="H214" s="13" t="s">
        <v>114</v>
      </c>
      <c r="I214" s="13" t="s">
        <v>19</v>
      </c>
      <c r="J214" s="14">
        <v>1</v>
      </c>
      <c r="K214" s="14">
        <v>1</v>
      </c>
      <c r="L214" s="15">
        <v>4.8</v>
      </c>
      <c r="M214" s="15">
        <v>4.8</v>
      </c>
    </row>
  </sheetData>
  <autoFilter xmlns:etc="http://www.wps.cn/officeDocument/2017/etCustomData" ref="A7:M214" etc:filterBottomFollowUsedRange="0">
    <extLst/>
  </autoFilter>
  <mergeCells count="5">
    <mergeCell ref="D8:I8"/>
    <mergeCell ref="C7:C93"/>
    <mergeCell ref="B4:H5"/>
    <mergeCell ref="A7:B93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O20" sqref="O20:O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125" customWidth="1"/>
    <col min="9" max="9" width="16.75" customWidth="1"/>
    <col min="10" max="10" width="6.475" customWidth="1"/>
    <col min="11" max="11" width="9.45" customWidth="1"/>
    <col min="12" max="12" width="9.37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136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21</v>
      </c>
    </row>
    <row r="9" spans="1:13">
      <c r="D9" s="12">
        <v>46057</v>
      </c>
      <c r="E9" s="13">
        <v>1576071</v>
      </c>
      <c r="F9" s="13" t="s">
        <v>21</v>
      </c>
      <c r="G9" s="14">
        <v>20313493</v>
      </c>
      <c r="H9" s="13" t="s">
        <v>76</v>
      </c>
      <c r="I9" s="13" t="s">
        <v>23</v>
      </c>
      <c r="J9" s="14">
        <v>1</v>
      </c>
      <c r="K9" s="14">
        <v>1</v>
      </c>
      <c r="L9" s="15">
        <v>21</v>
      </c>
      <c r="M9" s="15">
        <v>21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0.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137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8</v>
      </c>
      <c r="K8" s="10">
        <v>47</v>
      </c>
      <c r="L8" s="11"/>
      <c r="M8" s="11">
        <v>252</v>
      </c>
    </row>
    <row r="9" spans="1:13">
      <c r="D9" s="12">
        <v>46043</v>
      </c>
      <c r="E9" s="13">
        <v>1572394</v>
      </c>
      <c r="F9" s="13" t="s">
        <v>138</v>
      </c>
      <c r="G9" s="14">
        <v>20311776</v>
      </c>
      <c r="H9" s="13" t="s">
        <v>139</v>
      </c>
      <c r="I9" s="13" t="s">
        <v>103</v>
      </c>
      <c r="J9" s="14">
        <v>1</v>
      </c>
      <c r="K9" s="14">
        <v>7</v>
      </c>
      <c r="L9" s="15">
        <v>66</v>
      </c>
      <c r="M9" s="15">
        <v>66</v>
      </c>
    </row>
    <row r="10" spans="1:13">
      <c r="D10" s="12">
        <v>46049</v>
      </c>
      <c r="E10" s="13">
        <v>1573932</v>
      </c>
      <c r="F10" s="13" t="s">
        <v>54</v>
      </c>
      <c r="G10" s="14">
        <v>20311758</v>
      </c>
      <c r="H10" s="13" t="s">
        <v>140</v>
      </c>
      <c r="I10" s="13" t="s">
        <v>30</v>
      </c>
      <c r="J10" s="14">
        <v>1</v>
      </c>
      <c r="K10" s="14">
        <v>12</v>
      </c>
      <c r="L10" s="15">
        <v>39.6</v>
      </c>
      <c r="M10" s="15">
        <v>39.6</v>
      </c>
    </row>
    <row r="11" spans="1:13">
      <c r="D11" s="12">
        <v>46050</v>
      </c>
      <c r="E11" s="13">
        <v>1574391</v>
      </c>
      <c r="F11" s="13" t="s">
        <v>24</v>
      </c>
      <c r="G11" s="14">
        <v>20334079</v>
      </c>
      <c r="H11" s="13" t="s">
        <v>141</v>
      </c>
      <c r="I11" s="13" t="s">
        <v>118</v>
      </c>
      <c r="J11" s="14">
        <v>1</v>
      </c>
      <c r="K11" s="14">
        <v>1</v>
      </c>
      <c r="L11" s="15">
        <v>16.8</v>
      </c>
      <c r="M11" s="15">
        <v>16.8</v>
      </c>
    </row>
    <row r="12" spans="1:13">
      <c r="D12" s="12">
        <v>46051</v>
      </c>
      <c r="E12" s="13">
        <v>1574741</v>
      </c>
      <c r="F12" s="13" t="s">
        <v>54</v>
      </c>
      <c r="G12" s="14">
        <v>20311758</v>
      </c>
      <c r="H12" s="13" t="s">
        <v>140</v>
      </c>
      <c r="I12" s="13" t="s">
        <v>30</v>
      </c>
      <c r="J12" s="14">
        <v>1</v>
      </c>
      <c r="K12" s="14">
        <v>12</v>
      </c>
      <c r="L12" s="15">
        <v>39.6</v>
      </c>
      <c r="M12" s="15">
        <v>39.6</v>
      </c>
    </row>
    <row r="13" spans="1:13">
      <c r="D13" s="12">
        <v>46055</v>
      </c>
      <c r="E13" s="13">
        <v>1575569</v>
      </c>
      <c r="F13" s="13" t="s">
        <v>24</v>
      </c>
      <c r="G13" s="14">
        <v>20404656</v>
      </c>
      <c r="H13" s="13" t="s">
        <v>142</v>
      </c>
      <c r="I13" s="13" t="s">
        <v>118</v>
      </c>
      <c r="J13" s="14">
        <v>1</v>
      </c>
      <c r="K13" s="14">
        <v>1</v>
      </c>
      <c r="L13" s="15">
        <v>16.8</v>
      </c>
      <c r="M13" s="15">
        <v>16.8</v>
      </c>
    </row>
    <row r="14" spans="1:13">
      <c r="D14" s="12">
        <v>46064</v>
      </c>
      <c r="E14" s="13">
        <v>1577911</v>
      </c>
      <c r="F14" s="13" t="s">
        <v>143</v>
      </c>
      <c r="G14" s="14">
        <v>20311879</v>
      </c>
      <c r="H14" s="13" t="s">
        <v>144</v>
      </c>
      <c r="I14" s="13" t="s">
        <v>30</v>
      </c>
      <c r="J14" s="14">
        <v>1</v>
      </c>
      <c r="K14" s="14">
        <v>12</v>
      </c>
      <c r="L14" s="15">
        <v>39.6</v>
      </c>
      <c r="M14" s="15">
        <v>39.6</v>
      </c>
    </row>
    <row r="15" spans="1:13">
      <c r="D15" s="12">
        <v>46064</v>
      </c>
      <c r="E15" s="13">
        <v>1578055</v>
      </c>
      <c r="F15" s="13" t="s">
        <v>24</v>
      </c>
      <c r="G15" s="14">
        <v>20312568</v>
      </c>
      <c r="H15" s="13" t="s">
        <v>145</v>
      </c>
      <c r="I15" s="13" t="s">
        <v>118</v>
      </c>
      <c r="J15" s="14">
        <v>1</v>
      </c>
      <c r="K15" s="14">
        <v>1</v>
      </c>
      <c r="L15" s="15">
        <v>16.8</v>
      </c>
      <c r="M15" s="15">
        <v>16.8</v>
      </c>
    </row>
    <row r="16" spans="1:13">
      <c r="D16" s="12">
        <v>46065</v>
      </c>
      <c r="E16" s="13">
        <v>1578402</v>
      </c>
      <c r="F16" s="13" t="s">
        <v>24</v>
      </c>
      <c r="G16" s="14">
        <v>20334079</v>
      </c>
      <c r="H16" s="13" t="s">
        <v>141</v>
      </c>
      <c r="I16" s="13" t="s">
        <v>118</v>
      </c>
      <c r="J16" s="14">
        <v>1</v>
      </c>
      <c r="K16" s="14">
        <v>1</v>
      </c>
      <c r="L16" s="15">
        <v>16.8</v>
      </c>
      <c r="M16" s="15">
        <v>16.8</v>
      </c>
    </row>
  </sheetData>
  <mergeCells count="5">
    <mergeCell ref="D8:I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9.6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146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59</v>
      </c>
      <c r="K8" s="10">
        <v>197</v>
      </c>
      <c r="L8" s="11"/>
      <c r="M8" s="11">
        <v>739.38</v>
      </c>
    </row>
    <row r="9" spans="1:13">
      <c r="D9" s="12">
        <v>46043</v>
      </c>
      <c r="E9" s="13">
        <v>1572293</v>
      </c>
      <c r="F9" s="13" t="s">
        <v>15</v>
      </c>
      <c r="G9" s="14">
        <v>20310341</v>
      </c>
      <c r="H9" s="13" t="s">
        <v>18</v>
      </c>
      <c r="I9" s="13" t="s">
        <v>19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46043</v>
      </c>
      <c r="E10" s="13">
        <v>1572293</v>
      </c>
      <c r="F10" s="13" t="s">
        <v>15</v>
      </c>
      <c r="G10" s="14">
        <v>20303922</v>
      </c>
      <c r="H10" s="13" t="s">
        <v>20</v>
      </c>
      <c r="I10" s="13" t="s">
        <v>17</v>
      </c>
      <c r="J10" s="14">
        <v>2</v>
      </c>
      <c r="K10" s="14">
        <v>2</v>
      </c>
      <c r="L10" s="15">
        <v>4.8</v>
      </c>
      <c r="M10" s="15">
        <v>9.6</v>
      </c>
    </row>
    <row r="11" ht="24.75" spans="1:13">
      <c r="D11" s="12">
        <v>46043</v>
      </c>
      <c r="E11" s="13">
        <v>1572293</v>
      </c>
      <c r="F11" s="13" t="s">
        <v>54</v>
      </c>
      <c r="G11" s="14">
        <v>20310783</v>
      </c>
      <c r="H11" s="13" t="s">
        <v>147</v>
      </c>
      <c r="I11" s="13" t="s">
        <v>113</v>
      </c>
      <c r="J11" s="14">
        <v>3</v>
      </c>
      <c r="K11" s="14">
        <v>18</v>
      </c>
      <c r="L11" s="15">
        <v>22.01</v>
      </c>
      <c r="M11" s="15">
        <f>L11*J11</f>
        <v>66.03</v>
      </c>
    </row>
    <row r="12" spans="1:13">
      <c r="D12" s="12">
        <v>46044</v>
      </c>
      <c r="E12" s="13">
        <v>1572678</v>
      </c>
      <c r="F12" s="13" t="s">
        <v>44</v>
      </c>
      <c r="G12" s="14">
        <v>20305023</v>
      </c>
      <c r="H12" s="13" t="s">
        <v>148</v>
      </c>
      <c r="I12" s="13" t="s">
        <v>30</v>
      </c>
      <c r="J12" s="14">
        <v>1</v>
      </c>
      <c r="K12" s="14">
        <v>7</v>
      </c>
      <c r="L12" s="15">
        <v>23.1</v>
      </c>
      <c r="M12" s="15">
        <v>23.1</v>
      </c>
    </row>
    <row r="13" ht="24.75" spans="1:13">
      <c r="D13" s="12">
        <v>46044</v>
      </c>
      <c r="E13" s="13">
        <v>1572678</v>
      </c>
      <c r="F13" s="13" t="s">
        <v>54</v>
      </c>
      <c r="G13" s="14">
        <v>20310783</v>
      </c>
      <c r="H13" s="13" t="s">
        <v>147</v>
      </c>
      <c r="I13" s="13" t="s">
        <v>113</v>
      </c>
      <c r="J13" s="14">
        <v>2</v>
      </c>
      <c r="K13" s="14">
        <v>12</v>
      </c>
      <c r="L13" s="15">
        <v>22.01</v>
      </c>
      <c r="M13" s="15">
        <f>L13*J13</f>
        <v>44.02</v>
      </c>
    </row>
    <row r="14" spans="1:13">
      <c r="D14" s="12">
        <v>46045</v>
      </c>
      <c r="E14" s="13">
        <v>1573061</v>
      </c>
      <c r="F14" s="13" t="s">
        <v>15</v>
      </c>
      <c r="G14" s="14">
        <v>20303922</v>
      </c>
      <c r="H14" s="13" t="s">
        <v>20</v>
      </c>
      <c r="I14" s="13" t="s">
        <v>17</v>
      </c>
      <c r="J14" s="14">
        <v>1</v>
      </c>
      <c r="K14" s="14">
        <v>1</v>
      </c>
      <c r="L14" s="15">
        <v>4.8</v>
      </c>
      <c r="M14" s="15">
        <v>4.8</v>
      </c>
    </row>
    <row r="15" ht="24.75" spans="1:13">
      <c r="D15" s="12">
        <v>46045</v>
      </c>
      <c r="E15" s="13">
        <v>1573061</v>
      </c>
      <c r="F15" s="13" t="s">
        <v>54</v>
      </c>
      <c r="G15" s="14">
        <v>20310783</v>
      </c>
      <c r="H15" s="13" t="s">
        <v>147</v>
      </c>
      <c r="I15" s="13" t="s">
        <v>113</v>
      </c>
      <c r="J15" s="14">
        <v>1</v>
      </c>
      <c r="K15" s="14">
        <v>6</v>
      </c>
      <c r="L15" s="15">
        <v>22.01</v>
      </c>
      <c r="M15" s="15">
        <f>L15*J15</f>
        <v>22.01</v>
      </c>
    </row>
    <row r="16" spans="1:13">
      <c r="D16" s="12">
        <v>46048</v>
      </c>
      <c r="E16" s="13">
        <v>1573558</v>
      </c>
      <c r="F16" s="13" t="s">
        <v>44</v>
      </c>
      <c r="G16" s="14">
        <v>20305023</v>
      </c>
      <c r="H16" s="13" t="s">
        <v>148</v>
      </c>
      <c r="I16" s="13" t="s">
        <v>30</v>
      </c>
      <c r="J16" s="14">
        <v>1</v>
      </c>
      <c r="K16" s="14">
        <v>7</v>
      </c>
      <c r="L16" s="15">
        <v>23.1</v>
      </c>
      <c r="M16" s="15">
        <v>23.1</v>
      </c>
    </row>
    <row r="17" spans="4:13">
      <c r="D17" s="12">
        <v>46049</v>
      </c>
      <c r="E17" s="13">
        <v>1573934</v>
      </c>
      <c r="F17" s="13" t="s">
        <v>15</v>
      </c>
      <c r="G17" s="14">
        <v>20305129</v>
      </c>
      <c r="H17" s="13" t="s">
        <v>79</v>
      </c>
      <c r="I17" s="13" t="s">
        <v>17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46049</v>
      </c>
      <c r="E18" s="13">
        <v>1573934</v>
      </c>
      <c r="F18" s="13" t="s">
        <v>15</v>
      </c>
      <c r="G18" s="14">
        <v>20305172</v>
      </c>
      <c r="H18" s="13" t="s">
        <v>149</v>
      </c>
      <c r="I18" s="13" t="s">
        <v>19</v>
      </c>
      <c r="J18" s="14">
        <v>3</v>
      </c>
      <c r="K18" s="14">
        <v>3</v>
      </c>
      <c r="L18" s="15">
        <v>4.8</v>
      </c>
      <c r="M18" s="15">
        <v>14.4</v>
      </c>
    </row>
    <row r="19" spans="4:13">
      <c r="D19" s="12">
        <v>46049</v>
      </c>
      <c r="E19" s="13">
        <v>1573934</v>
      </c>
      <c r="F19" s="13" t="s">
        <v>15</v>
      </c>
      <c r="G19" s="14">
        <v>20303922</v>
      </c>
      <c r="H19" s="13" t="s">
        <v>20</v>
      </c>
      <c r="I19" s="13" t="s">
        <v>17</v>
      </c>
      <c r="J19" s="14">
        <v>3</v>
      </c>
      <c r="K19" s="14">
        <v>3</v>
      </c>
      <c r="L19" s="15">
        <v>4.8</v>
      </c>
      <c r="M19" s="15">
        <v>14.4</v>
      </c>
    </row>
    <row r="20" ht="24.75" spans="4:13">
      <c r="D20" s="12">
        <v>46049</v>
      </c>
      <c r="E20" s="13">
        <v>1573934</v>
      </c>
      <c r="F20" s="13" t="s">
        <v>54</v>
      </c>
      <c r="G20" s="14">
        <v>20310783</v>
      </c>
      <c r="H20" s="13" t="s">
        <v>147</v>
      </c>
      <c r="I20" s="13" t="s">
        <v>113</v>
      </c>
      <c r="J20" s="14">
        <v>2</v>
      </c>
      <c r="K20" s="14">
        <v>12</v>
      </c>
      <c r="L20" s="15">
        <v>22.01</v>
      </c>
      <c r="M20" s="15">
        <f>L20*J20</f>
        <v>44.02</v>
      </c>
    </row>
    <row r="21" spans="4:13">
      <c r="D21" s="12">
        <v>46051</v>
      </c>
      <c r="E21" s="13">
        <v>1574659</v>
      </c>
      <c r="F21" s="13" t="s">
        <v>15</v>
      </c>
      <c r="G21" s="14">
        <v>20303922</v>
      </c>
      <c r="H21" s="13" t="s">
        <v>20</v>
      </c>
      <c r="I21" s="13" t="s">
        <v>17</v>
      </c>
      <c r="J21" s="14">
        <v>2</v>
      </c>
      <c r="K21" s="14">
        <v>2</v>
      </c>
      <c r="L21" s="15">
        <v>4.8</v>
      </c>
      <c r="M21" s="15">
        <v>9.6</v>
      </c>
    </row>
    <row r="22" spans="4:13">
      <c r="D22" s="12">
        <v>46051</v>
      </c>
      <c r="E22" s="13">
        <v>1574659</v>
      </c>
      <c r="F22" s="13" t="s">
        <v>44</v>
      </c>
      <c r="G22" s="14">
        <v>20305023</v>
      </c>
      <c r="H22" s="13" t="s">
        <v>148</v>
      </c>
      <c r="I22" s="13" t="s">
        <v>30</v>
      </c>
      <c r="J22" s="14">
        <v>1</v>
      </c>
      <c r="K22" s="14">
        <v>7</v>
      </c>
      <c r="L22" s="15">
        <v>23.1</v>
      </c>
      <c r="M22" s="15">
        <v>23.1</v>
      </c>
    </row>
    <row r="23" ht="24.75" spans="4:13">
      <c r="D23" s="12">
        <v>46051</v>
      </c>
      <c r="E23" s="13">
        <v>1574659</v>
      </c>
      <c r="F23" s="13" t="s">
        <v>54</v>
      </c>
      <c r="G23" s="14">
        <v>20310783</v>
      </c>
      <c r="H23" s="13" t="s">
        <v>147</v>
      </c>
      <c r="I23" s="13" t="s">
        <v>113</v>
      </c>
      <c r="J23" s="14">
        <v>1</v>
      </c>
      <c r="K23" s="14">
        <v>6</v>
      </c>
      <c r="L23" s="15">
        <v>22.01</v>
      </c>
      <c r="M23" s="15">
        <f>L23*J23</f>
        <v>22.01</v>
      </c>
    </row>
    <row r="24" ht="24.75" spans="4:13">
      <c r="D24" s="12">
        <v>46052</v>
      </c>
      <c r="E24" s="13">
        <v>1575070</v>
      </c>
      <c r="F24" s="13" t="s">
        <v>54</v>
      </c>
      <c r="G24" s="14">
        <v>20310783</v>
      </c>
      <c r="H24" s="13" t="s">
        <v>147</v>
      </c>
      <c r="I24" s="13" t="s">
        <v>113</v>
      </c>
      <c r="J24" s="14">
        <v>2</v>
      </c>
      <c r="K24" s="14">
        <v>12</v>
      </c>
      <c r="L24" s="15">
        <v>22.01</v>
      </c>
      <c r="M24" s="15">
        <f>L24*J24</f>
        <v>44.02</v>
      </c>
    </row>
    <row r="25" spans="4:13">
      <c r="D25" s="12">
        <v>46055</v>
      </c>
      <c r="E25" s="13">
        <v>1575451</v>
      </c>
      <c r="F25" s="13" t="s">
        <v>15</v>
      </c>
      <c r="G25" s="14">
        <v>20305172</v>
      </c>
      <c r="H25" s="13" t="s">
        <v>149</v>
      </c>
      <c r="I25" s="13" t="s">
        <v>19</v>
      </c>
      <c r="J25" s="14">
        <v>3</v>
      </c>
      <c r="K25" s="14">
        <v>3</v>
      </c>
      <c r="L25" s="15">
        <v>4.8</v>
      </c>
      <c r="M25" s="15">
        <v>14.4</v>
      </c>
    </row>
    <row r="26" spans="4:13">
      <c r="D26" s="12">
        <v>46055</v>
      </c>
      <c r="E26" s="13">
        <v>1575451</v>
      </c>
      <c r="F26" s="13" t="s">
        <v>44</v>
      </c>
      <c r="G26" s="14">
        <v>20305023</v>
      </c>
      <c r="H26" s="13" t="s">
        <v>148</v>
      </c>
      <c r="I26" s="13" t="s">
        <v>30</v>
      </c>
      <c r="J26" s="14">
        <v>1</v>
      </c>
      <c r="K26" s="14">
        <v>7</v>
      </c>
      <c r="L26" s="15">
        <v>23.1</v>
      </c>
      <c r="M26" s="15">
        <v>23.1</v>
      </c>
    </row>
    <row r="27" spans="4:13">
      <c r="D27" s="12">
        <v>46056</v>
      </c>
      <c r="E27" s="13">
        <v>1575823</v>
      </c>
      <c r="F27" s="13" t="s">
        <v>15</v>
      </c>
      <c r="G27" s="14">
        <v>20303922</v>
      </c>
      <c r="H27" s="13" t="s">
        <v>20</v>
      </c>
      <c r="I27" s="13" t="s">
        <v>17</v>
      </c>
      <c r="J27" s="14">
        <v>2</v>
      </c>
      <c r="K27" s="14">
        <v>2</v>
      </c>
      <c r="L27" s="15">
        <v>4.8</v>
      </c>
      <c r="M27" s="15">
        <v>9.6</v>
      </c>
    </row>
    <row r="28" spans="4:13">
      <c r="D28" s="12">
        <v>46057</v>
      </c>
      <c r="E28" s="13">
        <v>1576138</v>
      </c>
      <c r="F28" s="13" t="s">
        <v>15</v>
      </c>
      <c r="G28" s="14">
        <v>20305172</v>
      </c>
      <c r="H28" s="13" t="s">
        <v>149</v>
      </c>
      <c r="I28" s="13" t="s">
        <v>19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46057</v>
      </c>
      <c r="E29" s="13">
        <v>1576138</v>
      </c>
      <c r="F29" s="13" t="s">
        <v>15</v>
      </c>
      <c r="G29" s="14">
        <v>20303922</v>
      </c>
      <c r="H29" s="13" t="s">
        <v>20</v>
      </c>
      <c r="I29" s="13" t="s">
        <v>17</v>
      </c>
      <c r="J29" s="14">
        <v>2</v>
      </c>
      <c r="K29" s="14">
        <v>2</v>
      </c>
      <c r="L29" s="15">
        <v>4.8</v>
      </c>
      <c r="M29" s="15">
        <v>9.6</v>
      </c>
    </row>
    <row r="30" spans="4:13">
      <c r="D30" s="12">
        <v>46058</v>
      </c>
      <c r="E30" s="13">
        <v>1576506</v>
      </c>
      <c r="F30" s="13" t="s">
        <v>15</v>
      </c>
      <c r="G30" s="14">
        <v>20303922</v>
      </c>
      <c r="H30" s="13" t="s">
        <v>20</v>
      </c>
      <c r="I30" s="13" t="s">
        <v>17</v>
      </c>
      <c r="J30" s="14">
        <v>1</v>
      </c>
      <c r="K30" s="14">
        <v>1</v>
      </c>
      <c r="L30" s="15">
        <v>4.8</v>
      </c>
      <c r="M30" s="15">
        <v>4.8</v>
      </c>
    </row>
    <row r="31" spans="4:13">
      <c r="D31" s="12">
        <v>46058</v>
      </c>
      <c r="E31" s="13">
        <v>1576506</v>
      </c>
      <c r="F31" s="13" t="s">
        <v>44</v>
      </c>
      <c r="G31" s="14">
        <v>20305023</v>
      </c>
      <c r="H31" s="13" t="s">
        <v>148</v>
      </c>
      <c r="I31" s="13" t="s">
        <v>30</v>
      </c>
      <c r="J31" s="14">
        <v>1</v>
      </c>
      <c r="K31" s="14">
        <v>7</v>
      </c>
      <c r="L31" s="15">
        <v>23.1</v>
      </c>
      <c r="M31" s="15">
        <v>23.1</v>
      </c>
    </row>
    <row r="32" ht="24.75" spans="4:13">
      <c r="D32" s="12">
        <v>46058</v>
      </c>
      <c r="E32" s="13">
        <v>1576506</v>
      </c>
      <c r="F32" s="13" t="s">
        <v>54</v>
      </c>
      <c r="G32" s="14">
        <v>20310783</v>
      </c>
      <c r="H32" s="13" t="s">
        <v>147</v>
      </c>
      <c r="I32" s="13" t="s">
        <v>113</v>
      </c>
      <c r="J32" s="14">
        <v>3</v>
      </c>
      <c r="K32" s="14">
        <v>18</v>
      </c>
      <c r="L32" s="15">
        <v>22.01</v>
      </c>
      <c r="M32" s="15">
        <f>L32*J32</f>
        <v>66.03</v>
      </c>
    </row>
    <row r="33" ht="24.75" spans="4:13">
      <c r="D33" s="12">
        <v>46059</v>
      </c>
      <c r="E33" s="13">
        <v>1576852</v>
      </c>
      <c r="F33" s="13" t="s">
        <v>54</v>
      </c>
      <c r="G33" s="14">
        <v>20310783</v>
      </c>
      <c r="H33" s="13" t="s">
        <v>147</v>
      </c>
      <c r="I33" s="13" t="s">
        <v>113</v>
      </c>
      <c r="J33" s="14">
        <v>3</v>
      </c>
      <c r="K33" s="14">
        <v>18</v>
      </c>
      <c r="L33" s="15">
        <v>22.01</v>
      </c>
      <c r="M33" s="15">
        <f>L33*J33</f>
        <v>66.03</v>
      </c>
    </row>
    <row r="34" spans="4:13">
      <c r="D34" s="12">
        <v>46062</v>
      </c>
      <c r="E34" s="13">
        <v>1577316</v>
      </c>
      <c r="F34" s="13" t="s">
        <v>15</v>
      </c>
      <c r="G34" s="14">
        <v>20303922</v>
      </c>
      <c r="H34" s="13" t="s">
        <v>20</v>
      </c>
      <c r="I34" s="13" t="s">
        <v>17</v>
      </c>
      <c r="J34" s="14">
        <v>4</v>
      </c>
      <c r="K34" s="14">
        <v>4</v>
      </c>
      <c r="L34" s="15">
        <v>4.8</v>
      </c>
      <c r="M34" s="15">
        <v>19.2</v>
      </c>
    </row>
    <row r="35" spans="4:13">
      <c r="D35" s="12">
        <v>46062</v>
      </c>
      <c r="E35" s="13">
        <v>1577316</v>
      </c>
      <c r="F35" s="13" t="s">
        <v>44</v>
      </c>
      <c r="G35" s="14">
        <v>20305023</v>
      </c>
      <c r="H35" s="13" t="s">
        <v>148</v>
      </c>
      <c r="I35" s="13" t="s">
        <v>30</v>
      </c>
      <c r="J35" s="14">
        <v>1</v>
      </c>
      <c r="K35" s="14">
        <v>7</v>
      </c>
      <c r="L35" s="15">
        <v>23.1</v>
      </c>
      <c r="M35" s="15">
        <v>23.1</v>
      </c>
    </row>
    <row r="36" spans="4:13">
      <c r="D36" s="12">
        <v>46064</v>
      </c>
      <c r="E36" s="13">
        <v>1577971</v>
      </c>
      <c r="F36" s="13" t="s">
        <v>15</v>
      </c>
      <c r="G36" s="14">
        <v>20311785</v>
      </c>
      <c r="H36" s="13" t="s">
        <v>150</v>
      </c>
      <c r="I36" s="13" t="s">
        <v>17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46064</v>
      </c>
      <c r="E37" s="13">
        <v>1577971</v>
      </c>
      <c r="F37" s="13" t="s">
        <v>15</v>
      </c>
      <c r="G37" s="14">
        <v>20305172</v>
      </c>
      <c r="H37" s="13" t="s">
        <v>149</v>
      </c>
      <c r="I37" s="13" t="s">
        <v>19</v>
      </c>
      <c r="J37" s="14">
        <v>1</v>
      </c>
      <c r="K37" s="14">
        <v>1</v>
      </c>
      <c r="L37" s="15">
        <v>4.8</v>
      </c>
      <c r="M37" s="15">
        <v>4.8</v>
      </c>
    </row>
    <row r="38" spans="4:13">
      <c r="D38" s="12">
        <v>46064</v>
      </c>
      <c r="E38" s="13">
        <v>1577971</v>
      </c>
      <c r="F38" s="13" t="s">
        <v>15</v>
      </c>
      <c r="G38" s="14">
        <v>20303922</v>
      </c>
      <c r="H38" s="13" t="s">
        <v>20</v>
      </c>
      <c r="I38" s="13" t="s">
        <v>17</v>
      </c>
      <c r="J38" s="14">
        <v>2</v>
      </c>
      <c r="K38" s="14">
        <v>2</v>
      </c>
      <c r="L38" s="15">
        <v>4.8</v>
      </c>
      <c r="M38" s="15">
        <v>9.6</v>
      </c>
    </row>
    <row r="39" spans="4:13">
      <c r="D39" s="12">
        <v>46065</v>
      </c>
      <c r="E39" s="13">
        <v>1578293</v>
      </c>
      <c r="F39" s="13" t="s">
        <v>15</v>
      </c>
      <c r="G39" s="14">
        <v>20310341</v>
      </c>
      <c r="H39" s="13" t="s">
        <v>18</v>
      </c>
      <c r="I39" s="13" t="s">
        <v>19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46065</v>
      </c>
      <c r="E40" s="13">
        <v>1578293</v>
      </c>
      <c r="F40" s="13" t="s">
        <v>44</v>
      </c>
      <c r="G40" s="14">
        <v>20305023</v>
      </c>
      <c r="H40" s="13" t="s">
        <v>148</v>
      </c>
      <c r="I40" s="13" t="s">
        <v>30</v>
      </c>
      <c r="J40" s="14">
        <v>1</v>
      </c>
      <c r="K40" s="14">
        <v>7</v>
      </c>
      <c r="L40" s="15">
        <v>23.1</v>
      </c>
      <c r="M40" s="15">
        <v>23.1</v>
      </c>
    </row>
    <row r="41" ht="24.75" spans="4:13">
      <c r="D41" s="12">
        <v>46065</v>
      </c>
      <c r="E41" s="13">
        <v>1578293</v>
      </c>
      <c r="F41" s="13" t="s">
        <v>54</v>
      </c>
      <c r="G41" s="14">
        <v>20310783</v>
      </c>
      <c r="H41" s="13" t="s">
        <v>147</v>
      </c>
      <c r="I41" s="13" t="s">
        <v>113</v>
      </c>
      <c r="J41" s="14">
        <v>1</v>
      </c>
      <c r="K41" s="14">
        <v>6</v>
      </c>
      <c r="L41" s="15">
        <v>22.01</v>
      </c>
      <c r="M41" s="15">
        <f>L41*J41</f>
        <v>22.01</v>
      </c>
    </row>
    <row r="42" spans="4:13">
      <c r="D42" s="12">
        <v>46066</v>
      </c>
      <c r="E42" s="13">
        <v>1578622</v>
      </c>
      <c r="F42" s="13" t="s">
        <v>15</v>
      </c>
      <c r="G42" s="14">
        <v>20310341</v>
      </c>
      <c r="H42" s="13" t="s">
        <v>18</v>
      </c>
      <c r="I42" s="13" t="s">
        <v>19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46066</v>
      </c>
      <c r="E43" s="13">
        <v>1578622</v>
      </c>
      <c r="F43" s="13" t="s">
        <v>15</v>
      </c>
      <c r="G43" s="14">
        <v>20303922</v>
      </c>
      <c r="H43" s="13" t="s">
        <v>20</v>
      </c>
      <c r="I43" s="13" t="s">
        <v>17</v>
      </c>
      <c r="J43" s="14">
        <v>1</v>
      </c>
      <c r="K43" s="14">
        <v>1</v>
      </c>
      <c r="L43" s="15">
        <v>4.8</v>
      </c>
      <c r="M43" s="15">
        <v>4.8</v>
      </c>
    </row>
    <row r="44" spans="4:13">
      <c r="D44" s="12">
        <v>46067</v>
      </c>
      <c r="E44" s="13">
        <v>1578901</v>
      </c>
      <c r="F44" s="13" t="s">
        <v>44</v>
      </c>
      <c r="G44" s="14">
        <v>20305023</v>
      </c>
      <c r="H44" s="13" t="s">
        <v>148</v>
      </c>
      <c r="I44" s="13" t="s">
        <v>30</v>
      </c>
      <c r="J44" s="14">
        <v>1</v>
      </c>
      <c r="K44" s="14">
        <v>7</v>
      </c>
      <c r="L44" s="15">
        <v>23.1</v>
      </c>
      <c r="M44" s="15">
        <v>23.1</v>
      </c>
    </row>
    <row r="45" ht="0.05" customHeight="1"/>
  </sheetData>
  <autoFilter xmlns:etc="http://www.wps.cn/officeDocument/2017/etCustomData" ref="A7:M44" etc:filterBottomFollowUsedRange="0">
    <extLst/>
  </autoFilter>
  <mergeCells count="5">
    <mergeCell ref="D8:I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75" customWidth="1"/>
    <col min="9" max="9" width="20.5416666666667" customWidth="1"/>
    <col min="10" max="10" width="6.475" customWidth="1"/>
    <col min="11" max="11" width="9.45" customWidth="1"/>
    <col min="12" max="12" width="10.12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21</v>
      </c>
      <c r="K8" s="10">
        <v>37</v>
      </c>
      <c r="L8" s="11"/>
      <c r="M8" s="11">
        <v>141.6</v>
      </c>
    </row>
    <row r="9" spans="1:13">
      <c r="D9" s="12">
        <v>46043</v>
      </c>
      <c r="E9" s="13">
        <v>1572295</v>
      </c>
      <c r="F9" s="13" t="s">
        <v>15</v>
      </c>
      <c r="G9" s="14">
        <v>20303922</v>
      </c>
      <c r="H9" s="13" t="s">
        <v>20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46044</v>
      </c>
      <c r="E10" s="13">
        <v>1572681</v>
      </c>
      <c r="F10" s="13" t="s">
        <v>44</v>
      </c>
      <c r="G10" s="14">
        <v>20305127</v>
      </c>
      <c r="H10" s="13" t="s">
        <v>152</v>
      </c>
      <c r="I10" s="13" t="s">
        <v>37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46048</v>
      </c>
      <c r="E11" s="13">
        <v>1573552</v>
      </c>
      <c r="F11" s="13" t="s">
        <v>15</v>
      </c>
      <c r="G11" s="14">
        <v>20303922</v>
      </c>
      <c r="H11" s="13" t="s">
        <v>20</v>
      </c>
      <c r="I11" s="13" t="s">
        <v>17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46048</v>
      </c>
      <c r="E12" s="13">
        <v>1573552</v>
      </c>
      <c r="F12" s="13" t="s">
        <v>44</v>
      </c>
      <c r="G12" s="14">
        <v>20305127</v>
      </c>
      <c r="H12" s="13" t="s">
        <v>152</v>
      </c>
      <c r="I12" s="13" t="s">
        <v>37</v>
      </c>
      <c r="J12" s="14">
        <v>1</v>
      </c>
      <c r="K12" s="14">
        <v>3</v>
      </c>
      <c r="L12" s="15">
        <v>9.9</v>
      </c>
      <c r="M12" s="15">
        <v>9.9</v>
      </c>
    </row>
    <row r="13" spans="1:13">
      <c r="D13" s="12">
        <v>46050</v>
      </c>
      <c r="E13" s="13">
        <v>1574275</v>
      </c>
      <c r="F13" s="13" t="s">
        <v>15</v>
      </c>
      <c r="G13" s="14">
        <v>20305129</v>
      </c>
      <c r="H13" s="13" t="s">
        <v>79</v>
      </c>
      <c r="I13" s="13" t="s">
        <v>17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46050</v>
      </c>
      <c r="E14" s="13">
        <v>1574275</v>
      </c>
      <c r="F14" s="13" t="s">
        <v>15</v>
      </c>
      <c r="G14" s="14">
        <v>20309553</v>
      </c>
      <c r="H14" s="13" t="s">
        <v>153</v>
      </c>
      <c r="I14" s="13" t="s">
        <v>19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46050</v>
      </c>
      <c r="E15" s="13">
        <v>1574275</v>
      </c>
      <c r="F15" s="13" t="s">
        <v>15</v>
      </c>
      <c r="G15" s="14">
        <v>20303922</v>
      </c>
      <c r="H15" s="13" t="s">
        <v>20</v>
      </c>
      <c r="I15" s="13" t="s">
        <v>17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46051</v>
      </c>
      <c r="E16" s="13">
        <v>1574665</v>
      </c>
      <c r="F16" s="13" t="s">
        <v>44</v>
      </c>
      <c r="G16" s="14">
        <v>20305127</v>
      </c>
      <c r="H16" s="13" t="s">
        <v>152</v>
      </c>
      <c r="I16" s="13" t="s">
        <v>37</v>
      </c>
      <c r="J16" s="14">
        <v>1</v>
      </c>
      <c r="K16" s="14">
        <v>3</v>
      </c>
      <c r="L16" s="15">
        <v>9.9</v>
      </c>
      <c r="M16" s="15">
        <v>9.9</v>
      </c>
    </row>
    <row r="17" spans="4:13">
      <c r="D17" s="12">
        <v>46052</v>
      </c>
      <c r="E17" s="13">
        <v>1575068</v>
      </c>
      <c r="F17" s="13" t="s">
        <v>15</v>
      </c>
      <c r="G17" s="14">
        <v>20303922</v>
      </c>
      <c r="H17" s="13" t="s">
        <v>20</v>
      </c>
      <c r="I17" s="13" t="s">
        <v>17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46055</v>
      </c>
      <c r="E18" s="13">
        <v>1575450</v>
      </c>
      <c r="F18" s="13" t="s">
        <v>44</v>
      </c>
      <c r="G18" s="14">
        <v>20305127</v>
      </c>
      <c r="H18" s="13" t="s">
        <v>152</v>
      </c>
      <c r="I18" s="13" t="s">
        <v>37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46056</v>
      </c>
      <c r="E19" s="13">
        <v>1575821</v>
      </c>
      <c r="F19" s="13" t="s">
        <v>15</v>
      </c>
      <c r="G19" s="14">
        <v>20303922</v>
      </c>
      <c r="H19" s="13" t="s">
        <v>20</v>
      </c>
      <c r="I19" s="13" t="s">
        <v>17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46058</v>
      </c>
      <c r="E20" s="13">
        <v>1576515</v>
      </c>
      <c r="F20" s="13" t="s">
        <v>44</v>
      </c>
      <c r="G20" s="14">
        <v>20305127</v>
      </c>
      <c r="H20" s="13" t="s">
        <v>152</v>
      </c>
      <c r="I20" s="13" t="s">
        <v>37</v>
      </c>
      <c r="J20" s="14">
        <v>1</v>
      </c>
      <c r="K20" s="14">
        <v>3</v>
      </c>
      <c r="L20" s="15">
        <v>9.9</v>
      </c>
      <c r="M20" s="15">
        <v>9.9</v>
      </c>
    </row>
    <row r="21" spans="4:13">
      <c r="D21" s="12">
        <v>46059</v>
      </c>
      <c r="E21" s="13">
        <v>1576850</v>
      </c>
      <c r="F21" s="13" t="s">
        <v>15</v>
      </c>
      <c r="G21" s="14">
        <v>20303922</v>
      </c>
      <c r="H21" s="13" t="s">
        <v>20</v>
      </c>
      <c r="I21" s="13" t="s">
        <v>17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46062</v>
      </c>
      <c r="E22" s="13">
        <v>1577317</v>
      </c>
      <c r="F22" s="13" t="s">
        <v>15</v>
      </c>
      <c r="G22" s="14">
        <v>20303922</v>
      </c>
      <c r="H22" s="13" t="s">
        <v>20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46062</v>
      </c>
      <c r="E23" s="13">
        <v>1577317</v>
      </c>
      <c r="F23" s="13" t="s">
        <v>44</v>
      </c>
      <c r="G23" s="14">
        <v>20305127</v>
      </c>
      <c r="H23" s="13" t="s">
        <v>152</v>
      </c>
      <c r="I23" s="13" t="s">
        <v>37</v>
      </c>
      <c r="J23" s="14">
        <v>1</v>
      </c>
      <c r="K23" s="14">
        <v>3</v>
      </c>
      <c r="L23" s="15">
        <v>9.9</v>
      </c>
      <c r="M23" s="15">
        <v>9.9</v>
      </c>
    </row>
    <row r="24" spans="4:13">
      <c r="D24" s="12">
        <v>46063</v>
      </c>
      <c r="E24" s="13">
        <v>1577642</v>
      </c>
      <c r="F24" s="13" t="s">
        <v>15</v>
      </c>
      <c r="G24" s="14">
        <v>20303922</v>
      </c>
      <c r="H24" s="13" t="s">
        <v>20</v>
      </c>
      <c r="I24" s="13" t="s">
        <v>17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46065</v>
      </c>
      <c r="E25" s="13">
        <v>1578294</v>
      </c>
      <c r="F25" s="13" t="s">
        <v>44</v>
      </c>
      <c r="G25" s="14">
        <v>20305127</v>
      </c>
      <c r="H25" s="13" t="s">
        <v>152</v>
      </c>
      <c r="I25" s="13" t="s">
        <v>37</v>
      </c>
      <c r="J25" s="14">
        <v>1</v>
      </c>
      <c r="K25" s="14">
        <v>3</v>
      </c>
      <c r="L25" s="15">
        <v>9.9</v>
      </c>
      <c r="M25" s="15">
        <v>9.9</v>
      </c>
    </row>
    <row r="26" spans="4:13">
      <c r="D26" s="12">
        <v>46067</v>
      </c>
      <c r="E26" s="13">
        <v>1578900</v>
      </c>
      <c r="F26" s="13" t="s">
        <v>44</v>
      </c>
      <c r="G26" s="14">
        <v>20305127</v>
      </c>
      <c r="H26" s="13" t="s">
        <v>152</v>
      </c>
      <c r="I26" s="13" t="s">
        <v>37</v>
      </c>
      <c r="J26" s="14">
        <v>1</v>
      </c>
      <c r="K26" s="14">
        <v>3</v>
      </c>
      <c r="L26" s="15">
        <v>9.9</v>
      </c>
      <c r="M26" s="15">
        <v>9.9</v>
      </c>
    </row>
    <row r="27" spans="4:13">
      <c r="D27" s="12">
        <v>46068</v>
      </c>
      <c r="E27" s="13">
        <v>1579058</v>
      </c>
      <c r="F27" s="13" t="s">
        <v>15</v>
      </c>
      <c r="G27" s="14">
        <v>20303922</v>
      </c>
      <c r="H27" s="13" t="s">
        <v>20</v>
      </c>
      <c r="I27" s="13" t="s">
        <v>17</v>
      </c>
      <c r="J27" s="14">
        <v>1</v>
      </c>
      <c r="K27" s="14">
        <v>1</v>
      </c>
      <c r="L27" s="15">
        <v>4.8</v>
      </c>
      <c r="M27" s="15">
        <v>4.8</v>
      </c>
    </row>
  </sheetData>
  <autoFilter xmlns:etc="http://www.wps.cn/officeDocument/2017/etCustomData" ref="A7:M27" etc:filterBottomFollowUsedRange="0">
    <extLst/>
  </autoFilter>
  <mergeCells count="5">
    <mergeCell ref="D8:I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" customWidth="1"/>
    <col min="9" max="9" width="17.875" customWidth="1"/>
    <col min="10" max="10" width="6.475" customWidth="1"/>
    <col min="11" max="11" width="9.45" customWidth="1"/>
    <col min="12" max="12" width="10.75" customWidth="1"/>
    <col min="13" max="13" width="10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20</v>
      </c>
      <c r="K8" s="10">
        <v>30</v>
      </c>
      <c r="L8" s="11"/>
      <c r="M8" s="11">
        <v>147</v>
      </c>
    </row>
    <row r="9" spans="1:13">
      <c r="D9" s="12">
        <v>46043</v>
      </c>
      <c r="E9" s="13">
        <v>1572296</v>
      </c>
      <c r="F9" s="13" t="s">
        <v>15</v>
      </c>
      <c r="G9" s="14">
        <v>20305049</v>
      </c>
      <c r="H9" s="13" t="s">
        <v>16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46043</v>
      </c>
      <c r="E10" s="13">
        <v>1572296</v>
      </c>
      <c r="F10" s="13" t="s">
        <v>15</v>
      </c>
      <c r="G10" s="14">
        <v>20303922</v>
      </c>
      <c r="H10" s="13" t="s">
        <v>20</v>
      </c>
      <c r="I10" s="13" t="s">
        <v>17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46043</v>
      </c>
      <c r="E11" s="13">
        <v>1572296</v>
      </c>
      <c r="F11" s="13" t="s">
        <v>28</v>
      </c>
      <c r="G11" s="14">
        <v>20311484</v>
      </c>
      <c r="H11" s="13" t="s">
        <v>155</v>
      </c>
      <c r="I11" s="13" t="s">
        <v>91</v>
      </c>
      <c r="J11" s="14">
        <v>2</v>
      </c>
      <c r="K11" s="14">
        <v>4</v>
      </c>
      <c r="L11" s="15">
        <v>9.9</v>
      </c>
      <c r="M11" s="15">
        <v>19.8</v>
      </c>
    </row>
    <row r="12" spans="1:13">
      <c r="D12" s="12">
        <v>46048</v>
      </c>
      <c r="E12" s="13">
        <v>1573556</v>
      </c>
      <c r="F12" s="13" t="s">
        <v>15</v>
      </c>
      <c r="G12" s="14">
        <v>20303984</v>
      </c>
      <c r="H12" s="13" t="s">
        <v>82</v>
      </c>
      <c r="I12" s="13" t="s">
        <v>83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46048</v>
      </c>
      <c r="E13" s="13">
        <v>1573556</v>
      </c>
      <c r="F13" s="13" t="s">
        <v>28</v>
      </c>
      <c r="G13" s="14">
        <v>20311484</v>
      </c>
      <c r="H13" s="13" t="s">
        <v>155</v>
      </c>
      <c r="I13" s="13" t="s">
        <v>91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46048</v>
      </c>
      <c r="E14" s="13">
        <v>1573649</v>
      </c>
      <c r="F14" s="13" t="s">
        <v>15</v>
      </c>
      <c r="G14" s="14">
        <v>20303984</v>
      </c>
      <c r="H14" s="13" t="s">
        <v>82</v>
      </c>
      <c r="I14" s="13" t="s">
        <v>83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46050</v>
      </c>
      <c r="E15" s="13">
        <v>1574269</v>
      </c>
      <c r="F15" s="13" t="s">
        <v>15</v>
      </c>
      <c r="G15" s="14">
        <v>20303984</v>
      </c>
      <c r="H15" s="13" t="s">
        <v>82</v>
      </c>
      <c r="I15" s="13" t="s">
        <v>83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46050</v>
      </c>
      <c r="E16" s="13">
        <v>1574269</v>
      </c>
      <c r="F16" s="13" t="s">
        <v>28</v>
      </c>
      <c r="G16" s="14">
        <v>20311484</v>
      </c>
      <c r="H16" s="13" t="s">
        <v>155</v>
      </c>
      <c r="I16" s="13" t="s">
        <v>91</v>
      </c>
      <c r="J16" s="14">
        <v>2</v>
      </c>
      <c r="K16" s="14">
        <v>4</v>
      </c>
      <c r="L16" s="15">
        <v>9.9</v>
      </c>
      <c r="M16" s="15">
        <v>19.8</v>
      </c>
    </row>
    <row r="17" spans="4:13">
      <c r="D17" s="12">
        <v>46056</v>
      </c>
      <c r="E17" s="13">
        <v>1575822</v>
      </c>
      <c r="F17" s="13" t="s">
        <v>28</v>
      </c>
      <c r="G17" s="14">
        <v>20311484</v>
      </c>
      <c r="H17" s="13" t="s">
        <v>155</v>
      </c>
      <c r="I17" s="13" t="s">
        <v>91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46056</v>
      </c>
      <c r="E18" s="13">
        <v>1575822</v>
      </c>
      <c r="F18" s="13" t="s">
        <v>28</v>
      </c>
      <c r="G18" s="14">
        <v>20315706</v>
      </c>
      <c r="H18" s="13" t="s">
        <v>156</v>
      </c>
      <c r="I18" s="13" t="s">
        <v>75</v>
      </c>
      <c r="J18" s="14">
        <v>1</v>
      </c>
      <c r="K18" s="14">
        <v>2</v>
      </c>
      <c r="L18" s="15">
        <v>9.9</v>
      </c>
      <c r="M18" s="15">
        <v>9.9</v>
      </c>
    </row>
    <row r="19" spans="4:13">
      <c r="D19" s="12">
        <v>46057</v>
      </c>
      <c r="E19" s="13">
        <v>1576140</v>
      </c>
      <c r="F19" s="13" t="s">
        <v>15</v>
      </c>
      <c r="G19" s="14">
        <v>20305049</v>
      </c>
      <c r="H19" s="13" t="s">
        <v>16</v>
      </c>
      <c r="I19" s="13" t="s">
        <v>17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46057</v>
      </c>
      <c r="E20" s="13">
        <v>1576140</v>
      </c>
      <c r="F20" s="13" t="s">
        <v>15</v>
      </c>
      <c r="G20" s="14">
        <v>20303984</v>
      </c>
      <c r="H20" s="13" t="s">
        <v>82</v>
      </c>
      <c r="I20" s="13" t="s">
        <v>83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46057</v>
      </c>
      <c r="E21" s="13">
        <v>1576140</v>
      </c>
      <c r="F21" s="13" t="s">
        <v>28</v>
      </c>
      <c r="G21" s="14">
        <v>20311484</v>
      </c>
      <c r="H21" s="13" t="s">
        <v>155</v>
      </c>
      <c r="I21" s="13" t="s">
        <v>91</v>
      </c>
      <c r="J21" s="14">
        <v>1</v>
      </c>
      <c r="K21" s="14">
        <v>2</v>
      </c>
      <c r="L21" s="15">
        <v>9.9</v>
      </c>
      <c r="M21" s="15">
        <v>9.9</v>
      </c>
    </row>
    <row r="22" spans="4:13">
      <c r="D22" s="12">
        <v>46062</v>
      </c>
      <c r="E22" s="13">
        <v>1577315</v>
      </c>
      <c r="F22" s="13" t="s">
        <v>15</v>
      </c>
      <c r="G22" s="14">
        <v>20311277</v>
      </c>
      <c r="H22" s="13" t="s">
        <v>84</v>
      </c>
      <c r="I22" s="13" t="s">
        <v>57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46062</v>
      </c>
      <c r="E23" s="13">
        <v>1577315</v>
      </c>
      <c r="F23" s="13" t="s">
        <v>15</v>
      </c>
      <c r="G23" s="14">
        <v>20303984</v>
      </c>
      <c r="H23" s="13" t="s">
        <v>82</v>
      </c>
      <c r="I23" s="13" t="s">
        <v>83</v>
      </c>
      <c r="J23" s="14">
        <v>2</v>
      </c>
      <c r="K23" s="14">
        <v>2</v>
      </c>
      <c r="L23" s="15">
        <v>4.8</v>
      </c>
      <c r="M23" s="15">
        <v>9.6</v>
      </c>
    </row>
    <row r="24" spans="4:13">
      <c r="D24" s="12">
        <v>46062</v>
      </c>
      <c r="E24" s="13">
        <v>1577315</v>
      </c>
      <c r="F24" s="13" t="s">
        <v>28</v>
      </c>
      <c r="G24" s="14">
        <v>20311484</v>
      </c>
      <c r="H24" s="13" t="s">
        <v>155</v>
      </c>
      <c r="I24" s="13" t="s">
        <v>91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46062</v>
      </c>
      <c r="E25" s="13">
        <v>1577315</v>
      </c>
      <c r="F25" s="13" t="s">
        <v>28</v>
      </c>
      <c r="G25" s="14">
        <v>20315706</v>
      </c>
      <c r="H25" s="13" t="s">
        <v>156</v>
      </c>
      <c r="I25" s="13" t="s">
        <v>75</v>
      </c>
      <c r="J25" s="14">
        <v>1</v>
      </c>
      <c r="K25" s="14">
        <v>2</v>
      </c>
      <c r="L25" s="15">
        <v>9.9</v>
      </c>
      <c r="M25" s="15">
        <v>9.9</v>
      </c>
    </row>
  </sheetData>
  <autoFilter xmlns:etc="http://www.wps.cn/officeDocument/2017/etCustomData" ref="A7:M25" etc:filterBottomFollowUsedRange="0">
    <extLst/>
  </autoFilter>
  <mergeCells count="5">
    <mergeCell ref="D8:I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9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O169" sqref="O169"/>
    </sheetView>
  </sheetViews>
  <sheetFormatPr defaultColWidth="9" defaultRowHeight="13.5"/>
  <cols>
    <col min="1" max="2" width="0.225" customWidth="1"/>
    <col min="3" max="3" width="0.433333333333333" customWidth="1"/>
    <col min="4" max="4" width="11.625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8.75" customWidth="1"/>
    <col min="10" max="10" width="8.375" customWidth="1"/>
    <col min="11" max="11" width="9.45" customWidth="1"/>
    <col min="12" max="12" width="8.75" customWidth="1"/>
    <col min="13" max="13" width="10.8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157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517-1</f>
        <v>516</v>
      </c>
      <c r="K8" s="10">
        <f>5563-80</f>
        <v>5483</v>
      </c>
      <c r="L8" s="11"/>
      <c r="M8" s="11">
        <f>SUM(M9:M393)-264</f>
        <v>22091.1</v>
      </c>
    </row>
    <row r="9" ht="25.5" spans="1:13">
      <c r="D9" s="12">
        <v>46043</v>
      </c>
      <c r="E9" s="13">
        <v>1572396</v>
      </c>
      <c r="F9" s="13" t="s">
        <v>24</v>
      </c>
      <c r="G9" s="14">
        <v>20384741</v>
      </c>
      <c r="H9" s="13" t="s">
        <v>158</v>
      </c>
      <c r="I9" s="13" t="s">
        <v>159</v>
      </c>
      <c r="J9" s="14">
        <v>1</v>
      </c>
      <c r="K9" s="14">
        <v>1</v>
      </c>
      <c r="L9" s="15">
        <v>21</v>
      </c>
      <c r="M9" s="15">
        <v>21</v>
      </c>
    </row>
    <row r="10" spans="1:13">
      <c r="D10" s="12">
        <v>46043</v>
      </c>
      <c r="E10" s="13">
        <v>1572396</v>
      </c>
      <c r="F10" s="13" t="s">
        <v>24</v>
      </c>
      <c r="G10" s="14">
        <v>20310842</v>
      </c>
      <c r="H10" s="13" t="s">
        <v>160</v>
      </c>
      <c r="I10" s="13" t="s">
        <v>161</v>
      </c>
      <c r="J10" s="14">
        <v>1</v>
      </c>
      <c r="K10" s="14">
        <v>1</v>
      </c>
      <c r="L10" s="15">
        <v>21</v>
      </c>
      <c r="M10" s="15">
        <v>21</v>
      </c>
    </row>
    <row r="11" spans="1:13">
      <c r="D11" s="12">
        <v>46043</v>
      </c>
      <c r="E11" s="13">
        <v>1572396</v>
      </c>
      <c r="F11" s="13" t="s">
        <v>24</v>
      </c>
      <c r="G11" s="14">
        <v>20305124</v>
      </c>
      <c r="H11" s="13" t="s">
        <v>162</v>
      </c>
      <c r="I11" s="13" t="s">
        <v>159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46043</v>
      </c>
      <c r="E12" s="13">
        <v>1572396</v>
      </c>
      <c r="F12" s="13" t="s">
        <v>115</v>
      </c>
      <c r="G12" s="14">
        <v>20376462</v>
      </c>
      <c r="H12" s="13" t="s">
        <v>163</v>
      </c>
      <c r="I12" s="13" t="s">
        <v>118</v>
      </c>
      <c r="J12" s="14">
        <v>1</v>
      </c>
      <c r="K12" s="14">
        <v>1</v>
      </c>
      <c r="L12" s="15">
        <v>16.8</v>
      </c>
      <c r="M12" s="15">
        <v>16.8</v>
      </c>
    </row>
    <row r="13" spans="1:13">
      <c r="D13" s="12">
        <v>46043</v>
      </c>
      <c r="E13" s="13">
        <v>1572397</v>
      </c>
      <c r="F13" s="13" t="s">
        <v>143</v>
      </c>
      <c r="G13" s="14">
        <v>20303722</v>
      </c>
      <c r="H13" s="13" t="s">
        <v>164</v>
      </c>
      <c r="I13" s="13" t="s">
        <v>165</v>
      </c>
      <c r="J13" s="14">
        <v>1</v>
      </c>
      <c r="K13" s="14">
        <v>69</v>
      </c>
      <c r="L13" s="15">
        <v>227.7</v>
      </c>
      <c r="M13" s="15">
        <v>227.7</v>
      </c>
    </row>
    <row r="14" spans="1:13">
      <c r="D14" s="12">
        <v>46043</v>
      </c>
      <c r="E14" s="13">
        <v>1572397</v>
      </c>
      <c r="F14" s="13" t="s">
        <v>143</v>
      </c>
      <c r="G14" s="14">
        <v>20303725</v>
      </c>
      <c r="H14" s="13" t="s">
        <v>166</v>
      </c>
      <c r="I14" s="13" t="s">
        <v>165</v>
      </c>
      <c r="J14" s="14">
        <v>1</v>
      </c>
      <c r="K14" s="14">
        <v>42</v>
      </c>
      <c r="L14" s="15">
        <v>138.6</v>
      </c>
      <c r="M14" s="15">
        <v>138.6</v>
      </c>
    </row>
    <row r="15" spans="1:13">
      <c r="D15" s="12">
        <v>46043</v>
      </c>
      <c r="E15" s="13">
        <v>1572397</v>
      </c>
      <c r="F15" s="13" t="s">
        <v>143</v>
      </c>
      <c r="G15" s="14">
        <v>20303737</v>
      </c>
      <c r="H15" s="13" t="s">
        <v>167</v>
      </c>
      <c r="I15" s="13" t="s">
        <v>165</v>
      </c>
      <c r="J15" s="14">
        <v>1</v>
      </c>
      <c r="K15" s="14">
        <v>57</v>
      </c>
      <c r="L15" s="15">
        <v>188.1</v>
      </c>
      <c r="M15" s="15">
        <v>188.1</v>
      </c>
    </row>
    <row r="16" spans="1:13">
      <c r="D16" s="12">
        <v>46043</v>
      </c>
      <c r="E16" s="13">
        <v>1572397</v>
      </c>
      <c r="F16" s="13" t="s">
        <v>143</v>
      </c>
      <c r="G16" s="14">
        <v>20303792</v>
      </c>
      <c r="H16" s="13" t="s">
        <v>168</v>
      </c>
      <c r="I16" s="13" t="s">
        <v>165</v>
      </c>
      <c r="J16" s="14">
        <v>1</v>
      </c>
      <c r="K16" s="14">
        <v>38</v>
      </c>
      <c r="L16" s="15">
        <v>125.4</v>
      </c>
      <c r="M16" s="15">
        <v>125.4</v>
      </c>
    </row>
    <row r="17" spans="4:13">
      <c r="D17" s="12">
        <v>46043</v>
      </c>
      <c r="E17" s="13">
        <v>1572397</v>
      </c>
      <c r="F17" s="13" t="s">
        <v>15</v>
      </c>
      <c r="G17" s="14">
        <v>20303987</v>
      </c>
      <c r="H17" s="13" t="s">
        <v>169</v>
      </c>
      <c r="I17" s="13" t="s">
        <v>170</v>
      </c>
      <c r="J17" s="14">
        <v>1</v>
      </c>
      <c r="K17" s="14">
        <v>1</v>
      </c>
      <c r="L17" s="15">
        <v>9.9</v>
      </c>
      <c r="M17" s="15">
        <v>9.9</v>
      </c>
    </row>
    <row r="18" spans="4:13">
      <c r="D18" s="12">
        <v>46043</v>
      </c>
      <c r="E18" s="13">
        <v>1572397</v>
      </c>
      <c r="F18" s="13" t="s">
        <v>28</v>
      </c>
      <c r="G18" s="14">
        <v>20324352</v>
      </c>
      <c r="H18" s="13" t="s">
        <v>171</v>
      </c>
      <c r="I18" s="13" t="s">
        <v>75</v>
      </c>
      <c r="J18" s="14">
        <v>3</v>
      </c>
      <c r="K18" s="14">
        <v>15</v>
      </c>
      <c r="L18" s="15">
        <v>16.5</v>
      </c>
      <c r="M18" s="15">
        <v>49.5</v>
      </c>
    </row>
    <row r="19" spans="4:13">
      <c r="D19" s="12">
        <v>46044</v>
      </c>
      <c r="E19" s="13">
        <v>1572720</v>
      </c>
      <c r="F19" s="13" t="s">
        <v>101</v>
      </c>
      <c r="G19" s="14">
        <v>20310291</v>
      </c>
      <c r="H19" s="13" t="s">
        <v>172</v>
      </c>
      <c r="I19" s="13" t="s">
        <v>30</v>
      </c>
      <c r="J19" s="14">
        <v>6</v>
      </c>
      <c r="K19" s="14">
        <v>0</v>
      </c>
      <c r="L19" s="15">
        <v>15</v>
      </c>
      <c r="M19" s="15">
        <v>90</v>
      </c>
    </row>
    <row r="20" spans="4:13">
      <c r="D20" s="12">
        <v>46044</v>
      </c>
      <c r="E20" s="13">
        <v>1572801</v>
      </c>
      <c r="F20" s="13" t="s">
        <v>101</v>
      </c>
      <c r="G20" s="14">
        <v>20303989</v>
      </c>
      <c r="H20" s="13" t="s">
        <v>173</v>
      </c>
      <c r="I20" s="13" t="s">
        <v>103</v>
      </c>
      <c r="J20" s="14">
        <v>2</v>
      </c>
      <c r="K20" s="14">
        <v>0</v>
      </c>
      <c r="L20" s="15">
        <v>21</v>
      </c>
      <c r="M20" s="15">
        <v>42</v>
      </c>
    </row>
    <row r="21" spans="4:13">
      <c r="D21" s="12">
        <v>46044</v>
      </c>
      <c r="E21" s="13">
        <v>1572801</v>
      </c>
      <c r="F21" s="13" t="s">
        <v>101</v>
      </c>
      <c r="G21" s="14">
        <v>20303990</v>
      </c>
      <c r="H21" s="13" t="s">
        <v>102</v>
      </c>
      <c r="I21" s="13" t="s">
        <v>103</v>
      </c>
      <c r="J21" s="14">
        <v>3</v>
      </c>
      <c r="K21" s="14">
        <v>0</v>
      </c>
      <c r="L21" s="15">
        <v>21</v>
      </c>
      <c r="M21" s="15">
        <v>63</v>
      </c>
    </row>
    <row r="22" spans="4:13">
      <c r="D22" s="12">
        <v>46044</v>
      </c>
      <c r="E22" s="13">
        <v>1572823</v>
      </c>
      <c r="F22" s="13" t="s">
        <v>143</v>
      </c>
      <c r="G22" s="14">
        <v>20310321</v>
      </c>
      <c r="H22" s="13" t="s">
        <v>174</v>
      </c>
      <c r="I22" s="13" t="s">
        <v>103</v>
      </c>
      <c r="J22" s="14">
        <v>1</v>
      </c>
      <c r="K22" s="14">
        <v>9</v>
      </c>
      <c r="L22" s="15">
        <v>29.7</v>
      </c>
      <c r="M22" s="15">
        <v>29.7</v>
      </c>
    </row>
    <row r="23" spans="4:13">
      <c r="D23" s="12">
        <v>46044</v>
      </c>
      <c r="E23" s="13">
        <v>1572823</v>
      </c>
      <c r="F23" s="13" t="s">
        <v>143</v>
      </c>
      <c r="G23" s="14">
        <v>20303706</v>
      </c>
      <c r="H23" s="13" t="s">
        <v>175</v>
      </c>
      <c r="I23" s="13" t="s">
        <v>165</v>
      </c>
      <c r="J23" s="14">
        <v>2</v>
      </c>
      <c r="K23" s="14">
        <v>48</v>
      </c>
      <c r="L23" s="15">
        <v>79.2</v>
      </c>
      <c r="M23" s="15">
        <v>158.4</v>
      </c>
    </row>
    <row r="24" spans="4:13">
      <c r="D24" s="12">
        <v>46044</v>
      </c>
      <c r="E24" s="13">
        <v>1572823</v>
      </c>
      <c r="F24" s="13" t="s">
        <v>143</v>
      </c>
      <c r="G24" s="14">
        <v>20303714</v>
      </c>
      <c r="H24" s="13" t="s">
        <v>176</v>
      </c>
      <c r="I24" s="13" t="s">
        <v>165</v>
      </c>
      <c r="J24" s="14">
        <v>1</v>
      </c>
      <c r="K24" s="14">
        <v>54</v>
      </c>
      <c r="L24" s="15">
        <v>178.2</v>
      </c>
      <c r="M24" s="15">
        <v>178.2</v>
      </c>
    </row>
    <row r="25" spans="4:13">
      <c r="D25" s="12">
        <v>46044</v>
      </c>
      <c r="E25" s="13">
        <v>1572823</v>
      </c>
      <c r="F25" s="13" t="s">
        <v>143</v>
      </c>
      <c r="G25" s="14">
        <v>20303721</v>
      </c>
      <c r="H25" s="13" t="s">
        <v>177</v>
      </c>
      <c r="I25" s="13" t="s">
        <v>165</v>
      </c>
      <c r="J25" s="14">
        <v>1</v>
      </c>
      <c r="K25" s="14">
        <v>35</v>
      </c>
      <c r="L25" s="15">
        <v>115.5</v>
      </c>
      <c r="M25" s="15">
        <v>115.5</v>
      </c>
    </row>
    <row r="26" spans="4:13">
      <c r="D26" s="12">
        <v>46044</v>
      </c>
      <c r="E26" s="13">
        <v>1572823</v>
      </c>
      <c r="F26" s="13" t="s">
        <v>143</v>
      </c>
      <c r="G26" s="14">
        <v>20303738</v>
      </c>
      <c r="H26" s="13" t="s">
        <v>178</v>
      </c>
      <c r="I26" s="13" t="s">
        <v>165</v>
      </c>
      <c r="J26" s="14">
        <v>1</v>
      </c>
      <c r="K26" s="14">
        <v>45</v>
      </c>
      <c r="L26" s="15">
        <v>148.5</v>
      </c>
      <c r="M26" s="15">
        <v>148.5</v>
      </c>
    </row>
    <row r="27" spans="4:13">
      <c r="D27" s="12">
        <v>46044</v>
      </c>
      <c r="E27" s="13">
        <v>1572823</v>
      </c>
      <c r="F27" s="13" t="s">
        <v>143</v>
      </c>
      <c r="G27" s="14">
        <v>20303740</v>
      </c>
      <c r="H27" s="13" t="s">
        <v>179</v>
      </c>
      <c r="I27" s="13" t="s">
        <v>165</v>
      </c>
      <c r="J27" s="14">
        <v>1</v>
      </c>
      <c r="K27" s="14">
        <v>46</v>
      </c>
      <c r="L27" s="15">
        <v>151.8</v>
      </c>
      <c r="M27" s="15">
        <v>151.8</v>
      </c>
    </row>
    <row r="28" spans="4:13">
      <c r="D28" s="12">
        <v>46044</v>
      </c>
      <c r="E28" s="13">
        <v>1572823</v>
      </c>
      <c r="F28" s="13" t="s">
        <v>143</v>
      </c>
      <c r="G28" s="14">
        <v>20303752</v>
      </c>
      <c r="H28" s="13" t="s">
        <v>180</v>
      </c>
      <c r="I28" s="13" t="s">
        <v>165</v>
      </c>
      <c r="J28" s="14">
        <v>1</v>
      </c>
      <c r="K28" s="14">
        <v>29</v>
      </c>
      <c r="L28" s="15">
        <v>95.7</v>
      </c>
      <c r="M28" s="15">
        <v>95.7</v>
      </c>
    </row>
    <row r="29" spans="4:13">
      <c r="D29" s="12">
        <v>46044</v>
      </c>
      <c r="E29" s="13">
        <v>1572823</v>
      </c>
      <c r="F29" s="13" t="s">
        <v>143</v>
      </c>
      <c r="G29" s="14">
        <v>20303732</v>
      </c>
      <c r="H29" s="13" t="s">
        <v>181</v>
      </c>
      <c r="I29" s="13" t="s">
        <v>165</v>
      </c>
      <c r="J29" s="14">
        <v>1</v>
      </c>
      <c r="K29" s="14">
        <v>38</v>
      </c>
      <c r="L29" s="15">
        <v>125.4</v>
      </c>
      <c r="M29" s="15">
        <v>125.4</v>
      </c>
    </row>
    <row r="30" spans="4:13">
      <c r="D30" s="12">
        <v>46044</v>
      </c>
      <c r="E30" s="13">
        <v>1572823</v>
      </c>
      <c r="F30" s="13" t="s">
        <v>15</v>
      </c>
      <c r="G30" s="14">
        <v>20380022</v>
      </c>
      <c r="H30" s="13" t="s">
        <v>182</v>
      </c>
      <c r="I30" s="13" t="s">
        <v>62</v>
      </c>
      <c r="J30" s="14">
        <v>2</v>
      </c>
      <c r="K30" s="14">
        <v>4</v>
      </c>
      <c r="L30" s="15">
        <v>8.1</v>
      </c>
      <c r="M30" s="15">
        <v>16.2</v>
      </c>
    </row>
    <row r="31" ht="25.5" spans="4:13">
      <c r="D31" s="12">
        <v>46044</v>
      </c>
      <c r="E31" s="13">
        <v>1572823</v>
      </c>
      <c r="F31" s="13" t="s">
        <v>15</v>
      </c>
      <c r="G31" s="14">
        <v>20400873</v>
      </c>
      <c r="H31" s="13" t="s">
        <v>183</v>
      </c>
      <c r="I31" s="13" t="s">
        <v>75</v>
      </c>
      <c r="J31" s="14">
        <v>1</v>
      </c>
      <c r="K31" s="14">
        <v>6</v>
      </c>
      <c r="L31" s="15">
        <v>19.8</v>
      </c>
      <c r="M31" s="15">
        <v>19.8</v>
      </c>
    </row>
    <row r="32" spans="4:13">
      <c r="D32" s="12">
        <v>46044</v>
      </c>
      <c r="E32" s="13">
        <v>1572823</v>
      </c>
      <c r="F32" s="13" t="s">
        <v>15</v>
      </c>
      <c r="G32" s="14">
        <v>20312771</v>
      </c>
      <c r="H32" s="13" t="s">
        <v>184</v>
      </c>
      <c r="I32" s="13" t="s">
        <v>83</v>
      </c>
      <c r="J32" s="14">
        <v>1</v>
      </c>
      <c r="K32" s="14">
        <v>2</v>
      </c>
      <c r="L32" s="15">
        <v>8.1</v>
      </c>
      <c r="M32" s="15">
        <v>8.1</v>
      </c>
    </row>
    <row r="33" spans="4:13">
      <c r="D33" s="12">
        <v>46044</v>
      </c>
      <c r="E33" s="13">
        <v>1572823</v>
      </c>
      <c r="F33" s="13" t="s">
        <v>54</v>
      </c>
      <c r="G33" s="14">
        <v>20318544</v>
      </c>
      <c r="H33" s="13" t="s">
        <v>185</v>
      </c>
      <c r="I33" s="13" t="s">
        <v>186</v>
      </c>
      <c r="J33" s="14">
        <v>2</v>
      </c>
      <c r="K33" s="14">
        <v>32</v>
      </c>
      <c r="L33" s="15">
        <v>52.8</v>
      </c>
      <c r="M33" s="15">
        <v>105.6</v>
      </c>
    </row>
    <row r="34" spans="4:13">
      <c r="D34" s="12">
        <v>46044</v>
      </c>
      <c r="E34" s="13">
        <v>1572823</v>
      </c>
      <c r="F34" s="13" t="s">
        <v>28</v>
      </c>
      <c r="G34" s="14">
        <v>20324352</v>
      </c>
      <c r="H34" s="13" t="s">
        <v>171</v>
      </c>
      <c r="I34" s="13" t="s">
        <v>75</v>
      </c>
      <c r="J34" s="14">
        <v>4</v>
      </c>
      <c r="K34" s="14">
        <v>20</v>
      </c>
      <c r="L34" s="15">
        <v>16.5</v>
      </c>
      <c r="M34" s="15">
        <v>66</v>
      </c>
    </row>
    <row r="35" spans="4:13">
      <c r="D35" s="12">
        <v>46044</v>
      </c>
      <c r="E35" s="13">
        <v>1572823</v>
      </c>
      <c r="F35" s="13" t="s">
        <v>28</v>
      </c>
      <c r="G35" s="14">
        <v>20402358</v>
      </c>
      <c r="H35" s="13" t="s">
        <v>187</v>
      </c>
      <c r="I35" s="13" t="s">
        <v>91</v>
      </c>
      <c r="J35" s="14">
        <v>1</v>
      </c>
      <c r="K35" s="14">
        <v>6</v>
      </c>
      <c r="L35" s="15">
        <v>19.8</v>
      </c>
      <c r="M35" s="15">
        <v>19.8</v>
      </c>
    </row>
    <row r="36" ht="25.5" spans="4:13">
      <c r="D36" s="12">
        <v>46044</v>
      </c>
      <c r="E36" s="13">
        <v>1572825</v>
      </c>
      <c r="F36" s="13" t="s">
        <v>24</v>
      </c>
      <c r="G36" s="14">
        <v>20384741</v>
      </c>
      <c r="H36" s="13" t="s">
        <v>158</v>
      </c>
      <c r="I36" s="13" t="s">
        <v>159</v>
      </c>
      <c r="J36" s="14">
        <v>1</v>
      </c>
      <c r="K36" s="14">
        <v>1</v>
      </c>
      <c r="L36" s="15">
        <v>21</v>
      </c>
      <c r="M36" s="15">
        <v>21</v>
      </c>
    </row>
    <row r="37" spans="4:13">
      <c r="D37" s="12">
        <v>46044</v>
      </c>
      <c r="E37" s="13">
        <v>1572825</v>
      </c>
      <c r="F37" s="13" t="s">
        <v>24</v>
      </c>
      <c r="G37" s="14">
        <v>20310842</v>
      </c>
      <c r="H37" s="13" t="s">
        <v>160</v>
      </c>
      <c r="I37" s="13" t="s">
        <v>161</v>
      </c>
      <c r="J37" s="14">
        <v>1</v>
      </c>
      <c r="K37" s="14">
        <v>1</v>
      </c>
      <c r="L37" s="15">
        <v>21</v>
      </c>
      <c r="M37" s="15">
        <v>21</v>
      </c>
    </row>
    <row r="38" spans="4:13">
      <c r="D38" s="12">
        <v>46044</v>
      </c>
      <c r="E38" s="13">
        <v>1572825</v>
      </c>
      <c r="F38" s="13" t="s">
        <v>24</v>
      </c>
      <c r="G38" s="14">
        <v>20309562</v>
      </c>
      <c r="H38" s="13" t="s">
        <v>188</v>
      </c>
      <c r="I38" s="13" t="s">
        <v>161</v>
      </c>
      <c r="J38" s="14">
        <v>3</v>
      </c>
      <c r="K38" s="14">
        <v>3</v>
      </c>
      <c r="L38" s="15">
        <v>21</v>
      </c>
      <c r="M38" s="15">
        <v>63</v>
      </c>
    </row>
    <row r="39" spans="4:13">
      <c r="D39" s="12">
        <v>46044</v>
      </c>
      <c r="E39" s="13">
        <v>1572825</v>
      </c>
      <c r="F39" s="13" t="s">
        <v>24</v>
      </c>
      <c r="G39" s="14">
        <v>20376500</v>
      </c>
      <c r="H39" s="13" t="s">
        <v>189</v>
      </c>
      <c r="I39" s="13" t="s">
        <v>190</v>
      </c>
      <c r="J39" s="14">
        <v>2</v>
      </c>
      <c r="K39" s="14">
        <v>2</v>
      </c>
      <c r="L39" s="15">
        <v>13.2</v>
      </c>
      <c r="M39" s="15">
        <v>26.4</v>
      </c>
    </row>
    <row r="40" spans="4:13">
      <c r="D40" s="12">
        <v>46044</v>
      </c>
      <c r="E40" s="13">
        <v>1572825</v>
      </c>
      <c r="F40" s="13" t="s">
        <v>24</v>
      </c>
      <c r="G40" s="14">
        <v>20376501</v>
      </c>
      <c r="H40" s="13" t="s">
        <v>191</v>
      </c>
      <c r="I40" s="13" t="s">
        <v>118</v>
      </c>
      <c r="J40" s="14">
        <v>1</v>
      </c>
      <c r="K40" s="14">
        <v>4</v>
      </c>
      <c r="L40" s="15">
        <v>52.8</v>
      </c>
      <c r="M40" s="15">
        <v>52.8</v>
      </c>
    </row>
    <row r="41" spans="4:13">
      <c r="D41" s="12">
        <v>46044</v>
      </c>
      <c r="E41" s="13">
        <v>1572825</v>
      </c>
      <c r="F41" s="13" t="s">
        <v>24</v>
      </c>
      <c r="G41" s="14">
        <v>20316143</v>
      </c>
      <c r="H41" s="13" t="s">
        <v>192</v>
      </c>
      <c r="I41" s="13" t="s">
        <v>118</v>
      </c>
      <c r="J41" s="14">
        <v>1</v>
      </c>
      <c r="K41" s="14">
        <v>1</v>
      </c>
      <c r="L41" s="15">
        <v>16.8</v>
      </c>
      <c r="M41" s="15">
        <v>16.8</v>
      </c>
    </row>
    <row r="42" spans="4:13">
      <c r="D42" s="12">
        <v>46044</v>
      </c>
      <c r="E42" s="13">
        <v>1572825</v>
      </c>
      <c r="F42" s="13" t="s">
        <v>24</v>
      </c>
      <c r="G42" s="14">
        <v>20310370</v>
      </c>
      <c r="H42" s="13" t="s">
        <v>193</v>
      </c>
      <c r="I42" s="13" t="s">
        <v>118</v>
      </c>
      <c r="J42" s="14">
        <v>2</v>
      </c>
      <c r="K42" s="14">
        <v>4</v>
      </c>
      <c r="L42" s="15">
        <v>26.4</v>
      </c>
      <c r="M42" s="15">
        <v>52.8</v>
      </c>
    </row>
    <row r="43" spans="4:13">
      <c r="D43" s="12">
        <v>46044</v>
      </c>
      <c r="E43" s="13">
        <v>1572825</v>
      </c>
      <c r="F43" s="13" t="s">
        <v>24</v>
      </c>
      <c r="G43" s="14">
        <v>20381285</v>
      </c>
      <c r="H43" s="13" t="s">
        <v>194</v>
      </c>
      <c r="I43" s="13" t="s">
        <v>118</v>
      </c>
      <c r="J43" s="14">
        <v>1</v>
      </c>
      <c r="K43" s="14">
        <v>1</v>
      </c>
      <c r="L43" s="15">
        <v>21</v>
      </c>
      <c r="M43" s="15">
        <v>21</v>
      </c>
    </row>
    <row r="44" spans="4:13">
      <c r="D44" s="12">
        <v>46044</v>
      </c>
      <c r="E44" s="13">
        <v>1572825</v>
      </c>
      <c r="F44" s="13" t="s">
        <v>115</v>
      </c>
      <c r="G44" s="14">
        <v>20376461</v>
      </c>
      <c r="H44" s="13" t="s">
        <v>195</v>
      </c>
      <c r="I44" s="13" t="s">
        <v>118</v>
      </c>
      <c r="J44" s="14">
        <v>1</v>
      </c>
      <c r="K44" s="14">
        <v>1</v>
      </c>
      <c r="L44" s="15">
        <v>16.8</v>
      </c>
      <c r="M44" s="15">
        <v>16.8</v>
      </c>
    </row>
    <row r="45" spans="4:13">
      <c r="D45" s="12">
        <v>46044</v>
      </c>
      <c r="E45" s="13">
        <v>1572825</v>
      </c>
      <c r="F45" s="13" t="s">
        <v>115</v>
      </c>
      <c r="G45" s="14">
        <v>20313066</v>
      </c>
      <c r="H45" s="13" t="s">
        <v>196</v>
      </c>
      <c r="I45" s="13" t="s">
        <v>118</v>
      </c>
      <c r="J45" s="14">
        <v>1</v>
      </c>
      <c r="K45" s="14">
        <v>1</v>
      </c>
      <c r="L45" s="15">
        <v>16.8</v>
      </c>
      <c r="M45" s="15">
        <v>16.8</v>
      </c>
    </row>
    <row r="46" spans="4:13">
      <c r="D46" s="12">
        <v>46044</v>
      </c>
      <c r="E46" s="13">
        <v>1572825</v>
      </c>
      <c r="F46" s="13" t="s">
        <v>115</v>
      </c>
      <c r="G46" s="14">
        <v>20381455</v>
      </c>
      <c r="H46" s="13" t="s">
        <v>197</v>
      </c>
      <c r="I46" s="13" t="s">
        <v>198</v>
      </c>
      <c r="J46" s="14">
        <v>1</v>
      </c>
      <c r="K46" s="14">
        <v>2</v>
      </c>
      <c r="L46" s="15">
        <v>21</v>
      </c>
      <c r="M46" s="15">
        <v>21</v>
      </c>
    </row>
    <row r="47" spans="4:13">
      <c r="D47" s="12">
        <v>46044</v>
      </c>
      <c r="E47" s="13">
        <v>1572825</v>
      </c>
      <c r="F47" s="13" t="s">
        <v>115</v>
      </c>
      <c r="G47" s="14">
        <v>20382013</v>
      </c>
      <c r="H47" s="13" t="s">
        <v>199</v>
      </c>
      <c r="I47" s="13" t="s">
        <v>103</v>
      </c>
      <c r="J47" s="14">
        <v>1</v>
      </c>
      <c r="K47" s="14">
        <v>5</v>
      </c>
      <c r="L47" s="15">
        <v>52.8</v>
      </c>
      <c r="M47" s="15">
        <v>52.8</v>
      </c>
    </row>
    <row r="48" spans="4:13">
      <c r="D48" s="12">
        <v>46044</v>
      </c>
      <c r="E48" s="13">
        <v>1572825</v>
      </c>
      <c r="F48" s="13" t="s">
        <v>115</v>
      </c>
      <c r="G48" s="14">
        <v>20377559</v>
      </c>
      <c r="H48" s="13" t="s">
        <v>200</v>
      </c>
      <c r="I48" s="13" t="s">
        <v>118</v>
      </c>
      <c r="J48" s="14">
        <v>1</v>
      </c>
      <c r="K48" s="14">
        <v>1</v>
      </c>
      <c r="L48" s="15">
        <v>16.8</v>
      </c>
      <c r="M48" s="15">
        <v>16.8</v>
      </c>
    </row>
    <row r="49" spans="4:13">
      <c r="D49" s="12">
        <v>46044</v>
      </c>
      <c r="E49" s="13">
        <v>1572825</v>
      </c>
      <c r="F49" s="13" t="s">
        <v>115</v>
      </c>
      <c r="G49" s="14">
        <v>20392956</v>
      </c>
      <c r="H49" s="13" t="s">
        <v>201</v>
      </c>
      <c r="I49" s="13" t="s">
        <v>118</v>
      </c>
      <c r="J49" s="14">
        <v>1</v>
      </c>
      <c r="K49" s="14">
        <v>1</v>
      </c>
      <c r="L49" s="15">
        <v>16.8</v>
      </c>
      <c r="M49" s="15">
        <v>16.8</v>
      </c>
    </row>
    <row r="50" ht="25.5" spans="4:13">
      <c r="D50" s="12">
        <v>46045</v>
      </c>
      <c r="E50" s="13">
        <v>1573191</v>
      </c>
      <c r="F50" s="13" t="s">
        <v>24</v>
      </c>
      <c r="G50" s="14">
        <v>20384740</v>
      </c>
      <c r="H50" s="13" t="s">
        <v>202</v>
      </c>
      <c r="I50" s="13" t="s">
        <v>159</v>
      </c>
      <c r="J50" s="14">
        <v>2</v>
      </c>
      <c r="K50" s="14">
        <v>2</v>
      </c>
      <c r="L50" s="15">
        <v>21</v>
      </c>
      <c r="M50" s="15">
        <v>42</v>
      </c>
    </row>
    <row r="51" spans="4:13">
      <c r="D51" s="12">
        <v>46045</v>
      </c>
      <c r="E51" s="13">
        <v>1573191</v>
      </c>
      <c r="F51" s="13" t="s">
        <v>24</v>
      </c>
      <c r="G51" s="14">
        <v>20310842</v>
      </c>
      <c r="H51" s="13" t="s">
        <v>160</v>
      </c>
      <c r="I51" s="13" t="s">
        <v>161</v>
      </c>
      <c r="J51" s="14">
        <v>4</v>
      </c>
      <c r="K51" s="14">
        <v>4</v>
      </c>
      <c r="L51" s="15">
        <v>21</v>
      </c>
      <c r="M51" s="15">
        <v>84</v>
      </c>
    </row>
    <row r="52" spans="4:13">
      <c r="D52" s="12">
        <v>46045</v>
      </c>
      <c r="E52" s="13">
        <v>1573191</v>
      </c>
      <c r="F52" s="13" t="s">
        <v>24</v>
      </c>
      <c r="G52" s="14">
        <v>20309562</v>
      </c>
      <c r="H52" s="13" t="s">
        <v>188</v>
      </c>
      <c r="I52" s="13" t="s">
        <v>161</v>
      </c>
      <c r="J52" s="14">
        <v>1</v>
      </c>
      <c r="K52" s="14">
        <v>1</v>
      </c>
      <c r="L52" s="15">
        <v>21</v>
      </c>
      <c r="M52" s="15">
        <v>21</v>
      </c>
    </row>
    <row r="53" spans="4:13">
      <c r="D53" s="12">
        <v>46045</v>
      </c>
      <c r="E53" s="13">
        <v>1573191</v>
      </c>
      <c r="F53" s="13" t="s">
        <v>24</v>
      </c>
      <c r="G53" s="14">
        <v>20305124</v>
      </c>
      <c r="H53" s="13" t="s">
        <v>162</v>
      </c>
      <c r="I53" s="13" t="s">
        <v>159</v>
      </c>
      <c r="J53" s="14">
        <v>2</v>
      </c>
      <c r="K53" s="14">
        <v>2</v>
      </c>
      <c r="L53" s="15">
        <v>21</v>
      </c>
      <c r="M53" s="15">
        <v>42</v>
      </c>
    </row>
    <row r="54" ht="25.5" spans="4:13">
      <c r="D54" s="12">
        <v>46045</v>
      </c>
      <c r="E54" s="13">
        <v>1573191</v>
      </c>
      <c r="F54" s="13" t="s">
        <v>24</v>
      </c>
      <c r="G54" s="14">
        <v>20305095</v>
      </c>
      <c r="H54" s="13" t="s">
        <v>203</v>
      </c>
      <c r="I54" s="13" t="s">
        <v>159</v>
      </c>
      <c r="J54" s="14">
        <v>3</v>
      </c>
      <c r="K54" s="14">
        <v>3</v>
      </c>
      <c r="L54" s="15">
        <v>21</v>
      </c>
      <c r="M54" s="15">
        <v>63</v>
      </c>
    </row>
    <row r="55" spans="4:13">
      <c r="D55" s="12">
        <v>46045</v>
      </c>
      <c r="E55" s="13">
        <v>1573191</v>
      </c>
      <c r="F55" s="13" t="s">
        <v>115</v>
      </c>
      <c r="G55" s="14">
        <v>20376461</v>
      </c>
      <c r="H55" s="13" t="s">
        <v>195</v>
      </c>
      <c r="I55" s="13" t="s">
        <v>118</v>
      </c>
      <c r="J55" s="14">
        <v>1</v>
      </c>
      <c r="K55" s="14">
        <v>1</v>
      </c>
      <c r="L55" s="15">
        <v>16.8</v>
      </c>
      <c r="M55" s="15">
        <v>16.8</v>
      </c>
    </row>
    <row r="56" spans="4:13">
      <c r="D56" s="12">
        <v>46045</v>
      </c>
      <c r="E56" s="13">
        <v>1573191</v>
      </c>
      <c r="F56" s="13" t="s">
        <v>115</v>
      </c>
      <c r="G56" s="14">
        <v>20313066</v>
      </c>
      <c r="H56" s="13" t="s">
        <v>196</v>
      </c>
      <c r="I56" s="13" t="s">
        <v>118</v>
      </c>
      <c r="J56" s="14">
        <v>1</v>
      </c>
      <c r="K56" s="14">
        <v>1</v>
      </c>
      <c r="L56" s="15">
        <v>16.8</v>
      </c>
      <c r="M56" s="15">
        <v>16.8</v>
      </c>
    </row>
    <row r="57" spans="4:13">
      <c r="D57" s="12">
        <v>46045</v>
      </c>
      <c r="E57" s="13">
        <v>1573191</v>
      </c>
      <c r="F57" s="13" t="s">
        <v>115</v>
      </c>
      <c r="G57" s="14">
        <v>20376462</v>
      </c>
      <c r="H57" s="13" t="s">
        <v>163</v>
      </c>
      <c r="I57" s="13" t="s">
        <v>118</v>
      </c>
      <c r="J57" s="14">
        <v>1</v>
      </c>
      <c r="K57" s="14">
        <v>1</v>
      </c>
      <c r="L57" s="15">
        <v>16.8</v>
      </c>
      <c r="M57" s="15">
        <v>16.8</v>
      </c>
    </row>
    <row r="58" spans="4:13">
      <c r="D58" s="12">
        <v>46045</v>
      </c>
      <c r="E58" s="13">
        <v>1573199</v>
      </c>
      <c r="F58" s="13" t="s">
        <v>143</v>
      </c>
      <c r="G58" s="14">
        <v>20303722</v>
      </c>
      <c r="H58" s="13" t="s">
        <v>164</v>
      </c>
      <c r="I58" s="13" t="s">
        <v>165</v>
      </c>
      <c r="J58" s="14">
        <v>3</v>
      </c>
      <c r="K58" s="14">
        <v>207</v>
      </c>
      <c r="L58" s="15">
        <v>227.7</v>
      </c>
      <c r="M58" s="15">
        <v>683.1</v>
      </c>
    </row>
    <row r="59" spans="4:13">
      <c r="D59" s="12">
        <v>46045</v>
      </c>
      <c r="E59" s="13">
        <v>1573199</v>
      </c>
      <c r="F59" s="13" t="s">
        <v>143</v>
      </c>
      <c r="G59" s="14">
        <v>20303737</v>
      </c>
      <c r="H59" s="13" t="s">
        <v>167</v>
      </c>
      <c r="I59" s="13" t="s">
        <v>165</v>
      </c>
      <c r="J59" s="14">
        <v>1</v>
      </c>
      <c r="K59" s="14">
        <v>57</v>
      </c>
      <c r="L59" s="15">
        <v>188.1</v>
      </c>
      <c r="M59" s="15">
        <v>188.1</v>
      </c>
    </row>
    <row r="60" spans="4:13">
      <c r="D60" s="12">
        <v>46045</v>
      </c>
      <c r="E60" s="13">
        <v>1573199</v>
      </c>
      <c r="F60" s="13" t="s">
        <v>143</v>
      </c>
      <c r="G60" s="14">
        <v>20303739</v>
      </c>
      <c r="H60" s="13" t="s">
        <v>204</v>
      </c>
      <c r="I60" s="13" t="s">
        <v>165</v>
      </c>
      <c r="J60" s="14">
        <v>1</v>
      </c>
      <c r="K60" s="14">
        <v>45</v>
      </c>
      <c r="L60" s="15">
        <v>148.5</v>
      </c>
      <c r="M60" s="15">
        <v>148.5</v>
      </c>
    </row>
    <row r="61" spans="4:13">
      <c r="D61" s="12">
        <v>46045</v>
      </c>
      <c r="E61" s="13">
        <v>1573199</v>
      </c>
      <c r="F61" s="13" t="s">
        <v>143</v>
      </c>
      <c r="G61" s="14">
        <v>20303741</v>
      </c>
      <c r="H61" s="13" t="s">
        <v>205</v>
      </c>
      <c r="I61" s="13" t="s">
        <v>165</v>
      </c>
      <c r="J61" s="14">
        <v>1</v>
      </c>
      <c r="K61" s="14">
        <v>46</v>
      </c>
      <c r="L61" s="15">
        <v>151.8</v>
      </c>
      <c r="M61" s="15">
        <v>151.8</v>
      </c>
    </row>
    <row r="62" spans="4:13">
      <c r="D62" s="12">
        <v>46045</v>
      </c>
      <c r="E62" s="13">
        <v>1573199</v>
      </c>
      <c r="F62" s="13" t="s">
        <v>143</v>
      </c>
      <c r="G62" s="14">
        <v>20303752</v>
      </c>
      <c r="H62" s="13" t="s">
        <v>180</v>
      </c>
      <c r="I62" s="13" t="s">
        <v>165</v>
      </c>
      <c r="J62" s="14">
        <v>1</v>
      </c>
      <c r="K62" s="14">
        <v>29</v>
      </c>
      <c r="L62" s="15">
        <v>95.7</v>
      </c>
      <c r="M62" s="15">
        <v>95.7</v>
      </c>
    </row>
    <row r="63" spans="4:13">
      <c r="D63" s="12">
        <v>46045</v>
      </c>
      <c r="E63" s="13">
        <v>1573199</v>
      </c>
      <c r="F63" s="13" t="s">
        <v>15</v>
      </c>
      <c r="G63" s="14">
        <v>20309553</v>
      </c>
      <c r="H63" s="13" t="s">
        <v>153</v>
      </c>
      <c r="I63" s="13" t="s">
        <v>19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46045</v>
      </c>
      <c r="E64" s="13">
        <v>1573199</v>
      </c>
      <c r="F64" s="13" t="s">
        <v>15</v>
      </c>
      <c r="G64" s="14">
        <v>20303987</v>
      </c>
      <c r="H64" s="13" t="s">
        <v>169</v>
      </c>
      <c r="I64" s="13" t="s">
        <v>170</v>
      </c>
      <c r="J64" s="14">
        <v>2</v>
      </c>
      <c r="K64" s="14">
        <v>2</v>
      </c>
      <c r="L64" s="15">
        <v>9.9</v>
      </c>
      <c r="M64" s="15">
        <v>19.8</v>
      </c>
    </row>
    <row r="65" spans="4:13">
      <c r="D65" s="12">
        <v>46045</v>
      </c>
      <c r="E65" s="13">
        <v>1573199</v>
      </c>
      <c r="F65" s="13" t="s">
        <v>15</v>
      </c>
      <c r="G65" s="14">
        <v>20310417</v>
      </c>
      <c r="H65" s="13" t="s">
        <v>206</v>
      </c>
      <c r="I65" s="13" t="s">
        <v>83</v>
      </c>
      <c r="J65" s="14">
        <v>1</v>
      </c>
      <c r="K65" s="14">
        <v>2</v>
      </c>
      <c r="L65" s="15">
        <v>8.1</v>
      </c>
      <c r="M65" s="15">
        <v>8.1</v>
      </c>
    </row>
    <row r="66" spans="4:13">
      <c r="D66" s="12">
        <v>46045</v>
      </c>
      <c r="E66" s="13">
        <v>1573199</v>
      </c>
      <c r="F66" s="13" t="s">
        <v>28</v>
      </c>
      <c r="G66" s="14">
        <v>20324352</v>
      </c>
      <c r="H66" s="13" t="s">
        <v>171</v>
      </c>
      <c r="I66" s="13" t="s">
        <v>75</v>
      </c>
      <c r="J66" s="14">
        <v>4</v>
      </c>
      <c r="K66" s="14">
        <v>20</v>
      </c>
      <c r="L66" s="15">
        <v>16.5</v>
      </c>
      <c r="M66" s="15">
        <v>66</v>
      </c>
    </row>
    <row r="67" spans="4:13">
      <c r="D67" s="12">
        <v>46045</v>
      </c>
      <c r="E67" s="13">
        <v>1573199</v>
      </c>
      <c r="F67" s="13" t="s">
        <v>28</v>
      </c>
      <c r="G67" s="14">
        <v>20304021</v>
      </c>
      <c r="H67" s="13" t="s">
        <v>207</v>
      </c>
      <c r="I67" s="13" t="s">
        <v>30</v>
      </c>
      <c r="J67" s="14">
        <v>2</v>
      </c>
      <c r="K67" s="14">
        <v>10</v>
      </c>
      <c r="L67" s="15">
        <v>16.5</v>
      </c>
      <c r="M67" s="15">
        <v>33</v>
      </c>
    </row>
    <row r="68" spans="4:13">
      <c r="D68" s="12">
        <v>46047</v>
      </c>
      <c r="E68" s="13">
        <v>1573407</v>
      </c>
      <c r="F68" s="13" t="s">
        <v>15</v>
      </c>
      <c r="G68" s="14">
        <v>20380022</v>
      </c>
      <c r="H68" s="13" t="s">
        <v>182</v>
      </c>
      <c r="I68" s="13" t="s">
        <v>62</v>
      </c>
      <c r="J68" s="14">
        <v>1</v>
      </c>
      <c r="K68" s="14">
        <v>2</v>
      </c>
      <c r="L68" s="15">
        <v>8.1</v>
      </c>
      <c r="M68" s="15">
        <v>8.1</v>
      </c>
    </row>
    <row r="69" spans="4:13">
      <c r="D69" s="12">
        <v>46047</v>
      </c>
      <c r="E69" s="13">
        <v>1573407</v>
      </c>
      <c r="F69" s="13" t="s">
        <v>54</v>
      </c>
      <c r="G69" s="14">
        <v>20318544</v>
      </c>
      <c r="H69" s="13" t="s">
        <v>185</v>
      </c>
      <c r="I69" s="13" t="s">
        <v>186</v>
      </c>
      <c r="J69" s="14">
        <v>1</v>
      </c>
      <c r="K69" s="14">
        <v>16</v>
      </c>
      <c r="L69" s="15">
        <v>52.8</v>
      </c>
      <c r="M69" s="15">
        <v>52.8</v>
      </c>
    </row>
    <row r="70" spans="4:13">
      <c r="D70" s="12">
        <v>46047</v>
      </c>
      <c r="E70" s="13">
        <v>1573407</v>
      </c>
      <c r="F70" s="13" t="s">
        <v>28</v>
      </c>
      <c r="G70" s="14">
        <v>20324352</v>
      </c>
      <c r="H70" s="13" t="s">
        <v>171</v>
      </c>
      <c r="I70" s="13" t="s">
        <v>75</v>
      </c>
      <c r="J70" s="14">
        <v>1</v>
      </c>
      <c r="K70" s="14">
        <v>5</v>
      </c>
      <c r="L70" s="15">
        <v>16.5</v>
      </c>
      <c r="M70" s="15">
        <v>16.5</v>
      </c>
    </row>
    <row r="71" spans="4:13">
      <c r="D71" s="12">
        <v>46047</v>
      </c>
      <c r="E71" s="13">
        <v>1573407</v>
      </c>
      <c r="F71" s="13" t="s">
        <v>28</v>
      </c>
      <c r="G71" s="14">
        <v>20402358</v>
      </c>
      <c r="H71" s="13" t="s">
        <v>187</v>
      </c>
      <c r="I71" s="13" t="s">
        <v>91</v>
      </c>
      <c r="J71" s="14">
        <v>1</v>
      </c>
      <c r="K71" s="14">
        <v>6</v>
      </c>
      <c r="L71" s="15">
        <v>19.8</v>
      </c>
      <c r="M71" s="15">
        <v>19.8</v>
      </c>
    </row>
    <row r="72" spans="4:13">
      <c r="D72" s="12">
        <v>46047</v>
      </c>
      <c r="E72" s="13">
        <v>1573408</v>
      </c>
      <c r="F72" s="13" t="s">
        <v>24</v>
      </c>
      <c r="G72" s="14">
        <v>20376500</v>
      </c>
      <c r="H72" s="13" t="s">
        <v>189</v>
      </c>
      <c r="I72" s="13" t="s">
        <v>190</v>
      </c>
      <c r="J72" s="14">
        <v>1</v>
      </c>
      <c r="K72" s="14">
        <v>1</v>
      </c>
      <c r="L72" s="15">
        <v>13.2</v>
      </c>
      <c r="M72" s="15">
        <v>13.2</v>
      </c>
    </row>
    <row r="73" spans="4:13">
      <c r="D73" s="12">
        <v>46047</v>
      </c>
      <c r="E73" s="13">
        <v>1573408</v>
      </c>
      <c r="F73" s="13" t="s">
        <v>24</v>
      </c>
      <c r="G73" s="14">
        <v>20310370</v>
      </c>
      <c r="H73" s="13" t="s">
        <v>193</v>
      </c>
      <c r="I73" s="13" t="s">
        <v>118</v>
      </c>
      <c r="J73" s="14">
        <v>1</v>
      </c>
      <c r="K73" s="14">
        <v>2</v>
      </c>
      <c r="L73" s="15">
        <v>26.4</v>
      </c>
      <c r="M73" s="15">
        <v>26.4</v>
      </c>
    </row>
    <row r="74" spans="4:13">
      <c r="D74" s="12">
        <v>46047</v>
      </c>
      <c r="E74" s="13">
        <v>1573408</v>
      </c>
      <c r="F74" s="13" t="s">
        <v>115</v>
      </c>
      <c r="G74" s="14">
        <v>20382013</v>
      </c>
      <c r="H74" s="13" t="s">
        <v>199</v>
      </c>
      <c r="I74" s="13" t="s">
        <v>103</v>
      </c>
      <c r="J74" s="14">
        <v>1</v>
      </c>
      <c r="K74" s="14">
        <v>5</v>
      </c>
      <c r="L74" s="15">
        <v>52.8</v>
      </c>
      <c r="M74" s="15">
        <v>52.8</v>
      </c>
    </row>
    <row r="75" spans="4:13">
      <c r="D75" s="12">
        <v>46047</v>
      </c>
      <c r="E75" s="13">
        <v>1573408</v>
      </c>
      <c r="F75" s="13" t="s">
        <v>115</v>
      </c>
      <c r="G75" s="14">
        <v>20377559</v>
      </c>
      <c r="H75" s="13" t="s">
        <v>200</v>
      </c>
      <c r="I75" s="13" t="s">
        <v>118</v>
      </c>
      <c r="J75" s="14">
        <v>1</v>
      </c>
      <c r="K75" s="14">
        <v>1</v>
      </c>
      <c r="L75" s="15">
        <v>16.8</v>
      </c>
      <c r="M75" s="15">
        <v>16.8</v>
      </c>
    </row>
    <row r="76" spans="4:13">
      <c r="D76" s="12">
        <v>46047</v>
      </c>
      <c r="E76" s="13">
        <v>1573445</v>
      </c>
      <c r="F76" s="13" t="s">
        <v>101</v>
      </c>
      <c r="G76" s="14">
        <v>20303989</v>
      </c>
      <c r="H76" s="13" t="s">
        <v>173</v>
      </c>
      <c r="I76" s="13" t="s">
        <v>103</v>
      </c>
      <c r="J76" s="14">
        <v>2</v>
      </c>
      <c r="K76" s="14">
        <v>0</v>
      </c>
      <c r="L76" s="15">
        <v>21</v>
      </c>
      <c r="M76" s="15">
        <v>42</v>
      </c>
    </row>
    <row r="77" spans="4:13">
      <c r="D77" s="12">
        <v>46047</v>
      </c>
      <c r="E77" s="13">
        <v>1573445</v>
      </c>
      <c r="F77" s="13" t="s">
        <v>101</v>
      </c>
      <c r="G77" s="14">
        <v>20303990</v>
      </c>
      <c r="H77" s="13" t="s">
        <v>102</v>
      </c>
      <c r="I77" s="13" t="s">
        <v>103</v>
      </c>
      <c r="J77" s="14">
        <v>2</v>
      </c>
      <c r="K77" s="14">
        <v>0</v>
      </c>
      <c r="L77" s="15">
        <v>21</v>
      </c>
      <c r="M77" s="15">
        <v>42</v>
      </c>
    </row>
    <row r="78" ht="25.5" spans="4:13">
      <c r="D78" s="12">
        <v>46048</v>
      </c>
      <c r="E78" s="13">
        <v>1573650</v>
      </c>
      <c r="F78" s="13" t="s">
        <v>24</v>
      </c>
      <c r="G78" s="14">
        <v>20384740</v>
      </c>
      <c r="H78" s="13" t="s">
        <v>202</v>
      </c>
      <c r="I78" s="13" t="s">
        <v>159</v>
      </c>
      <c r="J78" s="14">
        <v>1</v>
      </c>
      <c r="K78" s="14">
        <v>1</v>
      </c>
      <c r="L78" s="15">
        <v>21</v>
      </c>
      <c r="M78" s="15">
        <v>21</v>
      </c>
    </row>
    <row r="79" spans="4:13">
      <c r="D79" s="12">
        <v>46048</v>
      </c>
      <c r="E79" s="13">
        <v>1573650</v>
      </c>
      <c r="F79" s="13" t="s">
        <v>24</v>
      </c>
      <c r="G79" s="14">
        <v>20310842</v>
      </c>
      <c r="H79" s="13" t="s">
        <v>160</v>
      </c>
      <c r="I79" s="13" t="s">
        <v>161</v>
      </c>
      <c r="J79" s="14">
        <v>1</v>
      </c>
      <c r="K79" s="14">
        <v>1</v>
      </c>
      <c r="L79" s="15">
        <v>21</v>
      </c>
      <c r="M79" s="15">
        <v>21</v>
      </c>
    </row>
    <row r="80" spans="4:13">
      <c r="D80" s="12">
        <v>46048</v>
      </c>
      <c r="E80" s="13">
        <v>1573650</v>
      </c>
      <c r="F80" s="13" t="s">
        <v>24</v>
      </c>
      <c r="G80" s="14">
        <v>20309562</v>
      </c>
      <c r="H80" s="13" t="s">
        <v>188</v>
      </c>
      <c r="I80" s="13" t="s">
        <v>161</v>
      </c>
      <c r="J80" s="14">
        <v>1</v>
      </c>
      <c r="K80" s="14">
        <v>1</v>
      </c>
      <c r="L80" s="15">
        <v>21</v>
      </c>
      <c r="M80" s="15">
        <v>21</v>
      </c>
    </row>
    <row r="81" spans="4:13">
      <c r="D81" s="12">
        <v>46048</v>
      </c>
      <c r="E81" s="13">
        <v>1573650</v>
      </c>
      <c r="F81" s="13" t="s">
        <v>24</v>
      </c>
      <c r="G81" s="14">
        <v>20305124</v>
      </c>
      <c r="H81" s="13" t="s">
        <v>162</v>
      </c>
      <c r="I81" s="13" t="s">
        <v>159</v>
      </c>
      <c r="J81" s="14">
        <v>1</v>
      </c>
      <c r="K81" s="14">
        <v>1</v>
      </c>
      <c r="L81" s="15">
        <v>21</v>
      </c>
      <c r="M81" s="15">
        <v>21</v>
      </c>
    </row>
    <row r="82" spans="4:13">
      <c r="D82" s="12">
        <v>46048</v>
      </c>
      <c r="E82" s="13">
        <v>1573650</v>
      </c>
      <c r="F82" s="13" t="s">
        <v>115</v>
      </c>
      <c r="G82" s="14">
        <v>20376462</v>
      </c>
      <c r="H82" s="13" t="s">
        <v>163</v>
      </c>
      <c r="I82" s="13" t="s">
        <v>118</v>
      </c>
      <c r="J82" s="14">
        <v>1</v>
      </c>
      <c r="K82" s="14">
        <v>1</v>
      </c>
      <c r="L82" s="15">
        <v>16.8</v>
      </c>
      <c r="M82" s="15">
        <v>16.8</v>
      </c>
    </row>
    <row r="83" spans="4:13">
      <c r="D83" s="12">
        <v>46048</v>
      </c>
      <c r="E83" s="13">
        <v>1573651</v>
      </c>
      <c r="F83" s="13" t="s">
        <v>143</v>
      </c>
      <c r="G83" s="14">
        <v>20303722</v>
      </c>
      <c r="H83" s="13" t="s">
        <v>164</v>
      </c>
      <c r="I83" s="13" t="s">
        <v>165</v>
      </c>
      <c r="J83" s="14">
        <v>1</v>
      </c>
      <c r="K83" s="14">
        <v>69</v>
      </c>
      <c r="L83" s="15">
        <v>227.7</v>
      </c>
      <c r="M83" s="15">
        <v>227.7</v>
      </c>
    </row>
    <row r="84" spans="4:13">
      <c r="D84" s="12">
        <v>46048</v>
      </c>
      <c r="E84" s="13">
        <v>1573651</v>
      </c>
      <c r="F84" s="13" t="s">
        <v>143</v>
      </c>
      <c r="G84" s="14">
        <v>20303737</v>
      </c>
      <c r="H84" s="13" t="s">
        <v>167</v>
      </c>
      <c r="I84" s="13" t="s">
        <v>165</v>
      </c>
      <c r="J84" s="14">
        <v>1</v>
      </c>
      <c r="K84" s="14">
        <v>57</v>
      </c>
      <c r="L84" s="15">
        <v>188.1</v>
      </c>
      <c r="M84" s="15">
        <v>188.1</v>
      </c>
    </row>
    <row r="85" spans="4:13">
      <c r="D85" s="12">
        <v>46048</v>
      </c>
      <c r="E85" s="13">
        <v>1573651</v>
      </c>
      <c r="F85" s="13" t="s">
        <v>15</v>
      </c>
      <c r="G85" s="14">
        <v>20303987</v>
      </c>
      <c r="H85" s="13" t="s">
        <v>169</v>
      </c>
      <c r="I85" s="13" t="s">
        <v>170</v>
      </c>
      <c r="J85" s="14">
        <v>1</v>
      </c>
      <c r="K85" s="14">
        <v>1</v>
      </c>
      <c r="L85" s="15">
        <v>9.9</v>
      </c>
      <c r="M85" s="15">
        <v>9.9</v>
      </c>
    </row>
    <row r="86" spans="4:13">
      <c r="D86" s="12">
        <v>46048</v>
      </c>
      <c r="E86" s="13">
        <v>1573651</v>
      </c>
      <c r="F86" s="13" t="s">
        <v>28</v>
      </c>
      <c r="G86" s="14">
        <v>20324352</v>
      </c>
      <c r="H86" s="13" t="s">
        <v>171</v>
      </c>
      <c r="I86" s="13" t="s">
        <v>75</v>
      </c>
      <c r="J86" s="14">
        <v>1</v>
      </c>
      <c r="K86" s="14">
        <v>5</v>
      </c>
      <c r="L86" s="15">
        <v>16.5</v>
      </c>
      <c r="M86" s="15">
        <v>16.5</v>
      </c>
    </row>
    <row r="87" spans="4:13">
      <c r="D87" s="12">
        <v>46049</v>
      </c>
      <c r="E87" s="13">
        <v>1574044</v>
      </c>
      <c r="F87" s="13" t="s">
        <v>143</v>
      </c>
      <c r="G87" s="14">
        <v>20303706</v>
      </c>
      <c r="H87" s="13" t="s">
        <v>175</v>
      </c>
      <c r="I87" s="13" t="s">
        <v>165</v>
      </c>
      <c r="J87" s="14">
        <v>3</v>
      </c>
      <c r="K87" s="14">
        <v>72</v>
      </c>
      <c r="L87" s="15">
        <v>79.2</v>
      </c>
      <c r="M87" s="15">
        <v>237.6</v>
      </c>
    </row>
    <row r="88" spans="4:13">
      <c r="D88" s="12">
        <v>46049</v>
      </c>
      <c r="E88" s="13">
        <v>1574044</v>
      </c>
      <c r="F88" s="13" t="s">
        <v>143</v>
      </c>
      <c r="G88" s="14">
        <v>20303738</v>
      </c>
      <c r="H88" s="13" t="s">
        <v>178</v>
      </c>
      <c r="I88" s="13" t="s">
        <v>165</v>
      </c>
      <c r="J88" s="14">
        <v>1</v>
      </c>
      <c r="K88" s="14">
        <v>45</v>
      </c>
      <c r="L88" s="15">
        <v>148.5</v>
      </c>
      <c r="M88" s="15">
        <v>148.5</v>
      </c>
    </row>
    <row r="89" spans="4:13">
      <c r="D89" s="12">
        <v>46049</v>
      </c>
      <c r="E89" s="13">
        <v>1574044</v>
      </c>
      <c r="F89" s="13" t="s">
        <v>143</v>
      </c>
      <c r="G89" s="14">
        <v>20303741</v>
      </c>
      <c r="H89" s="13" t="s">
        <v>205</v>
      </c>
      <c r="I89" s="13" t="s">
        <v>165</v>
      </c>
      <c r="J89" s="14">
        <v>1</v>
      </c>
      <c r="K89" s="14">
        <v>46</v>
      </c>
      <c r="L89" s="15">
        <v>151.8</v>
      </c>
      <c r="M89" s="15">
        <v>151.8</v>
      </c>
    </row>
    <row r="90" spans="4:13">
      <c r="D90" s="12">
        <v>46049</v>
      </c>
      <c r="E90" s="13">
        <v>1574044</v>
      </c>
      <c r="F90" s="13" t="s">
        <v>143</v>
      </c>
      <c r="G90" s="14">
        <v>20343706</v>
      </c>
      <c r="H90" s="13" t="s">
        <v>208</v>
      </c>
      <c r="I90" s="13" t="s">
        <v>165</v>
      </c>
      <c r="J90" s="14">
        <v>1</v>
      </c>
      <c r="K90" s="14">
        <v>43</v>
      </c>
      <c r="L90" s="15">
        <v>141.9</v>
      </c>
      <c r="M90" s="15">
        <v>141.9</v>
      </c>
    </row>
    <row r="91" spans="4:13">
      <c r="D91" s="12">
        <v>46049</v>
      </c>
      <c r="E91" s="13">
        <v>1574044</v>
      </c>
      <c r="F91" s="13" t="s">
        <v>143</v>
      </c>
      <c r="G91" s="14">
        <v>20303752</v>
      </c>
      <c r="H91" s="13" t="s">
        <v>180</v>
      </c>
      <c r="I91" s="13" t="s">
        <v>165</v>
      </c>
      <c r="J91" s="14">
        <v>2</v>
      </c>
      <c r="K91" s="14">
        <v>58</v>
      </c>
      <c r="L91" s="15">
        <v>95.7</v>
      </c>
      <c r="M91" s="15">
        <v>191.4</v>
      </c>
    </row>
    <row r="92" spans="4:13">
      <c r="D92" s="12">
        <v>46049</v>
      </c>
      <c r="E92" s="13">
        <v>1574044</v>
      </c>
      <c r="F92" s="13" t="s">
        <v>15</v>
      </c>
      <c r="G92" s="14">
        <v>20380022</v>
      </c>
      <c r="H92" s="13" t="s">
        <v>182</v>
      </c>
      <c r="I92" s="13" t="s">
        <v>62</v>
      </c>
      <c r="J92" s="14">
        <v>1</v>
      </c>
      <c r="K92" s="14">
        <v>2</v>
      </c>
      <c r="L92" s="15">
        <v>8.1</v>
      </c>
      <c r="M92" s="15">
        <v>8.1</v>
      </c>
    </row>
    <row r="93" spans="4:13">
      <c r="D93" s="12">
        <v>46049</v>
      </c>
      <c r="E93" s="13">
        <v>1574044</v>
      </c>
      <c r="F93" s="13" t="s">
        <v>15</v>
      </c>
      <c r="G93" s="14">
        <v>20363783</v>
      </c>
      <c r="H93" s="13" t="s">
        <v>58</v>
      </c>
      <c r="I93" s="13" t="s">
        <v>48</v>
      </c>
      <c r="J93" s="14">
        <v>1</v>
      </c>
      <c r="K93" s="14">
        <v>1</v>
      </c>
      <c r="L93" s="15">
        <v>6.6</v>
      </c>
      <c r="M93" s="15">
        <v>6.6</v>
      </c>
    </row>
    <row r="94" spans="4:13">
      <c r="D94" s="12">
        <v>46049</v>
      </c>
      <c r="E94" s="13">
        <v>1574044</v>
      </c>
      <c r="F94" s="13" t="s">
        <v>15</v>
      </c>
      <c r="G94" s="14">
        <v>20377556</v>
      </c>
      <c r="H94" s="13" t="s">
        <v>209</v>
      </c>
      <c r="I94" s="13" t="s">
        <v>57</v>
      </c>
      <c r="J94" s="14">
        <v>1</v>
      </c>
      <c r="K94" s="14">
        <v>1</v>
      </c>
      <c r="L94" s="15">
        <v>4.8</v>
      </c>
      <c r="M94" s="15">
        <v>4.8</v>
      </c>
    </row>
    <row r="95" spans="4:13">
      <c r="D95" s="12">
        <v>46049</v>
      </c>
      <c r="E95" s="13">
        <v>1574044</v>
      </c>
      <c r="F95" s="13" t="s">
        <v>15</v>
      </c>
      <c r="G95" s="14">
        <v>20310417</v>
      </c>
      <c r="H95" s="13" t="s">
        <v>206</v>
      </c>
      <c r="I95" s="13" t="s">
        <v>83</v>
      </c>
      <c r="J95" s="14">
        <v>1</v>
      </c>
      <c r="K95" s="14">
        <v>2</v>
      </c>
      <c r="L95" s="15">
        <v>8.1</v>
      </c>
      <c r="M95" s="15">
        <v>8.1</v>
      </c>
    </row>
    <row r="96" spans="4:13">
      <c r="D96" s="12">
        <v>46049</v>
      </c>
      <c r="E96" s="13">
        <v>1574044</v>
      </c>
      <c r="F96" s="13" t="s">
        <v>54</v>
      </c>
      <c r="G96" s="14">
        <v>20318544</v>
      </c>
      <c r="H96" s="13" t="s">
        <v>185</v>
      </c>
      <c r="I96" s="13" t="s">
        <v>186</v>
      </c>
      <c r="J96" s="14">
        <v>2</v>
      </c>
      <c r="K96" s="14">
        <v>32</v>
      </c>
      <c r="L96" s="15">
        <v>52.8</v>
      </c>
      <c r="M96" s="15">
        <v>105.6</v>
      </c>
    </row>
    <row r="97" spans="4:13">
      <c r="D97" s="12">
        <v>46049</v>
      </c>
      <c r="E97" s="13">
        <v>1574044</v>
      </c>
      <c r="F97" s="13" t="s">
        <v>28</v>
      </c>
      <c r="G97" s="14">
        <v>20324352</v>
      </c>
      <c r="H97" s="13" t="s">
        <v>171</v>
      </c>
      <c r="I97" s="13" t="s">
        <v>75</v>
      </c>
      <c r="J97" s="14">
        <v>3</v>
      </c>
      <c r="K97" s="14">
        <v>15</v>
      </c>
      <c r="L97" s="15">
        <v>16.5</v>
      </c>
      <c r="M97" s="15">
        <v>49.5</v>
      </c>
    </row>
    <row r="98" spans="4:13">
      <c r="D98" s="12">
        <v>46049</v>
      </c>
      <c r="E98" s="13">
        <v>1574044</v>
      </c>
      <c r="F98" s="13" t="s">
        <v>28</v>
      </c>
      <c r="G98" s="14">
        <v>20402358</v>
      </c>
      <c r="H98" s="13" t="s">
        <v>187</v>
      </c>
      <c r="I98" s="13" t="s">
        <v>91</v>
      </c>
      <c r="J98" s="14">
        <v>1</v>
      </c>
      <c r="K98" s="14">
        <v>6</v>
      </c>
      <c r="L98" s="15">
        <v>19.8</v>
      </c>
      <c r="M98" s="15">
        <v>19.8</v>
      </c>
    </row>
    <row r="99" spans="4:13">
      <c r="D99" s="12">
        <v>46049</v>
      </c>
      <c r="E99" s="13">
        <v>1574044</v>
      </c>
      <c r="F99" s="13" t="s">
        <v>28</v>
      </c>
      <c r="G99" s="14">
        <v>20378900</v>
      </c>
      <c r="H99" s="13" t="s">
        <v>210</v>
      </c>
      <c r="I99" s="13" t="s">
        <v>75</v>
      </c>
      <c r="J99" s="14">
        <v>1</v>
      </c>
      <c r="K99" s="14">
        <v>2</v>
      </c>
      <c r="L99" s="15">
        <v>9.9</v>
      </c>
      <c r="M99" s="15">
        <v>9.9</v>
      </c>
    </row>
    <row r="100" spans="4:13">
      <c r="D100" s="12">
        <v>46049</v>
      </c>
      <c r="E100" s="13">
        <v>1574054</v>
      </c>
      <c r="F100" s="13" t="s">
        <v>101</v>
      </c>
      <c r="G100" s="14">
        <v>20303989</v>
      </c>
      <c r="H100" s="13" t="s">
        <v>173</v>
      </c>
      <c r="I100" s="13" t="s">
        <v>103</v>
      </c>
      <c r="J100" s="14">
        <v>1</v>
      </c>
      <c r="K100" s="14">
        <v>0</v>
      </c>
      <c r="L100" s="15">
        <v>21</v>
      </c>
      <c r="M100" s="15">
        <v>21</v>
      </c>
    </row>
    <row r="101" spans="4:13">
      <c r="D101" s="12">
        <v>46049</v>
      </c>
      <c r="E101" s="13">
        <v>1574054</v>
      </c>
      <c r="F101" s="13" t="s">
        <v>101</v>
      </c>
      <c r="G101" s="14">
        <v>20303990</v>
      </c>
      <c r="H101" s="13" t="s">
        <v>102</v>
      </c>
      <c r="I101" s="13" t="s">
        <v>103</v>
      </c>
      <c r="J101" s="14">
        <v>1</v>
      </c>
      <c r="K101" s="14">
        <v>0</v>
      </c>
      <c r="L101" s="15">
        <v>21</v>
      </c>
      <c r="M101" s="15">
        <v>21</v>
      </c>
    </row>
    <row r="102" ht="25.5" spans="4:13">
      <c r="D102" s="12">
        <v>46049</v>
      </c>
      <c r="E102" s="13">
        <v>1574057</v>
      </c>
      <c r="F102" s="13" t="s">
        <v>24</v>
      </c>
      <c r="G102" s="14">
        <v>20384741</v>
      </c>
      <c r="H102" s="13" t="s">
        <v>158</v>
      </c>
      <c r="I102" s="13" t="s">
        <v>159</v>
      </c>
      <c r="J102" s="14">
        <v>1</v>
      </c>
      <c r="K102" s="14">
        <v>1</v>
      </c>
      <c r="L102" s="15">
        <v>21</v>
      </c>
      <c r="M102" s="15">
        <v>21</v>
      </c>
    </row>
    <row r="103" spans="4:13">
      <c r="D103" s="12">
        <v>46049</v>
      </c>
      <c r="E103" s="13">
        <v>1574057</v>
      </c>
      <c r="F103" s="13" t="s">
        <v>24</v>
      </c>
      <c r="G103" s="14">
        <v>20310842</v>
      </c>
      <c r="H103" s="13" t="s">
        <v>160</v>
      </c>
      <c r="I103" s="13" t="s">
        <v>161</v>
      </c>
      <c r="J103" s="14">
        <v>3</v>
      </c>
      <c r="K103" s="14">
        <v>3</v>
      </c>
      <c r="L103" s="15">
        <v>21</v>
      </c>
      <c r="M103" s="15">
        <v>63</v>
      </c>
    </row>
    <row r="104" ht="25.5" spans="4:13">
      <c r="D104" s="12">
        <v>46049</v>
      </c>
      <c r="E104" s="13">
        <v>1574057</v>
      </c>
      <c r="F104" s="13" t="s">
        <v>24</v>
      </c>
      <c r="G104" s="14">
        <v>20310214</v>
      </c>
      <c r="H104" s="13" t="s">
        <v>211</v>
      </c>
      <c r="I104" s="13" t="s">
        <v>212</v>
      </c>
      <c r="J104" s="14">
        <v>1</v>
      </c>
      <c r="K104" s="14">
        <v>1</v>
      </c>
      <c r="L104" s="15">
        <v>21</v>
      </c>
      <c r="M104" s="15">
        <v>21</v>
      </c>
    </row>
    <row r="105" spans="4:13">
      <c r="D105" s="12">
        <v>46049</v>
      </c>
      <c r="E105" s="13">
        <v>1574057</v>
      </c>
      <c r="F105" s="13" t="s">
        <v>24</v>
      </c>
      <c r="G105" s="14">
        <v>20376500</v>
      </c>
      <c r="H105" s="13" t="s">
        <v>189</v>
      </c>
      <c r="I105" s="13" t="s">
        <v>190</v>
      </c>
      <c r="J105" s="14">
        <v>3</v>
      </c>
      <c r="K105" s="14">
        <v>3</v>
      </c>
      <c r="L105" s="15">
        <v>13.2</v>
      </c>
      <c r="M105" s="15">
        <v>39.6</v>
      </c>
    </row>
    <row r="106" spans="4:13">
      <c r="D106" s="12">
        <v>46049</v>
      </c>
      <c r="E106" s="13">
        <v>1574057</v>
      </c>
      <c r="F106" s="13" t="s">
        <v>24</v>
      </c>
      <c r="G106" s="14">
        <v>20381285</v>
      </c>
      <c r="H106" s="13" t="s">
        <v>194</v>
      </c>
      <c r="I106" s="13" t="s">
        <v>118</v>
      </c>
      <c r="J106" s="14">
        <v>1</v>
      </c>
      <c r="K106" s="14">
        <v>1</v>
      </c>
      <c r="L106" s="15">
        <v>21</v>
      </c>
      <c r="M106" s="15">
        <v>21</v>
      </c>
    </row>
    <row r="107" spans="4:13">
      <c r="D107" s="12">
        <v>46049</v>
      </c>
      <c r="E107" s="13">
        <v>1574057</v>
      </c>
      <c r="F107" s="13" t="s">
        <v>115</v>
      </c>
      <c r="G107" s="14">
        <v>20376461</v>
      </c>
      <c r="H107" s="13" t="s">
        <v>195</v>
      </c>
      <c r="I107" s="13" t="s">
        <v>118</v>
      </c>
      <c r="J107" s="14">
        <v>1</v>
      </c>
      <c r="K107" s="14">
        <v>1</v>
      </c>
      <c r="L107" s="15">
        <v>16.8</v>
      </c>
      <c r="M107" s="15">
        <v>16.8</v>
      </c>
    </row>
    <row r="108" spans="4:13">
      <c r="D108" s="12">
        <v>46049</v>
      </c>
      <c r="E108" s="13">
        <v>1574057</v>
      </c>
      <c r="F108" s="13" t="s">
        <v>115</v>
      </c>
      <c r="G108" s="14">
        <v>20313066</v>
      </c>
      <c r="H108" s="13" t="s">
        <v>196</v>
      </c>
      <c r="I108" s="13" t="s">
        <v>118</v>
      </c>
      <c r="J108" s="14">
        <v>2</v>
      </c>
      <c r="K108" s="14">
        <v>2</v>
      </c>
      <c r="L108" s="15">
        <v>16.8</v>
      </c>
      <c r="M108" s="15">
        <v>33.6</v>
      </c>
    </row>
    <row r="109" spans="4:13">
      <c r="D109" s="12">
        <v>46049</v>
      </c>
      <c r="E109" s="13">
        <v>1574057</v>
      </c>
      <c r="F109" s="13" t="s">
        <v>115</v>
      </c>
      <c r="G109" s="14">
        <v>20382013</v>
      </c>
      <c r="H109" s="13" t="s">
        <v>199</v>
      </c>
      <c r="I109" s="13" t="s">
        <v>103</v>
      </c>
      <c r="J109" s="14">
        <v>1</v>
      </c>
      <c r="K109" s="14">
        <v>5</v>
      </c>
      <c r="L109" s="15">
        <v>52.8</v>
      </c>
      <c r="M109" s="15">
        <v>52.8</v>
      </c>
    </row>
    <row r="110" spans="4:13">
      <c r="D110" s="12">
        <v>46050</v>
      </c>
      <c r="E110" s="13">
        <v>1574386</v>
      </c>
      <c r="F110" s="13" t="s">
        <v>143</v>
      </c>
      <c r="G110" s="14">
        <v>20303701</v>
      </c>
      <c r="H110" s="13" t="s">
        <v>213</v>
      </c>
      <c r="I110" s="13" t="s">
        <v>165</v>
      </c>
      <c r="J110" s="14">
        <v>1</v>
      </c>
      <c r="K110" s="14">
        <v>47</v>
      </c>
      <c r="L110" s="15">
        <v>155.1</v>
      </c>
      <c r="M110" s="15">
        <v>155.1</v>
      </c>
    </row>
    <row r="111" spans="4:13">
      <c r="D111" s="12">
        <v>46050</v>
      </c>
      <c r="E111" s="13">
        <v>1574386</v>
      </c>
      <c r="F111" s="13" t="s">
        <v>143</v>
      </c>
      <c r="G111" s="14">
        <v>20303706</v>
      </c>
      <c r="H111" s="13" t="s">
        <v>175</v>
      </c>
      <c r="I111" s="13" t="s">
        <v>165</v>
      </c>
      <c r="J111" s="14">
        <v>1</v>
      </c>
      <c r="K111" s="14">
        <v>24</v>
      </c>
      <c r="L111" s="15">
        <v>79.2</v>
      </c>
      <c r="M111" s="15">
        <v>79.2</v>
      </c>
    </row>
    <row r="112" spans="4:13">
      <c r="D112" s="12">
        <v>46050</v>
      </c>
      <c r="E112" s="13">
        <v>1574386</v>
      </c>
      <c r="F112" s="13" t="s">
        <v>143</v>
      </c>
      <c r="G112" s="14">
        <v>20303759</v>
      </c>
      <c r="H112" s="13" t="s">
        <v>214</v>
      </c>
      <c r="I112" s="13" t="s">
        <v>165</v>
      </c>
      <c r="J112" s="14">
        <v>1</v>
      </c>
      <c r="K112" s="14">
        <v>17</v>
      </c>
      <c r="L112" s="15">
        <v>56.1</v>
      </c>
      <c r="M112" s="15">
        <v>56.1</v>
      </c>
    </row>
    <row r="113" spans="4:13">
      <c r="D113" s="12">
        <v>46050</v>
      </c>
      <c r="E113" s="13">
        <v>1574386</v>
      </c>
      <c r="F113" s="13" t="s">
        <v>143</v>
      </c>
      <c r="G113" s="14">
        <v>20303721</v>
      </c>
      <c r="H113" s="13" t="s">
        <v>177</v>
      </c>
      <c r="I113" s="13" t="s">
        <v>165</v>
      </c>
      <c r="J113" s="14">
        <v>1</v>
      </c>
      <c r="K113" s="14">
        <v>35</v>
      </c>
      <c r="L113" s="15">
        <v>115.5</v>
      </c>
      <c r="M113" s="15">
        <v>115.5</v>
      </c>
    </row>
    <row r="114" spans="4:13">
      <c r="D114" s="12">
        <v>46050</v>
      </c>
      <c r="E114" s="13">
        <v>1574386</v>
      </c>
      <c r="F114" s="13" t="s">
        <v>143</v>
      </c>
      <c r="G114" s="14">
        <v>20303722</v>
      </c>
      <c r="H114" s="13" t="s">
        <v>164</v>
      </c>
      <c r="I114" s="13" t="s">
        <v>165</v>
      </c>
      <c r="J114" s="14">
        <v>2</v>
      </c>
      <c r="K114" s="14">
        <v>138</v>
      </c>
      <c r="L114" s="15">
        <v>227.7</v>
      </c>
      <c r="M114" s="15">
        <v>455.4</v>
      </c>
    </row>
    <row r="115" spans="4:13">
      <c r="D115" s="12">
        <v>46050</v>
      </c>
      <c r="E115" s="13">
        <v>1574386</v>
      </c>
      <c r="F115" s="13" t="s">
        <v>143</v>
      </c>
      <c r="G115" s="14">
        <v>20303725</v>
      </c>
      <c r="H115" s="13" t="s">
        <v>166</v>
      </c>
      <c r="I115" s="13" t="s">
        <v>165</v>
      </c>
      <c r="J115" s="14">
        <v>1</v>
      </c>
      <c r="K115" s="14">
        <v>42</v>
      </c>
      <c r="L115" s="15">
        <v>138.6</v>
      </c>
      <c r="M115" s="15">
        <v>138.6</v>
      </c>
    </row>
    <row r="116" spans="4:13">
      <c r="D116" s="12">
        <v>46050</v>
      </c>
      <c r="E116" s="13">
        <v>1574386</v>
      </c>
      <c r="F116" s="13" t="s">
        <v>143</v>
      </c>
      <c r="G116" s="14">
        <v>20303728</v>
      </c>
      <c r="H116" s="13" t="s">
        <v>215</v>
      </c>
      <c r="I116" s="13" t="s">
        <v>165</v>
      </c>
      <c r="J116" s="14">
        <v>1</v>
      </c>
      <c r="K116" s="14">
        <v>30</v>
      </c>
      <c r="L116" s="15">
        <v>99</v>
      </c>
      <c r="M116" s="15">
        <v>99</v>
      </c>
    </row>
    <row r="117" spans="4:13">
      <c r="D117" s="12">
        <v>46050</v>
      </c>
      <c r="E117" s="13">
        <v>1574386</v>
      </c>
      <c r="F117" s="13" t="s">
        <v>143</v>
      </c>
      <c r="G117" s="14">
        <v>20311301</v>
      </c>
      <c r="H117" s="13" t="s">
        <v>216</v>
      </c>
      <c r="I117" s="13" t="s">
        <v>113</v>
      </c>
      <c r="J117" s="14">
        <v>1</v>
      </c>
      <c r="K117" s="14">
        <v>16</v>
      </c>
      <c r="L117" s="15">
        <v>52.8</v>
      </c>
      <c r="M117" s="15">
        <v>52.8</v>
      </c>
    </row>
    <row r="118" spans="4:13">
      <c r="D118" s="12">
        <v>46050</v>
      </c>
      <c r="E118" s="13">
        <v>1574386</v>
      </c>
      <c r="F118" s="13" t="s">
        <v>143</v>
      </c>
      <c r="G118" s="14">
        <v>20303737</v>
      </c>
      <c r="H118" s="13" t="s">
        <v>167</v>
      </c>
      <c r="I118" s="13" t="s">
        <v>165</v>
      </c>
      <c r="J118" s="14">
        <v>1</v>
      </c>
      <c r="K118" s="14">
        <v>57</v>
      </c>
      <c r="L118" s="15">
        <v>188.1</v>
      </c>
      <c r="M118" s="15">
        <v>188.1</v>
      </c>
    </row>
    <row r="119" spans="4:13">
      <c r="D119" s="12">
        <v>46050</v>
      </c>
      <c r="E119" s="13">
        <v>1574386</v>
      </c>
      <c r="F119" s="13" t="s">
        <v>143</v>
      </c>
      <c r="G119" s="14">
        <v>20303739</v>
      </c>
      <c r="H119" s="13" t="s">
        <v>204</v>
      </c>
      <c r="I119" s="13" t="s">
        <v>165</v>
      </c>
      <c r="J119" s="14">
        <v>1</v>
      </c>
      <c r="K119" s="14">
        <v>45</v>
      </c>
      <c r="L119" s="15">
        <v>148.5</v>
      </c>
      <c r="M119" s="15">
        <v>148.5</v>
      </c>
    </row>
    <row r="120" spans="4:13">
      <c r="D120" s="12">
        <v>46050</v>
      </c>
      <c r="E120" s="13">
        <v>1574386</v>
      </c>
      <c r="F120" s="13" t="s">
        <v>143</v>
      </c>
      <c r="G120" s="14">
        <v>20303752</v>
      </c>
      <c r="H120" s="13" t="s">
        <v>180</v>
      </c>
      <c r="I120" s="13" t="s">
        <v>165</v>
      </c>
      <c r="J120" s="14">
        <v>3</v>
      </c>
      <c r="K120" s="14">
        <v>87</v>
      </c>
      <c r="L120" s="15">
        <v>95.7</v>
      </c>
      <c r="M120" s="15">
        <v>287.1</v>
      </c>
    </row>
    <row r="121" spans="4:13">
      <c r="D121" s="12">
        <v>46050</v>
      </c>
      <c r="E121" s="13">
        <v>1574386</v>
      </c>
      <c r="F121" s="13" t="s">
        <v>143</v>
      </c>
      <c r="G121" s="14">
        <v>20303731</v>
      </c>
      <c r="H121" s="13" t="s">
        <v>217</v>
      </c>
      <c r="I121" s="13" t="s">
        <v>165</v>
      </c>
      <c r="J121" s="14">
        <v>1</v>
      </c>
      <c r="K121" s="14">
        <v>23</v>
      </c>
      <c r="L121" s="15">
        <v>75.9</v>
      </c>
      <c r="M121" s="15">
        <v>75.9</v>
      </c>
    </row>
    <row r="122" spans="4:13">
      <c r="D122" s="12">
        <v>46050</v>
      </c>
      <c r="E122" s="13">
        <v>1574386</v>
      </c>
      <c r="F122" s="13" t="s">
        <v>143</v>
      </c>
      <c r="G122" s="14">
        <v>20303792</v>
      </c>
      <c r="H122" s="13" t="s">
        <v>168</v>
      </c>
      <c r="I122" s="13" t="s">
        <v>165</v>
      </c>
      <c r="J122" s="14">
        <v>2</v>
      </c>
      <c r="K122" s="14">
        <v>76</v>
      </c>
      <c r="L122" s="15">
        <v>125.4</v>
      </c>
      <c r="M122" s="15">
        <v>250.8</v>
      </c>
    </row>
    <row r="123" spans="4:13">
      <c r="D123" s="12">
        <v>46050</v>
      </c>
      <c r="E123" s="13">
        <v>1574386</v>
      </c>
      <c r="F123" s="13" t="s">
        <v>218</v>
      </c>
      <c r="G123" s="14">
        <v>20408516</v>
      </c>
      <c r="H123" s="13" t="s">
        <v>219</v>
      </c>
      <c r="I123" s="13" t="s">
        <v>113</v>
      </c>
      <c r="J123" s="14">
        <v>1</v>
      </c>
      <c r="K123" s="14">
        <v>5</v>
      </c>
      <c r="L123" s="15">
        <v>16.5</v>
      </c>
      <c r="M123" s="15">
        <v>16.5</v>
      </c>
    </row>
    <row r="124" spans="4:13">
      <c r="D124" s="12">
        <v>46050</v>
      </c>
      <c r="E124" s="13">
        <v>1574386</v>
      </c>
      <c r="F124" s="13" t="s">
        <v>218</v>
      </c>
      <c r="G124" s="14">
        <v>20411016</v>
      </c>
      <c r="H124" s="13" t="s">
        <v>220</v>
      </c>
      <c r="I124" s="13" t="s">
        <v>113</v>
      </c>
      <c r="J124" s="14">
        <v>1</v>
      </c>
      <c r="K124" s="14">
        <v>5</v>
      </c>
      <c r="L124" s="15">
        <v>16.5</v>
      </c>
      <c r="M124" s="15">
        <v>16.5</v>
      </c>
    </row>
    <row r="125" spans="4:13">
      <c r="D125" s="12">
        <v>46050</v>
      </c>
      <c r="E125" s="13">
        <v>1574386</v>
      </c>
      <c r="F125" s="13" t="s">
        <v>15</v>
      </c>
      <c r="G125" s="14">
        <v>20310170</v>
      </c>
      <c r="H125" s="13" t="s">
        <v>221</v>
      </c>
      <c r="I125" s="13" t="s">
        <v>48</v>
      </c>
      <c r="J125" s="14">
        <v>1</v>
      </c>
      <c r="K125" s="14">
        <v>2</v>
      </c>
      <c r="L125" s="15">
        <v>9.9</v>
      </c>
      <c r="M125" s="15">
        <v>9.9</v>
      </c>
    </row>
    <row r="126" spans="4:13">
      <c r="D126" s="12">
        <v>46050</v>
      </c>
      <c r="E126" s="13">
        <v>1574386</v>
      </c>
      <c r="F126" s="13" t="s">
        <v>15</v>
      </c>
      <c r="G126" s="14">
        <v>20380022</v>
      </c>
      <c r="H126" s="13" t="s">
        <v>182</v>
      </c>
      <c r="I126" s="13" t="s">
        <v>62</v>
      </c>
      <c r="J126" s="14">
        <v>1</v>
      </c>
      <c r="K126" s="14">
        <v>2</v>
      </c>
      <c r="L126" s="15">
        <v>8.1</v>
      </c>
      <c r="M126" s="15">
        <v>8.1</v>
      </c>
    </row>
    <row r="127" spans="4:13">
      <c r="D127" s="12">
        <v>46050</v>
      </c>
      <c r="E127" s="13">
        <v>1574386</v>
      </c>
      <c r="F127" s="13" t="s">
        <v>15</v>
      </c>
      <c r="G127" s="14">
        <v>20377556</v>
      </c>
      <c r="H127" s="13" t="s">
        <v>209</v>
      </c>
      <c r="I127" s="13" t="s">
        <v>57</v>
      </c>
      <c r="J127" s="14">
        <v>1</v>
      </c>
      <c r="K127" s="14">
        <v>1</v>
      </c>
      <c r="L127" s="15">
        <v>4.8</v>
      </c>
      <c r="M127" s="15">
        <v>4.8</v>
      </c>
    </row>
    <row r="128" spans="4:13">
      <c r="D128" s="12">
        <v>46050</v>
      </c>
      <c r="E128" s="13">
        <v>1574386</v>
      </c>
      <c r="F128" s="13" t="s">
        <v>54</v>
      </c>
      <c r="G128" s="14">
        <v>20318544</v>
      </c>
      <c r="H128" s="13" t="s">
        <v>185</v>
      </c>
      <c r="I128" s="13" t="s">
        <v>186</v>
      </c>
      <c r="J128" s="14">
        <v>1</v>
      </c>
      <c r="K128" s="14">
        <v>16</v>
      </c>
      <c r="L128" s="15">
        <v>52.8</v>
      </c>
      <c r="M128" s="15">
        <v>52.8</v>
      </c>
    </row>
    <row r="129" spans="4:13">
      <c r="D129" s="12">
        <v>46050</v>
      </c>
      <c r="E129" s="13">
        <v>1574386</v>
      </c>
      <c r="F129" s="13" t="s">
        <v>28</v>
      </c>
      <c r="G129" s="14">
        <v>20324352</v>
      </c>
      <c r="H129" s="13" t="s">
        <v>171</v>
      </c>
      <c r="I129" s="13" t="s">
        <v>75</v>
      </c>
      <c r="J129" s="14">
        <v>9</v>
      </c>
      <c r="K129" s="14">
        <v>45</v>
      </c>
      <c r="L129" s="15">
        <v>16.5</v>
      </c>
      <c r="M129" s="15">
        <v>148.5</v>
      </c>
    </row>
    <row r="130" spans="4:13">
      <c r="D130" s="12">
        <v>46050</v>
      </c>
      <c r="E130" s="13">
        <v>1574386</v>
      </c>
      <c r="F130" s="13" t="s">
        <v>28</v>
      </c>
      <c r="G130" s="14">
        <v>20410302</v>
      </c>
      <c r="H130" s="13" t="s">
        <v>222</v>
      </c>
      <c r="I130" s="13" t="s">
        <v>91</v>
      </c>
      <c r="J130" s="14">
        <v>1</v>
      </c>
      <c r="K130" s="14">
        <v>6</v>
      </c>
      <c r="L130" s="15">
        <v>19.8</v>
      </c>
      <c r="M130" s="15">
        <v>19.8</v>
      </c>
    </row>
    <row r="131" spans="4:13">
      <c r="D131" s="12">
        <v>46050</v>
      </c>
      <c r="E131" s="13">
        <v>1574392</v>
      </c>
      <c r="F131" s="13" t="s">
        <v>24</v>
      </c>
      <c r="G131" s="14">
        <v>20310842</v>
      </c>
      <c r="H131" s="13" t="s">
        <v>160</v>
      </c>
      <c r="I131" s="13" t="s">
        <v>161</v>
      </c>
      <c r="J131" s="14">
        <v>2</v>
      </c>
      <c r="K131" s="14">
        <v>2</v>
      </c>
      <c r="L131" s="15">
        <v>21</v>
      </c>
      <c r="M131" s="15">
        <v>42</v>
      </c>
    </row>
    <row r="132" spans="4:13">
      <c r="D132" s="12">
        <v>46050</v>
      </c>
      <c r="E132" s="13">
        <v>1574392</v>
      </c>
      <c r="F132" s="13" t="s">
        <v>24</v>
      </c>
      <c r="G132" s="14">
        <v>20309562</v>
      </c>
      <c r="H132" s="13" t="s">
        <v>188</v>
      </c>
      <c r="I132" s="13" t="s">
        <v>161</v>
      </c>
      <c r="J132" s="14">
        <v>2</v>
      </c>
      <c r="K132" s="14">
        <v>2</v>
      </c>
      <c r="L132" s="15">
        <v>21</v>
      </c>
      <c r="M132" s="15">
        <v>42</v>
      </c>
    </row>
    <row r="133" spans="4:13">
      <c r="D133" s="12">
        <v>46050</v>
      </c>
      <c r="E133" s="13">
        <v>1574392</v>
      </c>
      <c r="F133" s="13" t="s">
        <v>24</v>
      </c>
      <c r="G133" s="14">
        <v>20376500</v>
      </c>
      <c r="H133" s="13" t="s">
        <v>189</v>
      </c>
      <c r="I133" s="13" t="s">
        <v>190</v>
      </c>
      <c r="J133" s="14">
        <v>1</v>
      </c>
      <c r="K133" s="14">
        <v>1</v>
      </c>
      <c r="L133" s="15">
        <v>13.2</v>
      </c>
      <c r="M133" s="15">
        <v>13.2</v>
      </c>
    </row>
    <row r="134" spans="4:13">
      <c r="D134" s="12">
        <v>46050</v>
      </c>
      <c r="E134" s="13">
        <v>1574392</v>
      </c>
      <c r="F134" s="13" t="s">
        <v>24</v>
      </c>
      <c r="G134" s="14">
        <v>20316143</v>
      </c>
      <c r="H134" s="13" t="s">
        <v>192</v>
      </c>
      <c r="I134" s="13" t="s">
        <v>118</v>
      </c>
      <c r="J134" s="14">
        <v>1</v>
      </c>
      <c r="K134" s="14">
        <v>1</v>
      </c>
      <c r="L134" s="15">
        <v>16.8</v>
      </c>
      <c r="M134" s="15">
        <v>16.8</v>
      </c>
    </row>
    <row r="135" spans="4:13">
      <c r="D135" s="12">
        <v>46050</v>
      </c>
      <c r="E135" s="13">
        <v>1574392</v>
      </c>
      <c r="F135" s="13" t="s">
        <v>24</v>
      </c>
      <c r="G135" s="14">
        <v>20310370</v>
      </c>
      <c r="H135" s="13" t="s">
        <v>193</v>
      </c>
      <c r="I135" s="13" t="s">
        <v>118</v>
      </c>
      <c r="J135" s="14">
        <v>2</v>
      </c>
      <c r="K135" s="14">
        <v>4</v>
      </c>
      <c r="L135" s="15">
        <v>26.4</v>
      </c>
      <c r="M135" s="15">
        <v>52.8</v>
      </c>
    </row>
    <row r="136" spans="4:13">
      <c r="D136" s="12">
        <v>46050</v>
      </c>
      <c r="E136" s="13">
        <v>1574392</v>
      </c>
      <c r="F136" s="13" t="s">
        <v>24</v>
      </c>
      <c r="G136" s="14">
        <v>20381285</v>
      </c>
      <c r="H136" s="13" t="s">
        <v>194</v>
      </c>
      <c r="I136" s="13" t="s">
        <v>118</v>
      </c>
      <c r="J136" s="14">
        <v>1</v>
      </c>
      <c r="K136" s="14">
        <v>1</v>
      </c>
      <c r="L136" s="15">
        <v>21</v>
      </c>
      <c r="M136" s="15">
        <v>21</v>
      </c>
    </row>
    <row r="137" ht="25.5" spans="4:13">
      <c r="D137" s="12">
        <v>46050</v>
      </c>
      <c r="E137" s="13">
        <v>1574392</v>
      </c>
      <c r="F137" s="13" t="s">
        <v>24</v>
      </c>
      <c r="G137" s="14">
        <v>20381283</v>
      </c>
      <c r="H137" s="13" t="s">
        <v>223</v>
      </c>
      <c r="I137" s="13" t="s">
        <v>118</v>
      </c>
      <c r="J137" s="14">
        <v>1</v>
      </c>
      <c r="K137" s="14">
        <v>1</v>
      </c>
      <c r="L137" s="15">
        <v>21</v>
      </c>
      <c r="M137" s="15">
        <v>21</v>
      </c>
    </row>
    <row r="138" spans="4:13">
      <c r="D138" s="12">
        <v>46050</v>
      </c>
      <c r="E138" s="13">
        <v>1574392</v>
      </c>
      <c r="F138" s="13" t="s">
        <v>24</v>
      </c>
      <c r="G138" s="14">
        <v>20305124</v>
      </c>
      <c r="H138" s="13" t="s">
        <v>162</v>
      </c>
      <c r="I138" s="13" t="s">
        <v>159</v>
      </c>
      <c r="J138" s="14">
        <v>1</v>
      </c>
      <c r="K138" s="14">
        <v>1</v>
      </c>
      <c r="L138" s="15">
        <v>21</v>
      </c>
      <c r="M138" s="15">
        <v>21</v>
      </c>
    </row>
    <row r="139" spans="4:13">
      <c r="D139" s="12">
        <v>46050</v>
      </c>
      <c r="E139" s="13">
        <v>1574392</v>
      </c>
      <c r="F139" s="13" t="s">
        <v>24</v>
      </c>
      <c r="G139" s="14">
        <v>20309561</v>
      </c>
      <c r="H139" s="13" t="s">
        <v>224</v>
      </c>
      <c r="I139" s="13" t="s">
        <v>118</v>
      </c>
      <c r="J139" s="14">
        <v>1</v>
      </c>
      <c r="K139" s="14">
        <v>1</v>
      </c>
      <c r="L139" s="15">
        <v>16.8</v>
      </c>
      <c r="M139" s="15">
        <v>16.8</v>
      </c>
    </row>
    <row r="140" spans="4:13">
      <c r="D140" s="12">
        <v>46050</v>
      </c>
      <c r="E140" s="13">
        <v>1574392</v>
      </c>
      <c r="F140" s="13" t="s">
        <v>24</v>
      </c>
      <c r="G140" s="14">
        <v>20309563</v>
      </c>
      <c r="H140" s="13" t="s">
        <v>225</v>
      </c>
      <c r="I140" s="13" t="s">
        <v>161</v>
      </c>
      <c r="J140" s="14">
        <v>1</v>
      </c>
      <c r="K140" s="14">
        <v>1</v>
      </c>
      <c r="L140" s="15">
        <v>21</v>
      </c>
      <c r="M140" s="15">
        <v>21</v>
      </c>
    </row>
    <row r="141" ht="25.5" spans="4:13">
      <c r="D141" s="12">
        <v>46050</v>
      </c>
      <c r="E141" s="13">
        <v>1574392</v>
      </c>
      <c r="F141" s="13" t="s">
        <v>24</v>
      </c>
      <c r="G141" s="14">
        <v>20305095</v>
      </c>
      <c r="H141" s="13" t="s">
        <v>203</v>
      </c>
      <c r="I141" s="13" t="s">
        <v>159</v>
      </c>
      <c r="J141" s="14">
        <v>1</v>
      </c>
      <c r="K141" s="14">
        <v>1</v>
      </c>
      <c r="L141" s="15">
        <v>21</v>
      </c>
      <c r="M141" s="15">
        <v>21</v>
      </c>
    </row>
    <row r="142" spans="4:13">
      <c r="D142" s="12">
        <v>46050</v>
      </c>
      <c r="E142" s="13">
        <v>1574392</v>
      </c>
      <c r="F142" s="13" t="s">
        <v>115</v>
      </c>
      <c r="G142" s="14">
        <v>20376461</v>
      </c>
      <c r="H142" s="13" t="s">
        <v>195</v>
      </c>
      <c r="I142" s="13" t="s">
        <v>118</v>
      </c>
      <c r="J142" s="14">
        <v>1</v>
      </c>
      <c r="K142" s="14">
        <v>1</v>
      </c>
      <c r="L142" s="15">
        <v>16.8</v>
      </c>
      <c r="M142" s="15">
        <v>16.8</v>
      </c>
    </row>
    <row r="143" spans="4:13">
      <c r="D143" s="12">
        <v>46050</v>
      </c>
      <c r="E143" s="13">
        <v>1574392</v>
      </c>
      <c r="F143" s="13" t="s">
        <v>115</v>
      </c>
      <c r="G143" s="14">
        <v>20376462</v>
      </c>
      <c r="H143" s="13" t="s">
        <v>163</v>
      </c>
      <c r="I143" s="13" t="s">
        <v>118</v>
      </c>
      <c r="J143" s="14">
        <v>1</v>
      </c>
      <c r="K143" s="14">
        <v>1</v>
      </c>
      <c r="L143" s="15">
        <v>16.8</v>
      </c>
      <c r="M143" s="15">
        <v>16.8</v>
      </c>
    </row>
    <row r="144" spans="4:13">
      <c r="D144" s="12">
        <v>46050</v>
      </c>
      <c r="E144" s="13">
        <v>1574392</v>
      </c>
      <c r="F144" s="13" t="s">
        <v>115</v>
      </c>
      <c r="G144" s="14">
        <v>20315812</v>
      </c>
      <c r="H144" s="13" t="s">
        <v>226</v>
      </c>
      <c r="I144" s="13" t="s">
        <v>118</v>
      </c>
      <c r="J144" s="14">
        <v>1</v>
      </c>
      <c r="K144" s="14">
        <v>1</v>
      </c>
      <c r="L144" s="15">
        <v>16.8</v>
      </c>
      <c r="M144" s="15">
        <v>16.8</v>
      </c>
    </row>
    <row r="145" spans="4:13">
      <c r="D145" s="12">
        <v>46050</v>
      </c>
      <c r="E145" s="13">
        <v>1574392</v>
      </c>
      <c r="F145" s="13" t="s">
        <v>115</v>
      </c>
      <c r="G145" s="14">
        <v>20382013</v>
      </c>
      <c r="H145" s="13" t="s">
        <v>199</v>
      </c>
      <c r="I145" s="13" t="s">
        <v>103</v>
      </c>
      <c r="J145" s="14">
        <v>1</v>
      </c>
      <c r="K145" s="14">
        <v>5</v>
      </c>
      <c r="L145" s="15">
        <v>52.8</v>
      </c>
      <c r="M145" s="15">
        <v>52.8</v>
      </c>
    </row>
    <row r="146" spans="4:13">
      <c r="D146" s="12">
        <v>46050</v>
      </c>
      <c r="E146" s="13">
        <v>1574392</v>
      </c>
      <c r="F146" s="13" t="s">
        <v>115</v>
      </c>
      <c r="G146" s="14">
        <v>20377559</v>
      </c>
      <c r="H146" s="13" t="s">
        <v>200</v>
      </c>
      <c r="I146" s="13" t="s">
        <v>118</v>
      </c>
      <c r="J146" s="14">
        <v>1</v>
      </c>
      <c r="K146" s="14">
        <v>1</v>
      </c>
      <c r="L146" s="15">
        <v>16.8</v>
      </c>
      <c r="M146" s="15">
        <v>16.8</v>
      </c>
    </row>
    <row r="147" spans="4:13">
      <c r="D147" s="12">
        <v>46051</v>
      </c>
      <c r="E147" s="13">
        <v>1574553</v>
      </c>
      <c r="F147" s="13" t="s">
        <v>143</v>
      </c>
      <c r="G147" s="14">
        <v>20303722</v>
      </c>
      <c r="H147" s="13" t="s">
        <v>164</v>
      </c>
      <c r="I147" s="13" t="s">
        <v>165</v>
      </c>
      <c r="J147" s="14">
        <v>1</v>
      </c>
      <c r="K147" s="14">
        <v>69</v>
      </c>
      <c r="L147" s="15">
        <v>227.7</v>
      </c>
      <c r="M147" s="15">
        <v>227.7</v>
      </c>
    </row>
    <row r="148" spans="4:13">
      <c r="D148" s="12">
        <v>46051</v>
      </c>
      <c r="E148" s="13">
        <v>1574553</v>
      </c>
      <c r="F148" s="13" t="s">
        <v>143</v>
      </c>
      <c r="G148" s="14">
        <v>20303741</v>
      </c>
      <c r="H148" s="13" t="s">
        <v>205</v>
      </c>
      <c r="I148" s="13" t="s">
        <v>165</v>
      </c>
      <c r="J148" s="14">
        <v>1</v>
      </c>
      <c r="K148" s="14">
        <v>46</v>
      </c>
      <c r="L148" s="15">
        <v>151.8</v>
      </c>
      <c r="M148" s="15">
        <v>151.8</v>
      </c>
    </row>
    <row r="149" spans="4:13">
      <c r="D149" s="12">
        <v>46051</v>
      </c>
      <c r="E149" s="13">
        <v>1574553</v>
      </c>
      <c r="F149" s="13" t="s">
        <v>143</v>
      </c>
      <c r="G149" s="14">
        <v>20303752</v>
      </c>
      <c r="H149" s="13" t="s">
        <v>180</v>
      </c>
      <c r="I149" s="13" t="s">
        <v>165</v>
      </c>
      <c r="J149" s="14">
        <v>1</v>
      </c>
      <c r="K149" s="14">
        <v>29</v>
      </c>
      <c r="L149" s="15">
        <v>95.7</v>
      </c>
      <c r="M149" s="15">
        <v>95.7</v>
      </c>
    </row>
    <row r="150" spans="4:13">
      <c r="D150" s="12">
        <v>46051</v>
      </c>
      <c r="E150" s="13">
        <v>1574553</v>
      </c>
      <c r="F150" s="13" t="s">
        <v>15</v>
      </c>
      <c r="G150" s="14">
        <v>20311277</v>
      </c>
      <c r="H150" s="13" t="s">
        <v>84</v>
      </c>
      <c r="I150" s="13" t="s">
        <v>57</v>
      </c>
      <c r="J150" s="14">
        <v>1</v>
      </c>
      <c r="K150" s="14">
        <v>1</v>
      </c>
      <c r="L150" s="15">
        <v>4.8</v>
      </c>
      <c r="M150" s="15">
        <v>4.8</v>
      </c>
    </row>
    <row r="151" spans="4:13">
      <c r="D151" s="12">
        <v>46051</v>
      </c>
      <c r="E151" s="13">
        <v>1574553</v>
      </c>
      <c r="F151" s="13" t="s">
        <v>15</v>
      </c>
      <c r="G151" s="14">
        <v>20303987</v>
      </c>
      <c r="H151" s="13" t="s">
        <v>169</v>
      </c>
      <c r="I151" s="13" t="s">
        <v>170</v>
      </c>
      <c r="J151" s="14">
        <v>1</v>
      </c>
      <c r="K151" s="14">
        <v>1</v>
      </c>
      <c r="L151" s="15">
        <v>9.9</v>
      </c>
      <c r="M151" s="15">
        <v>9.9</v>
      </c>
    </row>
    <row r="152" spans="4:13">
      <c r="D152" s="12">
        <v>46051</v>
      </c>
      <c r="E152" s="13">
        <v>1574553</v>
      </c>
      <c r="F152" s="13" t="s">
        <v>28</v>
      </c>
      <c r="G152" s="14">
        <v>20324352</v>
      </c>
      <c r="H152" s="13" t="s">
        <v>171</v>
      </c>
      <c r="I152" s="13" t="s">
        <v>75</v>
      </c>
      <c r="J152" s="14">
        <v>2</v>
      </c>
      <c r="K152" s="14">
        <v>10</v>
      </c>
      <c r="L152" s="15">
        <v>16.5</v>
      </c>
      <c r="M152" s="15">
        <v>33</v>
      </c>
    </row>
    <row r="153" spans="4:13">
      <c r="D153" s="12">
        <v>46051</v>
      </c>
      <c r="E153" s="13">
        <v>1574568</v>
      </c>
      <c r="F153" s="13" t="s">
        <v>24</v>
      </c>
      <c r="G153" s="14">
        <v>20310842</v>
      </c>
      <c r="H153" s="13" t="s">
        <v>160</v>
      </c>
      <c r="I153" s="13" t="s">
        <v>161</v>
      </c>
      <c r="J153" s="14">
        <v>1</v>
      </c>
      <c r="K153" s="14">
        <v>1</v>
      </c>
      <c r="L153" s="15">
        <v>21</v>
      </c>
      <c r="M153" s="15">
        <v>21</v>
      </c>
    </row>
    <row r="154" spans="4:13">
      <c r="D154" s="12">
        <v>46051</v>
      </c>
      <c r="E154" s="13">
        <v>1574568</v>
      </c>
      <c r="F154" s="13" t="s">
        <v>24</v>
      </c>
      <c r="G154" s="14">
        <v>20309562</v>
      </c>
      <c r="H154" s="13" t="s">
        <v>188</v>
      </c>
      <c r="I154" s="13" t="s">
        <v>161</v>
      </c>
      <c r="J154" s="14">
        <v>1</v>
      </c>
      <c r="K154" s="14">
        <v>1</v>
      </c>
      <c r="L154" s="15">
        <v>21</v>
      </c>
      <c r="M154" s="15">
        <v>21</v>
      </c>
    </row>
    <row r="155" ht="25.5" spans="4:13">
      <c r="D155" s="12">
        <v>46051</v>
      </c>
      <c r="E155" s="13">
        <v>1574568</v>
      </c>
      <c r="F155" s="13" t="s">
        <v>24</v>
      </c>
      <c r="G155" s="14">
        <v>20305095</v>
      </c>
      <c r="H155" s="13" t="s">
        <v>203</v>
      </c>
      <c r="I155" s="13" t="s">
        <v>159</v>
      </c>
      <c r="J155" s="14">
        <v>2</v>
      </c>
      <c r="K155" s="14">
        <v>2</v>
      </c>
      <c r="L155" s="15">
        <v>21</v>
      </c>
      <c r="M155" s="15">
        <v>42</v>
      </c>
    </row>
    <row r="156" spans="4:13">
      <c r="D156" s="12">
        <v>46051</v>
      </c>
      <c r="E156" s="13">
        <v>1574568</v>
      </c>
      <c r="F156" s="13" t="s">
        <v>115</v>
      </c>
      <c r="G156" s="14">
        <v>20313066</v>
      </c>
      <c r="H156" s="13" t="s">
        <v>196</v>
      </c>
      <c r="I156" s="13" t="s">
        <v>118</v>
      </c>
      <c r="J156" s="14">
        <v>1</v>
      </c>
      <c r="K156" s="14">
        <v>1</v>
      </c>
      <c r="L156" s="15">
        <v>16.8</v>
      </c>
      <c r="M156" s="15">
        <v>16.8</v>
      </c>
    </row>
    <row r="157" spans="4:13">
      <c r="D157" s="12">
        <v>46051</v>
      </c>
      <c r="E157" s="13">
        <v>1574670</v>
      </c>
      <c r="F157" s="13" t="s">
        <v>101</v>
      </c>
      <c r="G157" s="14">
        <v>20310291</v>
      </c>
      <c r="H157" s="13" t="s">
        <v>172</v>
      </c>
      <c r="I157" s="13" t="s">
        <v>30</v>
      </c>
      <c r="J157" s="14">
        <v>1</v>
      </c>
      <c r="K157" s="14">
        <v>0</v>
      </c>
      <c r="L157" s="15">
        <v>15</v>
      </c>
      <c r="M157" s="15">
        <v>15</v>
      </c>
    </row>
    <row r="158" spans="4:13">
      <c r="D158" s="12">
        <v>46051</v>
      </c>
      <c r="E158" s="13">
        <v>1574728</v>
      </c>
      <c r="F158" s="13" t="s">
        <v>101</v>
      </c>
      <c r="G158" s="14">
        <v>20303989</v>
      </c>
      <c r="H158" s="13" t="s">
        <v>173</v>
      </c>
      <c r="I158" s="13" t="s">
        <v>103</v>
      </c>
      <c r="J158" s="14">
        <v>2</v>
      </c>
      <c r="K158" s="14">
        <v>0</v>
      </c>
      <c r="L158" s="15">
        <v>21</v>
      </c>
      <c r="M158" s="15">
        <v>42</v>
      </c>
    </row>
    <row r="159" spans="4:13">
      <c r="D159" s="12">
        <v>46051</v>
      </c>
      <c r="E159" s="13">
        <v>1574728</v>
      </c>
      <c r="F159" s="13" t="s">
        <v>101</v>
      </c>
      <c r="G159" s="14">
        <v>20303990</v>
      </c>
      <c r="H159" s="13" t="s">
        <v>102</v>
      </c>
      <c r="I159" s="13" t="s">
        <v>103</v>
      </c>
      <c r="J159" s="14">
        <v>1</v>
      </c>
      <c r="K159" s="14">
        <v>0</v>
      </c>
      <c r="L159" s="15">
        <v>21</v>
      </c>
      <c r="M159" s="15">
        <v>21</v>
      </c>
    </row>
    <row r="160" spans="4:13">
      <c r="D160" s="12">
        <v>46051</v>
      </c>
      <c r="E160" s="13">
        <v>1574743</v>
      </c>
      <c r="F160" s="13" t="s">
        <v>143</v>
      </c>
      <c r="G160" s="14">
        <v>20303722</v>
      </c>
      <c r="H160" s="13" t="s">
        <v>164</v>
      </c>
      <c r="I160" s="13" t="s">
        <v>165</v>
      </c>
      <c r="J160" s="14">
        <v>1</v>
      </c>
      <c r="K160" s="14">
        <v>69</v>
      </c>
      <c r="L160" s="15">
        <v>227.7</v>
      </c>
      <c r="M160" s="15">
        <v>227.7</v>
      </c>
    </row>
    <row r="161" spans="4:13">
      <c r="D161" s="12">
        <v>46051</v>
      </c>
      <c r="E161" s="13">
        <v>1574743</v>
      </c>
      <c r="F161" s="13" t="s">
        <v>143</v>
      </c>
      <c r="G161" s="14">
        <v>20303734</v>
      </c>
      <c r="H161" s="13" t="s">
        <v>227</v>
      </c>
      <c r="I161" s="13" t="s">
        <v>165</v>
      </c>
      <c r="J161" s="14">
        <v>1</v>
      </c>
      <c r="K161" s="14">
        <v>23</v>
      </c>
      <c r="L161" s="15">
        <v>75.9</v>
      </c>
      <c r="M161" s="15">
        <v>75.9</v>
      </c>
    </row>
    <row r="162" spans="4:13">
      <c r="D162" s="12">
        <v>46051</v>
      </c>
      <c r="E162" s="13">
        <v>1574743</v>
      </c>
      <c r="F162" s="13" t="s">
        <v>143</v>
      </c>
      <c r="G162" s="14">
        <v>20303740</v>
      </c>
      <c r="H162" s="13" t="s">
        <v>179</v>
      </c>
      <c r="I162" s="13" t="s">
        <v>165</v>
      </c>
      <c r="J162" s="14">
        <v>1</v>
      </c>
      <c r="K162" s="14">
        <v>46</v>
      </c>
      <c r="L162" s="15">
        <v>151.8</v>
      </c>
      <c r="M162" s="15">
        <v>151.8</v>
      </c>
    </row>
    <row r="163" spans="4:13">
      <c r="D163" s="12">
        <v>46051</v>
      </c>
      <c r="E163" s="13">
        <v>1574743</v>
      </c>
      <c r="F163" s="13" t="s">
        <v>143</v>
      </c>
      <c r="G163" s="14">
        <v>20303788</v>
      </c>
      <c r="H163" s="13" t="s">
        <v>228</v>
      </c>
      <c r="I163" s="13" t="s">
        <v>229</v>
      </c>
      <c r="J163" s="14">
        <v>1</v>
      </c>
      <c r="K163" s="14">
        <v>14</v>
      </c>
      <c r="L163" s="15">
        <v>46.2</v>
      </c>
      <c r="M163" s="15">
        <v>46.2</v>
      </c>
    </row>
    <row r="164" spans="4:13">
      <c r="D164" s="12">
        <v>46051</v>
      </c>
      <c r="E164" s="13">
        <v>1574743</v>
      </c>
      <c r="F164" s="13" t="s">
        <v>15</v>
      </c>
      <c r="G164" s="14">
        <v>20380022</v>
      </c>
      <c r="H164" s="13" t="s">
        <v>182</v>
      </c>
      <c r="I164" s="13" t="s">
        <v>62</v>
      </c>
      <c r="J164" s="14">
        <v>1</v>
      </c>
      <c r="K164" s="14">
        <v>2</v>
      </c>
      <c r="L164" s="15">
        <v>8.1</v>
      </c>
      <c r="M164" s="15">
        <v>8.1</v>
      </c>
    </row>
    <row r="165" spans="4:13">
      <c r="D165" s="12">
        <v>46051</v>
      </c>
      <c r="E165" s="13">
        <v>1574743</v>
      </c>
      <c r="F165" s="13" t="s">
        <v>15</v>
      </c>
      <c r="G165" s="14">
        <v>20309515</v>
      </c>
      <c r="H165" s="13" t="s">
        <v>230</v>
      </c>
      <c r="I165" s="13" t="s">
        <v>48</v>
      </c>
      <c r="J165" s="14">
        <v>1</v>
      </c>
      <c r="K165" s="14">
        <v>1</v>
      </c>
      <c r="L165" s="15">
        <v>6.6</v>
      </c>
      <c r="M165" s="15">
        <v>6.6</v>
      </c>
    </row>
    <row r="166" spans="4:13">
      <c r="D166" s="12">
        <v>46051</v>
      </c>
      <c r="E166" s="13">
        <v>1574743</v>
      </c>
      <c r="F166" s="13" t="s">
        <v>15</v>
      </c>
      <c r="G166" s="14">
        <v>20309660</v>
      </c>
      <c r="H166" s="13" t="s">
        <v>231</v>
      </c>
      <c r="I166" s="13" t="s">
        <v>232</v>
      </c>
      <c r="J166" s="14">
        <v>1</v>
      </c>
      <c r="K166" s="14">
        <v>1</v>
      </c>
      <c r="L166" s="15">
        <v>7.8</v>
      </c>
      <c r="M166" s="15">
        <v>7.8</v>
      </c>
    </row>
    <row r="167" spans="4:13">
      <c r="D167" s="12">
        <v>46051</v>
      </c>
      <c r="E167" s="13">
        <v>1574743</v>
      </c>
      <c r="F167" s="13" t="s">
        <v>15</v>
      </c>
      <c r="G167" s="14">
        <v>20312218</v>
      </c>
      <c r="H167" s="13" t="s">
        <v>233</v>
      </c>
      <c r="I167" s="13" t="s">
        <v>57</v>
      </c>
      <c r="J167" s="14">
        <v>2</v>
      </c>
      <c r="K167" s="14">
        <v>2</v>
      </c>
      <c r="L167" s="15">
        <v>4.8</v>
      </c>
      <c r="M167" s="15">
        <v>9.6</v>
      </c>
    </row>
    <row r="168" spans="4:13">
      <c r="D168" s="12">
        <v>46051</v>
      </c>
      <c r="E168" s="13">
        <v>1574743</v>
      </c>
      <c r="F168" s="13" t="s">
        <v>15</v>
      </c>
      <c r="G168" s="14">
        <v>20312726</v>
      </c>
      <c r="H168" s="13" t="s">
        <v>234</v>
      </c>
      <c r="I168" s="13" t="s">
        <v>83</v>
      </c>
      <c r="J168" s="14">
        <v>1</v>
      </c>
      <c r="K168" s="14">
        <v>1</v>
      </c>
      <c r="L168" s="15">
        <v>4.8</v>
      </c>
      <c r="M168" s="15">
        <v>4.8</v>
      </c>
    </row>
    <row r="169" spans="4:13">
      <c r="D169" s="12">
        <v>46051</v>
      </c>
      <c r="E169" s="13">
        <v>1574743</v>
      </c>
      <c r="F169" s="13" t="s">
        <v>54</v>
      </c>
      <c r="G169" s="14">
        <v>20318544</v>
      </c>
      <c r="H169" s="13" t="s">
        <v>185</v>
      </c>
      <c r="I169" s="13" t="s">
        <v>186</v>
      </c>
      <c r="J169" s="14">
        <v>1</v>
      </c>
      <c r="K169" s="14">
        <v>16</v>
      </c>
      <c r="L169" s="15">
        <v>52.8</v>
      </c>
      <c r="M169" s="15">
        <v>52.8</v>
      </c>
    </row>
    <row r="170" spans="4:13">
      <c r="D170" s="12">
        <v>46051</v>
      </c>
      <c r="E170" s="13">
        <v>1574743</v>
      </c>
      <c r="F170" s="13" t="s">
        <v>54</v>
      </c>
      <c r="G170" s="14">
        <v>20303744</v>
      </c>
      <c r="H170" s="13" t="s">
        <v>235</v>
      </c>
      <c r="I170" s="13" t="s">
        <v>186</v>
      </c>
      <c r="J170" s="14">
        <v>1</v>
      </c>
      <c r="K170" s="14">
        <v>9</v>
      </c>
      <c r="L170" s="15">
        <v>29.7</v>
      </c>
      <c r="M170" s="15">
        <v>29.7</v>
      </c>
    </row>
    <row r="171" spans="4:13">
      <c r="D171" s="12">
        <v>46051</v>
      </c>
      <c r="E171" s="13">
        <v>1574743</v>
      </c>
      <c r="F171" s="13" t="s">
        <v>28</v>
      </c>
      <c r="G171" s="14">
        <v>20307295</v>
      </c>
      <c r="H171" s="13" t="s">
        <v>236</v>
      </c>
      <c r="I171" s="13" t="s">
        <v>30</v>
      </c>
      <c r="J171" s="14">
        <v>1</v>
      </c>
      <c r="K171" s="14">
        <v>4</v>
      </c>
      <c r="L171" s="15">
        <v>13.2</v>
      </c>
      <c r="M171" s="15">
        <v>13.2</v>
      </c>
    </row>
    <row r="172" spans="4:13">
      <c r="D172" s="12">
        <v>46051</v>
      </c>
      <c r="E172" s="13">
        <v>1574743</v>
      </c>
      <c r="F172" s="13" t="s">
        <v>28</v>
      </c>
      <c r="G172" s="14">
        <v>20304021</v>
      </c>
      <c r="H172" s="13" t="s">
        <v>207</v>
      </c>
      <c r="I172" s="13" t="s">
        <v>30</v>
      </c>
      <c r="J172" s="14">
        <v>1</v>
      </c>
      <c r="K172" s="14">
        <v>5</v>
      </c>
      <c r="L172" s="15">
        <v>16.5</v>
      </c>
      <c r="M172" s="15">
        <v>16.5</v>
      </c>
    </row>
    <row r="173" spans="4:13">
      <c r="D173" s="12">
        <v>46051</v>
      </c>
      <c r="E173" s="13">
        <v>1574743</v>
      </c>
      <c r="F173" s="13" t="s">
        <v>28</v>
      </c>
      <c r="G173" s="14">
        <v>20311666</v>
      </c>
      <c r="H173" s="13" t="s">
        <v>237</v>
      </c>
      <c r="I173" s="13" t="s">
        <v>30</v>
      </c>
      <c r="J173" s="14">
        <v>1</v>
      </c>
      <c r="K173" s="14">
        <v>2</v>
      </c>
      <c r="L173" s="15">
        <v>9.9</v>
      </c>
      <c r="M173" s="15">
        <v>9.9</v>
      </c>
    </row>
    <row r="174" spans="4:13">
      <c r="D174" s="12">
        <v>46051</v>
      </c>
      <c r="E174" s="13">
        <v>1574743</v>
      </c>
      <c r="F174" s="13" t="s">
        <v>28</v>
      </c>
      <c r="G174" s="14">
        <v>20312214</v>
      </c>
      <c r="H174" s="13" t="s">
        <v>238</v>
      </c>
      <c r="I174" s="13" t="s">
        <v>30</v>
      </c>
      <c r="J174" s="14">
        <v>1</v>
      </c>
      <c r="K174" s="14">
        <v>6</v>
      </c>
      <c r="L174" s="15">
        <v>19.8</v>
      </c>
      <c r="M174" s="15">
        <v>19.8</v>
      </c>
    </row>
    <row r="175" spans="4:13">
      <c r="D175" s="12">
        <v>46051</v>
      </c>
      <c r="E175" s="13">
        <v>1574743</v>
      </c>
      <c r="F175" s="13" t="s">
        <v>28</v>
      </c>
      <c r="G175" s="14">
        <v>20402358</v>
      </c>
      <c r="H175" s="13" t="s">
        <v>187</v>
      </c>
      <c r="I175" s="13" t="s">
        <v>91</v>
      </c>
      <c r="J175" s="14">
        <v>1</v>
      </c>
      <c r="K175" s="14">
        <v>6</v>
      </c>
      <c r="L175" s="15">
        <v>19.8</v>
      </c>
      <c r="M175" s="15">
        <v>19.8</v>
      </c>
    </row>
    <row r="176" spans="4:13">
      <c r="D176" s="12">
        <v>46051</v>
      </c>
      <c r="E176" s="13">
        <v>1574743</v>
      </c>
      <c r="F176" s="13" t="s">
        <v>28</v>
      </c>
      <c r="G176" s="14">
        <v>20322218</v>
      </c>
      <c r="H176" s="13" t="s">
        <v>239</v>
      </c>
      <c r="I176" s="13" t="s">
        <v>75</v>
      </c>
      <c r="J176" s="14">
        <v>2</v>
      </c>
      <c r="K176" s="14">
        <v>2</v>
      </c>
      <c r="L176" s="15">
        <v>9.9</v>
      </c>
      <c r="M176" s="15">
        <v>19.8</v>
      </c>
    </row>
    <row r="177" spans="4:13">
      <c r="D177" s="12">
        <v>46051</v>
      </c>
      <c r="E177" s="13">
        <v>1574743</v>
      </c>
      <c r="F177" s="13" t="s">
        <v>28</v>
      </c>
      <c r="G177" s="14">
        <v>20309510</v>
      </c>
      <c r="H177" s="13" t="s">
        <v>240</v>
      </c>
      <c r="I177" s="13" t="s">
        <v>91</v>
      </c>
      <c r="J177" s="14">
        <v>1</v>
      </c>
      <c r="K177" s="14">
        <v>6</v>
      </c>
      <c r="L177" s="15">
        <v>19.8</v>
      </c>
      <c r="M177" s="15">
        <v>19.8</v>
      </c>
    </row>
    <row r="178" spans="4:13">
      <c r="D178" s="12">
        <v>46051</v>
      </c>
      <c r="E178" s="13">
        <v>1574755</v>
      </c>
      <c r="F178" s="13" t="s">
        <v>24</v>
      </c>
      <c r="G178" s="14">
        <v>20310842</v>
      </c>
      <c r="H178" s="13" t="s">
        <v>160</v>
      </c>
      <c r="I178" s="13" t="s">
        <v>161</v>
      </c>
      <c r="J178" s="14">
        <v>2</v>
      </c>
      <c r="K178" s="14">
        <v>2</v>
      </c>
      <c r="L178" s="15">
        <v>21</v>
      </c>
      <c r="M178" s="15">
        <v>42</v>
      </c>
    </row>
    <row r="179" spans="4:13">
      <c r="D179" s="12">
        <v>46051</v>
      </c>
      <c r="E179" s="13">
        <v>1574755</v>
      </c>
      <c r="F179" s="13" t="s">
        <v>24</v>
      </c>
      <c r="G179" s="14">
        <v>20310094</v>
      </c>
      <c r="H179" s="13" t="s">
        <v>241</v>
      </c>
      <c r="I179" s="13" t="s">
        <v>242</v>
      </c>
      <c r="J179" s="14">
        <v>1</v>
      </c>
      <c r="K179" s="14">
        <v>1</v>
      </c>
      <c r="L179" s="15">
        <v>15</v>
      </c>
      <c r="M179" s="15">
        <v>15</v>
      </c>
    </row>
    <row r="180" spans="4:13">
      <c r="D180" s="12">
        <v>46051</v>
      </c>
      <c r="E180" s="13">
        <v>1574755</v>
      </c>
      <c r="F180" s="13" t="s">
        <v>24</v>
      </c>
      <c r="G180" s="14">
        <v>20309562</v>
      </c>
      <c r="H180" s="13" t="s">
        <v>188</v>
      </c>
      <c r="I180" s="13" t="s">
        <v>161</v>
      </c>
      <c r="J180" s="14">
        <v>1</v>
      </c>
      <c r="K180" s="14">
        <v>1</v>
      </c>
      <c r="L180" s="15">
        <v>21</v>
      </c>
      <c r="M180" s="15">
        <v>21</v>
      </c>
    </row>
    <row r="181" spans="4:13">
      <c r="D181" s="12">
        <v>46051</v>
      </c>
      <c r="E181" s="13">
        <v>1574755</v>
      </c>
      <c r="F181" s="13" t="s">
        <v>24</v>
      </c>
      <c r="G181" s="14">
        <v>20376500</v>
      </c>
      <c r="H181" s="13" t="s">
        <v>189</v>
      </c>
      <c r="I181" s="13" t="s">
        <v>190</v>
      </c>
      <c r="J181" s="14">
        <v>1</v>
      </c>
      <c r="K181" s="14">
        <v>1</v>
      </c>
      <c r="L181" s="15">
        <v>13.2</v>
      </c>
      <c r="M181" s="15">
        <v>13.2</v>
      </c>
    </row>
    <row r="182" spans="4:13">
      <c r="D182" s="12">
        <v>46051</v>
      </c>
      <c r="E182" s="13">
        <v>1574755</v>
      </c>
      <c r="F182" s="13" t="s">
        <v>24</v>
      </c>
      <c r="G182" s="14">
        <v>20376501</v>
      </c>
      <c r="H182" s="13" t="s">
        <v>191</v>
      </c>
      <c r="I182" s="13" t="s">
        <v>118</v>
      </c>
      <c r="J182" s="14">
        <v>1</v>
      </c>
      <c r="K182" s="14">
        <v>4</v>
      </c>
      <c r="L182" s="15">
        <v>52.8</v>
      </c>
      <c r="M182" s="15">
        <v>52.8</v>
      </c>
    </row>
    <row r="183" ht="25.5" spans="4:13">
      <c r="D183" s="12">
        <v>46051</v>
      </c>
      <c r="E183" s="13">
        <v>1574755</v>
      </c>
      <c r="F183" s="13" t="s">
        <v>24</v>
      </c>
      <c r="G183" s="14">
        <v>20381283</v>
      </c>
      <c r="H183" s="13" t="s">
        <v>223</v>
      </c>
      <c r="I183" s="13" t="s">
        <v>118</v>
      </c>
      <c r="J183" s="14">
        <v>1</v>
      </c>
      <c r="K183" s="14">
        <v>1</v>
      </c>
      <c r="L183" s="15">
        <v>21</v>
      </c>
      <c r="M183" s="15">
        <v>21</v>
      </c>
    </row>
    <row r="184" spans="4:13">
      <c r="D184" s="12">
        <v>46051</v>
      </c>
      <c r="E184" s="13">
        <v>1574755</v>
      </c>
      <c r="F184" s="13" t="s">
        <v>24</v>
      </c>
      <c r="G184" s="14">
        <v>20312723</v>
      </c>
      <c r="H184" s="13" t="s">
        <v>243</v>
      </c>
      <c r="I184" s="13" t="s">
        <v>118</v>
      </c>
      <c r="J184" s="14">
        <v>1</v>
      </c>
      <c r="K184" s="14">
        <v>1</v>
      </c>
      <c r="L184" s="15">
        <v>16.8</v>
      </c>
      <c r="M184" s="15">
        <v>16.8</v>
      </c>
    </row>
    <row r="185" ht="25.5" spans="4:13">
      <c r="D185" s="12">
        <v>46051</v>
      </c>
      <c r="E185" s="13">
        <v>1574755</v>
      </c>
      <c r="F185" s="13" t="s">
        <v>24</v>
      </c>
      <c r="G185" s="14">
        <v>20305095</v>
      </c>
      <c r="H185" s="13" t="s">
        <v>203</v>
      </c>
      <c r="I185" s="13" t="s">
        <v>159</v>
      </c>
      <c r="J185" s="14">
        <v>2</v>
      </c>
      <c r="K185" s="14">
        <v>2</v>
      </c>
      <c r="L185" s="15">
        <v>21</v>
      </c>
      <c r="M185" s="15">
        <v>42</v>
      </c>
    </row>
    <row r="186" spans="4:13">
      <c r="D186" s="12">
        <v>46051</v>
      </c>
      <c r="E186" s="13">
        <v>1574755</v>
      </c>
      <c r="F186" s="13" t="s">
        <v>115</v>
      </c>
      <c r="G186" s="14">
        <v>20376462</v>
      </c>
      <c r="H186" s="13" t="s">
        <v>163</v>
      </c>
      <c r="I186" s="13" t="s">
        <v>118</v>
      </c>
      <c r="J186" s="14">
        <v>1</v>
      </c>
      <c r="K186" s="14">
        <v>1</v>
      </c>
      <c r="L186" s="15">
        <v>16.8</v>
      </c>
      <c r="M186" s="15">
        <v>16.8</v>
      </c>
    </row>
    <row r="187" spans="4:13">
      <c r="D187" s="12">
        <v>46051</v>
      </c>
      <c r="E187" s="13">
        <v>1574755</v>
      </c>
      <c r="F187" s="13" t="s">
        <v>115</v>
      </c>
      <c r="G187" s="14">
        <v>20392956</v>
      </c>
      <c r="H187" s="13" t="s">
        <v>201</v>
      </c>
      <c r="I187" s="13" t="s">
        <v>118</v>
      </c>
      <c r="J187" s="14">
        <v>1</v>
      </c>
      <c r="K187" s="14">
        <v>1</v>
      </c>
      <c r="L187" s="15">
        <v>16.8</v>
      </c>
      <c r="M187" s="15">
        <v>16.8</v>
      </c>
    </row>
    <row r="188" spans="4:13">
      <c r="D188" s="12">
        <v>46052</v>
      </c>
      <c r="E188" s="13">
        <v>1574954</v>
      </c>
      <c r="F188" s="13" t="s">
        <v>143</v>
      </c>
      <c r="G188" s="14">
        <v>20303721</v>
      </c>
      <c r="H188" s="13" t="s">
        <v>177</v>
      </c>
      <c r="I188" s="13" t="s">
        <v>165</v>
      </c>
      <c r="J188" s="14">
        <v>1</v>
      </c>
      <c r="K188" s="14">
        <v>35</v>
      </c>
      <c r="L188" s="15">
        <v>115.5</v>
      </c>
      <c r="M188" s="15">
        <v>115.5</v>
      </c>
    </row>
    <row r="189" spans="4:13">
      <c r="D189" s="12">
        <v>46052</v>
      </c>
      <c r="E189" s="13">
        <v>1574954</v>
      </c>
      <c r="F189" s="13" t="s">
        <v>143</v>
      </c>
      <c r="G189" s="14">
        <v>20303732</v>
      </c>
      <c r="H189" s="13" t="s">
        <v>181</v>
      </c>
      <c r="I189" s="13" t="s">
        <v>165</v>
      </c>
      <c r="J189" s="14">
        <v>1</v>
      </c>
      <c r="K189" s="14">
        <v>38</v>
      </c>
      <c r="L189" s="15">
        <v>125.4</v>
      </c>
      <c r="M189" s="15">
        <v>125.4</v>
      </c>
    </row>
    <row r="190" ht="25.5" spans="4:13">
      <c r="D190" s="12">
        <v>46052</v>
      </c>
      <c r="E190" s="13">
        <v>1574954</v>
      </c>
      <c r="F190" s="13" t="s">
        <v>218</v>
      </c>
      <c r="G190" s="14">
        <v>20310884</v>
      </c>
      <c r="H190" s="13" t="s">
        <v>244</v>
      </c>
      <c r="I190" s="13" t="s">
        <v>113</v>
      </c>
      <c r="J190" s="14">
        <v>1</v>
      </c>
      <c r="K190" s="14">
        <v>4</v>
      </c>
      <c r="L190" s="15">
        <v>13.2</v>
      </c>
      <c r="M190" s="15">
        <v>13.2</v>
      </c>
    </row>
    <row r="191" spans="4:13">
      <c r="D191" s="12">
        <v>46052</v>
      </c>
      <c r="E191" s="13">
        <v>1574954</v>
      </c>
      <c r="F191" s="13" t="s">
        <v>28</v>
      </c>
      <c r="G191" s="14">
        <v>20324352</v>
      </c>
      <c r="H191" s="13" t="s">
        <v>171</v>
      </c>
      <c r="I191" s="13" t="s">
        <v>75</v>
      </c>
      <c r="J191" s="14">
        <v>1</v>
      </c>
      <c r="K191" s="14">
        <v>5</v>
      </c>
      <c r="L191" s="15">
        <v>16.5</v>
      </c>
      <c r="M191" s="15">
        <v>16.5</v>
      </c>
    </row>
    <row r="192" spans="4:13">
      <c r="D192" s="12">
        <v>46054</v>
      </c>
      <c r="E192" s="13">
        <v>1575356</v>
      </c>
      <c r="F192" s="13" t="s">
        <v>101</v>
      </c>
      <c r="G192" s="14">
        <v>20303989</v>
      </c>
      <c r="H192" s="13" t="s">
        <v>173</v>
      </c>
      <c r="I192" s="13" t="s">
        <v>103</v>
      </c>
      <c r="J192" s="14">
        <v>2</v>
      </c>
      <c r="K192" s="14">
        <v>0</v>
      </c>
      <c r="L192" s="15">
        <v>21</v>
      </c>
      <c r="M192" s="15">
        <v>42</v>
      </c>
    </row>
    <row r="193" spans="4:13">
      <c r="D193" s="12">
        <v>46054</v>
      </c>
      <c r="E193" s="13">
        <v>1575356</v>
      </c>
      <c r="F193" s="13" t="s">
        <v>101</v>
      </c>
      <c r="G193" s="14">
        <v>20310291</v>
      </c>
      <c r="H193" s="13" t="s">
        <v>172</v>
      </c>
      <c r="I193" s="13" t="s">
        <v>30</v>
      </c>
      <c r="J193" s="14">
        <v>1</v>
      </c>
      <c r="K193" s="14">
        <v>0</v>
      </c>
      <c r="L193" s="15">
        <v>15</v>
      </c>
      <c r="M193" s="15">
        <v>15</v>
      </c>
    </row>
    <row r="194" spans="4:13">
      <c r="D194" s="12">
        <v>46054</v>
      </c>
      <c r="E194" s="13">
        <v>1575356</v>
      </c>
      <c r="F194" s="13" t="s">
        <v>101</v>
      </c>
      <c r="G194" s="14">
        <v>20303990</v>
      </c>
      <c r="H194" s="13" t="s">
        <v>102</v>
      </c>
      <c r="I194" s="13" t="s">
        <v>103</v>
      </c>
      <c r="J194" s="14">
        <v>3</v>
      </c>
      <c r="K194" s="14">
        <v>0</v>
      </c>
      <c r="L194" s="15">
        <v>21</v>
      </c>
      <c r="M194" s="15">
        <v>63</v>
      </c>
    </row>
    <row r="195" spans="4:13">
      <c r="D195" s="12">
        <v>46055</v>
      </c>
      <c r="E195" s="13">
        <v>1575570</v>
      </c>
      <c r="F195" s="13" t="s">
        <v>24</v>
      </c>
      <c r="G195" s="14">
        <v>20324799</v>
      </c>
      <c r="H195" s="13" t="s">
        <v>245</v>
      </c>
      <c r="I195" s="13" t="s">
        <v>118</v>
      </c>
      <c r="J195" s="14">
        <v>1</v>
      </c>
      <c r="K195" s="14">
        <v>1</v>
      </c>
      <c r="L195" s="15">
        <v>16.8</v>
      </c>
      <c r="M195" s="15">
        <v>16.8</v>
      </c>
    </row>
    <row r="196" spans="4:13">
      <c r="D196" s="12">
        <v>46055</v>
      </c>
      <c r="E196" s="13">
        <v>1575570</v>
      </c>
      <c r="F196" s="13" t="s">
        <v>24</v>
      </c>
      <c r="G196" s="14">
        <v>20312247</v>
      </c>
      <c r="H196" s="13" t="s">
        <v>246</v>
      </c>
      <c r="I196" s="13" t="s">
        <v>161</v>
      </c>
      <c r="J196" s="14">
        <v>1</v>
      </c>
      <c r="K196" s="14">
        <v>1</v>
      </c>
      <c r="L196" s="15">
        <v>21</v>
      </c>
      <c r="M196" s="15">
        <v>21</v>
      </c>
    </row>
    <row r="197" spans="4:13">
      <c r="D197" s="12">
        <v>46055</v>
      </c>
      <c r="E197" s="13">
        <v>1575571</v>
      </c>
      <c r="F197" s="13" t="s">
        <v>143</v>
      </c>
      <c r="G197" s="14">
        <v>20303722</v>
      </c>
      <c r="H197" s="13" t="s">
        <v>164</v>
      </c>
      <c r="I197" s="13" t="s">
        <v>165</v>
      </c>
      <c r="J197" s="14">
        <v>1</v>
      </c>
      <c r="K197" s="14">
        <v>69</v>
      </c>
      <c r="L197" s="15">
        <v>227.7</v>
      </c>
      <c r="M197" s="15">
        <v>227.7</v>
      </c>
    </row>
    <row r="198" spans="4:13">
      <c r="D198" s="12">
        <v>46055</v>
      </c>
      <c r="E198" s="13">
        <v>1575571</v>
      </c>
      <c r="F198" s="13" t="s">
        <v>218</v>
      </c>
      <c r="G198" s="14">
        <v>20312769</v>
      </c>
      <c r="H198" s="13" t="s">
        <v>247</v>
      </c>
      <c r="I198" s="13" t="s">
        <v>113</v>
      </c>
      <c r="J198" s="14">
        <v>1</v>
      </c>
      <c r="K198" s="14">
        <v>4</v>
      </c>
      <c r="L198" s="15">
        <v>13.2</v>
      </c>
      <c r="M198" s="15">
        <v>13.2</v>
      </c>
    </row>
    <row r="199" ht="25.5" spans="4:13">
      <c r="D199" s="12">
        <v>46055</v>
      </c>
      <c r="E199" s="13">
        <v>1575571</v>
      </c>
      <c r="F199" s="13" t="s">
        <v>218</v>
      </c>
      <c r="G199" s="14">
        <v>20312245</v>
      </c>
      <c r="H199" s="13" t="s">
        <v>248</v>
      </c>
      <c r="I199" s="13" t="s">
        <v>113</v>
      </c>
      <c r="J199" s="14">
        <v>1</v>
      </c>
      <c r="K199" s="14">
        <v>9</v>
      </c>
      <c r="L199" s="15">
        <v>29.7</v>
      </c>
      <c r="M199" s="15">
        <v>29.7</v>
      </c>
    </row>
    <row r="200" spans="4:13">
      <c r="D200" s="12">
        <v>46055</v>
      </c>
      <c r="E200" s="13">
        <v>1575571</v>
      </c>
      <c r="F200" s="13" t="s">
        <v>218</v>
      </c>
      <c r="G200" s="14">
        <v>20312768</v>
      </c>
      <c r="H200" s="13" t="s">
        <v>249</v>
      </c>
      <c r="I200" s="13" t="s">
        <v>103</v>
      </c>
      <c r="J200" s="14">
        <v>1</v>
      </c>
      <c r="K200" s="14">
        <v>4</v>
      </c>
      <c r="L200" s="15">
        <v>13.2</v>
      </c>
      <c r="M200" s="15">
        <v>13.2</v>
      </c>
    </row>
    <row r="201" spans="4:13">
      <c r="D201" s="12">
        <v>46055</v>
      </c>
      <c r="E201" s="13">
        <v>1575571</v>
      </c>
      <c r="F201" s="13" t="s">
        <v>15</v>
      </c>
      <c r="G201" s="14">
        <v>20311200</v>
      </c>
      <c r="H201" s="13" t="s">
        <v>250</v>
      </c>
      <c r="I201" s="13" t="s">
        <v>60</v>
      </c>
      <c r="J201" s="14">
        <v>1</v>
      </c>
      <c r="K201" s="14">
        <v>2</v>
      </c>
      <c r="L201" s="15">
        <v>9.9</v>
      </c>
      <c r="M201" s="15">
        <v>9.9</v>
      </c>
    </row>
    <row r="202" spans="4:13">
      <c r="D202" s="12">
        <v>46055</v>
      </c>
      <c r="E202" s="13">
        <v>1575571</v>
      </c>
      <c r="F202" s="13" t="s">
        <v>15</v>
      </c>
      <c r="G202" s="14">
        <v>20314034</v>
      </c>
      <c r="H202" s="13" t="s">
        <v>132</v>
      </c>
      <c r="I202" s="13" t="s">
        <v>57</v>
      </c>
      <c r="J202" s="14">
        <v>1</v>
      </c>
      <c r="K202" s="14">
        <v>1</v>
      </c>
      <c r="L202" s="15">
        <v>6.3</v>
      </c>
      <c r="M202" s="15">
        <v>6.3</v>
      </c>
    </row>
    <row r="203" spans="4:13">
      <c r="D203" s="12">
        <v>46055</v>
      </c>
      <c r="E203" s="13">
        <v>1575571</v>
      </c>
      <c r="F203" s="13" t="s">
        <v>15</v>
      </c>
      <c r="G203" s="14">
        <v>20309381</v>
      </c>
      <c r="H203" s="13" t="s">
        <v>251</v>
      </c>
      <c r="I203" s="13" t="s">
        <v>42</v>
      </c>
      <c r="J203" s="14">
        <v>1</v>
      </c>
      <c r="K203" s="14">
        <v>1</v>
      </c>
      <c r="L203" s="15">
        <v>4.8</v>
      </c>
      <c r="M203" s="15">
        <v>4.8</v>
      </c>
    </row>
    <row r="204" spans="4:13">
      <c r="D204" s="12">
        <v>46055</v>
      </c>
      <c r="E204" s="13">
        <v>1575571</v>
      </c>
      <c r="F204" s="13" t="s">
        <v>15</v>
      </c>
      <c r="G204" s="14">
        <v>20358705</v>
      </c>
      <c r="H204" s="13" t="s">
        <v>252</v>
      </c>
      <c r="I204" s="13" t="s">
        <v>40</v>
      </c>
      <c r="J204" s="14">
        <v>2</v>
      </c>
      <c r="K204" s="14">
        <v>2</v>
      </c>
      <c r="L204" s="15">
        <v>6.6</v>
      </c>
      <c r="M204" s="15">
        <v>13.2</v>
      </c>
    </row>
    <row r="205" spans="4:13">
      <c r="D205" s="12">
        <v>46055</v>
      </c>
      <c r="E205" s="13">
        <v>1575571</v>
      </c>
      <c r="F205" s="13" t="s">
        <v>15</v>
      </c>
      <c r="G205" s="14">
        <v>20305129</v>
      </c>
      <c r="H205" s="13" t="s">
        <v>79</v>
      </c>
      <c r="I205" s="13" t="s">
        <v>17</v>
      </c>
      <c r="J205" s="14">
        <v>1</v>
      </c>
      <c r="K205" s="14">
        <v>1</v>
      </c>
      <c r="L205" s="15">
        <v>4.8</v>
      </c>
      <c r="M205" s="15">
        <v>4.8</v>
      </c>
    </row>
    <row r="206" spans="4:13">
      <c r="D206" s="12">
        <v>46055</v>
      </c>
      <c r="E206" s="13">
        <v>1575571</v>
      </c>
      <c r="F206" s="13" t="s">
        <v>15</v>
      </c>
      <c r="G206" s="14">
        <v>20303920</v>
      </c>
      <c r="H206" s="13" t="s">
        <v>45</v>
      </c>
      <c r="I206" s="13" t="s">
        <v>46</v>
      </c>
      <c r="J206" s="14">
        <v>1</v>
      </c>
      <c r="K206" s="14">
        <v>1</v>
      </c>
      <c r="L206" s="15">
        <v>4.8</v>
      </c>
      <c r="M206" s="15">
        <v>4.8</v>
      </c>
    </row>
    <row r="207" spans="4:13">
      <c r="D207" s="12">
        <v>46055</v>
      </c>
      <c r="E207" s="13">
        <v>1575571</v>
      </c>
      <c r="F207" s="13" t="s">
        <v>15</v>
      </c>
      <c r="G207" s="14">
        <v>20315868</v>
      </c>
      <c r="H207" s="13" t="s">
        <v>253</v>
      </c>
      <c r="I207" s="13" t="s">
        <v>83</v>
      </c>
      <c r="J207" s="14">
        <v>1</v>
      </c>
      <c r="K207" s="14">
        <v>2</v>
      </c>
      <c r="L207" s="15">
        <v>8.1</v>
      </c>
      <c r="M207" s="15">
        <v>8.1</v>
      </c>
    </row>
    <row r="208" spans="4:13">
      <c r="D208" s="12">
        <v>46055</v>
      </c>
      <c r="E208" s="13">
        <v>1575571</v>
      </c>
      <c r="F208" s="13" t="s">
        <v>15</v>
      </c>
      <c r="G208" s="14">
        <v>20311192</v>
      </c>
      <c r="H208" s="13" t="s">
        <v>254</v>
      </c>
      <c r="I208" s="13" t="s">
        <v>57</v>
      </c>
      <c r="J208" s="14">
        <v>1</v>
      </c>
      <c r="K208" s="14">
        <v>1</v>
      </c>
      <c r="L208" s="15">
        <v>4.8</v>
      </c>
      <c r="M208" s="15">
        <v>4.8</v>
      </c>
    </row>
    <row r="209" spans="4:13">
      <c r="D209" s="12">
        <v>46055</v>
      </c>
      <c r="E209" s="13">
        <v>1575571</v>
      </c>
      <c r="F209" s="13" t="s">
        <v>15</v>
      </c>
      <c r="G209" s="14">
        <v>20311259</v>
      </c>
      <c r="H209" s="13" t="s">
        <v>255</v>
      </c>
      <c r="I209" s="13" t="s">
        <v>83</v>
      </c>
      <c r="J209" s="14">
        <v>1</v>
      </c>
      <c r="K209" s="14">
        <v>1</v>
      </c>
      <c r="L209" s="15">
        <v>4.8</v>
      </c>
      <c r="M209" s="15">
        <v>4.8</v>
      </c>
    </row>
    <row r="210" spans="4:13">
      <c r="D210" s="12">
        <v>46055</v>
      </c>
      <c r="E210" s="13">
        <v>1575571</v>
      </c>
      <c r="F210" s="13" t="s">
        <v>15</v>
      </c>
      <c r="G210" s="14">
        <v>20305049</v>
      </c>
      <c r="H210" s="13" t="s">
        <v>16</v>
      </c>
      <c r="I210" s="13" t="s">
        <v>17</v>
      </c>
      <c r="J210" s="14">
        <v>3</v>
      </c>
      <c r="K210" s="14">
        <v>3</v>
      </c>
      <c r="L210" s="15">
        <v>4.8</v>
      </c>
      <c r="M210" s="15">
        <v>14.4</v>
      </c>
    </row>
    <row r="211" spans="4:13">
      <c r="D211" s="12">
        <v>46055</v>
      </c>
      <c r="E211" s="13">
        <v>1575571</v>
      </c>
      <c r="F211" s="13" t="s">
        <v>15</v>
      </c>
      <c r="G211" s="14">
        <v>20311074</v>
      </c>
      <c r="H211" s="13" t="s">
        <v>256</v>
      </c>
      <c r="I211" s="13" t="s">
        <v>17</v>
      </c>
      <c r="J211" s="14">
        <v>2</v>
      </c>
      <c r="K211" s="14">
        <v>2</v>
      </c>
      <c r="L211" s="15">
        <v>4.8</v>
      </c>
      <c r="M211" s="15">
        <v>9.6</v>
      </c>
    </row>
    <row r="212" spans="4:13">
      <c r="D212" s="12">
        <v>46055</v>
      </c>
      <c r="E212" s="13">
        <v>1575571</v>
      </c>
      <c r="F212" s="13" t="s">
        <v>15</v>
      </c>
      <c r="G212" s="14">
        <v>20389227</v>
      </c>
      <c r="H212" s="13" t="s">
        <v>257</v>
      </c>
      <c r="I212" s="13" t="s">
        <v>40</v>
      </c>
      <c r="J212" s="14">
        <v>1</v>
      </c>
      <c r="K212" s="14">
        <v>2</v>
      </c>
      <c r="L212" s="15">
        <v>9.9</v>
      </c>
      <c r="M212" s="15">
        <v>9.9</v>
      </c>
    </row>
    <row r="213" spans="4:13">
      <c r="D213" s="12">
        <v>46055</v>
      </c>
      <c r="E213" s="13">
        <v>1575571</v>
      </c>
      <c r="F213" s="13" t="s">
        <v>15</v>
      </c>
      <c r="G213" s="14">
        <v>20307296</v>
      </c>
      <c r="H213" s="13" t="s">
        <v>258</v>
      </c>
      <c r="I213" s="13" t="s">
        <v>32</v>
      </c>
      <c r="J213" s="14">
        <v>1</v>
      </c>
      <c r="K213" s="14">
        <v>1</v>
      </c>
      <c r="L213" s="15">
        <v>7.8</v>
      </c>
      <c r="M213" s="15">
        <v>7.8</v>
      </c>
    </row>
    <row r="214" spans="4:13">
      <c r="D214" s="12">
        <v>46055</v>
      </c>
      <c r="E214" s="13">
        <v>1575571</v>
      </c>
      <c r="F214" s="13" t="s">
        <v>15</v>
      </c>
      <c r="G214" s="14">
        <v>20351925</v>
      </c>
      <c r="H214" s="13" t="s">
        <v>259</v>
      </c>
      <c r="I214" s="13" t="s">
        <v>48</v>
      </c>
      <c r="J214" s="14">
        <v>1</v>
      </c>
      <c r="K214" s="14">
        <v>4</v>
      </c>
      <c r="L214" s="15">
        <v>13.2</v>
      </c>
      <c r="M214" s="15">
        <v>13.2</v>
      </c>
    </row>
    <row r="215" spans="4:13">
      <c r="D215" s="12">
        <v>46055</v>
      </c>
      <c r="E215" s="13">
        <v>1575571</v>
      </c>
      <c r="F215" s="13" t="s">
        <v>15</v>
      </c>
      <c r="G215" s="14">
        <v>20312246</v>
      </c>
      <c r="H215" s="13" t="s">
        <v>260</v>
      </c>
      <c r="I215" s="13" t="s">
        <v>70</v>
      </c>
      <c r="J215" s="14">
        <v>1</v>
      </c>
      <c r="K215" s="14">
        <v>3</v>
      </c>
      <c r="L215" s="15">
        <v>9.9</v>
      </c>
      <c r="M215" s="15">
        <v>9.9</v>
      </c>
    </row>
    <row r="216" spans="4:13">
      <c r="D216" s="12">
        <v>46055</v>
      </c>
      <c r="E216" s="13">
        <v>1575571</v>
      </c>
      <c r="F216" s="13" t="s">
        <v>15</v>
      </c>
      <c r="G216" s="14">
        <v>20310959</v>
      </c>
      <c r="H216" s="13" t="s">
        <v>261</v>
      </c>
      <c r="I216" s="13" t="s">
        <v>19</v>
      </c>
      <c r="J216" s="14">
        <v>3</v>
      </c>
      <c r="K216" s="14">
        <v>3</v>
      </c>
      <c r="L216" s="15">
        <v>4.8</v>
      </c>
      <c r="M216" s="15">
        <v>14.4</v>
      </c>
    </row>
    <row r="217" spans="4:13">
      <c r="D217" s="12">
        <v>46055</v>
      </c>
      <c r="E217" s="13">
        <v>1575571</v>
      </c>
      <c r="F217" s="13" t="s">
        <v>15</v>
      </c>
      <c r="G217" s="14">
        <v>20310165</v>
      </c>
      <c r="H217" s="13" t="s">
        <v>262</v>
      </c>
      <c r="I217" s="13" t="s">
        <v>57</v>
      </c>
      <c r="J217" s="14">
        <v>4</v>
      </c>
      <c r="K217" s="14">
        <v>8</v>
      </c>
      <c r="L217" s="15">
        <v>8.1</v>
      </c>
      <c r="M217" s="15">
        <v>32.4</v>
      </c>
    </row>
    <row r="218" spans="4:13">
      <c r="D218" s="12">
        <v>46055</v>
      </c>
      <c r="E218" s="13">
        <v>1575571</v>
      </c>
      <c r="F218" s="13" t="s">
        <v>15</v>
      </c>
      <c r="G218" s="14">
        <v>20313418</v>
      </c>
      <c r="H218" s="13" t="s">
        <v>263</v>
      </c>
      <c r="I218" s="13" t="s">
        <v>264</v>
      </c>
      <c r="J218" s="14">
        <v>1</v>
      </c>
      <c r="K218" s="14">
        <v>1</v>
      </c>
      <c r="L218" s="15">
        <v>4.8</v>
      </c>
      <c r="M218" s="15">
        <v>4.8</v>
      </c>
    </row>
    <row r="219" spans="4:13">
      <c r="D219" s="12">
        <v>46055</v>
      </c>
      <c r="E219" s="13">
        <v>1575571</v>
      </c>
      <c r="F219" s="13" t="s">
        <v>15</v>
      </c>
      <c r="G219" s="14">
        <v>20314406</v>
      </c>
      <c r="H219" s="13" t="s">
        <v>265</v>
      </c>
      <c r="I219" s="13" t="s">
        <v>60</v>
      </c>
      <c r="J219" s="14">
        <v>3</v>
      </c>
      <c r="K219" s="14">
        <v>6</v>
      </c>
      <c r="L219" s="15">
        <v>9.9</v>
      </c>
      <c r="M219" s="15">
        <v>29.7</v>
      </c>
    </row>
    <row r="220" spans="4:13">
      <c r="D220" s="12">
        <v>46055</v>
      </c>
      <c r="E220" s="13">
        <v>1575571</v>
      </c>
      <c r="F220" s="13" t="s">
        <v>15</v>
      </c>
      <c r="G220" s="14">
        <v>20310169</v>
      </c>
      <c r="H220" s="13" t="s">
        <v>266</v>
      </c>
      <c r="I220" s="13" t="s">
        <v>32</v>
      </c>
      <c r="J220" s="14">
        <v>1</v>
      </c>
      <c r="K220" s="14">
        <v>2</v>
      </c>
      <c r="L220" s="15">
        <v>9.9</v>
      </c>
      <c r="M220" s="15">
        <v>9.9</v>
      </c>
    </row>
    <row r="221" spans="4:13">
      <c r="D221" s="12">
        <v>46055</v>
      </c>
      <c r="E221" s="13">
        <v>1575571</v>
      </c>
      <c r="F221" s="13" t="s">
        <v>15</v>
      </c>
      <c r="G221" s="14">
        <v>20323680</v>
      </c>
      <c r="H221" s="13" t="s">
        <v>267</v>
      </c>
      <c r="I221" s="13" t="s">
        <v>32</v>
      </c>
      <c r="J221" s="14">
        <v>1</v>
      </c>
      <c r="K221" s="14">
        <v>1</v>
      </c>
      <c r="L221" s="15">
        <v>7.8</v>
      </c>
      <c r="M221" s="15">
        <v>7.8</v>
      </c>
    </row>
    <row r="222" spans="4:13">
      <c r="D222" s="12">
        <v>46055</v>
      </c>
      <c r="E222" s="13">
        <v>1575571</v>
      </c>
      <c r="F222" s="13" t="s">
        <v>15</v>
      </c>
      <c r="G222" s="14">
        <v>20311073</v>
      </c>
      <c r="H222" s="13" t="s">
        <v>268</v>
      </c>
      <c r="I222" s="13" t="s">
        <v>19</v>
      </c>
      <c r="J222" s="14">
        <v>1</v>
      </c>
      <c r="K222" s="14">
        <v>3</v>
      </c>
      <c r="L222" s="15">
        <v>9.9</v>
      </c>
      <c r="M222" s="15">
        <v>9.9</v>
      </c>
    </row>
    <row r="223" spans="4:13">
      <c r="D223" s="12">
        <v>46055</v>
      </c>
      <c r="E223" s="13">
        <v>1575571</v>
      </c>
      <c r="F223" s="13" t="s">
        <v>28</v>
      </c>
      <c r="G223" s="14">
        <v>20324352</v>
      </c>
      <c r="H223" s="13" t="s">
        <v>171</v>
      </c>
      <c r="I223" s="13" t="s">
        <v>75</v>
      </c>
      <c r="J223" s="14">
        <v>1</v>
      </c>
      <c r="K223" s="14">
        <v>5</v>
      </c>
      <c r="L223" s="15">
        <v>16.5</v>
      </c>
      <c r="M223" s="15">
        <v>16.5</v>
      </c>
    </row>
    <row r="224" spans="4:13">
      <c r="D224" s="12">
        <v>46055</v>
      </c>
      <c r="E224" s="13">
        <v>1575571</v>
      </c>
      <c r="F224" s="13" t="s">
        <v>28</v>
      </c>
      <c r="G224" s="14">
        <v>20306231</v>
      </c>
      <c r="H224" s="13" t="s">
        <v>269</v>
      </c>
      <c r="I224" s="13" t="s">
        <v>75</v>
      </c>
      <c r="J224" s="14">
        <v>1</v>
      </c>
      <c r="K224" s="14">
        <v>2</v>
      </c>
      <c r="L224" s="15">
        <v>9.9</v>
      </c>
      <c r="M224" s="15">
        <v>9.9</v>
      </c>
    </row>
    <row r="225" spans="4:13">
      <c r="D225" s="12">
        <v>46055</v>
      </c>
      <c r="E225" s="13">
        <v>1575571</v>
      </c>
      <c r="F225" s="13" t="s">
        <v>28</v>
      </c>
      <c r="G225" s="14">
        <v>20311218</v>
      </c>
      <c r="H225" s="13" t="s">
        <v>270</v>
      </c>
      <c r="I225" s="13" t="s">
        <v>75</v>
      </c>
      <c r="J225" s="14">
        <v>1</v>
      </c>
      <c r="K225" s="14">
        <v>2</v>
      </c>
      <c r="L225" s="15">
        <v>9.9</v>
      </c>
      <c r="M225" s="15">
        <v>9.9</v>
      </c>
    </row>
    <row r="226" spans="4:13">
      <c r="D226" s="12">
        <v>46056</v>
      </c>
      <c r="E226" s="13">
        <v>1575818</v>
      </c>
      <c r="F226" s="13" t="s">
        <v>143</v>
      </c>
      <c r="G226" s="14">
        <v>20310321</v>
      </c>
      <c r="H226" s="13" t="s">
        <v>174</v>
      </c>
      <c r="I226" s="13" t="s">
        <v>103</v>
      </c>
      <c r="J226" s="14">
        <v>1</v>
      </c>
      <c r="K226" s="14">
        <v>9</v>
      </c>
      <c r="L226" s="15">
        <v>29.7</v>
      </c>
      <c r="M226" s="15">
        <v>29.7</v>
      </c>
    </row>
    <row r="227" spans="4:13">
      <c r="D227" s="12">
        <v>46056</v>
      </c>
      <c r="E227" s="13">
        <v>1575818</v>
      </c>
      <c r="F227" s="13" t="s">
        <v>143</v>
      </c>
      <c r="G227" s="14">
        <v>20303721</v>
      </c>
      <c r="H227" s="13" t="s">
        <v>177</v>
      </c>
      <c r="I227" s="13" t="s">
        <v>165</v>
      </c>
      <c r="J227" s="14">
        <v>1</v>
      </c>
      <c r="K227" s="14">
        <v>35</v>
      </c>
      <c r="L227" s="15">
        <v>115.5</v>
      </c>
      <c r="M227" s="15">
        <v>115.5</v>
      </c>
    </row>
    <row r="228" spans="4:13">
      <c r="D228" s="12">
        <v>46056</v>
      </c>
      <c r="E228" s="13">
        <v>1575818</v>
      </c>
      <c r="F228" s="13" t="s">
        <v>218</v>
      </c>
      <c r="G228" s="14">
        <v>20411016</v>
      </c>
      <c r="H228" s="13" t="s">
        <v>220</v>
      </c>
      <c r="I228" s="13" t="s">
        <v>113</v>
      </c>
      <c r="J228" s="14">
        <v>1</v>
      </c>
      <c r="K228" s="14">
        <v>5</v>
      </c>
      <c r="L228" s="15">
        <v>16.5</v>
      </c>
      <c r="M228" s="15">
        <v>16.5</v>
      </c>
    </row>
    <row r="229" spans="4:13">
      <c r="D229" s="12">
        <v>46056</v>
      </c>
      <c r="E229" s="13">
        <v>1575818</v>
      </c>
      <c r="F229" s="13" t="s">
        <v>28</v>
      </c>
      <c r="G229" s="14">
        <v>20324352</v>
      </c>
      <c r="H229" s="13" t="s">
        <v>171</v>
      </c>
      <c r="I229" s="13" t="s">
        <v>75</v>
      </c>
      <c r="J229" s="14">
        <v>1</v>
      </c>
      <c r="K229" s="14">
        <v>5</v>
      </c>
      <c r="L229" s="15">
        <v>16.5</v>
      </c>
      <c r="M229" s="15">
        <v>16.5</v>
      </c>
    </row>
    <row r="230" spans="4:13">
      <c r="D230" s="12">
        <v>46056</v>
      </c>
      <c r="E230" s="13">
        <v>1575906</v>
      </c>
      <c r="F230" s="13" t="s">
        <v>143</v>
      </c>
      <c r="G230" s="14">
        <v>20303732</v>
      </c>
      <c r="H230" s="13" t="s">
        <v>181</v>
      </c>
      <c r="I230" s="13" t="s">
        <v>165</v>
      </c>
      <c r="J230" s="14">
        <v>1</v>
      </c>
      <c r="K230" s="14">
        <v>38</v>
      </c>
      <c r="L230" s="15">
        <v>125.4</v>
      </c>
      <c r="M230" s="15">
        <v>125.4</v>
      </c>
    </row>
    <row r="231" spans="4:13">
      <c r="D231" s="12">
        <v>46056</v>
      </c>
      <c r="E231" s="13">
        <v>1575935</v>
      </c>
      <c r="F231" s="13" t="s">
        <v>143</v>
      </c>
      <c r="G231" s="14">
        <v>20303706</v>
      </c>
      <c r="H231" s="13" t="s">
        <v>175</v>
      </c>
      <c r="I231" s="13" t="s">
        <v>165</v>
      </c>
      <c r="J231" s="14">
        <v>1</v>
      </c>
      <c r="K231" s="14">
        <v>24</v>
      </c>
      <c r="L231" s="15">
        <v>79.2</v>
      </c>
      <c r="M231" s="15">
        <v>79.2</v>
      </c>
    </row>
    <row r="232" spans="4:13">
      <c r="D232" s="12">
        <v>46056</v>
      </c>
      <c r="E232" s="13">
        <v>1575935</v>
      </c>
      <c r="F232" s="13" t="s">
        <v>143</v>
      </c>
      <c r="G232" s="14">
        <v>20303722</v>
      </c>
      <c r="H232" s="13" t="s">
        <v>164</v>
      </c>
      <c r="I232" s="13" t="s">
        <v>165</v>
      </c>
      <c r="J232" s="14">
        <v>1</v>
      </c>
      <c r="K232" s="14">
        <v>69</v>
      </c>
      <c r="L232" s="15">
        <v>227.7</v>
      </c>
      <c r="M232" s="15">
        <v>227.7</v>
      </c>
    </row>
    <row r="233" spans="4:13">
      <c r="D233" s="12">
        <v>46056</v>
      </c>
      <c r="E233" s="13">
        <v>1575935</v>
      </c>
      <c r="F233" s="13" t="s">
        <v>143</v>
      </c>
      <c r="G233" s="14">
        <v>20303725</v>
      </c>
      <c r="H233" s="13" t="s">
        <v>166</v>
      </c>
      <c r="I233" s="13" t="s">
        <v>165</v>
      </c>
      <c r="J233" s="14">
        <v>1</v>
      </c>
      <c r="K233" s="14">
        <v>42</v>
      </c>
      <c r="L233" s="15">
        <v>138.6</v>
      </c>
      <c r="M233" s="15">
        <v>138.6</v>
      </c>
    </row>
    <row r="234" spans="4:13">
      <c r="D234" s="12">
        <v>46056</v>
      </c>
      <c r="E234" s="13">
        <v>1575935</v>
      </c>
      <c r="F234" s="13" t="s">
        <v>143</v>
      </c>
      <c r="G234" s="14">
        <v>20303737</v>
      </c>
      <c r="H234" s="13" t="s">
        <v>167</v>
      </c>
      <c r="I234" s="13" t="s">
        <v>165</v>
      </c>
      <c r="J234" s="14">
        <v>1</v>
      </c>
      <c r="K234" s="14">
        <v>57</v>
      </c>
      <c r="L234" s="15">
        <v>188.1</v>
      </c>
      <c r="M234" s="15">
        <v>188.1</v>
      </c>
    </row>
    <row r="235" spans="4:13">
      <c r="D235" s="12">
        <v>46056</v>
      </c>
      <c r="E235" s="13">
        <v>1575935</v>
      </c>
      <c r="F235" s="13" t="s">
        <v>143</v>
      </c>
      <c r="G235" s="14">
        <v>20303739</v>
      </c>
      <c r="H235" s="13" t="s">
        <v>204</v>
      </c>
      <c r="I235" s="13" t="s">
        <v>165</v>
      </c>
      <c r="J235" s="14">
        <v>1</v>
      </c>
      <c r="K235" s="14">
        <v>45</v>
      </c>
      <c r="L235" s="15">
        <v>148.5</v>
      </c>
      <c r="M235" s="15">
        <v>148.5</v>
      </c>
    </row>
    <row r="236" spans="4:13">
      <c r="D236" s="12">
        <v>46056</v>
      </c>
      <c r="E236" s="13">
        <v>1575935</v>
      </c>
      <c r="F236" s="13" t="s">
        <v>143</v>
      </c>
      <c r="G236" s="14">
        <v>20303752</v>
      </c>
      <c r="H236" s="13" t="s">
        <v>180</v>
      </c>
      <c r="I236" s="13" t="s">
        <v>165</v>
      </c>
      <c r="J236" s="14">
        <v>2</v>
      </c>
      <c r="K236" s="14">
        <v>58</v>
      </c>
      <c r="L236" s="15">
        <v>95.7</v>
      </c>
      <c r="M236" s="15">
        <v>191.4</v>
      </c>
    </row>
    <row r="237" spans="4:13">
      <c r="D237" s="12">
        <v>46056</v>
      </c>
      <c r="E237" s="13">
        <v>1575935</v>
      </c>
      <c r="F237" s="13" t="s">
        <v>15</v>
      </c>
      <c r="G237" s="14">
        <v>20312771</v>
      </c>
      <c r="H237" s="13" t="s">
        <v>184</v>
      </c>
      <c r="I237" s="13" t="s">
        <v>83</v>
      </c>
      <c r="J237" s="14">
        <v>2</v>
      </c>
      <c r="K237" s="14">
        <v>4</v>
      </c>
      <c r="L237" s="15">
        <v>8.1</v>
      </c>
      <c r="M237" s="15">
        <v>16.2</v>
      </c>
    </row>
    <row r="238" spans="4:13">
      <c r="D238" s="12">
        <v>46056</v>
      </c>
      <c r="E238" s="13">
        <v>1575935</v>
      </c>
      <c r="F238" s="13" t="s">
        <v>15</v>
      </c>
      <c r="G238" s="14">
        <v>20323680</v>
      </c>
      <c r="H238" s="13" t="s">
        <v>267</v>
      </c>
      <c r="I238" s="13" t="s">
        <v>32</v>
      </c>
      <c r="J238" s="14">
        <v>1</v>
      </c>
      <c r="K238" s="14">
        <v>1</v>
      </c>
      <c r="L238" s="15">
        <v>7.8</v>
      </c>
      <c r="M238" s="15">
        <v>7.8</v>
      </c>
    </row>
    <row r="239" ht="25.5" spans="4:13">
      <c r="D239" s="12">
        <v>46056</v>
      </c>
      <c r="E239" s="13">
        <v>1575935</v>
      </c>
      <c r="F239" s="13" t="s">
        <v>24</v>
      </c>
      <c r="G239" s="14">
        <v>20384740</v>
      </c>
      <c r="H239" s="13" t="s">
        <v>202</v>
      </c>
      <c r="I239" s="13" t="s">
        <v>159</v>
      </c>
      <c r="J239" s="14">
        <v>1</v>
      </c>
      <c r="K239" s="14">
        <v>1</v>
      </c>
      <c r="L239" s="15">
        <v>21</v>
      </c>
      <c r="M239" s="15">
        <v>21</v>
      </c>
    </row>
    <row r="240" spans="4:13">
      <c r="D240" s="12">
        <v>46056</v>
      </c>
      <c r="E240" s="13">
        <v>1575935</v>
      </c>
      <c r="F240" s="13" t="s">
        <v>24</v>
      </c>
      <c r="G240" s="14">
        <v>20310842</v>
      </c>
      <c r="H240" s="13" t="s">
        <v>160</v>
      </c>
      <c r="I240" s="13" t="s">
        <v>161</v>
      </c>
      <c r="J240" s="14">
        <v>2</v>
      </c>
      <c r="K240" s="14">
        <v>2</v>
      </c>
      <c r="L240" s="15">
        <v>21</v>
      </c>
      <c r="M240" s="15">
        <v>42</v>
      </c>
    </row>
    <row r="241" spans="4:13">
      <c r="D241" s="12">
        <v>46056</v>
      </c>
      <c r="E241" s="13">
        <v>1575935</v>
      </c>
      <c r="F241" s="13" t="s">
        <v>24</v>
      </c>
      <c r="G241" s="14">
        <v>20309562</v>
      </c>
      <c r="H241" s="13" t="s">
        <v>188</v>
      </c>
      <c r="I241" s="13" t="s">
        <v>161</v>
      </c>
      <c r="J241" s="14">
        <v>1</v>
      </c>
      <c r="K241" s="14">
        <v>1</v>
      </c>
      <c r="L241" s="15">
        <v>21</v>
      </c>
      <c r="M241" s="15">
        <v>21</v>
      </c>
    </row>
    <row r="242" spans="4:13">
      <c r="D242" s="12">
        <v>46056</v>
      </c>
      <c r="E242" s="13">
        <v>1575935</v>
      </c>
      <c r="F242" s="13" t="s">
        <v>24</v>
      </c>
      <c r="G242" s="14">
        <v>20381285</v>
      </c>
      <c r="H242" s="13" t="s">
        <v>194</v>
      </c>
      <c r="I242" s="13" t="s">
        <v>118</v>
      </c>
      <c r="J242" s="14">
        <v>1</v>
      </c>
      <c r="K242" s="14">
        <v>1</v>
      </c>
      <c r="L242" s="15">
        <v>21</v>
      </c>
      <c r="M242" s="15">
        <v>21</v>
      </c>
    </row>
    <row r="243" spans="4:13">
      <c r="D243" s="12">
        <v>46056</v>
      </c>
      <c r="E243" s="13">
        <v>1575935</v>
      </c>
      <c r="F243" s="13" t="s">
        <v>24</v>
      </c>
      <c r="G243" s="14">
        <v>20315211</v>
      </c>
      <c r="H243" s="13" t="s">
        <v>271</v>
      </c>
      <c r="I243" s="13" t="s">
        <v>272</v>
      </c>
      <c r="J243" s="14">
        <v>1</v>
      </c>
      <c r="K243" s="14">
        <v>3</v>
      </c>
      <c r="L243" s="15">
        <v>39.6</v>
      </c>
      <c r="M243" s="15">
        <v>39.6</v>
      </c>
    </row>
    <row r="244" spans="4:13">
      <c r="D244" s="12">
        <v>46056</v>
      </c>
      <c r="E244" s="13">
        <v>1575935</v>
      </c>
      <c r="F244" s="13" t="s">
        <v>115</v>
      </c>
      <c r="G244" s="14">
        <v>20313066</v>
      </c>
      <c r="H244" s="13" t="s">
        <v>196</v>
      </c>
      <c r="I244" s="13" t="s">
        <v>118</v>
      </c>
      <c r="J244" s="14">
        <v>1</v>
      </c>
      <c r="K244" s="14">
        <v>1</v>
      </c>
      <c r="L244" s="15">
        <v>16.8</v>
      </c>
      <c r="M244" s="15">
        <v>16.8</v>
      </c>
    </row>
    <row r="245" spans="4:13">
      <c r="D245" s="12">
        <v>46056</v>
      </c>
      <c r="E245" s="13">
        <v>1575935</v>
      </c>
      <c r="F245" s="13" t="s">
        <v>115</v>
      </c>
      <c r="G245" s="14">
        <v>20376462</v>
      </c>
      <c r="H245" s="13" t="s">
        <v>163</v>
      </c>
      <c r="I245" s="13" t="s">
        <v>118</v>
      </c>
      <c r="J245" s="14">
        <v>1</v>
      </c>
      <c r="K245" s="14">
        <v>1</v>
      </c>
      <c r="L245" s="15">
        <v>16.8</v>
      </c>
      <c r="M245" s="15">
        <v>16.8</v>
      </c>
    </row>
    <row r="246" spans="4:13">
      <c r="D246" s="12">
        <v>46056</v>
      </c>
      <c r="E246" s="13">
        <v>1575935</v>
      </c>
      <c r="F246" s="13" t="s">
        <v>28</v>
      </c>
      <c r="G246" s="14">
        <v>20324352</v>
      </c>
      <c r="H246" s="13" t="s">
        <v>171</v>
      </c>
      <c r="I246" s="13" t="s">
        <v>75</v>
      </c>
      <c r="J246" s="14">
        <v>5</v>
      </c>
      <c r="K246" s="14">
        <v>25</v>
      </c>
      <c r="L246" s="15">
        <v>16.5</v>
      </c>
      <c r="M246" s="15">
        <v>82.5</v>
      </c>
    </row>
    <row r="247" spans="4:13">
      <c r="D247" s="12">
        <v>46057</v>
      </c>
      <c r="E247" s="13">
        <v>1576231</v>
      </c>
      <c r="F247" s="13" t="s">
        <v>143</v>
      </c>
      <c r="G247" s="14">
        <v>20303706</v>
      </c>
      <c r="H247" s="13" t="s">
        <v>175</v>
      </c>
      <c r="I247" s="13" t="s">
        <v>165</v>
      </c>
      <c r="J247" s="14">
        <v>1</v>
      </c>
      <c r="K247" s="14">
        <v>24</v>
      </c>
      <c r="L247" s="15">
        <v>79.2</v>
      </c>
      <c r="M247" s="15">
        <v>79.2</v>
      </c>
    </row>
    <row r="248" spans="4:13">
      <c r="D248" s="12">
        <v>46057</v>
      </c>
      <c r="E248" s="13">
        <v>1576231</v>
      </c>
      <c r="F248" s="13" t="s">
        <v>143</v>
      </c>
      <c r="G248" s="14">
        <v>20303721</v>
      </c>
      <c r="H248" s="13" t="s">
        <v>177</v>
      </c>
      <c r="I248" s="13" t="s">
        <v>165</v>
      </c>
      <c r="J248" s="14">
        <v>1</v>
      </c>
      <c r="K248" s="14">
        <v>35</v>
      </c>
      <c r="L248" s="15">
        <v>115.5</v>
      </c>
      <c r="M248" s="15">
        <v>115.5</v>
      </c>
    </row>
    <row r="249" spans="4:13">
      <c r="D249" s="12">
        <v>46057</v>
      </c>
      <c r="E249" s="13">
        <v>1576231</v>
      </c>
      <c r="F249" s="13" t="s">
        <v>143</v>
      </c>
      <c r="G249" s="14">
        <v>20303725</v>
      </c>
      <c r="H249" s="13" t="s">
        <v>166</v>
      </c>
      <c r="I249" s="13" t="s">
        <v>165</v>
      </c>
      <c r="J249" s="14">
        <v>2</v>
      </c>
      <c r="K249" s="14">
        <v>84</v>
      </c>
      <c r="L249" s="15">
        <v>138.6</v>
      </c>
      <c r="M249" s="15">
        <v>277.2</v>
      </c>
    </row>
    <row r="250" spans="4:13">
      <c r="D250" s="12">
        <v>46057</v>
      </c>
      <c r="E250" s="13">
        <v>1576231</v>
      </c>
      <c r="F250" s="13" t="s">
        <v>143</v>
      </c>
      <c r="G250" s="14">
        <v>20303738</v>
      </c>
      <c r="H250" s="13" t="s">
        <v>178</v>
      </c>
      <c r="I250" s="13" t="s">
        <v>165</v>
      </c>
      <c r="J250" s="14">
        <v>1</v>
      </c>
      <c r="K250" s="14">
        <v>45</v>
      </c>
      <c r="L250" s="15">
        <v>148.5</v>
      </c>
      <c r="M250" s="15">
        <v>148.5</v>
      </c>
    </row>
    <row r="251" spans="4:13">
      <c r="D251" s="12">
        <v>46057</v>
      </c>
      <c r="E251" s="13">
        <v>1576231</v>
      </c>
      <c r="F251" s="13" t="s">
        <v>143</v>
      </c>
      <c r="G251" s="14">
        <v>20303803</v>
      </c>
      <c r="H251" s="13" t="s">
        <v>273</v>
      </c>
      <c r="I251" s="13" t="s">
        <v>165</v>
      </c>
      <c r="J251" s="14">
        <v>1</v>
      </c>
      <c r="K251" s="14">
        <v>32</v>
      </c>
      <c r="L251" s="15">
        <v>105.6</v>
      </c>
      <c r="M251" s="15">
        <v>105.6</v>
      </c>
    </row>
    <row r="252" spans="4:13">
      <c r="D252" s="12">
        <v>46057</v>
      </c>
      <c r="E252" s="13">
        <v>1576231</v>
      </c>
      <c r="F252" s="13" t="s">
        <v>15</v>
      </c>
      <c r="G252" s="14">
        <v>20311203</v>
      </c>
      <c r="H252" s="13" t="s">
        <v>274</v>
      </c>
      <c r="I252" s="13" t="s">
        <v>40</v>
      </c>
      <c r="J252" s="14">
        <v>1</v>
      </c>
      <c r="K252" s="14">
        <v>2</v>
      </c>
      <c r="L252" s="15">
        <v>9.9</v>
      </c>
      <c r="M252" s="15">
        <v>9.9</v>
      </c>
    </row>
    <row r="253" spans="4:13">
      <c r="D253" s="12">
        <v>46057</v>
      </c>
      <c r="E253" s="13">
        <v>1576231</v>
      </c>
      <c r="F253" s="13" t="s">
        <v>15</v>
      </c>
      <c r="G253" s="14">
        <v>20309553</v>
      </c>
      <c r="H253" s="13" t="s">
        <v>153</v>
      </c>
      <c r="I253" s="13" t="s">
        <v>19</v>
      </c>
      <c r="J253" s="14">
        <v>2</v>
      </c>
      <c r="K253" s="14">
        <v>2</v>
      </c>
      <c r="L253" s="15">
        <v>4.8</v>
      </c>
      <c r="M253" s="15">
        <v>9.6</v>
      </c>
    </row>
    <row r="254" spans="4:13">
      <c r="D254" s="12">
        <v>46057</v>
      </c>
      <c r="E254" s="13">
        <v>1576231</v>
      </c>
      <c r="F254" s="13" t="s">
        <v>15</v>
      </c>
      <c r="G254" s="14">
        <v>20380022</v>
      </c>
      <c r="H254" s="13" t="s">
        <v>182</v>
      </c>
      <c r="I254" s="13" t="s">
        <v>62</v>
      </c>
      <c r="J254" s="14">
        <v>1</v>
      </c>
      <c r="K254" s="14">
        <v>2</v>
      </c>
      <c r="L254" s="15">
        <v>8.1</v>
      </c>
      <c r="M254" s="15">
        <v>8.1</v>
      </c>
    </row>
    <row r="255" spans="4:13">
      <c r="D255" s="12">
        <v>46057</v>
      </c>
      <c r="E255" s="13">
        <v>1576231</v>
      </c>
      <c r="F255" s="13" t="s">
        <v>15</v>
      </c>
      <c r="G255" s="14">
        <v>20363783</v>
      </c>
      <c r="H255" s="13" t="s">
        <v>58</v>
      </c>
      <c r="I255" s="13" t="s">
        <v>48</v>
      </c>
      <c r="J255" s="14">
        <v>1</v>
      </c>
      <c r="K255" s="14">
        <v>1</v>
      </c>
      <c r="L255" s="15">
        <v>6.6</v>
      </c>
      <c r="M255" s="15">
        <v>6.6</v>
      </c>
    </row>
    <row r="256" spans="4:13">
      <c r="D256" s="12">
        <v>46057</v>
      </c>
      <c r="E256" s="13">
        <v>1576231</v>
      </c>
      <c r="F256" s="13" t="s">
        <v>24</v>
      </c>
      <c r="G256" s="14">
        <v>20310842</v>
      </c>
      <c r="H256" s="13" t="s">
        <v>160</v>
      </c>
      <c r="I256" s="13" t="s">
        <v>161</v>
      </c>
      <c r="J256" s="14">
        <v>1</v>
      </c>
      <c r="K256" s="14">
        <v>1</v>
      </c>
      <c r="L256" s="15">
        <v>21</v>
      </c>
      <c r="M256" s="15">
        <v>21</v>
      </c>
    </row>
    <row r="257" spans="4:13">
      <c r="D257" s="12">
        <v>46057</v>
      </c>
      <c r="E257" s="13">
        <v>1576231</v>
      </c>
      <c r="F257" s="13" t="s">
        <v>24</v>
      </c>
      <c r="G257" s="14">
        <v>20310370</v>
      </c>
      <c r="H257" s="13" t="s">
        <v>193</v>
      </c>
      <c r="I257" s="13" t="s">
        <v>118</v>
      </c>
      <c r="J257" s="14">
        <v>1</v>
      </c>
      <c r="K257" s="14">
        <v>2</v>
      </c>
      <c r="L257" s="15">
        <v>26.4</v>
      </c>
      <c r="M257" s="15">
        <v>26.4</v>
      </c>
    </row>
    <row r="258" spans="4:13">
      <c r="D258" s="12">
        <v>46057</v>
      </c>
      <c r="E258" s="13">
        <v>1576231</v>
      </c>
      <c r="F258" s="13" t="s">
        <v>54</v>
      </c>
      <c r="G258" s="14">
        <v>20318544</v>
      </c>
      <c r="H258" s="13" t="s">
        <v>185</v>
      </c>
      <c r="I258" s="13" t="s">
        <v>186</v>
      </c>
      <c r="J258" s="14">
        <v>1</v>
      </c>
      <c r="K258" s="14">
        <v>16</v>
      </c>
      <c r="L258" s="15">
        <v>52.8</v>
      </c>
      <c r="M258" s="15">
        <v>52.8</v>
      </c>
    </row>
    <row r="259" spans="4:13">
      <c r="D259" s="12">
        <v>46057</v>
      </c>
      <c r="E259" s="13">
        <v>1576231</v>
      </c>
      <c r="F259" s="13" t="s">
        <v>115</v>
      </c>
      <c r="G259" s="14">
        <v>20313066</v>
      </c>
      <c r="H259" s="13" t="s">
        <v>196</v>
      </c>
      <c r="I259" s="13" t="s">
        <v>118</v>
      </c>
      <c r="J259" s="14">
        <v>1</v>
      </c>
      <c r="K259" s="14">
        <v>1</v>
      </c>
      <c r="L259" s="15">
        <v>16.8</v>
      </c>
      <c r="M259" s="15">
        <v>16.8</v>
      </c>
    </row>
    <row r="260" spans="4:13">
      <c r="D260" s="12">
        <v>46057</v>
      </c>
      <c r="E260" s="13">
        <v>1576231</v>
      </c>
      <c r="F260" s="13" t="s">
        <v>115</v>
      </c>
      <c r="G260" s="14">
        <v>20382013</v>
      </c>
      <c r="H260" s="13" t="s">
        <v>199</v>
      </c>
      <c r="I260" s="13" t="s">
        <v>103</v>
      </c>
      <c r="J260" s="14">
        <v>1</v>
      </c>
      <c r="K260" s="14">
        <v>5</v>
      </c>
      <c r="L260" s="15">
        <v>52.8</v>
      </c>
      <c r="M260" s="15">
        <v>52.8</v>
      </c>
    </row>
    <row r="261" spans="4:13">
      <c r="D261" s="12">
        <v>46057</v>
      </c>
      <c r="E261" s="13">
        <v>1576231</v>
      </c>
      <c r="F261" s="13" t="s">
        <v>115</v>
      </c>
      <c r="G261" s="14">
        <v>20377559</v>
      </c>
      <c r="H261" s="13" t="s">
        <v>200</v>
      </c>
      <c r="I261" s="13" t="s">
        <v>118</v>
      </c>
      <c r="J261" s="14">
        <v>1</v>
      </c>
      <c r="K261" s="14">
        <v>1</v>
      </c>
      <c r="L261" s="15">
        <v>16.8</v>
      </c>
      <c r="M261" s="15">
        <v>16.8</v>
      </c>
    </row>
    <row r="262" spans="4:13">
      <c r="D262" s="12">
        <v>46057</v>
      </c>
      <c r="E262" s="13">
        <v>1576231</v>
      </c>
      <c r="F262" s="13" t="s">
        <v>28</v>
      </c>
      <c r="G262" s="14">
        <v>20324352</v>
      </c>
      <c r="H262" s="13" t="s">
        <v>171</v>
      </c>
      <c r="I262" s="13" t="s">
        <v>75</v>
      </c>
      <c r="J262" s="14">
        <v>6</v>
      </c>
      <c r="K262" s="14">
        <v>30</v>
      </c>
      <c r="L262" s="15">
        <v>16.5</v>
      </c>
      <c r="M262" s="15">
        <v>99</v>
      </c>
    </row>
    <row r="263" spans="4:13">
      <c r="D263" s="12">
        <v>46057</v>
      </c>
      <c r="E263" s="13">
        <v>1576231</v>
      </c>
      <c r="F263" s="13" t="s">
        <v>28</v>
      </c>
      <c r="G263" s="14">
        <v>20402358</v>
      </c>
      <c r="H263" s="13" t="s">
        <v>187</v>
      </c>
      <c r="I263" s="13" t="s">
        <v>91</v>
      </c>
      <c r="J263" s="14">
        <v>1</v>
      </c>
      <c r="K263" s="14">
        <v>6</v>
      </c>
      <c r="L263" s="15">
        <v>19.8</v>
      </c>
      <c r="M263" s="15">
        <v>19.8</v>
      </c>
    </row>
    <row r="264" spans="4:13">
      <c r="D264" s="12">
        <v>46058</v>
      </c>
      <c r="E264" s="13">
        <v>1576611</v>
      </c>
      <c r="F264" s="13" t="s">
        <v>143</v>
      </c>
      <c r="G264" s="14">
        <v>20303706</v>
      </c>
      <c r="H264" s="13" t="s">
        <v>175</v>
      </c>
      <c r="I264" s="13" t="s">
        <v>165</v>
      </c>
      <c r="J264" s="14">
        <v>2</v>
      </c>
      <c r="K264" s="14">
        <v>48</v>
      </c>
      <c r="L264" s="15">
        <v>79.2</v>
      </c>
      <c r="M264" s="15">
        <v>158.4</v>
      </c>
    </row>
    <row r="265" spans="4:13">
      <c r="D265" s="12">
        <v>46058</v>
      </c>
      <c r="E265" s="13">
        <v>1576611</v>
      </c>
      <c r="F265" s="13" t="s">
        <v>143</v>
      </c>
      <c r="G265" s="14">
        <v>20303721</v>
      </c>
      <c r="H265" s="13" t="s">
        <v>177</v>
      </c>
      <c r="I265" s="13" t="s">
        <v>165</v>
      </c>
      <c r="J265" s="14">
        <v>1</v>
      </c>
      <c r="K265" s="14">
        <v>35</v>
      </c>
      <c r="L265" s="15">
        <v>115.5</v>
      </c>
      <c r="M265" s="15">
        <v>115.5</v>
      </c>
    </row>
    <row r="266" spans="4:13">
      <c r="D266" s="12">
        <v>46058</v>
      </c>
      <c r="E266" s="13">
        <v>1576611</v>
      </c>
      <c r="F266" s="13" t="s">
        <v>143</v>
      </c>
      <c r="G266" s="14">
        <v>20303739</v>
      </c>
      <c r="H266" s="13" t="s">
        <v>204</v>
      </c>
      <c r="I266" s="13" t="s">
        <v>165</v>
      </c>
      <c r="J266" s="14">
        <v>1</v>
      </c>
      <c r="K266" s="14">
        <v>45</v>
      </c>
      <c r="L266" s="15">
        <v>148.5</v>
      </c>
      <c r="M266" s="15">
        <v>148.5</v>
      </c>
    </row>
    <row r="267" spans="4:13">
      <c r="D267" s="12">
        <v>46058</v>
      </c>
      <c r="E267" s="13">
        <v>1576611</v>
      </c>
      <c r="F267" s="13" t="s">
        <v>143</v>
      </c>
      <c r="G267" s="14">
        <v>20303740</v>
      </c>
      <c r="H267" s="13" t="s">
        <v>179</v>
      </c>
      <c r="I267" s="13" t="s">
        <v>165</v>
      </c>
      <c r="J267" s="14">
        <v>1</v>
      </c>
      <c r="K267" s="14">
        <v>46</v>
      </c>
      <c r="L267" s="15">
        <v>151.8</v>
      </c>
      <c r="M267" s="15">
        <v>151.8</v>
      </c>
    </row>
    <row r="268" spans="4:13">
      <c r="D268" s="12">
        <v>46058</v>
      </c>
      <c r="E268" s="13">
        <v>1576611</v>
      </c>
      <c r="F268" s="13" t="s">
        <v>143</v>
      </c>
      <c r="G268" s="14">
        <v>20303803</v>
      </c>
      <c r="H268" s="13" t="s">
        <v>273</v>
      </c>
      <c r="I268" s="13" t="s">
        <v>165</v>
      </c>
      <c r="J268" s="14">
        <v>1</v>
      </c>
      <c r="K268" s="14">
        <v>32</v>
      </c>
      <c r="L268" s="15">
        <v>105.6</v>
      </c>
      <c r="M268" s="15">
        <v>105.6</v>
      </c>
    </row>
    <row r="269" spans="4:13">
      <c r="D269" s="12">
        <v>46058</v>
      </c>
      <c r="E269" s="13">
        <v>1576611</v>
      </c>
      <c r="F269" s="13" t="s">
        <v>15</v>
      </c>
      <c r="G269" s="14">
        <v>20309553</v>
      </c>
      <c r="H269" s="13" t="s">
        <v>153</v>
      </c>
      <c r="I269" s="13" t="s">
        <v>19</v>
      </c>
      <c r="J269" s="14">
        <v>1</v>
      </c>
      <c r="K269" s="14">
        <v>1</v>
      </c>
      <c r="L269" s="15">
        <v>4.8</v>
      </c>
      <c r="M269" s="15">
        <v>4.8</v>
      </c>
    </row>
    <row r="270" ht="25.5" spans="4:13">
      <c r="D270" s="12">
        <v>46058</v>
      </c>
      <c r="E270" s="13">
        <v>1576611</v>
      </c>
      <c r="F270" s="13" t="s">
        <v>24</v>
      </c>
      <c r="G270" s="14">
        <v>20384741</v>
      </c>
      <c r="H270" s="13" t="s">
        <v>158</v>
      </c>
      <c r="I270" s="13" t="s">
        <v>159</v>
      </c>
      <c r="J270" s="14">
        <v>1</v>
      </c>
      <c r="K270" s="14">
        <v>1</v>
      </c>
      <c r="L270" s="15">
        <v>21</v>
      </c>
      <c r="M270" s="15">
        <v>21</v>
      </c>
    </row>
    <row r="271" spans="4:13">
      <c r="D271" s="12">
        <v>46058</v>
      </c>
      <c r="E271" s="13">
        <v>1576611</v>
      </c>
      <c r="F271" s="13" t="s">
        <v>24</v>
      </c>
      <c r="G271" s="14">
        <v>20310881</v>
      </c>
      <c r="H271" s="13" t="s">
        <v>275</v>
      </c>
      <c r="I271" s="13" t="s">
        <v>118</v>
      </c>
      <c r="J271" s="14">
        <v>1</v>
      </c>
      <c r="K271" s="14">
        <v>1</v>
      </c>
      <c r="L271" s="15">
        <v>16.8</v>
      </c>
      <c r="M271" s="15">
        <v>16.8</v>
      </c>
    </row>
    <row r="272" spans="4:13">
      <c r="D272" s="12">
        <v>46058</v>
      </c>
      <c r="E272" s="13">
        <v>1576611</v>
      </c>
      <c r="F272" s="13" t="s">
        <v>24</v>
      </c>
      <c r="G272" s="14">
        <v>20310842</v>
      </c>
      <c r="H272" s="13" t="s">
        <v>160</v>
      </c>
      <c r="I272" s="13" t="s">
        <v>161</v>
      </c>
      <c r="J272" s="14">
        <v>2</v>
      </c>
      <c r="K272" s="14">
        <v>2</v>
      </c>
      <c r="L272" s="15">
        <v>21</v>
      </c>
      <c r="M272" s="15">
        <v>42</v>
      </c>
    </row>
    <row r="273" spans="4:13">
      <c r="D273" s="12">
        <v>46058</v>
      </c>
      <c r="E273" s="13">
        <v>1576611</v>
      </c>
      <c r="F273" s="13" t="s">
        <v>24</v>
      </c>
      <c r="G273" s="14">
        <v>20309562</v>
      </c>
      <c r="H273" s="13" t="s">
        <v>188</v>
      </c>
      <c r="I273" s="13" t="s">
        <v>161</v>
      </c>
      <c r="J273" s="14">
        <v>1</v>
      </c>
      <c r="K273" s="14">
        <v>1</v>
      </c>
      <c r="L273" s="15">
        <v>21</v>
      </c>
      <c r="M273" s="15">
        <v>21</v>
      </c>
    </row>
    <row r="274" spans="4:13">
      <c r="D274" s="12">
        <v>46058</v>
      </c>
      <c r="E274" s="13">
        <v>1576611</v>
      </c>
      <c r="F274" s="13" t="s">
        <v>24</v>
      </c>
      <c r="G274" s="14">
        <v>20376500</v>
      </c>
      <c r="H274" s="13" t="s">
        <v>189</v>
      </c>
      <c r="I274" s="13" t="s">
        <v>190</v>
      </c>
      <c r="J274" s="14">
        <v>1</v>
      </c>
      <c r="K274" s="14">
        <v>1</v>
      </c>
      <c r="L274" s="15">
        <v>13.2</v>
      </c>
      <c r="M274" s="15">
        <v>13.2</v>
      </c>
    </row>
    <row r="275" spans="4:13">
      <c r="D275" s="12">
        <v>46058</v>
      </c>
      <c r="E275" s="13">
        <v>1576611</v>
      </c>
      <c r="F275" s="13" t="s">
        <v>24</v>
      </c>
      <c r="G275" s="14">
        <v>20411935</v>
      </c>
      <c r="H275" s="13" t="s">
        <v>276</v>
      </c>
      <c r="I275" s="13" t="s">
        <v>161</v>
      </c>
      <c r="J275" s="14">
        <v>1</v>
      </c>
      <c r="K275" s="14">
        <v>1</v>
      </c>
      <c r="L275" s="15">
        <v>21</v>
      </c>
      <c r="M275" s="15">
        <v>21</v>
      </c>
    </row>
    <row r="276" spans="4:13">
      <c r="D276" s="12">
        <v>46058</v>
      </c>
      <c r="E276" s="13">
        <v>1576611</v>
      </c>
      <c r="F276" s="13" t="s">
        <v>24</v>
      </c>
      <c r="G276" s="14">
        <v>20343395</v>
      </c>
      <c r="H276" s="13" t="s">
        <v>277</v>
      </c>
      <c r="I276" s="13" t="s">
        <v>278</v>
      </c>
      <c r="J276" s="14">
        <v>1</v>
      </c>
      <c r="K276" s="14">
        <v>1</v>
      </c>
      <c r="L276" s="15">
        <v>15</v>
      </c>
      <c r="M276" s="15">
        <v>15</v>
      </c>
    </row>
    <row r="277" spans="4:13">
      <c r="D277" s="12">
        <v>46058</v>
      </c>
      <c r="E277" s="13">
        <v>1576611</v>
      </c>
      <c r="F277" s="13" t="s">
        <v>24</v>
      </c>
      <c r="G277" s="14">
        <v>20381285</v>
      </c>
      <c r="H277" s="13" t="s">
        <v>194</v>
      </c>
      <c r="I277" s="13" t="s">
        <v>118</v>
      </c>
      <c r="J277" s="14">
        <v>2</v>
      </c>
      <c r="K277" s="14">
        <v>2</v>
      </c>
      <c r="L277" s="15">
        <v>21</v>
      </c>
      <c r="M277" s="15">
        <v>42</v>
      </c>
    </row>
    <row r="278" spans="4:13">
      <c r="D278" s="12">
        <v>46058</v>
      </c>
      <c r="E278" s="13">
        <v>1576611</v>
      </c>
      <c r="F278" s="13" t="s">
        <v>24</v>
      </c>
      <c r="G278" s="14">
        <v>20315588</v>
      </c>
      <c r="H278" s="13" t="s">
        <v>279</v>
      </c>
      <c r="I278" s="13" t="s">
        <v>118</v>
      </c>
      <c r="J278" s="14">
        <v>1</v>
      </c>
      <c r="K278" s="14">
        <v>1</v>
      </c>
      <c r="L278" s="15">
        <v>16.8</v>
      </c>
      <c r="M278" s="15">
        <v>16.8</v>
      </c>
    </row>
    <row r="279" spans="4:13">
      <c r="D279" s="12">
        <v>46058</v>
      </c>
      <c r="E279" s="13">
        <v>1576611</v>
      </c>
      <c r="F279" s="13" t="s">
        <v>115</v>
      </c>
      <c r="G279" s="14">
        <v>20376461</v>
      </c>
      <c r="H279" s="13" t="s">
        <v>195</v>
      </c>
      <c r="I279" s="13" t="s">
        <v>118</v>
      </c>
      <c r="J279" s="14">
        <v>1</v>
      </c>
      <c r="K279" s="14">
        <v>1</v>
      </c>
      <c r="L279" s="15">
        <v>16.8</v>
      </c>
      <c r="M279" s="15">
        <v>16.8</v>
      </c>
    </row>
    <row r="280" spans="4:13">
      <c r="D280" s="12">
        <v>46058</v>
      </c>
      <c r="E280" s="13">
        <v>1576611</v>
      </c>
      <c r="F280" s="13" t="s">
        <v>115</v>
      </c>
      <c r="G280" s="14">
        <v>20313066</v>
      </c>
      <c r="H280" s="13" t="s">
        <v>196</v>
      </c>
      <c r="I280" s="13" t="s">
        <v>118</v>
      </c>
      <c r="J280" s="14">
        <v>1</v>
      </c>
      <c r="K280" s="14">
        <v>1</v>
      </c>
      <c r="L280" s="15">
        <v>16.8</v>
      </c>
      <c r="M280" s="15">
        <v>16.8</v>
      </c>
    </row>
    <row r="281" spans="4:13">
      <c r="D281" s="12">
        <v>46058</v>
      </c>
      <c r="E281" s="13">
        <v>1576611</v>
      </c>
      <c r="F281" s="13" t="s">
        <v>115</v>
      </c>
      <c r="G281" s="14">
        <v>20315774</v>
      </c>
      <c r="H281" s="13" t="s">
        <v>280</v>
      </c>
      <c r="I281" s="13" t="s">
        <v>118</v>
      </c>
      <c r="J281" s="14">
        <v>1</v>
      </c>
      <c r="K281" s="14">
        <v>1</v>
      </c>
      <c r="L281" s="15">
        <v>16.8</v>
      </c>
      <c r="M281" s="15">
        <v>16.8</v>
      </c>
    </row>
    <row r="282" spans="4:13">
      <c r="D282" s="12">
        <v>46058</v>
      </c>
      <c r="E282" s="13">
        <v>1576611</v>
      </c>
      <c r="F282" s="13" t="s">
        <v>115</v>
      </c>
      <c r="G282" s="14">
        <v>20377559</v>
      </c>
      <c r="H282" s="13" t="s">
        <v>200</v>
      </c>
      <c r="I282" s="13" t="s">
        <v>118</v>
      </c>
      <c r="J282" s="14">
        <v>1</v>
      </c>
      <c r="K282" s="14">
        <v>1</v>
      </c>
      <c r="L282" s="15">
        <v>16.8</v>
      </c>
      <c r="M282" s="15">
        <v>16.8</v>
      </c>
    </row>
    <row r="283" spans="4:13">
      <c r="D283" s="12">
        <v>46058</v>
      </c>
      <c r="E283" s="13">
        <v>1576611</v>
      </c>
      <c r="F283" s="13" t="s">
        <v>28</v>
      </c>
      <c r="G283" s="14">
        <v>20324352</v>
      </c>
      <c r="H283" s="13" t="s">
        <v>171</v>
      </c>
      <c r="I283" s="13" t="s">
        <v>75</v>
      </c>
      <c r="J283" s="14">
        <v>2</v>
      </c>
      <c r="K283" s="14">
        <v>10</v>
      </c>
      <c r="L283" s="15">
        <v>16.5</v>
      </c>
      <c r="M283" s="15">
        <v>33</v>
      </c>
    </row>
    <row r="284" spans="4:13">
      <c r="D284" s="12">
        <v>46058</v>
      </c>
      <c r="E284" s="13">
        <v>1576619</v>
      </c>
      <c r="F284" s="13" t="s">
        <v>101</v>
      </c>
      <c r="G284" s="14">
        <v>20303989</v>
      </c>
      <c r="H284" s="13" t="s">
        <v>173</v>
      </c>
      <c r="I284" s="13" t="s">
        <v>103</v>
      </c>
      <c r="J284" s="14">
        <v>2</v>
      </c>
      <c r="K284" s="14">
        <v>0</v>
      </c>
      <c r="L284" s="15">
        <v>21</v>
      </c>
      <c r="M284" s="15">
        <v>42</v>
      </c>
    </row>
    <row r="285" spans="4:13">
      <c r="D285" s="12">
        <v>46058</v>
      </c>
      <c r="E285" s="13">
        <v>1576619</v>
      </c>
      <c r="F285" s="13" t="s">
        <v>101</v>
      </c>
      <c r="G285" s="14">
        <v>20303990</v>
      </c>
      <c r="H285" s="13" t="s">
        <v>102</v>
      </c>
      <c r="I285" s="13" t="s">
        <v>103</v>
      </c>
      <c r="J285" s="14">
        <v>3</v>
      </c>
      <c r="K285" s="14">
        <v>0</v>
      </c>
      <c r="L285" s="15">
        <v>21</v>
      </c>
      <c r="M285" s="15">
        <v>63</v>
      </c>
    </row>
    <row r="286" spans="4:13">
      <c r="D286" s="12">
        <v>46059</v>
      </c>
      <c r="E286" s="13">
        <v>1576951</v>
      </c>
      <c r="F286" s="13" t="s">
        <v>143</v>
      </c>
      <c r="G286" s="14">
        <v>20303706</v>
      </c>
      <c r="H286" s="13" t="s">
        <v>175</v>
      </c>
      <c r="I286" s="13" t="s">
        <v>165</v>
      </c>
      <c r="J286" s="14">
        <v>1</v>
      </c>
      <c r="K286" s="14">
        <v>24</v>
      </c>
      <c r="L286" s="15">
        <v>79.2</v>
      </c>
      <c r="M286" s="15">
        <v>79.2</v>
      </c>
    </row>
    <row r="287" spans="4:13">
      <c r="D287" s="12">
        <v>46059</v>
      </c>
      <c r="E287" s="13">
        <v>1576951</v>
      </c>
      <c r="F287" s="13" t="s">
        <v>143</v>
      </c>
      <c r="G287" s="14">
        <v>20303721</v>
      </c>
      <c r="H287" s="13" t="s">
        <v>177</v>
      </c>
      <c r="I287" s="13" t="s">
        <v>165</v>
      </c>
      <c r="J287" s="14">
        <v>1</v>
      </c>
      <c r="K287" s="14">
        <v>35</v>
      </c>
      <c r="L287" s="15">
        <v>115.5</v>
      </c>
      <c r="M287" s="15">
        <v>115.5</v>
      </c>
    </row>
    <row r="288" spans="4:13">
      <c r="D288" s="12">
        <v>46059</v>
      </c>
      <c r="E288" s="13">
        <v>1576951</v>
      </c>
      <c r="F288" s="13" t="s">
        <v>143</v>
      </c>
      <c r="G288" s="14">
        <v>20303722</v>
      </c>
      <c r="H288" s="13" t="s">
        <v>164</v>
      </c>
      <c r="I288" s="13" t="s">
        <v>165</v>
      </c>
      <c r="J288" s="14">
        <v>1</v>
      </c>
      <c r="K288" s="14">
        <v>69</v>
      </c>
      <c r="L288" s="15">
        <v>227.7</v>
      </c>
      <c r="M288" s="15">
        <v>227.7</v>
      </c>
    </row>
    <row r="289" spans="4:13">
      <c r="D289" s="12">
        <v>46059</v>
      </c>
      <c r="E289" s="13">
        <v>1576951</v>
      </c>
      <c r="F289" s="13" t="s">
        <v>143</v>
      </c>
      <c r="G289" s="14">
        <v>20303725</v>
      </c>
      <c r="H289" s="13" t="s">
        <v>166</v>
      </c>
      <c r="I289" s="13" t="s">
        <v>165</v>
      </c>
      <c r="J289" s="14">
        <v>1</v>
      </c>
      <c r="K289" s="14">
        <v>42</v>
      </c>
      <c r="L289" s="15">
        <v>138.6</v>
      </c>
      <c r="M289" s="15">
        <v>138.6</v>
      </c>
    </row>
    <row r="290" spans="4:13">
      <c r="D290" s="12">
        <v>46059</v>
      </c>
      <c r="E290" s="13">
        <v>1576951</v>
      </c>
      <c r="F290" s="13" t="s">
        <v>143</v>
      </c>
      <c r="G290" s="14">
        <v>20311301</v>
      </c>
      <c r="H290" s="13" t="s">
        <v>216</v>
      </c>
      <c r="I290" s="13" t="s">
        <v>113</v>
      </c>
      <c r="J290" s="14">
        <v>1</v>
      </c>
      <c r="K290" s="14">
        <v>16</v>
      </c>
      <c r="L290" s="15">
        <v>52.8</v>
      </c>
      <c r="M290" s="15">
        <v>52.8</v>
      </c>
    </row>
    <row r="291" spans="4:13">
      <c r="D291" s="12">
        <v>46059</v>
      </c>
      <c r="E291" s="13">
        <v>1576951</v>
      </c>
      <c r="F291" s="13" t="s">
        <v>143</v>
      </c>
      <c r="G291" s="14">
        <v>20303738</v>
      </c>
      <c r="H291" s="13" t="s">
        <v>178</v>
      </c>
      <c r="I291" s="13" t="s">
        <v>165</v>
      </c>
      <c r="J291" s="14">
        <v>1</v>
      </c>
      <c r="K291" s="14">
        <v>45</v>
      </c>
      <c r="L291" s="15">
        <v>148.5</v>
      </c>
      <c r="M291" s="15">
        <v>148.5</v>
      </c>
    </row>
    <row r="292" spans="4:13">
      <c r="D292" s="12">
        <v>46059</v>
      </c>
      <c r="E292" s="13">
        <v>1576951</v>
      </c>
      <c r="F292" s="13" t="s">
        <v>143</v>
      </c>
      <c r="G292" s="14">
        <v>20303740</v>
      </c>
      <c r="H292" s="13" t="s">
        <v>179</v>
      </c>
      <c r="I292" s="13" t="s">
        <v>165</v>
      </c>
      <c r="J292" s="14">
        <v>1</v>
      </c>
      <c r="K292" s="14">
        <v>46</v>
      </c>
      <c r="L292" s="15">
        <v>151.8</v>
      </c>
      <c r="M292" s="15">
        <v>151.8</v>
      </c>
    </row>
    <row r="293" spans="4:13">
      <c r="D293" s="12">
        <v>46059</v>
      </c>
      <c r="E293" s="13">
        <v>1576951</v>
      </c>
      <c r="F293" s="13" t="s">
        <v>143</v>
      </c>
      <c r="G293" s="14">
        <v>20303752</v>
      </c>
      <c r="H293" s="13" t="s">
        <v>180</v>
      </c>
      <c r="I293" s="13" t="s">
        <v>165</v>
      </c>
      <c r="J293" s="14">
        <v>1</v>
      </c>
      <c r="K293" s="14">
        <v>29</v>
      </c>
      <c r="L293" s="15">
        <v>95.7</v>
      </c>
      <c r="M293" s="15">
        <v>95.7</v>
      </c>
    </row>
    <row r="294" spans="4:13">
      <c r="D294" s="12">
        <v>46059</v>
      </c>
      <c r="E294" s="13">
        <v>1576951</v>
      </c>
      <c r="F294" s="13" t="s">
        <v>143</v>
      </c>
      <c r="G294" s="14">
        <v>20303732</v>
      </c>
      <c r="H294" s="13" t="s">
        <v>181</v>
      </c>
      <c r="I294" s="13" t="s">
        <v>165</v>
      </c>
      <c r="J294" s="14">
        <v>1</v>
      </c>
      <c r="K294" s="14">
        <v>38</v>
      </c>
      <c r="L294" s="15">
        <v>125.4</v>
      </c>
      <c r="M294" s="15">
        <v>125.4</v>
      </c>
    </row>
    <row r="295" spans="4:13">
      <c r="D295" s="12">
        <v>46059</v>
      </c>
      <c r="E295" s="13">
        <v>1576951</v>
      </c>
      <c r="F295" s="13" t="s">
        <v>15</v>
      </c>
      <c r="G295" s="14">
        <v>20311203</v>
      </c>
      <c r="H295" s="13" t="s">
        <v>274</v>
      </c>
      <c r="I295" s="13" t="s">
        <v>40</v>
      </c>
      <c r="J295" s="14">
        <v>1</v>
      </c>
      <c r="K295" s="14">
        <v>2</v>
      </c>
      <c r="L295" s="15">
        <v>9.9</v>
      </c>
      <c r="M295" s="15">
        <v>9.9</v>
      </c>
    </row>
    <row r="296" spans="4:13">
      <c r="D296" s="12">
        <v>46059</v>
      </c>
      <c r="E296" s="13">
        <v>1576951</v>
      </c>
      <c r="F296" s="13" t="s">
        <v>15</v>
      </c>
      <c r="G296" s="14">
        <v>20380022</v>
      </c>
      <c r="H296" s="13" t="s">
        <v>182</v>
      </c>
      <c r="I296" s="13" t="s">
        <v>62</v>
      </c>
      <c r="J296" s="14">
        <v>1</v>
      </c>
      <c r="K296" s="14">
        <v>2</v>
      </c>
      <c r="L296" s="15">
        <v>8.1</v>
      </c>
      <c r="M296" s="15">
        <v>8.1</v>
      </c>
    </row>
    <row r="297" spans="4:13">
      <c r="D297" s="12">
        <v>46059</v>
      </c>
      <c r="E297" s="13">
        <v>1576951</v>
      </c>
      <c r="F297" s="13" t="s">
        <v>15</v>
      </c>
      <c r="G297" s="14">
        <v>20323064</v>
      </c>
      <c r="H297" s="13" t="s">
        <v>281</v>
      </c>
      <c r="I297" s="13" t="s">
        <v>60</v>
      </c>
      <c r="J297" s="14">
        <v>1</v>
      </c>
      <c r="K297" s="14">
        <v>2</v>
      </c>
      <c r="L297" s="15">
        <v>9.9</v>
      </c>
      <c r="M297" s="15">
        <v>9.9</v>
      </c>
    </row>
    <row r="298" spans="4:13">
      <c r="D298" s="12">
        <v>46059</v>
      </c>
      <c r="E298" s="13">
        <v>1576951</v>
      </c>
      <c r="F298" s="13" t="s">
        <v>15</v>
      </c>
      <c r="G298" s="14">
        <v>20312771</v>
      </c>
      <c r="H298" s="13" t="s">
        <v>184</v>
      </c>
      <c r="I298" s="13" t="s">
        <v>83</v>
      </c>
      <c r="J298" s="14">
        <v>1</v>
      </c>
      <c r="K298" s="14">
        <v>2</v>
      </c>
      <c r="L298" s="15">
        <v>8.1</v>
      </c>
      <c r="M298" s="15">
        <v>8.1</v>
      </c>
    </row>
    <row r="299" spans="4:13">
      <c r="D299" s="12">
        <v>46059</v>
      </c>
      <c r="E299" s="13">
        <v>1576951</v>
      </c>
      <c r="F299" s="13" t="s">
        <v>24</v>
      </c>
      <c r="G299" s="14">
        <v>20324799</v>
      </c>
      <c r="H299" s="13" t="s">
        <v>245</v>
      </c>
      <c r="I299" s="13" t="s">
        <v>118</v>
      </c>
      <c r="J299" s="14">
        <v>1</v>
      </c>
      <c r="K299" s="14">
        <v>1</v>
      </c>
      <c r="L299" s="15">
        <v>16.8</v>
      </c>
      <c r="M299" s="15">
        <v>16.8</v>
      </c>
    </row>
    <row r="300" spans="4:13">
      <c r="D300" s="12">
        <v>46059</v>
      </c>
      <c r="E300" s="13">
        <v>1576951</v>
      </c>
      <c r="F300" s="13" t="s">
        <v>24</v>
      </c>
      <c r="G300" s="14">
        <v>20310842</v>
      </c>
      <c r="H300" s="13" t="s">
        <v>160</v>
      </c>
      <c r="I300" s="13" t="s">
        <v>161</v>
      </c>
      <c r="J300" s="14">
        <v>3</v>
      </c>
      <c r="K300" s="14">
        <v>3</v>
      </c>
      <c r="L300" s="15">
        <v>21</v>
      </c>
      <c r="M300" s="15">
        <v>63</v>
      </c>
    </row>
    <row r="301" spans="4:13">
      <c r="D301" s="12">
        <v>46059</v>
      </c>
      <c r="E301" s="13">
        <v>1576951</v>
      </c>
      <c r="F301" s="13" t="s">
        <v>24</v>
      </c>
      <c r="G301" s="14">
        <v>20309562</v>
      </c>
      <c r="H301" s="13" t="s">
        <v>188</v>
      </c>
      <c r="I301" s="13" t="s">
        <v>161</v>
      </c>
      <c r="J301" s="14">
        <v>1</v>
      </c>
      <c r="K301" s="14">
        <v>1</v>
      </c>
      <c r="L301" s="15">
        <v>21</v>
      </c>
      <c r="M301" s="15">
        <v>21</v>
      </c>
    </row>
    <row r="302" spans="4:13">
      <c r="D302" s="12">
        <v>46059</v>
      </c>
      <c r="E302" s="13">
        <v>1576951</v>
      </c>
      <c r="F302" s="13" t="s">
        <v>24</v>
      </c>
      <c r="G302" s="14">
        <v>20310370</v>
      </c>
      <c r="H302" s="13" t="s">
        <v>193</v>
      </c>
      <c r="I302" s="13" t="s">
        <v>118</v>
      </c>
      <c r="J302" s="14">
        <v>1</v>
      </c>
      <c r="K302" s="14">
        <v>2</v>
      </c>
      <c r="L302" s="15">
        <v>26.4</v>
      </c>
      <c r="M302" s="15">
        <v>26.4</v>
      </c>
    </row>
    <row r="303" spans="4:13">
      <c r="D303" s="12">
        <v>46059</v>
      </c>
      <c r="E303" s="13">
        <v>1576951</v>
      </c>
      <c r="F303" s="13" t="s">
        <v>24</v>
      </c>
      <c r="G303" s="14">
        <v>20381285</v>
      </c>
      <c r="H303" s="13" t="s">
        <v>194</v>
      </c>
      <c r="I303" s="13" t="s">
        <v>118</v>
      </c>
      <c r="J303" s="14">
        <v>2</v>
      </c>
      <c r="K303" s="14">
        <v>2</v>
      </c>
      <c r="L303" s="15">
        <v>21</v>
      </c>
      <c r="M303" s="15">
        <v>42</v>
      </c>
    </row>
    <row r="304" spans="4:13">
      <c r="D304" s="12">
        <v>46059</v>
      </c>
      <c r="E304" s="13">
        <v>1576951</v>
      </c>
      <c r="F304" s="13" t="s">
        <v>54</v>
      </c>
      <c r="G304" s="14">
        <v>20318544</v>
      </c>
      <c r="H304" s="13" t="s">
        <v>185</v>
      </c>
      <c r="I304" s="13" t="s">
        <v>186</v>
      </c>
      <c r="J304" s="14">
        <v>1</v>
      </c>
      <c r="K304" s="14">
        <v>16</v>
      </c>
      <c r="L304" s="15">
        <v>52.8</v>
      </c>
      <c r="M304" s="15">
        <v>52.8</v>
      </c>
    </row>
    <row r="305" spans="4:13">
      <c r="D305" s="12">
        <v>46059</v>
      </c>
      <c r="E305" s="13">
        <v>1576951</v>
      </c>
      <c r="F305" s="13" t="s">
        <v>115</v>
      </c>
      <c r="G305" s="14">
        <v>20376461</v>
      </c>
      <c r="H305" s="13" t="s">
        <v>195</v>
      </c>
      <c r="I305" s="13" t="s">
        <v>118</v>
      </c>
      <c r="J305" s="14">
        <v>1</v>
      </c>
      <c r="K305" s="14">
        <v>1</v>
      </c>
      <c r="L305" s="15">
        <v>16.8</v>
      </c>
      <c r="M305" s="15">
        <v>16.8</v>
      </c>
    </row>
    <row r="306" spans="4:13">
      <c r="D306" s="12">
        <v>46059</v>
      </c>
      <c r="E306" s="13">
        <v>1576951</v>
      </c>
      <c r="F306" s="13" t="s">
        <v>115</v>
      </c>
      <c r="G306" s="14">
        <v>20313066</v>
      </c>
      <c r="H306" s="13" t="s">
        <v>196</v>
      </c>
      <c r="I306" s="13" t="s">
        <v>118</v>
      </c>
      <c r="J306" s="14">
        <v>1</v>
      </c>
      <c r="K306" s="14">
        <v>1</v>
      </c>
      <c r="L306" s="15">
        <v>16.8</v>
      </c>
      <c r="M306" s="15">
        <v>16.8</v>
      </c>
    </row>
    <row r="307" spans="4:13">
      <c r="D307" s="12">
        <v>46059</v>
      </c>
      <c r="E307" s="13">
        <v>1576951</v>
      </c>
      <c r="F307" s="13" t="s">
        <v>115</v>
      </c>
      <c r="G307" s="14">
        <v>20381455</v>
      </c>
      <c r="H307" s="13" t="s">
        <v>197</v>
      </c>
      <c r="I307" s="13" t="s">
        <v>198</v>
      </c>
      <c r="J307" s="14">
        <v>1</v>
      </c>
      <c r="K307" s="14">
        <v>2</v>
      </c>
      <c r="L307" s="15">
        <v>21</v>
      </c>
      <c r="M307" s="15">
        <v>21</v>
      </c>
    </row>
    <row r="308" spans="4:13">
      <c r="D308" s="12">
        <v>46059</v>
      </c>
      <c r="E308" s="13">
        <v>1576951</v>
      </c>
      <c r="F308" s="13" t="s">
        <v>28</v>
      </c>
      <c r="G308" s="14">
        <v>20324352</v>
      </c>
      <c r="H308" s="13" t="s">
        <v>171</v>
      </c>
      <c r="I308" s="13" t="s">
        <v>75</v>
      </c>
      <c r="J308" s="14">
        <v>5</v>
      </c>
      <c r="K308" s="14">
        <v>25</v>
      </c>
      <c r="L308" s="15">
        <v>16.5</v>
      </c>
      <c r="M308" s="15">
        <v>82.5</v>
      </c>
    </row>
    <row r="309" spans="4:13">
      <c r="D309" s="12">
        <v>46061</v>
      </c>
      <c r="E309" s="13">
        <v>1577161</v>
      </c>
      <c r="F309" s="13" t="s">
        <v>143</v>
      </c>
      <c r="G309" s="14">
        <v>20303706</v>
      </c>
      <c r="H309" s="13" t="s">
        <v>175</v>
      </c>
      <c r="I309" s="13" t="s">
        <v>165</v>
      </c>
      <c r="J309" s="14">
        <v>1</v>
      </c>
      <c r="K309" s="14">
        <v>24</v>
      </c>
      <c r="L309" s="15">
        <v>79.2</v>
      </c>
      <c r="M309" s="15">
        <v>79.2</v>
      </c>
    </row>
    <row r="310" spans="4:13">
      <c r="D310" s="12">
        <v>46061</v>
      </c>
      <c r="E310" s="13">
        <v>1577161</v>
      </c>
      <c r="F310" s="13" t="s">
        <v>143</v>
      </c>
      <c r="G310" s="14">
        <v>20303729</v>
      </c>
      <c r="H310" s="13" t="s">
        <v>282</v>
      </c>
      <c r="I310" s="13" t="s">
        <v>165</v>
      </c>
      <c r="J310" s="14">
        <v>1</v>
      </c>
      <c r="K310" s="14">
        <v>30</v>
      </c>
      <c r="L310" s="15">
        <v>99</v>
      </c>
      <c r="M310" s="15">
        <v>99</v>
      </c>
    </row>
    <row r="311" spans="4:13">
      <c r="D311" s="12">
        <v>46061</v>
      </c>
      <c r="E311" s="13">
        <v>1577161</v>
      </c>
      <c r="F311" s="13" t="s">
        <v>143</v>
      </c>
      <c r="G311" s="14">
        <v>20303738</v>
      </c>
      <c r="H311" s="13" t="s">
        <v>178</v>
      </c>
      <c r="I311" s="13" t="s">
        <v>165</v>
      </c>
      <c r="J311" s="14">
        <v>1</v>
      </c>
      <c r="K311" s="14">
        <v>45</v>
      </c>
      <c r="L311" s="15">
        <v>148.5</v>
      </c>
      <c r="M311" s="15">
        <v>148.5</v>
      </c>
    </row>
    <row r="312" spans="4:13">
      <c r="D312" s="12">
        <v>46061</v>
      </c>
      <c r="E312" s="13">
        <v>1577161</v>
      </c>
      <c r="F312" s="13" t="s">
        <v>15</v>
      </c>
      <c r="G312" s="14">
        <v>20363783</v>
      </c>
      <c r="H312" s="13" t="s">
        <v>58</v>
      </c>
      <c r="I312" s="13" t="s">
        <v>48</v>
      </c>
      <c r="J312" s="14">
        <v>1</v>
      </c>
      <c r="K312" s="14">
        <v>1</v>
      </c>
      <c r="L312" s="15">
        <v>6.6</v>
      </c>
      <c r="M312" s="15">
        <v>6.6</v>
      </c>
    </row>
    <row r="313" spans="4:13">
      <c r="D313" s="12">
        <v>46061</v>
      </c>
      <c r="E313" s="13">
        <v>1577161</v>
      </c>
      <c r="F313" s="13" t="s">
        <v>15</v>
      </c>
      <c r="G313" s="14">
        <v>20377556</v>
      </c>
      <c r="H313" s="13" t="s">
        <v>209</v>
      </c>
      <c r="I313" s="13" t="s">
        <v>57</v>
      </c>
      <c r="J313" s="14">
        <v>1</v>
      </c>
      <c r="K313" s="14">
        <v>1</v>
      </c>
      <c r="L313" s="15">
        <v>4.8</v>
      </c>
      <c r="M313" s="15">
        <v>4.8</v>
      </c>
    </row>
    <row r="314" spans="4:13">
      <c r="D314" s="12">
        <v>46061</v>
      </c>
      <c r="E314" s="13">
        <v>1577161</v>
      </c>
      <c r="F314" s="13" t="s">
        <v>28</v>
      </c>
      <c r="G314" s="14">
        <v>20324352</v>
      </c>
      <c r="H314" s="13" t="s">
        <v>171</v>
      </c>
      <c r="I314" s="13" t="s">
        <v>75</v>
      </c>
      <c r="J314" s="14">
        <v>2</v>
      </c>
      <c r="K314" s="14">
        <v>10</v>
      </c>
      <c r="L314" s="15">
        <v>16.5</v>
      </c>
      <c r="M314" s="15">
        <v>33</v>
      </c>
    </row>
    <row r="315" spans="4:13">
      <c r="D315" s="12">
        <v>46061</v>
      </c>
      <c r="E315" s="13">
        <v>1577161</v>
      </c>
      <c r="F315" s="13" t="s">
        <v>28</v>
      </c>
      <c r="G315" s="14">
        <v>20378900</v>
      </c>
      <c r="H315" s="13" t="s">
        <v>210</v>
      </c>
      <c r="I315" s="13" t="s">
        <v>75</v>
      </c>
      <c r="J315" s="14">
        <v>1</v>
      </c>
      <c r="K315" s="14">
        <v>2</v>
      </c>
      <c r="L315" s="15">
        <v>9.9</v>
      </c>
      <c r="M315" s="15">
        <v>9.9</v>
      </c>
    </row>
    <row r="316" spans="4:13">
      <c r="D316" s="12">
        <v>46061</v>
      </c>
      <c r="E316" s="13">
        <v>1577164</v>
      </c>
      <c r="F316" s="13" t="s">
        <v>24</v>
      </c>
      <c r="G316" s="14">
        <v>20310842</v>
      </c>
      <c r="H316" s="13" t="s">
        <v>160</v>
      </c>
      <c r="I316" s="13" t="s">
        <v>161</v>
      </c>
      <c r="J316" s="14">
        <v>1</v>
      </c>
      <c r="K316" s="14">
        <v>1</v>
      </c>
      <c r="L316" s="15">
        <v>21</v>
      </c>
      <c r="M316" s="15">
        <v>21</v>
      </c>
    </row>
    <row r="317" spans="4:13">
      <c r="D317" s="12">
        <v>46061</v>
      </c>
      <c r="E317" s="13">
        <v>1577164</v>
      </c>
      <c r="F317" s="13" t="s">
        <v>115</v>
      </c>
      <c r="G317" s="14">
        <v>20313066</v>
      </c>
      <c r="H317" s="13" t="s">
        <v>196</v>
      </c>
      <c r="I317" s="13" t="s">
        <v>118</v>
      </c>
      <c r="J317" s="14">
        <v>1</v>
      </c>
      <c r="K317" s="14">
        <v>1</v>
      </c>
      <c r="L317" s="15">
        <v>16.8</v>
      </c>
      <c r="M317" s="15">
        <v>16.8</v>
      </c>
    </row>
    <row r="318" spans="4:13">
      <c r="D318" s="12">
        <v>46061</v>
      </c>
      <c r="E318" s="13">
        <v>1577184</v>
      </c>
      <c r="F318" s="13" t="s">
        <v>101</v>
      </c>
      <c r="G318" s="14">
        <v>20303989</v>
      </c>
      <c r="H318" s="13" t="s">
        <v>173</v>
      </c>
      <c r="I318" s="13" t="s">
        <v>103</v>
      </c>
      <c r="J318" s="14">
        <v>2</v>
      </c>
      <c r="K318" s="14">
        <v>0</v>
      </c>
      <c r="L318" s="15">
        <v>21</v>
      </c>
      <c r="M318" s="15">
        <v>42</v>
      </c>
    </row>
    <row r="319" spans="4:13">
      <c r="D319" s="12">
        <v>46061</v>
      </c>
      <c r="E319" s="13">
        <v>1577184</v>
      </c>
      <c r="F319" s="13" t="s">
        <v>101</v>
      </c>
      <c r="G319" s="14">
        <v>20303990</v>
      </c>
      <c r="H319" s="13" t="s">
        <v>102</v>
      </c>
      <c r="I319" s="13" t="s">
        <v>103</v>
      </c>
      <c r="J319" s="14">
        <v>2</v>
      </c>
      <c r="K319" s="14">
        <v>0</v>
      </c>
      <c r="L319" s="15">
        <v>21</v>
      </c>
      <c r="M319" s="15">
        <v>42</v>
      </c>
    </row>
    <row r="320" spans="4:13">
      <c r="D320" s="12">
        <v>46062</v>
      </c>
      <c r="E320" s="13">
        <v>1577433</v>
      </c>
      <c r="F320" s="13" t="s">
        <v>143</v>
      </c>
      <c r="G320" s="14">
        <v>20303721</v>
      </c>
      <c r="H320" s="13" t="s">
        <v>177</v>
      </c>
      <c r="I320" s="13" t="s">
        <v>165</v>
      </c>
      <c r="J320" s="14">
        <v>1</v>
      </c>
      <c r="K320" s="14">
        <v>35</v>
      </c>
      <c r="L320" s="15">
        <v>115.5</v>
      </c>
      <c r="M320" s="15">
        <v>115.5</v>
      </c>
    </row>
    <row r="321" spans="4:13">
      <c r="D321" s="12">
        <v>46062</v>
      </c>
      <c r="E321" s="13">
        <v>1577433</v>
      </c>
      <c r="F321" s="13" t="s">
        <v>143</v>
      </c>
      <c r="G321" s="14">
        <v>20303803</v>
      </c>
      <c r="H321" s="13" t="s">
        <v>273</v>
      </c>
      <c r="I321" s="13" t="s">
        <v>165</v>
      </c>
      <c r="J321" s="14">
        <v>1</v>
      </c>
      <c r="K321" s="14">
        <v>32</v>
      </c>
      <c r="L321" s="15">
        <v>105.6</v>
      </c>
      <c r="M321" s="15">
        <v>105.6</v>
      </c>
    </row>
    <row r="322" spans="4:13">
      <c r="D322" s="12">
        <v>46062</v>
      </c>
      <c r="E322" s="13">
        <v>1577433</v>
      </c>
      <c r="F322" s="13" t="s">
        <v>15</v>
      </c>
      <c r="G322" s="14">
        <v>20380022</v>
      </c>
      <c r="H322" s="13" t="s">
        <v>182</v>
      </c>
      <c r="I322" s="13" t="s">
        <v>62</v>
      </c>
      <c r="J322" s="14">
        <v>1</v>
      </c>
      <c r="K322" s="14">
        <v>2</v>
      </c>
      <c r="L322" s="15">
        <v>8.1</v>
      </c>
      <c r="M322" s="15">
        <v>8.1</v>
      </c>
    </row>
    <row r="323" spans="4:13">
      <c r="D323" s="12">
        <v>46062</v>
      </c>
      <c r="E323" s="13">
        <v>1577433</v>
      </c>
      <c r="F323" s="13" t="s">
        <v>54</v>
      </c>
      <c r="G323" s="14">
        <v>20318544</v>
      </c>
      <c r="H323" s="13" t="s">
        <v>185</v>
      </c>
      <c r="I323" s="13" t="s">
        <v>186</v>
      </c>
      <c r="J323" s="14">
        <v>1</v>
      </c>
      <c r="K323" s="14">
        <v>16</v>
      </c>
      <c r="L323" s="15">
        <v>52.8</v>
      </c>
      <c r="M323" s="15">
        <v>52.8</v>
      </c>
    </row>
    <row r="324" spans="4:13">
      <c r="D324" s="12">
        <v>46062</v>
      </c>
      <c r="E324" s="13">
        <v>1577433</v>
      </c>
      <c r="F324" s="13" t="s">
        <v>28</v>
      </c>
      <c r="G324" s="14">
        <v>20324352</v>
      </c>
      <c r="H324" s="13" t="s">
        <v>171</v>
      </c>
      <c r="I324" s="13" t="s">
        <v>75</v>
      </c>
      <c r="J324" s="14">
        <v>1</v>
      </c>
      <c r="K324" s="14">
        <v>5</v>
      </c>
      <c r="L324" s="15">
        <v>16.5</v>
      </c>
      <c r="M324" s="15">
        <v>16.5</v>
      </c>
    </row>
    <row r="325" spans="4:13">
      <c r="D325" s="12">
        <v>46062</v>
      </c>
      <c r="E325" s="13">
        <v>1577433</v>
      </c>
      <c r="F325" s="13" t="s">
        <v>28</v>
      </c>
      <c r="G325" s="14">
        <v>20390988</v>
      </c>
      <c r="H325" s="13" t="s">
        <v>283</v>
      </c>
      <c r="I325" s="13" t="s">
        <v>91</v>
      </c>
      <c r="J325" s="14">
        <v>1</v>
      </c>
      <c r="K325" s="14">
        <v>2</v>
      </c>
      <c r="L325" s="15">
        <v>9.9</v>
      </c>
      <c r="M325" s="15">
        <v>9.9</v>
      </c>
    </row>
    <row r="326" spans="4:13">
      <c r="D326" s="12">
        <v>46062</v>
      </c>
      <c r="E326" s="13">
        <v>1577435</v>
      </c>
      <c r="F326" s="13" t="s">
        <v>24</v>
      </c>
      <c r="G326" s="14">
        <v>20310842</v>
      </c>
      <c r="H326" s="13" t="s">
        <v>160</v>
      </c>
      <c r="I326" s="13" t="s">
        <v>161</v>
      </c>
      <c r="J326" s="14">
        <v>2</v>
      </c>
      <c r="K326" s="14">
        <v>2</v>
      </c>
      <c r="L326" s="15">
        <v>21</v>
      </c>
      <c r="M326" s="15">
        <v>42</v>
      </c>
    </row>
    <row r="327" spans="4:13">
      <c r="D327" s="12">
        <v>46062</v>
      </c>
      <c r="E327" s="13">
        <v>1577435</v>
      </c>
      <c r="F327" s="13" t="s">
        <v>24</v>
      </c>
      <c r="G327" s="14">
        <v>20310370</v>
      </c>
      <c r="H327" s="13" t="s">
        <v>193</v>
      </c>
      <c r="I327" s="13" t="s">
        <v>118</v>
      </c>
      <c r="J327" s="14">
        <v>1</v>
      </c>
      <c r="K327" s="14">
        <v>2</v>
      </c>
      <c r="L327" s="15">
        <v>26.4</v>
      </c>
      <c r="M327" s="15">
        <v>26.4</v>
      </c>
    </row>
    <row r="328" spans="4:13">
      <c r="D328" s="12">
        <v>46062</v>
      </c>
      <c r="E328" s="13">
        <v>1577435</v>
      </c>
      <c r="F328" s="13" t="s">
        <v>115</v>
      </c>
      <c r="G328" s="14">
        <v>20381455</v>
      </c>
      <c r="H328" s="13" t="s">
        <v>197</v>
      </c>
      <c r="I328" s="13" t="s">
        <v>198</v>
      </c>
      <c r="J328" s="14">
        <v>1</v>
      </c>
      <c r="K328" s="14">
        <v>2</v>
      </c>
      <c r="L328" s="15">
        <v>21</v>
      </c>
      <c r="M328" s="15">
        <v>21</v>
      </c>
    </row>
    <row r="329" ht="25.5" spans="4:13">
      <c r="D329" s="12">
        <v>46063</v>
      </c>
      <c r="E329" s="13">
        <v>1577639</v>
      </c>
      <c r="F329" s="13" t="s">
        <v>24</v>
      </c>
      <c r="G329" s="14">
        <v>20384740</v>
      </c>
      <c r="H329" s="13" t="s">
        <v>202</v>
      </c>
      <c r="I329" s="13" t="s">
        <v>159</v>
      </c>
      <c r="J329" s="14">
        <v>1</v>
      </c>
      <c r="K329" s="14">
        <v>1</v>
      </c>
      <c r="L329" s="15">
        <v>21</v>
      </c>
      <c r="M329" s="15">
        <v>21</v>
      </c>
    </row>
    <row r="330" spans="4:13">
      <c r="D330" s="12">
        <v>46063</v>
      </c>
      <c r="E330" s="13">
        <v>1577639</v>
      </c>
      <c r="F330" s="13" t="s">
        <v>24</v>
      </c>
      <c r="G330" s="14">
        <v>20310842</v>
      </c>
      <c r="H330" s="13" t="s">
        <v>160</v>
      </c>
      <c r="I330" s="13" t="s">
        <v>161</v>
      </c>
      <c r="J330" s="14">
        <v>1</v>
      </c>
      <c r="K330" s="14">
        <v>1</v>
      </c>
      <c r="L330" s="15">
        <v>21</v>
      </c>
      <c r="M330" s="15">
        <v>21</v>
      </c>
    </row>
    <row r="331" spans="4:13">
      <c r="D331" s="12">
        <v>46063</v>
      </c>
      <c r="E331" s="13">
        <v>1577639</v>
      </c>
      <c r="F331" s="13" t="s">
        <v>115</v>
      </c>
      <c r="G331" s="14">
        <v>20313066</v>
      </c>
      <c r="H331" s="13" t="s">
        <v>196</v>
      </c>
      <c r="I331" s="13" t="s">
        <v>118</v>
      </c>
      <c r="J331" s="14">
        <v>1</v>
      </c>
      <c r="K331" s="14">
        <v>1</v>
      </c>
      <c r="L331" s="15">
        <v>16.8</v>
      </c>
      <c r="M331" s="15">
        <v>16.8</v>
      </c>
    </row>
    <row r="332" spans="4:13">
      <c r="D332" s="12">
        <v>46063</v>
      </c>
      <c r="E332" s="13">
        <v>1577640</v>
      </c>
      <c r="F332" s="13" t="s">
        <v>143</v>
      </c>
      <c r="G332" s="14">
        <v>20303706</v>
      </c>
      <c r="H332" s="13" t="s">
        <v>175</v>
      </c>
      <c r="I332" s="13" t="s">
        <v>165</v>
      </c>
      <c r="J332" s="14">
        <v>1</v>
      </c>
      <c r="K332" s="14">
        <v>24</v>
      </c>
      <c r="L332" s="15">
        <v>79.2</v>
      </c>
      <c r="M332" s="15">
        <v>79.2</v>
      </c>
    </row>
    <row r="333" spans="4:13">
      <c r="D333" s="12">
        <v>46063</v>
      </c>
      <c r="E333" s="13">
        <v>1577640</v>
      </c>
      <c r="F333" s="13" t="s">
        <v>143</v>
      </c>
      <c r="G333" s="14">
        <v>20311301</v>
      </c>
      <c r="H333" s="13" t="s">
        <v>216</v>
      </c>
      <c r="I333" s="13" t="s">
        <v>113</v>
      </c>
      <c r="J333" s="14">
        <v>1</v>
      </c>
      <c r="K333" s="14">
        <v>16</v>
      </c>
      <c r="L333" s="15">
        <v>52.8</v>
      </c>
      <c r="M333" s="15">
        <v>52.8</v>
      </c>
    </row>
    <row r="334" spans="4:13">
      <c r="D334" s="12">
        <v>46063</v>
      </c>
      <c r="E334" s="13">
        <v>1577640</v>
      </c>
      <c r="F334" s="13" t="s">
        <v>143</v>
      </c>
      <c r="G334" s="14">
        <v>20303739</v>
      </c>
      <c r="H334" s="13" t="s">
        <v>204</v>
      </c>
      <c r="I334" s="13" t="s">
        <v>165</v>
      </c>
      <c r="J334" s="14">
        <v>1</v>
      </c>
      <c r="K334" s="14">
        <v>45</v>
      </c>
      <c r="L334" s="15">
        <v>148.5</v>
      </c>
      <c r="M334" s="15">
        <v>148.5</v>
      </c>
    </row>
    <row r="335" spans="4:13">
      <c r="D335" s="12">
        <v>46063</v>
      </c>
      <c r="E335" s="13">
        <v>1577640</v>
      </c>
      <c r="F335" s="13" t="s">
        <v>143</v>
      </c>
      <c r="G335" s="14">
        <v>20303752</v>
      </c>
      <c r="H335" s="13" t="s">
        <v>180</v>
      </c>
      <c r="I335" s="13" t="s">
        <v>165</v>
      </c>
      <c r="J335" s="14">
        <v>1</v>
      </c>
      <c r="K335" s="14">
        <v>29</v>
      </c>
      <c r="L335" s="15">
        <v>95.7</v>
      </c>
      <c r="M335" s="15">
        <v>95.7</v>
      </c>
    </row>
    <row r="336" spans="4:13">
      <c r="D336" s="12">
        <v>46063</v>
      </c>
      <c r="E336" s="13">
        <v>1577640</v>
      </c>
      <c r="F336" s="13" t="s">
        <v>15</v>
      </c>
      <c r="G336" s="14">
        <v>20323063</v>
      </c>
      <c r="H336" s="13" t="s">
        <v>284</v>
      </c>
      <c r="I336" s="13" t="s">
        <v>19</v>
      </c>
      <c r="J336" s="14">
        <v>1</v>
      </c>
      <c r="K336" s="14">
        <v>1</v>
      </c>
      <c r="L336" s="15">
        <v>4.8</v>
      </c>
      <c r="M336" s="15">
        <v>4.8</v>
      </c>
    </row>
    <row r="337" spans="4:13">
      <c r="D337" s="12">
        <v>46063</v>
      </c>
      <c r="E337" s="13">
        <v>1577640</v>
      </c>
      <c r="F337" s="13" t="s">
        <v>15</v>
      </c>
      <c r="G337" s="14">
        <v>20310417</v>
      </c>
      <c r="H337" s="13" t="s">
        <v>206</v>
      </c>
      <c r="I337" s="13" t="s">
        <v>83</v>
      </c>
      <c r="J337" s="14">
        <v>1</v>
      </c>
      <c r="K337" s="14">
        <v>2</v>
      </c>
      <c r="L337" s="15">
        <v>8.1</v>
      </c>
      <c r="M337" s="15">
        <v>8.1</v>
      </c>
    </row>
    <row r="338" spans="4:13">
      <c r="D338" s="12">
        <v>46063</v>
      </c>
      <c r="E338" s="13">
        <v>1577640</v>
      </c>
      <c r="F338" s="13" t="s">
        <v>28</v>
      </c>
      <c r="G338" s="14">
        <v>20324352</v>
      </c>
      <c r="H338" s="13" t="s">
        <v>171</v>
      </c>
      <c r="I338" s="13" t="s">
        <v>75</v>
      </c>
      <c r="J338" s="14">
        <v>2</v>
      </c>
      <c r="K338" s="14">
        <v>10</v>
      </c>
      <c r="L338" s="15">
        <v>16.5</v>
      </c>
      <c r="M338" s="15">
        <v>33</v>
      </c>
    </row>
    <row r="339" spans="4:13">
      <c r="D339" s="12">
        <v>46063</v>
      </c>
      <c r="E339" s="13">
        <v>1577683</v>
      </c>
      <c r="F339" s="13" t="s">
        <v>101</v>
      </c>
      <c r="G339" s="14">
        <v>20310291</v>
      </c>
      <c r="H339" s="13" t="s">
        <v>172</v>
      </c>
      <c r="I339" s="13" t="s">
        <v>30</v>
      </c>
      <c r="J339" s="14">
        <v>2</v>
      </c>
      <c r="K339" s="14">
        <v>0</v>
      </c>
      <c r="L339" s="15">
        <v>15</v>
      </c>
      <c r="M339" s="15">
        <v>30</v>
      </c>
    </row>
    <row r="340" spans="4:13">
      <c r="D340" s="12">
        <v>46063</v>
      </c>
      <c r="E340" s="13">
        <v>1577775</v>
      </c>
      <c r="F340" s="13" t="s">
        <v>143</v>
      </c>
      <c r="G340" s="14">
        <v>20303722</v>
      </c>
      <c r="H340" s="13" t="s">
        <v>164</v>
      </c>
      <c r="I340" s="13" t="s">
        <v>165</v>
      </c>
      <c r="J340" s="14">
        <v>2</v>
      </c>
      <c r="K340" s="14">
        <v>138</v>
      </c>
      <c r="L340" s="15">
        <v>227.7</v>
      </c>
      <c r="M340" s="15">
        <v>455.4</v>
      </c>
    </row>
    <row r="341" spans="4:13">
      <c r="D341" s="12">
        <v>46063</v>
      </c>
      <c r="E341" s="13">
        <v>1577775</v>
      </c>
      <c r="F341" s="13" t="s">
        <v>143</v>
      </c>
      <c r="G341" s="14">
        <v>20303737</v>
      </c>
      <c r="H341" s="13" t="s">
        <v>167</v>
      </c>
      <c r="I341" s="13" t="s">
        <v>165</v>
      </c>
      <c r="J341" s="14">
        <v>1</v>
      </c>
      <c r="K341" s="14">
        <v>57</v>
      </c>
      <c r="L341" s="15">
        <v>188.1</v>
      </c>
      <c r="M341" s="15">
        <v>188.1</v>
      </c>
    </row>
    <row r="342" spans="4:13">
      <c r="D342" s="12">
        <v>46063</v>
      </c>
      <c r="E342" s="13">
        <v>1577775</v>
      </c>
      <c r="F342" s="13" t="s">
        <v>143</v>
      </c>
      <c r="G342" s="14">
        <v>20303738</v>
      </c>
      <c r="H342" s="13" t="s">
        <v>178</v>
      </c>
      <c r="I342" s="13" t="s">
        <v>165</v>
      </c>
      <c r="J342" s="14">
        <v>1</v>
      </c>
      <c r="K342" s="14">
        <v>45</v>
      </c>
      <c r="L342" s="15">
        <v>148.5</v>
      </c>
      <c r="M342" s="15">
        <v>148.5</v>
      </c>
    </row>
    <row r="343" spans="4:13">
      <c r="D343" s="12">
        <v>46063</v>
      </c>
      <c r="E343" s="13">
        <v>1577775</v>
      </c>
      <c r="F343" s="13" t="s">
        <v>143</v>
      </c>
      <c r="G343" s="14">
        <v>20303752</v>
      </c>
      <c r="H343" s="13" t="s">
        <v>180</v>
      </c>
      <c r="I343" s="13" t="s">
        <v>165</v>
      </c>
      <c r="J343" s="14">
        <v>1</v>
      </c>
      <c r="K343" s="14">
        <v>29</v>
      </c>
      <c r="L343" s="15">
        <v>95.7</v>
      </c>
      <c r="M343" s="15">
        <v>95.7</v>
      </c>
    </row>
    <row r="344" spans="4:13">
      <c r="D344" s="12">
        <v>46063</v>
      </c>
      <c r="E344" s="13">
        <v>1577775</v>
      </c>
      <c r="F344" s="13" t="s">
        <v>143</v>
      </c>
      <c r="G344" s="14">
        <v>20303791</v>
      </c>
      <c r="H344" s="13" t="s">
        <v>285</v>
      </c>
      <c r="I344" s="13" t="s">
        <v>165</v>
      </c>
      <c r="J344" s="14">
        <v>1</v>
      </c>
      <c r="K344" s="14">
        <v>61</v>
      </c>
      <c r="L344" s="15">
        <v>201.3</v>
      </c>
      <c r="M344" s="15">
        <v>201.3</v>
      </c>
    </row>
    <row r="345" spans="4:13">
      <c r="D345" s="12">
        <v>46063</v>
      </c>
      <c r="E345" s="13">
        <v>1577775</v>
      </c>
      <c r="F345" s="13" t="s">
        <v>54</v>
      </c>
      <c r="G345" s="14">
        <v>20318544</v>
      </c>
      <c r="H345" s="13" t="s">
        <v>185</v>
      </c>
      <c r="I345" s="13" t="s">
        <v>186</v>
      </c>
      <c r="J345" s="14">
        <v>1</v>
      </c>
      <c r="K345" s="14">
        <v>16</v>
      </c>
      <c r="L345" s="15">
        <v>52.8</v>
      </c>
      <c r="M345" s="15">
        <v>52.8</v>
      </c>
    </row>
    <row r="346" spans="4:13">
      <c r="D346" s="12">
        <v>46063</v>
      </c>
      <c r="E346" s="13">
        <v>1577775</v>
      </c>
      <c r="F346" s="13" t="s">
        <v>28</v>
      </c>
      <c r="G346" s="14">
        <v>20324352</v>
      </c>
      <c r="H346" s="13" t="s">
        <v>171</v>
      </c>
      <c r="I346" s="13" t="s">
        <v>75</v>
      </c>
      <c r="J346" s="14">
        <v>4</v>
      </c>
      <c r="K346" s="14">
        <v>20</v>
      </c>
      <c r="L346" s="15">
        <v>16.5</v>
      </c>
      <c r="M346" s="15">
        <v>66</v>
      </c>
    </row>
    <row r="347" ht="25.5" spans="4:13">
      <c r="D347" s="12">
        <v>46063</v>
      </c>
      <c r="E347" s="13">
        <v>1577776</v>
      </c>
      <c r="F347" s="13" t="s">
        <v>24</v>
      </c>
      <c r="G347" s="14">
        <v>20384740</v>
      </c>
      <c r="H347" s="13" t="s">
        <v>202</v>
      </c>
      <c r="I347" s="13" t="s">
        <v>159</v>
      </c>
      <c r="J347" s="14">
        <v>1</v>
      </c>
      <c r="K347" s="14">
        <v>1</v>
      </c>
      <c r="L347" s="15">
        <v>21</v>
      </c>
      <c r="M347" s="15">
        <v>21</v>
      </c>
    </row>
    <row r="348" spans="4:13">
      <c r="D348" s="12">
        <v>46063</v>
      </c>
      <c r="E348" s="13">
        <v>1577776</v>
      </c>
      <c r="F348" s="13" t="s">
        <v>24</v>
      </c>
      <c r="G348" s="14">
        <v>20310842</v>
      </c>
      <c r="H348" s="13" t="s">
        <v>160</v>
      </c>
      <c r="I348" s="13" t="s">
        <v>161</v>
      </c>
      <c r="J348" s="14">
        <v>2</v>
      </c>
      <c r="K348" s="14">
        <v>2</v>
      </c>
      <c r="L348" s="15">
        <v>21</v>
      </c>
      <c r="M348" s="15">
        <v>42</v>
      </c>
    </row>
    <row r="349" spans="4:13">
      <c r="D349" s="12">
        <v>46063</v>
      </c>
      <c r="E349" s="13">
        <v>1577776</v>
      </c>
      <c r="F349" s="13" t="s">
        <v>24</v>
      </c>
      <c r="G349" s="14">
        <v>20309562</v>
      </c>
      <c r="H349" s="13" t="s">
        <v>188</v>
      </c>
      <c r="I349" s="13" t="s">
        <v>161</v>
      </c>
      <c r="J349" s="14">
        <v>1</v>
      </c>
      <c r="K349" s="14">
        <v>1</v>
      </c>
      <c r="L349" s="15">
        <v>21</v>
      </c>
      <c r="M349" s="15">
        <v>21</v>
      </c>
    </row>
    <row r="350" spans="4:13">
      <c r="D350" s="12">
        <v>46063</v>
      </c>
      <c r="E350" s="13">
        <v>1577776</v>
      </c>
      <c r="F350" s="13" t="s">
        <v>24</v>
      </c>
      <c r="G350" s="14">
        <v>20305124</v>
      </c>
      <c r="H350" s="13" t="s">
        <v>162</v>
      </c>
      <c r="I350" s="13" t="s">
        <v>159</v>
      </c>
      <c r="J350" s="14">
        <v>1</v>
      </c>
      <c r="K350" s="14">
        <v>1</v>
      </c>
      <c r="L350" s="15">
        <v>21</v>
      </c>
      <c r="M350" s="15">
        <v>21</v>
      </c>
    </row>
    <row r="351" spans="4:13">
      <c r="D351" s="12">
        <v>46063</v>
      </c>
      <c r="E351" s="13">
        <v>1577776</v>
      </c>
      <c r="F351" s="13" t="s">
        <v>115</v>
      </c>
      <c r="G351" s="14">
        <v>20376461</v>
      </c>
      <c r="H351" s="13" t="s">
        <v>195</v>
      </c>
      <c r="I351" s="13" t="s">
        <v>118</v>
      </c>
      <c r="J351" s="14">
        <v>1</v>
      </c>
      <c r="K351" s="14">
        <v>1</v>
      </c>
      <c r="L351" s="15">
        <v>16.8</v>
      </c>
      <c r="M351" s="15">
        <v>16.8</v>
      </c>
    </row>
    <row r="352" spans="4:13">
      <c r="D352" s="12">
        <v>46063</v>
      </c>
      <c r="E352" s="13">
        <v>1577776</v>
      </c>
      <c r="F352" s="13" t="s">
        <v>115</v>
      </c>
      <c r="G352" s="14">
        <v>20376462</v>
      </c>
      <c r="H352" s="13" t="s">
        <v>163</v>
      </c>
      <c r="I352" s="13" t="s">
        <v>118</v>
      </c>
      <c r="J352" s="14">
        <v>1</v>
      </c>
      <c r="K352" s="14">
        <v>1</v>
      </c>
      <c r="L352" s="15">
        <v>16.8</v>
      </c>
      <c r="M352" s="15">
        <v>16.8</v>
      </c>
    </row>
    <row r="353" spans="4:13">
      <c r="D353" s="12">
        <v>46063</v>
      </c>
      <c r="E353" s="13">
        <v>1577787</v>
      </c>
      <c r="F353" s="13" t="s">
        <v>101</v>
      </c>
      <c r="G353" s="14">
        <v>20303989</v>
      </c>
      <c r="H353" s="13" t="s">
        <v>173</v>
      </c>
      <c r="I353" s="13" t="s">
        <v>103</v>
      </c>
      <c r="J353" s="14">
        <v>1</v>
      </c>
      <c r="K353" s="14">
        <v>0</v>
      </c>
      <c r="L353" s="15">
        <v>21</v>
      </c>
      <c r="M353" s="15">
        <v>21</v>
      </c>
    </row>
    <row r="354" spans="4:13">
      <c r="D354" s="12">
        <v>46063</v>
      </c>
      <c r="E354" s="13">
        <v>1577787</v>
      </c>
      <c r="F354" s="13" t="s">
        <v>101</v>
      </c>
      <c r="G354" s="14">
        <v>20303990</v>
      </c>
      <c r="H354" s="13" t="s">
        <v>102</v>
      </c>
      <c r="I354" s="13" t="s">
        <v>103</v>
      </c>
      <c r="J354" s="14">
        <v>1</v>
      </c>
      <c r="K354" s="14">
        <v>0</v>
      </c>
      <c r="L354" s="15">
        <v>21</v>
      </c>
      <c r="M354" s="15">
        <v>21</v>
      </c>
    </row>
    <row r="355" spans="4:13">
      <c r="D355" s="12">
        <v>46064</v>
      </c>
      <c r="E355" s="13">
        <v>1577912</v>
      </c>
      <c r="F355" s="13" t="s">
        <v>101</v>
      </c>
      <c r="G355" s="14">
        <v>20303938</v>
      </c>
      <c r="H355" s="13" t="s">
        <v>286</v>
      </c>
      <c r="I355" s="13" t="s">
        <v>103</v>
      </c>
      <c r="J355" s="14">
        <v>1</v>
      </c>
      <c r="K355" s="14">
        <v>0</v>
      </c>
      <c r="L355" s="15">
        <v>21</v>
      </c>
      <c r="M355" s="15">
        <v>21</v>
      </c>
    </row>
    <row r="356" spans="4:13">
      <c r="D356" s="12">
        <v>46064</v>
      </c>
      <c r="E356" s="13">
        <v>1578056</v>
      </c>
      <c r="F356" s="13" t="s">
        <v>24</v>
      </c>
      <c r="G356" s="14">
        <v>20310370</v>
      </c>
      <c r="H356" s="13" t="s">
        <v>193</v>
      </c>
      <c r="I356" s="13" t="s">
        <v>118</v>
      </c>
      <c r="J356" s="14">
        <v>1</v>
      </c>
      <c r="K356" s="14">
        <v>2</v>
      </c>
      <c r="L356" s="15">
        <v>26.4</v>
      </c>
      <c r="M356" s="15">
        <v>26.4</v>
      </c>
    </row>
    <row r="357" spans="4:13">
      <c r="D357" s="12">
        <v>46064</v>
      </c>
      <c r="E357" s="13">
        <v>1578056</v>
      </c>
      <c r="F357" s="13" t="s">
        <v>115</v>
      </c>
      <c r="G357" s="14">
        <v>20377559</v>
      </c>
      <c r="H357" s="13" t="s">
        <v>200</v>
      </c>
      <c r="I357" s="13" t="s">
        <v>118</v>
      </c>
      <c r="J357" s="14">
        <v>1</v>
      </c>
      <c r="K357" s="14">
        <v>1</v>
      </c>
      <c r="L357" s="15">
        <v>16.8</v>
      </c>
      <c r="M357" s="15">
        <v>16.8</v>
      </c>
    </row>
    <row r="358" spans="4:13">
      <c r="D358" s="12">
        <v>46064</v>
      </c>
      <c r="E358" s="13">
        <v>1578057</v>
      </c>
      <c r="F358" s="13" t="s">
        <v>143</v>
      </c>
      <c r="G358" s="14">
        <v>20303725</v>
      </c>
      <c r="H358" s="13" t="s">
        <v>166</v>
      </c>
      <c r="I358" s="13" t="s">
        <v>165</v>
      </c>
      <c r="J358" s="14">
        <v>1</v>
      </c>
      <c r="K358" s="14">
        <v>42</v>
      </c>
      <c r="L358" s="15">
        <v>138.6</v>
      </c>
      <c r="M358" s="15">
        <v>138.6</v>
      </c>
    </row>
    <row r="359" spans="4:13">
      <c r="D359" s="12">
        <v>46064</v>
      </c>
      <c r="E359" s="13">
        <v>1578057</v>
      </c>
      <c r="F359" s="13" t="s">
        <v>143</v>
      </c>
      <c r="G359" s="14">
        <v>20311301</v>
      </c>
      <c r="H359" s="13" t="s">
        <v>216</v>
      </c>
      <c r="I359" s="13" t="s">
        <v>113</v>
      </c>
      <c r="J359" s="14">
        <v>1</v>
      </c>
      <c r="K359" s="14">
        <v>16</v>
      </c>
      <c r="L359" s="15">
        <v>52.8</v>
      </c>
      <c r="M359" s="15">
        <v>52.8</v>
      </c>
    </row>
    <row r="360" spans="4:13">
      <c r="D360" s="12">
        <v>46064</v>
      </c>
      <c r="E360" s="13">
        <v>1578057</v>
      </c>
      <c r="F360" s="13" t="s">
        <v>15</v>
      </c>
      <c r="G360" s="14">
        <v>20380022</v>
      </c>
      <c r="H360" s="13" t="s">
        <v>182</v>
      </c>
      <c r="I360" s="13" t="s">
        <v>62</v>
      </c>
      <c r="J360" s="14">
        <v>1</v>
      </c>
      <c r="K360" s="14">
        <v>2</v>
      </c>
      <c r="L360" s="15">
        <v>8.1</v>
      </c>
      <c r="M360" s="15">
        <v>8.1</v>
      </c>
    </row>
    <row r="361" spans="4:13">
      <c r="D361" s="12">
        <v>46064</v>
      </c>
      <c r="E361" s="13">
        <v>1578057</v>
      </c>
      <c r="F361" s="13" t="s">
        <v>15</v>
      </c>
      <c r="G361" s="14">
        <v>20377556</v>
      </c>
      <c r="H361" s="13" t="s">
        <v>209</v>
      </c>
      <c r="I361" s="13" t="s">
        <v>57</v>
      </c>
      <c r="J361" s="14">
        <v>1</v>
      </c>
      <c r="K361" s="14">
        <v>1</v>
      </c>
      <c r="L361" s="15">
        <v>4.8</v>
      </c>
      <c r="M361" s="15">
        <v>4.8</v>
      </c>
    </row>
    <row r="362" spans="4:13">
      <c r="D362" s="12">
        <v>46064</v>
      </c>
      <c r="E362" s="13">
        <v>1578057</v>
      </c>
      <c r="F362" s="13" t="s">
        <v>54</v>
      </c>
      <c r="G362" s="14">
        <v>20318544</v>
      </c>
      <c r="H362" s="13" t="s">
        <v>185</v>
      </c>
      <c r="I362" s="13" t="s">
        <v>186</v>
      </c>
      <c r="J362" s="14">
        <v>1</v>
      </c>
      <c r="K362" s="14">
        <v>16</v>
      </c>
      <c r="L362" s="15">
        <v>52.8</v>
      </c>
      <c r="M362" s="15">
        <v>52.8</v>
      </c>
    </row>
    <row r="363" spans="4:13">
      <c r="D363" s="12">
        <v>46064</v>
      </c>
      <c r="E363" s="13">
        <v>1578057</v>
      </c>
      <c r="F363" s="13" t="s">
        <v>28</v>
      </c>
      <c r="G363" s="14">
        <v>20324352</v>
      </c>
      <c r="H363" s="13" t="s">
        <v>171</v>
      </c>
      <c r="I363" s="13" t="s">
        <v>75</v>
      </c>
      <c r="J363" s="14">
        <v>3</v>
      </c>
      <c r="K363" s="14">
        <v>15</v>
      </c>
      <c r="L363" s="15">
        <v>16.5</v>
      </c>
      <c r="M363" s="15">
        <v>49.5</v>
      </c>
    </row>
    <row r="364" spans="4:13">
      <c r="D364" s="12">
        <v>46065</v>
      </c>
      <c r="E364" s="13">
        <v>1578386</v>
      </c>
      <c r="F364" s="13" t="s">
        <v>143</v>
      </c>
      <c r="G364" s="14">
        <v>20303722</v>
      </c>
      <c r="H364" s="13" t="s">
        <v>164</v>
      </c>
      <c r="I364" s="13" t="s">
        <v>165</v>
      </c>
      <c r="J364" s="14">
        <v>1</v>
      </c>
      <c r="K364" s="14">
        <v>69</v>
      </c>
      <c r="L364" s="15">
        <v>227.7</v>
      </c>
      <c r="M364" s="15">
        <v>227.7</v>
      </c>
    </row>
    <row r="365" spans="4:13">
      <c r="D365" s="12">
        <v>46065</v>
      </c>
      <c r="E365" s="13">
        <v>1578386</v>
      </c>
      <c r="F365" s="13" t="s">
        <v>143</v>
      </c>
      <c r="G365" s="14">
        <v>20303737</v>
      </c>
      <c r="H365" s="13" t="s">
        <v>167</v>
      </c>
      <c r="I365" s="13" t="s">
        <v>165</v>
      </c>
      <c r="J365" s="14">
        <v>1</v>
      </c>
      <c r="K365" s="14">
        <v>57</v>
      </c>
      <c r="L365" s="15">
        <v>188.1</v>
      </c>
      <c r="M365" s="15">
        <v>188.1</v>
      </c>
    </row>
    <row r="366" spans="4:13">
      <c r="D366" s="12">
        <v>46065</v>
      </c>
      <c r="E366" s="13">
        <v>1578386</v>
      </c>
      <c r="F366" s="13" t="s">
        <v>15</v>
      </c>
      <c r="G366" s="14">
        <v>20303987</v>
      </c>
      <c r="H366" s="13" t="s">
        <v>169</v>
      </c>
      <c r="I366" s="13" t="s">
        <v>170</v>
      </c>
      <c r="J366" s="14">
        <v>1</v>
      </c>
      <c r="K366" s="14">
        <v>1</v>
      </c>
      <c r="L366" s="15">
        <v>9.9</v>
      </c>
      <c r="M366" s="15">
        <v>9.9</v>
      </c>
    </row>
    <row r="367" spans="4:13">
      <c r="D367" s="12">
        <v>46065</v>
      </c>
      <c r="E367" s="13">
        <v>1578386</v>
      </c>
      <c r="F367" s="13" t="s">
        <v>28</v>
      </c>
      <c r="G367" s="14">
        <v>20324352</v>
      </c>
      <c r="H367" s="13" t="s">
        <v>171</v>
      </c>
      <c r="I367" s="13" t="s">
        <v>75</v>
      </c>
      <c r="J367" s="14">
        <v>2</v>
      </c>
      <c r="K367" s="14">
        <v>10</v>
      </c>
      <c r="L367" s="15">
        <v>16.5</v>
      </c>
      <c r="M367" s="15">
        <v>33</v>
      </c>
    </row>
    <row r="368" ht="25.5" spans="4:13">
      <c r="D368" s="12">
        <v>46065</v>
      </c>
      <c r="E368" s="13">
        <v>1578403</v>
      </c>
      <c r="F368" s="13" t="s">
        <v>24</v>
      </c>
      <c r="G368" s="14">
        <v>20384740</v>
      </c>
      <c r="H368" s="13" t="s">
        <v>202</v>
      </c>
      <c r="I368" s="13" t="s">
        <v>159</v>
      </c>
      <c r="J368" s="14">
        <v>1</v>
      </c>
      <c r="K368" s="14">
        <v>1</v>
      </c>
      <c r="L368" s="15">
        <v>21</v>
      </c>
      <c r="M368" s="15">
        <v>21</v>
      </c>
    </row>
    <row r="369" spans="4:13">
      <c r="D369" s="12">
        <v>46065</v>
      </c>
      <c r="E369" s="13">
        <v>1578403</v>
      </c>
      <c r="F369" s="13" t="s">
        <v>24</v>
      </c>
      <c r="G369" s="14">
        <v>20310842</v>
      </c>
      <c r="H369" s="13" t="s">
        <v>160</v>
      </c>
      <c r="I369" s="13" t="s">
        <v>161</v>
      </c>
      <c r="J369" s="14">
        <v>1</v>
      </c>
      <c r="K369" s="14">
        <v>1</v>
      </c>
      <c r="L369" s="15">
        <v>21</v>
      </c>
      <c r="M369" s="15">
        <v>21</v>
      </c>
    </row>
    <row r="370" spans="4:13">
      <c r="D370" s="12">
        <v>46065</v>
      </c>
      <c r="E370" s="13">
        <v>1578403</v>
      </c>
      <c r="F370" s="13" t="s">
        <v>24</v>
      </c>
      <c r="G370" s="14">
        <v>20305124</v>
      </c>
      <c r="H370" s="13" t="s">
        <v>162</v>
      </c>
      <c r="I370" s="13" t="s">
        <v>159</v>
      </c>
      <c r="J370" s="14">
        <v>2</v>
      </c>
      <c r="K370" s="14">
        <v>2</v>
      </c>
      <c r="L370" s="15">
        <v>21</v>
      </c>
      <c r="M370" s="15">
        <v>42</v>
      </c>
    </row>
    <row r="371" spans="4:13">
      <c r="D371" s="12">
        <v>46065</v>
      </c>
      <c r="E371" s="13">
        <v>1578403</v>
      </c>
      <c r="F371" s="13" t="s">
        <v>115</v>
      </c>
      <c r="G371" s="14">
        <v>20313066</v>
      </c>
      <c r="H371" s="13" t="s">
        <v>196</v>
      </c>
      <c r="I371" s="13" t="s">
        <v>118</v>
      </c>
      <c r="J371" s="14">
        <v>1</v>
      </c>
      <c r="K371" s="14">
        <v>1</v>
      </c>
      <c r="L371" s="15">
        <v>16.8</v>
      </c>
      <c r="M371" s="15">
        <v>16.8</v>
      </c>
    </row>
    <row r="372" spans="4:13">
      <c r="D372" s="12">
        <v>46065</v>
      </c>
      <c r="E372" s="13">
        <v>1578403</v>
      </c>
      <c r="F372" s="13" t="s">
        <v>115</v>
      </c>
      <c r="G372" s="14">
        <v>20376462</v>
      </c>
      <c r="H372" s="13" t="s">
        <v>163</v>
      </c>
      <c r="I372" s="13" t="s">
        <v>118</v>
      </c>
      <c r="J372" s="14">
        <v>1</v>
      </c>
      <c r="K372" s="14">
        <v>1</v>
      </c>
      <c r="L372" s="15">
        <v>16.8</v>
      </c>
      <c r="M372" s="15">
        <v>16.8</v>
      </c>
    </row>
    <row r="373" spans="4:13">
      <c r="D373" s="12">
        <v>46065</v>
      </c>
      <c r="E373" s="13">
        <v>1578403</v>
      </c>
      <c r="F373" s="13" t="s">
        <v>115</v>
      </c>
      <c r="G373" s="14">
        <v>20377558</v>
      </c>
      <c r="H373" s="13" t="s">
        <v>287</v>
      </c>
      <c r="I373" s="13" t="s">
        <v>118</v>
      </c>
      <c r="J373" s="14">
        <v>1</v>
      </c>
      <c r="K373" s="14">
        <v>1</v>
      </c>
      <c r="L373" s="15">
        <v>16.8</v>
      </c>
      <c r="M373" s="15">
        <v>16.8</v>
      </c>
    </row>
    <row r="374" spans="4:13">
      <c r="D374" s="12">
        <v>46065</v>
      </c>
      <c r="E374" s="13">
        <v>1578419</v>
      </c>
      <c r="F374" s="13" t="s">
        <v>101</v>
      </c>
      <c r="G374" s="14">
        <v>20303989</v>
      </c>
      <c r="H374" s="13" t="s">
        <v>173</v>
      </c>
      <c r="I374" s="13" t="s">
        <v>103</v>
      </c>
      <c r="J374" s="14">
        <v>3</v>
      </c>
      <c r="K374" s="14">
        <v>0</v>
      </c>
      <c r="L374" s="15">
        <v>21</v>
      </c>
      <c r="M374" s="15">
        <v>63</v>
      </c>
    </row>
    <row r="375" spans="4:13">
      <c r="D375" s="12">
        <v>46065</v>
      </c>
      <c r="E375" s="13">
        <v>1578419</v>
      </c>
      <c r="F375" s="13" t="s">
        <v>101</v>
      </c>
      <c r="G375" s="14">
        <v>20303990</v>
      </c>
      <c r="H375" s="13" t="s">
        <v>102</v>
      </c>
      <c r="I375" s="13" t="s">
        <v>103</v>
      </c>
      <c r="J375" s="14">
        <v>2</v>
      </c>
      <c r="K375" s="14">
        <v>0</v>
      </c>
      <c r="L375" s="15">
        <v>21</v>
      </c>
      <c r="M375" s="15">
        <v>42</v>
      </c>
    </row>
    <row r="376" spans="4:13">
      <c r="D376" s="12">
        <v>46066</v>
      </c>
      <c r="E376" s="13">
        <v>1578612</v>
      </c>
      <c r="F376" s="13" t="s">
        <v>24</v>
      </c>
      <c r="G376" s="14">
        <v>20310842</v>
      </c>
      <c r="H376" s="13" t="s">
        <v>160</v>
      </c>
      <c r="I376" s="13" t="s">
        <v>161</v>
      </c>
      <c r="J376" s="14">
        <v>1</v>
      </c>
      <c r="K376" s="14">
        <v>1</v>
      </c>
      <c r="L376" s="15">
        <v>21</v>
      </c>
      <c r="M376" s="15">
        <v>21</v>
      </c>
    </row>
    <row r="377" spans="4:13">
      <c r="D377" s="12">
        <v>46066</v>
      </c>
      <c r="E377" s="13">
        <v>1578612</v>
      </c>
      <c r="F377" s="13" t="s">
        <v>24</v>
      </c>
      <c r="G377" s="14">
        <v>20309562</v>
      </c>
      <c r="H377" s="13" t="s">
        <v>188</v>
      </c>
      <c r="I377" s="13" t="s">
        <v>161</v>
      </c>
      <c r="J377" s="14">
        <v>1</v>
      </c>
      <c r="K377" s="14">
        <v>1</v>
      </c>
      <c r="L377" s="15">
        <v>21</v>
      </c>
      <c r="M377" s="15">
        <v>21</v>
      </c>
    </row>
    <row r="378" spans="4:13">
      <c r="D378" s="12">
        <v>46066</v>
      </c>
      <c r="E378" s="13">
        <v>1578612</v>
      </c>
      <c r="F378" s="13" t="s">
        <v>115</v>
      </c>
      <c r="G378" s="14">
        <v>20376461</v>
      </c>
      <c r="H378" s="13" t="s">
        <v>195</v>
      </c>
      <c r="I378" s="13" t="s">
        <v>118</v>
      </c>
      <c r="J378" s="14">
        <v>1</v>
      </c>
      <c r="K378" s="14">
        <v>1</v>
      </c>
      <c r="L378" s="15">
        <v>16.8</v>
      </c>
      <c r="M378" s="15">
        <v>16.8</v>
      </c>
    </row>
    <row r="379" spans="4:13">
      <c r="D379" s="12">
        <v>46066</v>
      </c>
      <c r="E379" s="13">
        <v>1578613</v>
      </c>
      <c r="F379" s="13" t="s">
        <v>143</v>
      </c>
      <c r="G379" s="14">
        <v>20303706</v>
      </c>
      <c r="H379" s="13" t="s">
        <v>175</v>
      </c>
      <c r="I379" s="13" t="s">
        <v>165</v>
      </c>
      <c r="J379" s="14">
        <v>1</v>
      </c>
      <c r="K379" s="14">
        <v>24</v>
      </c>
      <c r="L379" s="15">
        <v>79.2</v>
      </c>
      <c r="M379" s="15">
        <v>79.2</v>
      </c>
    </row>
    <row r="380" spans="4:13">
      <c r="D380" s="12">
        <v>46066</v>
      </c>
      <c r="E380" s="13">
        <v>1578613</v>
      </c>
      <c r="F380" s="13" t="s">
        <v>143</v>
      </c>
      <c r="G380" s="14">
        <v>20303722</v>
      </c>
      <c r="H380" s="13" t="s">
        <v>164</v>
      </c>
      <c r="I380" s="13" t="s">
        <v>165</v>
      </c>
      <c r="J380" s="14">
        <v>1</v>
      </c>
      <c r="K380" s="14">
        <v>69</v>
      </c>
      <c r="L380" s="15">
        <v>227.7</v>
      </c>
      <c r="M380" s="15">
        <v>227.7</v>
      </c>
    </row>
    <row r="381" spans="4:13">
      <c r="D381" s="12">
        <v>46066</v>
      </c>
      <c r="E381" s="13">
        <v>1578613</v>
      </c>
      <c r="F381" s="13" t="s">
        <v>143</v>
      </c>
      <c r="G381" s="14">
        <v>20303738</v>
      </c>
      <c r="H381" s="13" t="s">
        <v>178</v>
      </c>
      <c r="I381" s="13" t="s">
        <v>165</v>
      </c>
      <c r="J381" s="14">
        <v>1</v>
      </c>
      <c r="K381" s="14">
        <v>45</v>
      </c>
      <c r="L381" s="15">
        <v>148.5</v>
      </c>
      <c r="M381" s="15">
        <v>148.5</v>
      </c>
    </row>
    <row r="382" spans="4:13">
      <c r="D382" s="12">
        <v>46066</v>
      </c>
      <c r="E382" s="13">
        <v>1578613</v>
      </c>
      <c r="F382" s="13" t="s">
        <v>15</v>
      </c>
      <c r="G382" s="14">
        <v>20310417</v>
      </c>
      <c r="H382" s="13" t="s">
        <v>206</v>
      </c>
      <c r="I382" s="13" t="s">
        <v>83</v>
      </c>
      <c r="J382" s="14">
        <v>1</v>
      </c>
      <c r="K382" s="14">
        <v>2</v>
      </c>
      <c r="L382" s="15">
        <v>8.1</v>
      </c>
      <c r="M382" s="15">
        <v>8.1</v>
      </c>
    </row>
    <row r="383" spans="4:13">
      <c r="D383" s="12">
        <v>46066</v>
      </c>
      <c r="E383" s="13">
        <v>1578613</v>
      </c>
      <c r="F383" s="13" t="s">
        <v>28</v>
      </c>
      <c r="G383" s="14">
        <v>20324352</v>
      </c>
      <c r="H383" s="13" t="s">
        <v>171</v>
      </c>
      <c r="I383" s="13" t="s">
        <v>75</v>
      </c>
      <c r="J383" s="14">
        <v>1</v>
      </c>
      <c r="K383" s="14">
        <v>5</v>
      </c>
      <c r="L383" s="15">
        <v>16.5</v>
      </c>
      <c r="M383" s="15">
        <v>16.5</v>
      </c>
    </row>
    <row r="384" spans="4:13">
      <c r="D384" s="12">
        <v>46066</v>
      </c>
      <c r="E384" s="13">
        <v>1578688</v>
      </c>
      <c r="F384" s="13" t="s">
        <v>143</v>
      </c>
      <c r="G384" s="14">
        <v>20303752</v>
      </c>
      <c r="H384" s="13" t="s">
        <v>180</v>
      </c>
      <c r="I384" s="13" t="s">
        <v>165</v>
      </c>
      <c r="J384" s="14">
        <v>1</v>
      </c>
      <c r="K384" s="14">
        <v>29</v>
      </c>
      <c r="L384" s="15">
        <v>95.7</v>
      </c>
      <c r="M384" s="15">
        <v>95.7</v>
      </c>
    </row>
    <row r="385" spans="4:13">
      <c r="D385" s="12">
        <v>46066</v>
      </c>
      <c r="E385" s="13">
        <v>1578688</v>
      </c>
      <c r="F385" s="13" t="s">
        <v>15</v>
      </c>
      <c r="G385" s="14">
        <v>20310959</v>
      </c>
      <c r="H385" s="13" t="s">
        <v>261</v>
      </c>
      <c r="I385" s="13" t="s">
        <v>19</v>
      </c>
      <c r="J385" s="14">
        <v>1</v>
      </c>
      <c r="K385" s="14">
        <v>1</v>
      </c>
      <c r="L385" s="15">
        <v>4.8</v>
      </c>
      <c r="M385" s="15">
        <v>4.8</v>
      </c>
    </row>
    <row r="386" spans="4:13">
      <c r="D386" s="12">
        <v>46066</v>
      </c>
      <c r="E386" s="13">
        <v>1578688</v>
      </c>
      <c r="F386" s="13" t="s">
        <v>28</v>
      </c>
      <c r="G386" s="14">
        <v>20324352</v>
      </c>
      <c r="H386" s="13" t="s">
        <v>171</v>
      </c>
      <c r="I386" s="13" t="s">
        <v>75</v>
      </c>
      <c r="J386" s="14">
        <v>1</v>
      </c>
      <c r="K386" s="14">
        <v>5</v>
      </c>
      <c r="L386" s="15">
        <v>16.5</v>
      </c>
      <c r="M386" s="15">
        <v>16.5</v>
      </c>
    </row>
    <row r="387" spans="4:13">
      <c r="D387" s="12">
        <v>46067</v>
      </c>
      <c r="E387" s="13">
        <v>1578977</v>
      </c>
      <c r="F387" s="13" t="s">
        <v>143</v>
      </c>
      <c r="G387" s="14">
        <v>20303721</v>
      </c>
      <c r="H387" s="13" t="s">
        <v>177</v>
      </c>
      <c r="I387" s="13" t="s">
        <v>165</v>
      </c>
      <c r="J387" s="14">
        <v>1</v>
      </c>
      <c r="K387" s="14">
        <v>35</v>
      </c>
      <c r="L387" s="15">
        <v>115.5</v>
      </c>
      <c r="M387" s="15">
        <v>115.5</v>
      </c>
    </row>
    <row r="388" spans="4:13">
      <c r="D388" s="12">
        <v>46067</v>
      </c>
      <c r="E388" s="13">
        <v>1578977</v>
      </c>
      <c r="F388" s="13" t="s">
        <v>143</v>
      </c>
      <c r="G388" s="14">
        <v>20303725</v>
      </c>
      <c r="H388" s="13" t="s">
        <v>166</v>
      </c>
      <c r="I388" s="13" t="s">
        <v>165</v>
      </c>
      <c r="J388" s="14">
        <v>1</v>
      </c>
      <c r="K388" s="14">
        <v>42</v>
      </c>
      <c r="L388" s="15">
        <v>138.6</v>
      </c>
      <c r="M388" s="15">
        <v>138.6</v>
      </c>
    </row>
    <row r="389" spans="4:13">
      <c r="D389" s="12">
        <v>46067</v>
      </c>
      <c r="E389" s="13">
        <v>1578977</v>
      </c>
      <c r="F389" s="13" t="s">
        <v>143</v>
      </c>
      <c r="G389" s="14">
        <v>20303732</v>
      </c>
      <c r="H389" s="13" t="s">
        <v>181</v>
      </c>
      <c r="I389" s="13" t="s">
        <v>165</v>
      </c>
      <c r="J389" s="14">
        <v>1</v>
      </c>
      <c r="K389" s="14">
        <v>38</v>
      </c>
      <c r="L389" s="15">
        <v>125.4</v>
      </c>
      <c r="M389" s="15">
        <v>125.4</v>
      </c>
    </row>
    <row r="390" spans="4:13">
      <c r="D390" s="12">
        <v>46067</v>
      </c>
      <c r="E390" s="13">
        <v>1578977</v>
      </c>
      <c r="F390" s="13" t="s">
        <v>28</v>
      </c>
      <c r="G390" s="14">
        <v>20324352</v>
      </c>
      <c r="H390" s="13" t="s">
        <v>171</v>
      </c>
      <c r="I390" s="13" t="s">
        <v>75</v>
      </c>
      <c r="J390" s="14">
        <v>2</v>
      </c>
      <c r="K390" s="14">
        <v>10</v>
      </c>
      <c r="L390" s="15">
        <v>16.5</v>
      </c>
      <c r="M390" s="15">
        <v>33</v>
      </c>
    </row>
    <row r="391" spans="4:13">
      <c r="D391" s="12">
        <v>46067</v>
      </c>
      <c r="E391" s="13">
        <v>1578977</v>
      </c>
      <c r="F391" s="13" t="s">
        <v>28</v>
      </c>
      <c r="G391" s="14">
        <v>20390988</v>
      </c>
      <c r="H391" s="13" t="s">
        <v>283</v>
      </c>
      <c r="I391" s="13" t="s">
        <v>91</v>
      </c>
      <c r="J391" s="14">
        <v>1</v>
      </c>
      <c r="K391" s="14">
        <v>2</v>
      </c>
      <c r="L391" s="15">
        <v>9.9</v>
      </c>
      <c r="M391" s="15">
        <v>9.9</v>
      </c>
    </row>
    <row r="392" spans="4:13">
      <c r="D392" s="12">
        <v>46067</v>
      </c>
      <c r="E392" s="13">
        <v>1578985</v>
      </c>
      <c r="F392" s="13" t="s">
        <v>101</v>
      </c>
      <c r="G392" s="14">
        <v>20303989</v>
      </c>
      <c r="H392" s="13" t="s">
        <v>173</v>
      </c>
      <c r="I392" s="13" t="s">
        <v>103</v>
      </c>
      <c r="J392" s="14">
        <v>2</v>
      </c>
      <c r="K392" s="14">
        <v>0</v>
      </c>
      <c r="L392" s="15">
        <v>21</v>
      </c>
      <c r="M392" s="15">
        <v>42</v>
      </c>
    </row>
    <row r="393" spans="4:13">
      <c r="D393" s="12">
        <v>46067</v>
      </c>
      <c r="E393" s="13">
        <v>1578985</v>
      </c>
      <c r="F393" s="13" t="s">
        <v>101</v>
      </c>
      <c r="G393" s="14">
        <v>20303990</v>
      </c>
      <c r="H393" s="13" t="s">
        <v>102</v>
      </c>
      <c r="I393" s="13" t="s">
        <v>103</v>
      </c>
      <c r="J393" s="14">
        <v>2</v>
      </c>
      <c r="K393" s="14">
        <v>0</v>
      </c>
      <c r="L393" s="15">
        <v>21</v>
      </c>
      <c r="M393" s="15">
        <v>42</v>
      </c>
    </row>
    <row r="400" spans="4:13">
      <c r="D400" s="1" t="s">
        <v>288</v>
      </c>
    </row>
    <row r="403" spans="4:11">
      <c r="D403" s="2" t="s">
        <v>289</v>
      </c>
    </row>
    <row r="405" spans="4:11">
      <c r="D405" s="3" t="s">
        <v>290</v>
      </c>
      <c r="E405" s="3" t="s">
        <v>291</v>
      </c>
      <c r="G405" s="3" t="s">
        <v>292</v>
      </c>
      <c r="H405" s="3" t="s">
        <v>293</v>
      </c>
      <c r="I405" s="3" t="s">
        <v>7</v>
      </c>
      <c r="J405" s="3" t="s">
        <v>294</v>
      </c>
      <c r="K405" s="3" t="s">
        <v>295</v>
      </c>
    </row>
    <row r="406" ht="15.75" spans="4:11">
      <c r="D406" s="16" t="s">
        <v>3</v>
      </c>
      <c r="E406" s="17" t="s">
        <v>2</v>
      </c>
      <c r="F406" s="17" t="s">
        <v>2</v>
      </c>
      <c r="G406" s="17" t="s">
        <v>2</v>
      </c>
      <c r="H406" s="17" t="s">
        <v>2</v>
      </c>
      <c r="I406" s="17" t="s">
        <v>2</v>
      </c>
      <c r="J406" s="18" t="s">
        <v>2</v>
      </c>
      <c r="K406" s="19"/>
    </row>
    <row r="407" ht="14.25" spans="4:11">
      <c r="D407" s="20" t="s">
        <v>157</v>
      </c>
      <c r="E407" s="17" t="s">
        <v>2</v>
      </c>
      <c r="F407" s="17" t="s">
        <v>2</v>
      </c>
      <c r="G407" s="17" t="s">
        <v>2</v>
      </c>
      <c r="H407" s="17" t="s">
        <v>2</v>
      </c>
      <c r="I407" s="17" t="s">
        <v>2</v>
      </c>
      <c r="J407" s="21" t="s">
        <v>2</v>
      </c>
      <c r="K407" s="22">
        <v>-264</v>
      </c>
    </row>
    <row r="408" spans="4:11">
      <c r="D408" s="23" t="s">
        <v>143</v>
      </c>
      <c r="E408" s="17" t="s">
        <v>2</v>
      </c>
      <c r="F408" s="17" t="s">
        <v>2</v>
      </c>
      <c r="G408" s="17" t="s">
        <v>2</v>
      </c>
      <c r="H408" s="17" t="s">
        <v>2</v>
      </c>
      <c r="I408" s="17" t="s">
        <v>2</v>
      </c>
      <c r="J408" s="24" t="s">
        <v>2</v>
      </c>
      <c r="K408" s="25">
        <v>-264</v>
      </c>
    </row>
    <row r="409" spans="4:11">
      <c r="D409" s="26">
        <v>3005849238</v>
      </c>
      <c r="E409" s="27">
        <v>46077.5041711806</v>
      </c>
      <c r="F409" s="9" t="s">
        <v>2</v>
      </c>
      <c r="G409" s="28" t="s">
        <v>296</v>
      </c>
      <c r="H409" s="29">
        <v>46035.5301383102</v>
      </c>
      <c r="I409" s="13">
        <v>20303807</v>
      </c>
      <c r="J409" s="13" t="s">
        <v>297</v>
      </c>
      <c r="K409" s="30">
        <v>-264</v>
      </c>
    </row>
  </sheetData>
  <autoFilter xmlns:etc="http://www.wps.cn/officeDocument/2017/etCustomData" ref="A7:M393" etc:filterBottomFollowUsedRange="0">
    <extLst/>
  </autoFilter>
  <mergeCells count="12">
    <mergeCell ref="D8:I8"/>
    <mergeCell ref="E405:F405"/>
    <mergeCell ref="D406:I406"/>
    <mergeCell ref="D407:I407"/>
    <mergeCell ref="D408:I408"/>
    <mergeCell ref="E409:F409"/>
    <mergeCell ref="C7:C393"/>
    <mergeCell ref="B4:H5"/>
    <mergeCell ref="A7:B393"/>
    <mergeCell ref="C1:H2"/>
    <mergeCell ref="D400:M401"/>
    <mergeCell ref="D403:H404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N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2.125" customWidth="1"/>
    <col min="9" max="9" width="17.125" customWidth="1"/>
    <col min="10" max="10" width="6.475" customWidth="1"/>
    <col min="11" max="11" width="9.45" customWidth="1"/>
    <col min="12" max="12" width="10.375" customWidth="1"/>
    <col min="13" max="13" width="10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298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36</v>
      </c>
      <c r="K8" s="10">
        <v>111</v>
      </c>
      <c r="L8" s="11"/>
      <c r="M8" s="11">
        <v>400.8</v>
      </c>
    </row>
    <row r="9" spans="1:13">
      <c r="D9" s="12">
        <v>46044</v>
      </c>
      <c r="E9" s="13">
        <v>1572682</v>
      </c>
      <c r="F9" s="13" t="s">
        <v>44</v>
      </c>
      <c r="G9" s="14">
        <v>20305025</v>
      </c>
      <c r="H9" s="13" t="s">
        <v>36</v>
      </c>
      <c r="I9" s="13" t="s">
        <v>30</v>
      </c>
      <c r="J9" s="14">
        <v>1</v>
      </c>
      <c r="K9" s="14">
        <v>5</v>
      </c>
      <c r="L9" s="15">
        <v>16.5</v>
      </c>
      <c r="M9" s="15">
        <v>16.5</v>
      </c>
    </row>
    <row r="10" spans="1:13">
      <c r="D10" s="12">
        <v>46045</v>
      </c>
      <c r="E10" s="13">
        <v>1573065</v>
      </c>
      <c r="F10" s="13" t="s">
        <v>54</v>
      </c>
      <c r="G10" s="14">
        <v>20310147</v>
      </c>
      <c r="H10" s="13" t="s">
        <v>299</v>
      </c>
      <c r="I10" s="13" t="s">
        <v>66</v>
      </c>
      <c r="J10" s="14">
        <v>1</v>
      </c>
      <c r="K10" s="14">
        <v>8</v>
      </c>
      <c r="L10" s="15">
        <v>26.4</v>
      </c>
      <c r="M10" s="15">
        <v>26.4</v>
      </c>
    </row>
    <row r="11" spans="1:13">
      <c r="D11" s="12">
        <v>46048</v>
      </c>
      <c r="E11" s="13">
        <v>1573557</v>
      </c>
      <c r="F11" s="13" t="s">
        <v>44</v>
      </c>
      <c r="G11" s="14">
        <v>20305025</v>
      </c>
      <c r="H11" s="13" t="s">
        <v>36</v>
      </c>
      <c r="I11" s="13" t="s">
        <v>30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46049</v>
      </c>
      <c r="E12" s="13">
        <v>1573962</v>
      </c>
      <c r="F12" s="13" t="s">
        <v>15</v>
      </c>
      <c r="G12" s="14">
        <v>20303984</v>
      </c>
      <c r="H12" s="13" t="s">
        <v>82</v>
      </c>
      <c r="I12" s="13" t="s">
        <v>83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46049</v>
      </c>
      <c r="E13" s="13">
        <v>1573962</v>
      </c>
      <c r="F13" s="13" t="s">
        <v>15</v>
      </c>
      <c r="G13" s="14">
        <v>20303922</v>
      </c>
      <c r="H13" s="13" t="s">
        <v>20</v>
      </c>
      <c r="I13" s="13" t="s">
        <v>17</v>
      </c>
      <c r="J13" s="14">
        <v>5</v>
      </c>
      <c r="K13" s="14">
        <v>5</v>
      </c>
      <c r="L13" s="15">
        <v>4.8</v>
      </c>
      <c r="M13" s="15">
        <v>24</v>
      </c>
    </row>
    <row r="14" spans="1:13">
      <c r="D14" s="12">
        <v>46049</v>
      </c>
      <c r="E14" s="13">
        <v>1573962</v>
      </c>
      <c r="F14" s="13" t="s">
        <v>54</v>
      </c>
      <c r="G14" s="14">
        <v>20305050</v>
      </c>
      <c r="H14" s="13" t="s">
        <v>300</v>
      </c>
      <c r="I14" s="13" t="s">
        <v>66</v>
      </c>
      <c r="J14" s="14">
        <v>1</v>
      </c>
      <c r="K14" s="14">
        <v>10</v>
      </c>
      <c r="L14" s="15">
        <v>33</v>
      </c>
      <c r="M14" s="15">
        <v>33</v>
      </c>
    </row>
    <row r="15" spans="1:13">
      <c r="D15" s="12">
        <v>46050</v>
      </c>
      <c r="E15" s="13">
        <v>1574274</v>
      </c>
      <c r="F15" s="13" t="s">
        <v>15</v>
      </c>
      <c r="G15" s="14">
        <v>20305129</v>
      </c>
      <c r="H15" s="13" t="s">
        <v>79</v>
      </c>
      <c r="I15" s="13" t="s">
        <v>17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46050</v>
      </c>
      <c r="E16" s="13">
        <v>1574274</v>
      </c>
      <c r="F16" s="13" t="s">
        <v>15</v>
      </c>
      <c r="G16" s="14">
        <v>20309553</v>
      </c>
      <c r="H16" s="13" t="s">
        <v>153</v>
      </c>
      <c r="I16" s="13" t="s">
        <v>19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46050</v>
      </c>
      <c r="E17" s="13">
        <v>1574274</v>
      </c>
      <c r="F17" s="13" t="s">
        <v>15</v>
      </c>
      <c r="G17" s="14">
        <v>20305049</v>
      </c>
      <c r="H17" s="13" t="s">
        <v>16</v>
      </c>
      <c r="I17" s="13" t="s">
        <v>17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46050</v>
      </c>
      <c r="E18" s="13">
        <v>1574274</v>
      </c>
      <c r="F18" s="13" t="s">
        <v>15</v>
      </c>
      <c r="G18" s="14">
        <v>20310341</v>
      </c>
      <c r="H18" s="13" t="s">
        <v>18</v>
      </c>
      <c r="I18" s="13" t="s">
        <v>19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46050</v>
      </c>
      <c r="E19" s="13">
        <v>1574274</v>
      </c>
      <c r="F19" s="13" t="s">
        <v>15</v>
      </c>
      <c r="G19" s="14">
        <v>20303984</v>
      </c>
      <c r="H19" s="13" t="s">
        <v>82</v>
      </c>
      <c r="I19" s="13" t="s">
        <v>83</v>
      </c>
      <c r="J19" s="14">
        <v>3</v>
      </c>
      <c r="K19" s="14">
        <v>3</v>
      </c>
      <c r="L19" s="15">
        <v>4.8</v>
      </c>
      <c r="M19" s="15">
        <v>14.4</v>
      </c>
    </row>
    <row r="20" spans="4:13">
      <c r="D20" s="12">
        <v>46051</v>
      </c>
      <c r="E20" s="13">
        <v>1574664</v>
      </c>
      <c r="F20" s="13" t="s">
        <v>44</v>
      </c>
      <c r="G20" s="14">
        <v>20305025</v>
      </c>
      <c r="H20" s="13" t="s">
        <v>36</v>
      </c>
      <c r="I20" s="13" t="s">
        <v>30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46055</v>
      </c>
      <c r="E21" s="13">
        <v>1575455</v>
      </c>
      <c r="F21" s="13" t="s">
        <v>44</v>
      </c>
      <c r="G21" s="14">
        <v>20305025</v>
      </c>
      <c r="H21" s="13" t="s">
        <v>36</v>
      </c>
      <c r="I21" s="13" t="s">
        <v>30</v>
      </c>
      <c r="J21" s="14">
        <v>1</v>
      </c>
      <c r="K21" s="14">
        <v>5</v>
      </c>
      <c r="L21" s="15">
        <v>16.5</v>
      </c>
      <c r="M21" s="15">
        <v>16.5</v>
      </c>
    </row>
    <row r="22" spans="4:13">
      <c r="D22" s="12">
        <v>46058</v>
      </c>
      <c r="E22" s="13">
        <v>1576510</v>
      </c>
      <c r="F22" s="13" t="s">
        <v>15</v>
      </c>
      <c r="G22" s="14">
        <v>20303984</v>
      </c>
      <c r="H22" s="13" t="s">
        <v>82</v>
      </c>
      <c r="I22" s="13" t="s">
        <v>83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46058</v>
      </c>
      <c r="E23" s="13">
        <v>1576510</v>
      </c>
      <c r="F23" s="13" t="s">
        <v>15</v>
      </c>
      <c r="G23" s="14">
        <v>20303922</v>
      </c>
      <c r="H23" s="13" t="s">
        <v>20</v>
      </c>
      <c r="I23" s="13" t="s">
        <v>17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46058</v>
      </c>
      <c r="E24" s="13">
        <v>1576510</v>
      </c>
      <c r="F24" s="13" t="s">
        <v>44</v>
      </c>
      <c r="G24" s="14">
        <v>20305025</v>
      </c>
      <c r="H24" s="13" t="s">
        <v>36</v>
      </c>
      <c r="I24" s="13" t="s">
        <v>30</v>
      </c>
      <c r="J24" s="14">
        <v>1</v>
      </c>
      <c r="K24" s="14">
        <v>5</v>
      </c>
      <c r="L24" s="15">
        <v>16.5</v>
      </c>
      <c r="M24" s="15">
        <v>16.5</v>
      </c>
    </row>
    <row r="25" spans="4:13">
      <c r="D25" s="12">
        <v>46062</v>
      </c>
      <c r="E25" s="13">
        <v>1577322</v>
      </c>
      <c r="F25" s="13" t="s">
        <v>44</v>
      </c>
      <c r="G25" s="14">
        <v>20305025</v>
      </c>
      <c r="H25" s="13" t="s">
        <v>36</v>
      </c>
      <c r="I25" s="13" t="s">
        <v>30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46064</v>
      </c>
      <c r="E26" s="13">
        <v>1577974</v>
      </c>
      <c r="F26" s="13" t="s">
        <v>54</v>
      </c>
      <c r="G26" s="14">
        <v>20305050</v>
      </c>
      <c r="H26" s="13" t="s">
        <v>300</v>
      </c>
      <c r="I26" s="13" t="s">
        <v>66</v>
      </c>
      <c r="J26" s="14">
        <v>1</v>
      </c>
      <c r="K26" s="14">
        <v>10</v>
      </c>
      <c r="L26" s="15">
        <v>33</v>
      </c>
      <c r="M26" s="15">
        <v>33</v>
      </c>
    </row>
    <row r="27" spans="4:13">
      <c r="D27" s="12">
        <v>46065</v>
      </c>
      <c r="E27" s="13">
        <v>1578291</v>
      </c>
      <c r="F27" s="13" t="s">
        <v>15</v>
      </c>
      <c r="G27" s="14">
        <v>20309877</v>
      </c>
      <c r="H27" s="13" t="s">
        <v>301</v>
      </c>
      <c r="I27" s="13" t="s">
        <v>42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46065</v>
      </c>
      <c r="E28" s="13">
        <v>1578291</v>
      </c>
      <c r="F28" s="13" t="s">
        <v>15</v>
      </c>
      <c r="G28" s="14">
        <v>20303922</v>
      </c>
      <c r="H28" s="13" t="s">
        <v>20</v>
      </c>
      <c r="I28" s="13" t="s">
        <v>17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46065</v>
      </c>
      <c r="E29" s="13">
        <v>1578291</v>
      </c>
      <c r="F29" s="13" t="s">
        <v>44</v>
      </c>
      <c r="G29" s="14">
        <v>20305025</v>
      </c>
      <c r="H29" s="13" t="s">
        <v>36</v>
      </c>
      <c r="I29" s="13" t="s">
        <v>30</v>
      </c>
      <c r="J29" s="14">
        <v>1</v>
      </c>
      <c r="K29" s="14">
        <v>5</v>
      </c>
      <c r="L29" s="15">
        <v>16.5</v>
      </c>
      <c r="M29" s="15">
        <v>16.5</v>
      </c>
    </row>
    <row r="30" spans="4:13">
      <c r="D30" s="12">
        <v>46065</v>
      </c>
      <c r="E30" s="13">
        <v>1578291</v>
      </c>
      <c r="F30" s="13" t="s">
        <v>54</v>
      </c>
      <c r="G30" s="14">
        <v>20305050</v>
      </c>
      <c r="H30" s="13" t="s">
        <v>300</v>
      </c>
      <c r="I30" s="13" t="s">
        <v>66</v>
      </c>
      <c r="J30" s="14">
        <v>1</v>
      </c>
      <c r="K30" s="14">
        <v>10</v>
      </c>
      <c r="L30" s="15">
        <v>33</v>
      </c>
      <c r="M30" s="15">
        <v>33</v>
      </c>
    </row>
    <row r="31" spans="4:13">
      <c r="D31" s="12">
        <v>46066</v>
      </c>
      <c r="E31" s="13">
        <v>1578630</v>
      </c>
      <c r="F31" s="13" t="s">
        <v>15</v>
      </c>
      <c r="G31" s="14">
        <v>20305129</v>
      </c>
      <c r="H31" s="13" t="s">
        <v>79</v>
      </c>
      <c r="I31" s="13" t="s">
        <v>17</v>
      </c>
      <c r="J31" s="14">
        <v>1</v>
      </c>
      <c r="K31" s="14">
        <v>1</v>
      </c>
      <c r="L31" s="15">
        <v>4.8</v>
      </c>
      <c r="M31" s="15">
        <v>4.8</v>
      </c>
    </row>
    <row r="32" spans="4:13">
      <c r="D32" s="12">
        <v>46066</v>
      </c>
      <c r="E32" s="13">
        <v>1578630</v>
      </c>
      <c r="F32" s="13" t="s">
        <v>15</v>
      </c>
      <c r="G32" s="14">
        <v>20309553</v>
      </c>
      <c r="H32" s="13" t="s">
        <v>153</v>
      </c>
      <c r="I32" s="13" t="s">
        <v>19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46066</v>
      </c>
      <c r="E33" s="13">
        <v>1578630</v>
      </c>
      <c r="F33" s="13" t="s">
        <v>15</v>
      </c>
      <c r="G33" s="14">
        <v>20305049</v>
      </c>
      <c r="H33" s="13" t="s">
        <v>16</v>
      </c>
      <c r="I33" s="13" t="s">
        <v>17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46066</v>
      </c>
      <c r="E34" s="13">
        <v>1578630</v>
      </c>
      <c r="F34" s="13" t="s">
        <v>15</v>
      </c>
      <c r="G34" s="14">
        <v>20310341</v>
      </c>
      <c r="H34" s="13" t="s">
        <v>18</v>
      </c>
      <c r="I34" s="13" t="s">
        <v>19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46066</v>
      </c>
      <c r="E35" s="13">
        <v>1578630</v>
      </c>
      <c r="F35" s="13" t="s">
        <v>15</v>
      </c>
      <c r="G35" s="14">
        <v>20303984</v>
      </c>
      <c r="H35" s="13" t="s">
        <v>82</v>
      </c>
      <c r="I35" s="13" t="s">
        <v>83</v>
      </c>
      <c r="J35" s="14">
        <v>1</v>
      </c>
      <c r="K35" s="14">
        <v>1</v>
      </c>
      <c r="L35" s="15">
        <v>4.8</v>
      </c>
      <c r="M35" s="15">
        <v>4.8</v>
      </c>
    </row>
    <row r="36" spans="4:13">
      <c r="D36" s="12">
        <v>46067</v>
      </c>
      <c r="E36" s="13">
        <v>1578903</v>
      </c>
      <c r="F36" s="13" t="s">
        <v>44</v>
      </c>
      <c r="G36" s="14">
        <v>20305025</v>
      </c>
      <c r="H36" s="13" t="s">
        <v>36</v>
      </c>
      <c r="I36" s="13" t="s">
        <v>30</v>
      </c>
      <c r="J36" s="14">
        <v>1</v>
      </c>
      <c r="K36" s="14">
        <v>5</v>
      </c>
      <c r="L36" s="15">
        <v>16.5</v>
      </c>
      <c r="M36" s="15">
        <v>16.5</v>
      </c>
    </row>
    <row r="37" spans="4:13">
      <c r="D37" s="12">
        <v>46067</v>
      </c>
      <c r="E37" s="13">
        <v>1578903</v>
      </c>
      <c r="F37" s="13" t="s">
        <v>54</v>
      </c>
      <c r="G37" s="14">
        <v>20305050</v>
      </c>
      <c r="H37" s="13" t="s">
        <v>300</v>
      </c>
      <c r="I37" s="13" t="s">
        <v>66</v>
      </c>
      <c r="J37" s="14">
        <v>1</v>
      </c>
      <c r="K37" s="14">
        <v>10</v>
      </c>
      <c r="L37" s="15">
        <v>33</v>
      </c>
      <c r="M37" s="15">
        <v>33</v>
      </c>
    </row>
  </sheetData>
  <autoFilter xmlns:etc="http://www.wps.cn/officeDocument/2017/etCustomData" ref="A7:M37" etc:filterBottomFollowUsedRange="0">
    <extLst/>
  </autoFilter>
  <mergeCells count="5">
    <mergeCell ref="D8:I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" customWidth="1"/>
    <col min="9" max="9" width="18.25" customWidth="1"/>
    <col min="10" max="10" width="6.475" customWidth="1"/>
    <col min="11" max="11" width="9.45" customWidth="1"/>
    <col min="12" max="12" width="10.625" customWidth="1"/>
    <col min="13" max="13" width="10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156</v>
      </c>
      <c r="K8" s="10">
        <v>0</v>
      </c>
      <c r="L8" s="11"/>
      <c r="M8" s="11">
        <v>3264</v>
      </c>
    </row>
    <row r="9" spans="1:13">
      <c r="D9" s="12">
        <v>46044</v>
      </c>
      <c r="E9" s="13">
        <v>1572800</v>
      </c>
      <c r="F9" s="13" t="s">
        <v>101</v>
      </c>
      <c r="G9" s="14">
        <v>20303991</v>
      </c>
      <c r="H9" s="13" t="s">
        <v>303</v>
      </c>
      <c r="I9" s="13" t="s">
        <v>103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46044</v>
      </c>
      <c r="E10" s="13">
        <v>1572800</v>
      </c>
      <c r="F10" s="13" t="s">
        <v>101</v>
      </c>
      <c r="G10" s="14">
        <v>20406715</v>
      </c>
      <c r="H10" s="13" t="s">
        <v>304</v>
      </c>
      <c r="I10" s="13" t="s">
        <v>30</v>
      </c>
      <c r="J10" s="14">
        <v>1</v>
      </c>
      <c r="K10" s="14">
        <v>0</v>
      </c>
      <c r="L10" s="15">
        <v>18</v>
      </c>
      <c r="M10" s="15">
        <v>18</v>
      </c>
    </row>
    <row r="11" spans="1:13">
      <c r="D11" s="12">
        <v>46044</v>
      </c>
      <c r="E11" s="13">
        <v>1572800</v>
      </c>
      <c r="F11" s="13" t="s">
        <v>101</v>
      </c>
      <c r="G11" s="14">
        <v>20303990</v>
      </c>
      <c r="H11" s="13" t="s">
        <v>102</v>
      </c>
      <c r="I11" s="13" t="s">
        <v>103</v>
      </c>
      <c r="J11" s="14">
        <v>5</v>
      </c>
      <c r="K11" s="14">
        <v>0</v>
      </c>
      <c r="L11" s="15">
        <v>21</v>
      </c>
      <c r="M11" s="15">
        <v>105</v>
      </c>
    </row>
    <row r="12" spans="1:13">
      <c r="D12" s="12">
        <v>46044</v>
      </c>
      <c r="E12" s="13">
        <v>1572818</v>
      </c>
      <c r="F12" s="13" t="s">
        <v>101</v>
      </c>
      <c r="G12" s="14">
        <v>20303990</v>
      </c>
      <c r="H12" s="13" t="s">
        <v>102</v>
      </c>
      <c r="I12" s="13" t="s">
        <v>103</v>
      </c>
      <c r="J12" s="14">
        <v>6</v>
      </c>
      <c r="K12" s="14">
        <v>0</v>
      </c>
      <c r="L12" s="15">
        <v>21</v>
      </c>
      <c r="M12" s="15">
        <v>126</v>
      </c>
    </row>
    <row r="13" spans="1:13">
      <c r="D13" s="12">
        <v>46044</v>
      </c>
      <c r="E13" s="13">
        <v>1572820</v>
      </c>
      <c r="F13" s="13" t="s">
        <v>101</v>
      </c>
      <c r="G13" s="14">
        <v>20303990</v>
      </c>
      <c r="H13" s="13" t="s">
        <v>102</v>
      </c>
      <c r="I13" s="13" t="s">
        <v>103</v>
      </c>
      <c r="J13" s="14">
        <v>2</v>
      </c>
      <c r="K13" s="14">
        <v>0</v>
      </c>
      <c r="L13" s="15">
        <v>21</v>
      </c>
      <c r="M13" s="15">
        <v>42</v>
      </c>
    </row>
    <row r="14" spans="1:13">
      <c r="D14" s="12">
        <v>46047</v>
      </c>
      <c r="E14" s="13">
        <v>1573446</v>
      </c>
      <c r="F14" s="13" t="s">
        <v>101</v>
      </c>
      <c r="G14" s="14">
        <v>20303991</v>
      </c>
      <c r="H14" s="13" t="s">
        <v>303</v>
      </c>
      <c r="I14" s="13" t="s">
        <v>103</v>
      </c>
      <c r="J14" s="14">
        <v>2</v>
      </c>
      <c r="K14" s="14">
        <v>0</v>
      </c>
      <c r="L14" s="15">
        <v>21</v>
      </c>
      <c r="M14" s="15">
        <v>42</v>
      </c>
    </row>
    <row r="15" spans="1:13">
      <c r="D15" s="12">
        <v>46047</v>
      </c>
      <c r="E15" s="13">
        <v>1573446</v>
      </c>
      <c r="F15" s="13" t="s">
        <v>101</v>
      </c>
      <c r="G15" s="14">
        <v>20303990</v>
      </c>
      <c r="H15" s="13" t="s">
        <v>102</v>
      </c>
      <c r="I15" s="13" t="s">
        <v>103</v>
      </c>
      <c r="J15" s="14">
        <v>16</v>
      </c>
      <c r="K15" s="14">
        <v>0</v>
      </c>
      <c r="L15" s="15">
        <v>21</v>
      </c>
      <c r="M15" s="15">
        <v>336</v>
      </c>
    </row>
    <row r="16" spans="1:13">
      <c r="D16" s="12">
        <v>46049</v>
      </c>
      <c r="E16" s="13">
        <v>1574055</v>
      </c>
      <c r="F16" s="13" t="s">
        <v>101</v>
      </c>
      <c r="G16" s="14">
        <v>20303991</v>
      </c>
      <c r="H16" s="13" t="s">
        <v>303</v>
      </c>
      <c r="I16" s="13" t="s">
        <v>103</v>
      </c>
      <c r="J16" s="14">
        <v>1</v>
      </c>
      <c r="K16" s="14">
        <v>0</v>
      </c>
      <c r="L16" s="15">
        <v>21</v>
      </c>
      <c r="M16" s="15">
        <v>21</v>
      </c>
    </row>
    <row r="17" spans="4:13">
      <c r="D17" s="12">
        <v>46049</v>
      </c>
      <c r="E17" s="13">
        <v>1574055</v>
      </c>
      <c r="F17" s="13" t="s">
        <v>101</v>
      </c>
      <c r="G17" s="14">
        <v>20303990</v>
      </c>
      <c r="H17" s="13" t="s">
        <v>102</v>
      </c>
      <c r="I17" s="13" t="s">
        <v>103</v>
      </c>
      <c r="J17" s="14">
        <v>10</v>
      </c>
      <c r="K17" s="14">
        <v>0</v>
      </c>
      <c r="L17" s="15">
        <v>21</v>
      </c>
      <c r="M17" s="15">
        <v>210</v>
      </c>
    </row>
    <row r="18" spans="4:13">
      <c r="D18" s="12">
        <v>46051</v>
      </c>
      <c r="E18" s="13">
        <v>1574729</v>
      </c>
      <c r="F18" s="13" t="s">
        <v>101</v>
      </c>
      <c r="G18" s="14">
        <v>20406715</v>
      </c>
      <c r="H18" s="13" t="s">
        <v>304</v>
      </c>
      <c r="I18" s="13" t="s">
        <v>30</v>
      </c>
      <c r="J18" s="14">
        <v>1</v>
      </c>
      <c r="K18" s="14">
        <v>0</v>
      </c>
      <c r="L18" s="15">
        <v>18</v>
      </c>
      <c r="M18" s="15">
        <v>18</v>
      </c>
    </row>
    <row r="19" spans="4:13">
      <c r="D19" s="12">
        <v>46051</v>
      </c>
      <c r="E19" s="13">
        <v>1574729</v>
      </c>
      <c r="F19" s="13" t="s">
        <v>101</v>
      </c>
      <c r="G19" s="14">
        <v>20305088</v>
      </c>
      <c r="H19" s="13" t="s">
        <v>104</v>
      </c>
      <c r="I19" s="13" t="s">
        <v>103</v>
      </c>
      <c r="J19" s="14">
        <v>12</v>
      </c>
      <c r="K19" s="14">
        <v>0</v>
      </c>
      <c r="L19" s="15">
        <v>21</v>
      </c>
      <c r="M19" s="15">
        <v>252</v>
      </c>
    </row>
    <row r="20" spans="4:13">
      <c r="D20" s="12">
        <v>46051</v>
      </c>
      <c r="E20" s="13">
        <v>1574729</v>
      </c>
      <c r="F20" s="13" t="s">
        <v>101</v>
      </c>
      <c r="G20" s="14">
        <v>20303990</v>
      </c>
      <c r="H20" s="13" t="s">
        <v>102</v>
      </c>
      <c r="I20" s="13" t="s">
        <v>103</v>
      </c>
      <c r="J20" s="14">
        <v>4</v>
      </c>
      <c r="K20" s="14">
        <v>0</v>
      </c>
      <c r="L20" s="15">
        <v>21</v>
      </c>
      <c r="M20" s="15">
        <v>84</v>
      </c>
    </row>
    <row r="21" spans="4:13">
      <c r="D21" s="12">
        <v>46054</v>
      </c>
      <c r="E21" s="13">
        <v>1575357</v>
      </c>
      <c r="F21" s="13" t="s">
        <v>101</v>
      </c>
      <c r="G21" s="14">
        <v>20303991</v>
      </c>
      <c r="H21" s="13" t="s">
        <v>303</v>
      </c>
      <c r="I21" s="13" t="s">
        <v>103</v>
      </c>
      <c r="J21" s="14">
        <v>2</v>
      </c>
      <c r="K21" s="14">
        <v>0</v>
      </c>
      <c r="L21" s="15">
        <v>21</v>
      </c>
      <c r="M21" s="15">
        <v>42</v>
      </c>
    </row>
    <row r="22" spans="4:13">
      <c r="D22" s="12">
        <v>46054</v>
      </c>
      <c r="E22" s="13">
        <v>1575357</v>
      </c>
      <c r="F22" s="13" t="s">
        <v>101</v>
      </c>
      <c r="G22" s="14">
        <v>20303990</v>
      </c>
      <c r="H22" s="13" t="s">
        <v>102</v>
      </c>
      <c r="I22" s="13" t="s">
        <v>103</v>
      </c>
      <c r="J22" s="14">
        <v>15</v>
      </c>
      <c r="K22" s="14">
        <v>0</v>
      </c>
      <c r="L22" s="15">
        <v>21</v>
      </c>
      <c r="M22" s="15">
        <v>315</v>
      </c>
    </row>
    <row r="23" spans="4:13">
      <c r="D23" s="12">
        <v>46056</v>
      </c>
      <c r="E23" s="13">
        <v>1575946</v>
      </c>
      <c r="F23" s="13" t="s">
        <v>101</v>
      </c>
      <c r="G23" s="14">
        <v>20303991</v>
      </c>
      <c r="H23" s="13" t="s">
        <v>303</v>
      </c>
      <c r="I23" s="13" t="s">
        <v>103</v>
      </c>
      <c r="J23" s="14">
        <v>1</v>
      </c>
      <c r="K23" s="14">
        <v>0</v>
      </c>
      <c r="L23" s="15">
        <v>21</v>
      </c>
      <c r="M23" s="15">
        <v>21</v>
      </c>
    </row>
    <row r="24" spans="4:13">
      <c r="D24" s="12">
        <v>46056</v>
      </c>
      <c r="E24" s="13">
        <v>1575946</v>
      </c>
      <c r="F24" s="13" t="s">
        <v>101</v>
      </c>
      <c r="G24" s="14">
        <v>20305088</v>
      </c>
      <c r="H24" s="13" t="s">
        <v>104</v>
      </c>
      <c r="I24" s="13" t="s">
        <v>103</v>
      </c>
      <c r="J24" s="14">
        <v>7</v>
      </c>
      <c r="K24" s="14">
        <v>0</v>
      </c>
      <c r="L24" s="15">
        <v>21</v>
      </c>
      <c r="M24" s="15">
        <v>147</v>
      </c>
    </row>
    <row r="25" spans="4:13">
      <c r="D25" s="12">
        <v>46058</v>
      </c>
      <c r="E25" s="13">
        <v>1576618</v>
      </c>
      <c r="F25" s="13" t="s">
        <v>101</v>
      </c>
      <c r="G25" s="14">
        <v>20303991</v>
      </c>
      <c r="H25" s="13" t="s">
        <v>303</v>
      </c>
      <c r="I25" s="13" t="s">
        <v>103</v>
      </c>
      <c r="J25" s="14">
        <v>1</v>
      </c>
      <c r="K25" s="14">
        <v>0</v>
      </c>
      <c r="L25" s="15">
        <v>21</v>
      </c>
      <c r="M25" s="15">
        <v>21</v>
      </c>
    </row>
    <row r="26" spans="4:13">
      <c r="D26" s="12">
        <v>46058</v>
      </c>
      <c r="E26" s="13">
        <v>1576618</v>
      </c>
      <c r="F26" s="13" t="s">
        <v>101</v>
      </c>
      <c r="G26" s="14">
        <v>20406715</v>
      </c>
      <c r="H26" s="13" t="s">
        <v>304</v>
      </c>
      <c r="I26" s="13" t="s">
        <v>30</v>
      </c>
      <c r="J26" s="14">
        <v>1</v>
      </c>
      <c r="K26" s="14">
        <v>0</v>
      </c>
      <c r="L26" s="15">
        <v>18</v>
      </c>
      <c r="M26" s="15">
        <v>18</v>
      </c>
    </row>
    <row r="27" spans="4:13">
      <c r="D27" s="12">
        <v>46058</v>
      </c>
      <c r="E27" s="13">
        <v>1576618</v>
      </c>
      <c r="F27" s="13" t="s">
        <v>101</v>
      </c>
      <c r="G27" s="14">
        <v>20305088</v>
      </c>
      <c r="H27" s="13" t="s">
        <v>104</v>
      </c>
      <c r="I27" s="13" t="s">
        <v>103</v>
      </c>
      <c r="J27" s="14">
        <v>7</v>
      </c>
      <c r="K27" s="14">
        <v>0</v>
      </c>
      <c r="L27" s="15">
        <v>21</v>
      </c>
      <c r="M27" s="15">
        <v>147</v>
      </c>
    </row>
    <row r="28" spans="4:13">
      <c r="D28" s="12">
        <v>46058</v>
      </c>
      <c r="E28" s="13">
        <v>1576618</v>
      </c>
      <c r="F28" s="13" t="s">
        <v>101</v>
      </c>
      <c r="G28" s="14">
        <v>20303990</v>
      </c>
      <c r="H28" s="13" t="s">
        <v>102</v>
      </c>
      <c r="I28" s="13" t="s">
        <v>103</v>
      </c>
      <c r="J28" s="14">
        <v>7</v>
      </c>
      <c r="K28" s="14">
        <v>0</v>
      </c>
      <c r="L28" s="15">
        <v>21</v>
      </c>
      <c r="M28" s="15">
        <v>147</v>
      </c>
    </row>
    <row r="29" spans="4:13">
      <c r="D29" s="12">
        <v>46061</v>
      </c>
      <c r="E29" s="13">
        <v>1577185</v>
      </c>
      <c r="F29" s="13" t="s">
        <v>101</v>
      </c>
      <c r="G29" s="14">
        <v>20303991</v>
      </c>
      <c r="H29" s="13" t="s">
        <v>303</v>
      </c>
      <c r="I29" s="13" t="s">
        <v>103</v>
      </c>
      <c r="J29" s="14">
        <v>2</v>
      </c>
      <c r="K29" s="14">
        <v>0</v>
      </c>
      <c r="L29" s="15">
        <v>21</v>
      </c>
      <c r="M29" s="15">
        <v>42</v>
      </c>
    </row>
    <row r="30" spans="4:13">
      <c r="D30" s="12">
        <v>46061</v>
      </c>
      <c r="E30" s="13">
        <v>1577185</v>
      </c>
      <c r="F30" s="13" t="s">
        <v>101</v>
      </c>
      <c r="G30" s="14">
        <v>20305088</v>
      </c>
      <c r="H30" s="13" t="s">
        <v>104</v>
      </c>
      <c r="I30" s="13" t="s">
        <v>103</v>
      </c>
      <c r="J30" s="14">
        <v>15</v>
      </c>
      <c r="K30" s="14">
        <v>0</v>
      </c>
      <c r="L30" s="15">
        <v>21</v>
      </c>
      <c r="M30" s="15">
        <v>315</v>
      </c>
    </row>
    <row r="31" spans="4:13">
      <c r="D31" s="12">
        <v>46063</v>
      </c>
      <c r="E31" s="13">
        <v>1577788</v>
      </c>
      <c r="F31" s="13" t="s">
        <v>101</v>
      </c>
      <c r="G31" s="14">
        <v>20303990</v>
      </c>
      <c r="H31" s="13" t="s">
        <v>102</v>
      </c>
      <c r="I31" s="13" t="s">
        <v>103</v>
      </c>
      <c r="J31" s="14">
        <v>9</v>
      </c>
      <c r="K31" s="14">
        <v>0</v>
      </c>
      <c r="L31" s="15">
        <v>21</v>
      </c>
      <c r="M31" s="15">
        <v>189</v>
      </c>
    </row>
    <row r="32" spans="4:13">
      <c r="D32" s="12">
        <v>46065</v>
      </c>
      <c r="E32" s="13">
        <v>1578420</v>
      </c>
      <c r="F32" s="13" t="s">
        <v>101</v>
      </c>
      <c r="G32" s="14">
        <v>20303991</v>
      </c>
      <c r="H32" s="13" t="s">
        <v>303</v>
      </c>
      <c r="I32" s="13" t="s">
        <v>103</v>
      </c>
      <c r="J32" s="14">
        <v>1</v>
      </c>
      <c r="K32" s="14">
        <v>0</v>
      </c>
      <c r="L32" s="15">
        <v>21</v>
      </c>
      <c r="M32" s="15">
        <v>21</v>
      </c>
    </row>
    <row r="33" spans="4:13">
      <c r="D33" s="12">
        <v>46065</v>
      </c>
      <c r="E33" s="13">
        <v>1578420</v>
      </c>
      <c r="F33" s="13" t="s">
        <v>101</v>
      </c>
      <c r="G33" s="14">
        <v>20305088</v>
      </c>
      <c r="H33" s="13" t="s">
        <v>104</v>
      </c>
      <c r="I33" s="13" t="s">
        <v>103</v>
      </c>
      <c r="J33" s="14">
        <v>4</v>
      </c>
      <c r="K33" s="14">
        <v>0</v>
      </c>
      <c r="L33" s="15">
        <v>21</v>
      </c>
      <c r="M33" s="15">
        <v>84</v>
      </c>
    </row>
    <row r="34" spans="4:13">
      <c r="D34" s="12">
        <v>46065</v>
      </c>
      <c r="E34" s="13">
        <v>1578420</v>
      </c>
      <c r="F34" s="13" t="s">
        <v>101</v>
      </c>
      <c r="G34" s="14">
        <v>20303990</v>
      </c>
      <c r="H34" s="13" t="s">
        <v>102</v>
      </c>
      <c r="I34" s="13" t="s">
        <v>103</v>
      </c>
      <c r="J34" s="14">
        <v>8</v>
      </c>
      <c r="K34" s="14">
        <v>0</v>
      </c>
      <c r="L34" s="15">
        <v>21</v>
      </c>
      <c r="M34" s="15">
        <v>168</v>
      </c>
    </row>
    <row r="35" spans="4:13">
      <c r="D35" s="12">
        <v>46067</v>
      </c>
      <c r="E35" s="13">
        <v>1578986</v>
      </c>
      <c r="F35" s="13" t="s">
        <v>101</v>
      </c>
      <c r="G35" s="14">
        <v>20406715</v>
      </c>
      <c r="H35" s="13" t="s">
        <v>304</v>
      </c>
      <c r="I35" s="13" t="s">
        <v>30</v>
      </c>
      <c r="J35" s="14">
        <v>1</v>
      </c>
      <c r="K35" s="14">
        <v>0</v>
      </c>
      <c r="L35" s="15">
        <v>18</v>
      </c>
      <c r="M35" s="15">
        <v>18</v>
      </c>
    </row>
    <row r="36" spans="4:13">
      <c r="D36" s="12">
        <v>46067</v>
      </c>
      <c r="E36" s="13">
        <v>1578986</v>
      </c>
      <c r="F36" s="13" t="s">
        <v>101</v>
      </c>
      <c r="G36" s="14">
        <v>20305088</v>
      </c>
      <c r="H36" s="13" t="s">
        <v>104</v>
      </c>
      <c r="I36" s="13" t="s">
        <v>103</v>
      </c>
      <c r="J36" s="14">
        <v>3</v>
      </c>
      <c r="K36" s="14">
        <v>0</v>
      </c>
      <c r="L36" s="15">
        <v>21</v>
      </c>
      <c r="M36" s="15">
        <v>63</v>
      </c>
    </row>
    <row r="37" spans="4:13">
      <c r="D37" s="12">
        <v>46067</v>
      </c>
      <c r="E37" s="13">
        <v>1578986</v>
      </c>
      <c r="F37" s="13" t="s">
        <v>101</v>
      </c>
      <c r="G37" s="14">
        <v>20303990</v>
      </c>
      <c r="H37" s="13" t="s">
        <v>102</v>
      </c>
      <c r="I37" s="13" t="s">
        <v>103</v>
      </c>
      <c r="J37" s="14">
        <v>11</v>
      </c>
      <c r="K37" s="14">
        <v>0</v>
      </c>
      <c r="L37" s="15">
        <v>21</v>
      </c>
      <c r="M37" s="15">
        <v>231</v>
      </c>
    </row>
  </sheetData>
  <autoFilter xmlns:etc="http://www.wps.cn/officeDocument/2017/etCustomData" ref="A7:M37" etc:filterBottomFollowUsedRange="0">
    <extLst/>
  </autoFilter>
  <mergeCells count="5">
    <mergeCell ref="D8:I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6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17.625" customWidth="1"/>
    <col min="10" max="10" width="6.475" customWidth="1"/>
    <col min="11" max="11" width="9.45" customWidth="1"/>
    <col min="12" max="12" width="10.25" customWidth="1"/>
    <col min="13" max="13" width="10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61</v>
      </c>
      <c r="K8" s="10">
        <v>71</v>
      </c>
      <c r="L8" s="11"/>
      <c r="M8" s="11">
        <v>524.4</v>
      </c>
    </row>
    <row r="9" spans="1:13">
      <c r="D9" s="12">
        <v>46043</v>
      </c>
      <c r="E9" s="13">
        <v>1572257</v>
      </c>
      <c r="F9" s="13" t="s">
        <v>15</v>
      </c>
      <c r="G9" s="14">
        <v>20309719</v>
      </c>
      <c r="H9" s="13" t="s">
        <v>306</v>
      </c>
      <c r="I9" s="13" t="s">
        <v>17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46043</v>
      </c>
      <c r="E10" s="13">
        <v>1572257</v>
      </c>
      <c r="F10" s="13" t="s">
        <v>15</v>
      </c>
      <c r="G10" s="14">
        <v>20309660</v>
      </c>
      <c r="H10" s="13" t="s">
        <v>231</v>
      </c>
      <c r="I10" s="13" t="s">
        <v>232</v>
      </c>
      <c r="J10" s="14">
        <v>1</v>
      </c>
      <c r="K10" s="14">
        <v>1</v>
      </c>
      <c r="L10" s="15">
        <v>7.8</v>
      </c>
      <c r="M10" s="15">
        <v>7.8</v>
      </c>
    </row>
    <row r="11" spans="1:13">
      <c r="D11" s="12">
        <v>46043</v>
      </c>
      <c r="E11" s="13">
        <v>1572257</v>
      </c>
      <c r="F11" s="13" t="s">
        <v>15</v>
      </c>
      <c r="G11" s="14">
        <v>20303922</v>
      </c>
      <c r="H11" s="13" t="s">
        <v>20</v>
      </c>
      <c r="I11" s="13" t="s">
        <v>17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46045</v>
      </c>
      <c r="E12" s="13">
        <v>1573064</v>
      </c>
      <c r="F12" s="13" t="s">
        <v>15</v>
      </c>
      <c r="G12" s="14">
        <v>20309964</v>
      </c>
      <c r="H12" s="13" t="s">
        <v>307</v>
      </c>
      <c r="I12" s="13" t="s">
        <v>232</v>
      </c>
      <c r="J12" s="14">
        <v>1</v>
      </c>
      <c r="K12" s="14">
        <v>1</v>
      </c>
      <c r="L12" s="15">
        <v>7.8</v>
      </c>
      <c r="M12" s="15">
        <v>7.8</v>
      </c>
    </row>
    <row r="13" spans="1:13">
      <c r="D13" s="12">
        <v>46045</v>
      </c>
      <c r="E13" s="13">
        <v>1573064</v>
      </c>
      <c r="F13" s="13" t="s">
        <v>15</v>
      </c>
      <c r="G13" s="14">
        <v>20305135</v>
      </c>
      <c r="H13" s="13" t="s">
        <v>308</v>
      </c>
      <c r="I13" s="13" t="s">
        <v>309</v>
      </c>
      <c r="J13" s="14">
        <v>2</v>
      </c>
      <c r="K13" s="14">
        <v>2</v>
      </c>
      <c r="L13" s="15">
        <v>9.6</v>
      </c>
      <c r="M13" s="15">
        <v>19.2</v>
      </c>
    </row>
    <row r="14" spans="1:13">
      <c r="D14" s="12">
        <v>46045</v>
      </c>
      <c r="E14" s="13">
        <v>1573064</v>
      </c>
      <c r="F14" s="13" t="s">
        <v>15</v>
      </c>
      <c r="G14" s="14">
        <v>20303922</v>
      </c>
      <c r="H14" s="13" t="s">
        <v>20</v>
      </c>
      <c r="I14" s="13" t="s">
        <v>17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46048</v>
      </c>
      <c r="E15" s="13">
        <v>1573517</v>
      </c>
      <c r="F15" s="13" t="s">
        <v>15</v>
      </c>
      <c r="G15" s="14">
        <v>20309719</v>
      </c>
      <c r="H15" s="13" t="s">
        <v>306</v>
      </c>
      <c r="I15" s="13" t="s">
        <v>17</v>
      </c>
      <c r="J15" s="14">
        <v>1</v>
      </c>
      <c r="K15" s="14">
        <v>1</v>
      </c>
      <c r="L15" s="15">
        <v>4.8</v>
      </c>
      <c r="M15" s="15">
        <v>4.8</v>
      </c>
    </row>
    <row r="16" ht="25.5" spans="1:13">
      <c r="D16" s="12">
        <v>46048</v>
      </c>
      <c r="E16" s="13">
        <v>1573517</v>
      </c>
      <c r="F16" s="13" t="s">
        <v>15</v>
      </c>
      <c r="G16" s="14">
        <v>20309720</v>
      </c>
      <c r="H16" s="13" t="s">
        <v>310</v>
      </c>
      <c r="I16" s="13" t="s">
        <v>19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46048</v>
      </c>
      <c r="E17" s="13">
        <v>1573517</v>
      </c>
      <c r="F17" s="13" t="s">
        <v>15</v>
      </c>
      <c r="G17" s="14">
        <v>20316051</v>
      </c>
      <c r="H17" s="13" t="s">
        <v>311</v>
      </c>
      <c r="I17" s="13" t="s">
        <v>312</v>
      </c>
      <c r="J17" s="14">
        <v>1</v>
      </c>
      <c r="K17" s="14">
        <v>1</v>
      </c>
      <c r="L17" s="15">
        <v>9.6</v>
      </c>
      <c r="M17" s="15">
        <v>9.6</v>
      </c>
    </row>
    <row r="18" spans="4:13">
      <c r="D18" s="12">
        <v>46048</v>
      </c>
      <c r="E18" s="13">
        <v>1573517</v>
      </c>
      <c r="F18" s="13" t="s">
        <v>15</v>
      </c>
      <c r="G18" s="14">
        <v>20309660</v>
      </c>
      <c r="H18" s="13" t="s">
        <v>231</v>
      </c>
      <c r="I18" s="13" t="s">
        <v>232</v>
      </c>
      <c r="J18" s="14">
        <v>1</v>
      </c>
      <c r="K18" s="14">
        <v>1</v>
      </c>
      <c r="L18" s="15">
        <v>7.8</v>
      </c>
      <c r="M18" s="15">
        <v>7.8</v>
      </c>
    </row>
    <row r="19" spans="4:13">
      <c r="D19" s="12">
        <v>46048</v>
      </c>
      <c r="E19" s="13">
        <v>1573517</v>
      </c>
      <c r="F19" s="13" t="s">
        <v>15</v>
      </c>
      <c r="G19" s="14">
        <v>20303922</v>
      </c>
      <c r="H19" s="13" t="s">
        <v>20</v>
      </c>
      <c r="I19" s="13" t="s">
        <v>17</v>
      </c>
      <c r="J19" s="14">
        <v>1</v>
      </c>
      <c r="K19" s="14">
        <v>1</v>
      </c>
      <c r="L19" s="15">
        <v>4.8</v>
      </c>
      <c r="M19" s="15">
        <v>4.8</v>
      </c>
    </row>
    <row r="20" spans="4:13">
      <c r="D20" s="12">
        <v>46049</v>
      </c>
      <c r="E20" s="13">
        <v>1573888</v>
      </c>
      <c r="F20" s="13" t="s">
        <v>15</v>
      </c>
      <c r="G20" s="14">
        <v>20316837</v>
      </c>
      <c r="H20" s="13" t="s">
        <v>313</v>
      </c>
      <c r="I20" s="13" t="s">
        <v>232</v>
      </c>
      <c r="J20" s="14">
        <v>1</v>
      </c>
      <c r="K20" s="14">
        <v>2</v>
      </c>
      <c r="L20" s="15">
        <v>9.9</v>
      </c>
      <c r="M20" s="15">
        <v>9.9</v>
      </c>
    </row>
    <row r="21" spans="4:13">
      <c r="D21" s="12">
        <v>46049</v>
      </c>
      <c r="E21" s="13">
        <v>1573888</v>
      </c>
      <c r="F21" s="13" t="s">
        <v>15</v>
      </c>
      <c r="G21" s="14">
        <v>20309719</v>
      </c>
      <c r="H21" s="13" t="s">
        <v>306</v>
      </c>
      <c r="I21" s="13" t="s">
        <v>17</v>
      </c>
      <c r="J21" s="14">
        <v>1</v>
      </c>
      <c r="K21" s="14">
        <v>1</v>
      </c>
      <c r="L21" s="15">
        <v>4.8</v>
      </c>
      <c r="M21" s="15">
        <v>4.8</v>
      </c>
    </row>
    <row r="22" ht="25.5" spans="4:13">
      <c r="D22" s="12">
        <v>46049</v>
      </c>
      <c r="E22" s="13">
        <v>1573888</v>
      </c>
      <c r="F22" s="13" t="s">
        <v>15</v>
      </c>
      <c r="G22" s="14">
        <v>20321247</v>
      </c>
      <c r="H22" s="13" t="s">
        <v>314</v>
      </c>
      <c r="I22" s="13" t="s">
        <v>19</v>
      </c>
      <c r="J22" s="14">
        <v>1</v>
      </c>
      <c r="K22" s="14">
        <v>2</v>
      </c>
      <c r="L22" s="15">
        <v>8.1</v>
      </c>
      <c r="M22" s="15">
        <v>8.1</v>
      </c>
    </row>
    <row r="23" spans="4:13">
      <c r="D23" s="12">
        <v>46049</v>
      </c>
      <c r="E23" s="13">
        <v>1573888</v>
      </c>
      <c r="F23" s="13" t="s">
        <v>15</v>
      </c>
      <c r="G23" s="14">
        <v>20316051</v>
      </c>
      <c r="H23" s="13" t="s">
        <v>311</v>
      </c>
      <c r="I23" s="13" t="s">
        <v>312</v>
      </c>
      <c r="J23" s="14">
        <v>1</v>
      </c>
      <c r="K23" s="14">
        <v>1</v>
      </c>
      <c r="L23" s="15">
        <v>9.6</v>
      </c>
      <c r="M23" s="15">
        <v>9.6</v>
      </c>
    </row>
    <row r="24" spans="4:13">
      <c r="D24" s="12">
        <v>46049</v>
      </c>
      <c r="E24" s="13">
        <v>1573888</v>
      </c>
      <c r="F24" s="13" t="s">
        <v>15</v>
      </c>
      <c r="G24" s="14">
        <v>20309660</v>
      </c>
      <c r="H24" s="13" t="s">
        <v>231</v>
      </c>
      <c r="I24" s="13" t="s">
        <v>232</v>
      </c>
      <c r="J24" s="14">
        <v>1</v>
      </c>
      <c r="K24" s="14">
        <v>1</v>
      </c>
      <c r="L24" s="15">
        <v>7.8</v>
      </c>
      <c r="M24" s="15">
        <v>7.8</v>
      </c>
    </row>
    <row r="25" spans="4:13">
      <c r="D25" s="12">
        <v>46049</v>
      </c>
      <c r="E25" s="13">
        <v>1573888</v>
      </c>
      <c r="F25" s="13" t="s">
        <v>15</v>
      </c>
      <c r="G25" s="14">
        <v>20303922</v>
      </c>
      <c r="H25" s="13" t="s">
        <v>20</v>
      </c>
      <c r="I25" s="13" t="s">
        <v>17</v>
      </c>
      <c r="J25" s="14">
        <v>1</v>
      </c>
      <c r="K25" s="14">
        <v>1</v>
      </c>
      <c r="L25" s="15">
        <v>4.8</v>
      </c>
      <c r="M25" s="15">
        <v>4.8</v>
      </c>
    </row>
    <row r="26" ht="25.5" spans="4:13">
      <c r="D26" s="12">
        <v>46050</v>
      </c>
      <c r="E26" s="13">
        <v>1574272</v>
      </c>
      <c r="F26" s="13" t="s">
        <v>15</v>
      </c>
      <c r="G26" s="14">
        <v>20321247</v>
      </c>
      <c r="H26" s="13" t="s">
        <v>314</v>
      </c>
      <c r="I26" s="13" t="s">
        <v>19</v>
      </c>
      <c r="J26" s="14">
        <v>1</v>
      </c>
      <c r="K26" s="14">
        <v>2</v>
      </c>
      <c r="L26" s="15">
        <v>8.1</v>
      </c>
      <c r="M26" s="15">
        <v>8.1</v>
      </c>
    </row>
    <row r="27" spans="4:13">
      <c r="D27" s="12">
        <v>46050</v>
      </c>
      <c r="E27" s="13">
        <v>1574272</v>
      </c>
      <c r="F27" s="13" t="s">
        <v>15</v>
      </c>
      <c r="G27" s="14">
        <v>20305135</v>
      </c>
      <c r="H27" s="13" t="s">
        <v>308</v>
      </c>
      <c r="I27" s="13" t="s">
        <v>309</v>
      </c>
      <c r="J27" s="14">
        <v>1</v>
      </c>
      <c r="K27" s="14">
        <v>1</v>
      </c>
      <c r="L27" s="15">
        <v>9.6</v>
      </c>
      <c r="M27" s="15">
        <v>9.6</v>
      </c>
    </row>
    <row r="28" spans="4:13">
      <c r="D28" s="12">
        <v>46050</v>
      </c>
      <c r="E28" s="13">
        <v>1574272</v>
      </c>
      <c r="F28" s="13" t="s">
        <v>15</v>
      </c>
      <c r="G28" s="14">
        <v>20303922</v>
      </c>
      <c r="H28" s="13" t="s">
        <v>20</v>
      </c>
      <c r="I28" s="13" t="s">
        <v>17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46051</v>
      </c>
      <c r="E29" s="13">
        <v>1574661</v>
      </c>
      <c r="F29" s="13" t="s">
        <v>15</v>
      </c>
      <c r="G29" s="14">
        <v>20316837</v>
      </c>
      <c r="H29" s="13" t="s">
        <v>313</v>
      </c>
      <c r="I29" s="13" t="s">
        <v>232</v>
      </c>
      <c r="J29" s="14">
        <v>1</v>
      </c>
      <c r="K29" s="14">
        <v>2</v>
      </c>
      <c r="L29" s="15">
        <v>9.9</v>
      </c>
      <c r="M29" s="15">
        <v>9.9</v>
      </c>
    </row>
    <row r="30" ht="25.5" spans="4:13">
      <c r="D30" s="12">
        <v>46051</v>
      </c>
      <c r="E30" s="13">
        <v>1574661</v>
      </c>
      <c r="F30" s="13" t="s">
        <v>15</v>
      </c>
      <c r="G30" s="14">
        <v>20321247</v>
      </c>
      <c r="H30" s="13" t="s">
        <v>314</v>
      </c>
      <c r="I30" s="13" t="s">
        <v>19</v>
      </c>
      <c r="J30" s="14">
        <v>1</v>
      </c>
      <c r="K30" s="14">
        <v>2</v>
      </c>
      <c r="L30" s="15">
        <v>8.1</v>
      </c>
      <c r="M30" s="15">
        <v>8.1</v>
      </c>
    </row>
    <row r="31" spans="4:13">
      <c r="D31" s="12">
        <v>46051</v>
      </c>
      <c r="E31" s="13">
        <v>1574661</v>
      </c>
      <c r="F31" s="13" t="s">
        <v>15</v>
      </c>
      <c r="G31" s="14">
        <v>20316051</v>
      </c>
      <c r="H31" s="13" t="s">
        <v>311</v>
      </c>
      <c r="I31" s="13" t="s">
        <v>312</v>
      </c>
      <c r="J31" s="14">
        <v>1</v>
      </c>
      <c r="K31" s="14">
        <v>1</v>
      </c>
      <c r="L31" s="15">
        <v>9.6</v>
      </c>
      <c r="M31" s="15">
        <v>9.6</v>
      </c>
    </row>
    <row r="32" spans="4:13">
      <c r="D32" s="12">
        <v>46052</v>
      </c>
      <c r="E32" s="13">
        <v>1575069</v>
      </c>
      <c r="F32" s="13" t="s">
        <v>15</v>
      </c>
      <c r="G32" s="14">
        <v>20312113</v>
      </c>
      <c r="H32" s="13" t="s">
        <v>315</v>
      </c>
      <c r="I32" s="13" t="s">
        <v>312</v>
      </c>
      <c r="J32" s="14">
        <v>2</v>
      </c>
      <c r="K32" s="14">
        <v>2</v>
      </c>
      <c r="L32" s="15">
        <v>9.6</v>
      </c>
      <c r="M32" s="15">
        <f>L32*J32</f>
        <v>19.2</v>
      </c>
    </row>
    <row r="33" spans="4:13">
      <c r="D33" s="12">
        <v>46052</v>
      </c>
      <c r="E33" s="13">
        <v>1575069</v>
      </c>
      <c r="F33" s="13" t="s">
        <v>24</v>
      </c>
      <c r="G33" s="14">
        <v>20405414</v>
      </c>
      <c r="H33" s="13" t="s">
        <v>316</v>
      </c>
      <c r="I33" s="13" t="s">
        <v>317</v>
      </c>
      <c r="J33" s="14">
        <v>1</v>
      </c>
      <c r="K33" s="14">
        <v>1</v>
      </c>
      <c r="L33" s="15">
        <v>18</v>
      </c>
      <c r="M33" s="15">
        <v>18</v>
      </c>
    </row>
    <row r="34" spans="4:13">
      <c r="D34" s="12">
        <v>46055</v>
      </c>
      <c r="E34" s="13">
        <v>1575447</v>
      </c>
      <c r="F34" s="13" t="s">
        <v>24</v>
      </c>
      <c r="G34" s="14">
        <v>20396012</v>
      </c>
      <c r="H34" s="13" t="s">
        <v>318</v>
      </c>
      <c r="I34" s="13" t="s">
        <v>319</v>
      </c>
      <c r="J34" s="14">
        <v>1</v>
      </c>
      <c r="K34" s="14">
        <v>1</v>
      </c>
      <c r="L34" s="15">
        <v>21</v>
      </c>
      <c r="M34" s="15">
        <v>21</v>
      </c>
    </row>
    <row r="35" spans="4:13">
      <c r="D35" s="12">
        <v>46056</v>
      </c>
      <c r="E35" s="13">
        <v>1575819</v>
      </c>
      <c r="F35" s="13" t="s">
        <v>15</v>
      </c>
      <c r="G35" s="14">
        <v>20313127</v>
      </c>
      <c r="H35" s="13" t="s">
        <v>320</v>
      </c>
      <c r="I35" s="13" t="s">
        <v>232</v>
      </c>
      <c r="J35" s="14">
        <v>1</v>
      </c>
      <c r="K35" s="14">
        <v>1</v>
      </c>
      <c r="L35" s="15">
        <v>7.8</v>
      </c>
      <c r="M35" s="15">
        <v>7.8</v>
      </c>
    </row>
    <row r="36" spans="4:13">
      <c r="D36" s="12">
        <v>46056</v>
      </c>
      <c r="E36" s="13">
        <v>1575819</v>
      </c>
      <c r="F36" s="13" t="s">
        <v>15</v>
      </c>
      <c r="G36" s="14">
        <v>20305129</v>
      </c>
      <c r="H36" s="13" t="s">
        <v>79</v>
      </c>
      <c r="I36" s="13" t="s">
        <v>17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46056</v>
      </c>
      <c r="E37" s="13">
        <v>1575819</v>
      </c>
      <c r="F37" s="13" t="s">
        <v>15</v>
      </c>
      <c r="G37" s="14">
        <v>20309719</v>
      </c>
      <c r="H37" s="13" t="s">
        <v>306</v>
      </c>
      <c r="I37" s="13" t="s">
        <v>17</v>
      </c>
      <c r="J37" s="14">
        <v>1</v>
      </c>
      <c r="K37" s="14">
        <v>1</v>
      </c>
      <c r="L37" s="15">
        <v>4.8</v>
      </c>
      <c r="M37" s="15">
        <v>4.8</v>
      </c>
    </row>
    <row r="38" ht="25.5" spans="4:13">
      <c r="D38" s="12">
        <v>46056</v>
      </c>
      <c r="E38" s="13">
        <v>1575819</v>
      </c>
      <c r="F38" s="13" t="s">
        <v>15</v>
      </c>
      <c r="G38" s="14">
        <v>20321247</v>
      </c>
      <c r="H38" s="13" t="s">
        <v>314</v>
      </c>
      <c r="I38" s="13" t="s">
        <v>19</v>
      </c>
      <c r="J38" s="14">
        <v>2</v>
      </c>
      <c r="K38" s="14">
        <v>4</v>
      </c>
      <c r="L38" s="15">
        <v>8.1</v>
      </c>
      <c r="M38" s="15">
        <v>16.2</v>
      </c>
    </row>
    <row r="39" spans="4:13">
      <c r="D39" s="12">
        <v>46056</v>
      </c>
      <c r="E39" s="13">
        <v>1575819</v>
      </c>
      <c r="F39" s="13" t="s">
        <v>15</v>
      </c>
      <c r="G39" s="14">
        <v>20316051</v>
      </c>
      <c r="H39" s="13" t="s">
        <v>311</v>
      </c>
      <c r="I39" s="13" t="s">
        <v>312</v>
      </c>
      <c r="J39" s="14">
        <v>2</v>
      </c>
      <c r="K39" s="14">
        <v>2</v>
      </c>
      <c r="L39" s="15">
        <v>9.6</v>
      </c>
      <c r="M39" s="15">
        <v>19.2</v>
      </c>
    </row>
    <row r="40" spans="4:13">
      <c r="D40" s="12">
        <v>46056</v>
      </c>
      <c r="E40" s="13">
        <v>1575819</v>
      </c>
      <c r="F40" s="13" t="s">
        <v>15</v>
      </c>
      <c r="G40" s="14">
        <v>20309660</v>
      </c>
      <c r="H40" s="13" t="s">
        <v>231</v>
      </c>
      <c r="I40" s="13" t="s">
        <v>232</v>
      </c>
      <c r="J40" s="14">
        <v>1</v>
      </c>
      <c r="K40" s="14">
        <v>1</v>
      </c>
      <c r="L40" s="15">
        <v>7.8</v>
      </c>
      <c r="M40" s="15">
        <v>7.8</v>
      </c>
    </row>
    <row r="41" spans="4:13">
      <c r="D41" s="12">
        <v>46056</v>
      </c>
      <c r="E41" s="13">
        <v>1575819</v>
      </c>
      <c r="F41" s="13" t="s">
        <v>15</v>
      </c>
      <c r="G41" s="14">
        <v>20303922</v>
      </c>
      <c r="H41" s="13" t="s">
        <v>20</v>
      </c>
      <c r="I41" s="13" t="s">
        <v>17</v>
      </c>
      <c r="J41" s="14">
        <v>2</v>
      </c>
      <c r="K41" s="14">
        <v>2</v>
      </c>
      <c r="L41" s="15">
        <v>4.8</v>
      </c>
      <c r="M41" s="15">
        <v>9.6</v>
      </c>
    </row>
    <row r="42" spans="4:13">
      <c r="D42" s="12">
        <v>46057</v>
      </c>
      <c r="E42" s="13">
        <v>1576154</v>
      </c>
      <c r="F42" s="13" t="s">
        <v>15</v>
      </c>
      <c r="G42" s="14">
        <v>20305135</v>
      </c>
      <c r="H42" s="13" t="s">
        <v>308</v>
      </c>
      <c r="I42" s="13" t="s">
        <v>309</v>
      </c>
      <c r="J42" s="14">
        <v>1</v>
      </c>
      <c r="K42" s="14">
        <v>1</v>
      </c>
      <c r="L42" s="15">
        <v>9.6</v>
      </c>
      <c r="M42" s="15">
        <v>9.6</v>
      </c>
    </row>
    <row r="43" spans="4:13">
      <c r="D43" s="12">
        <v>46057</v>
      </c>
      <c r="E43" s="13">
        <v>1576154</v>
      </c>
      <c r="F43" s="13" t="s">
        <v>24</v>
      </c>
      <c r="G43" s="14">
        <v>20364339</v>
      </c>
      <c r="H43" s="13" t="s">
        <v>321</v>
      </c>
      <c r="I43" s="13" t="s">
        <v>322</v>
      </c>
      <c r="J43" s="14">
        <v>1</v>
      </c>
      <c r="K43" s="14">
        <v>1</v>
      </c>
      <c r="L43" s="15">
        <v>21</v>
      </c>
      <c r="M43" s="15">
        <v>21</v>
      </c>
    </row>
    <row r="44" spans="4:13">
      <c r="D44" s="12">
        <v>46058</v>
      </c>
      <c r="E44" s="13">
        <v>1576456</v>
      </c>
      <c r="F44" s="13" t="s">
        <v>15</v>
      </c>
      <c r="G44" s="14">
        <v>20305129</v>
      </c>
      <c r="H44" s="13" t="s">
        <v>79</v>
      </c>
      <c r="I44" s="13" t="s">
        <v>17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46058</v>
      </c>
      <c r="E45" s="13">
        <v>1576456</v>
      </c>
      <c r="F45" s="13" t="s">
        <v>15</v>
      </c>
      <c r="G45" s="14">
        <v>20309719</v>
      </c>
      <c r="H45" s="13" t="s">
        <v>306</v>
      </c>
      <c r="I45" s="13" t="s">
        <v>17</v>
      </c>
      <c r="J45" s="14">
        <v>1</v>
      </c>
      <c r="K45" s="14">
        <v>1</v>
      </c>
      <c r="L45" s="15">
        <v>4.8</v>
      </c>
      <c r="M45" s="15">
        <v>4.8</v>
      </c>
    </row>
    <row r="46" ht="25.5" spans="4:13">
      <c r="D46" s="12">
        <v>46058</v>
      </c>
      <c r="E46" s="13">
        <v>1576456</v>
      </c>
      <c r="F46" s="13" t="s">
        <v>15</v>
      </c>
      <c r="G46" s="14">
        <v>20321247</v>
      </c>
      <c r="H46" s="13" t="s">
        <v>314</v>
      </c>
      <c r="I46" s="13" t="s">
        <v>19</v>
      </c>
      <c r="J46" s="14">
        <v>1</v>
      </c>
      <c r="K46" s="14">
        <v>2</v>
      </c>
      <c r="L46" s="15">
        <v>8.1</v>
      </c>
      <c r="M46" s="15">
        <v>8.1</v>
      </c>
    </row>
    <row r="47" spans="4:13">
      <c r="D47" s="12">
        <v>46058</v>
      </c>
      <c r="E47" s="13">
        <v>1576456</v>
      </c>
      <c r="F47" s="13" t="s">
        <v>15</v>
      </c>
      <c r="G47" s="14">
        <v>20305135</v>
      </c>
      <c r="H47" s="13" t="s">
        <v>308</v>
      </c>
      <c r="I47" s="13" t="s">
        <v>309</v>
      </c>
      <c r="J47" s="14">
        <v>1</v>
      </c>
      <c r="K47" s="14">
        <v>1</v>
      </c>
      <c r="L47" s="15">
        <v>9.6</v>
      </c>
      <c r="M47" s="15">
        <v>9.6</v>
      </c>
    </row>
    <row r="48" spans="4:13">
      <c r="D48" s="12">
        <v>46058</v>
      </c>
      <c r="E48" s="13">
        <v>1576456</v>
      </c>
      <c r="F48" s="13" t="s">
        <v>15</v>
      </c>
      <c r="G48" s="14">
        <v>20309660</v>
      </c>
      <c r="H48" s="13" t="s">
        <v>231</v>
      </c>
      <c r="I48" s="13" t="s">
        <v>232</v>
      </c>
      <c r="J48" s="14">
        <v>1</v>
      </c>
      <c r="K48" s="14">
        <v>1</v>
      </c>
      <c r="L48" s="15">
        <v>7.8</v>
      </c>
      <c r="M48" s="15">
        <v>7.8</v>
      </c>
    </row>
    <row r="49" spans="4:13">
      <c r="D49" s="12">
        <v>46058</v>
      </c>
      <c r="E49" s="13">
        <v>1576456</v>
      </c>
      <c r="F49" s="13" t="s">
        <v>15</v>
      </c>
      <c r="G49" s="14">
        <v>20303922</v>
      </c>
      <c r="H49" s="13" t="s">
        <v>20</v>
      </c>
      <c r="I49" s="13" t="s">
        <v>17</v>
      </c>
      <c r="J49" s="14">
        <v>1</v>
      </c>
      <c r="K49" s="14">
        <v>1</v>
      </c>
      <c r="L49" s="15">
        <v>4.8</v>
      </c>
      <c r="M49" s="15">
        <v>4.8</v>
      </c>
    </row>
    <row r="50" spans="4:13">
      <c r="D50" s="12">
        <v>46059</v>
      </c>
      <c r="E50" s="13">
        <v>1576842</v>
      </c>
      <c r="F50" s="13" t="s">
        <v>15</v>
      </c>
      <c r="G50" s="14">
        <v>20363148</v>
      </c>
      <c r="H50" s="13" t="s">
        <v>323</v>
      </c>
      <c r="I50" s="13" t="s">
        <v>324</v>
      </c>
      <c r="J50" s="14">
        <v>1</v>
      </c>
      <c r="K50" s="14">
        <v>1</v>
      </c>
      <c r="L50" s="15">
        <v>7.8</v>
      </c>
      <c r="M50" s="15">
        <v>7.8</v>
      </c>
    </row>
    <row r="51" spans="4:13">
      <c r="D51" s="12">
        <v>46059</v>
      </c>
      <c r="E51" s="13">
        <v>1576842</v>
      </c>
      <c r="F51" s="13" t="s">
        <v>15</v>
      </c>
      <c r="G51" s="14">
        <v>20313007</v>
      </c>
      <c r="H51" s="13" t="s">
        <v>325</v>
      </c>
      <c r="I51" s="13" t="s">
        <v>232</v>
      </c>
      <c r="J51" s="14">
        <v>1</v>
      </c>
      <c r="K51" s="14">
        <v>1</v>
      </c>
      <c r="L51" s="15">
        <v>7.8</v>
      </c>
      <c r="M51" s="15">
        <v>7.8</v>
      </c>
    </row>
    <row r="52" spans="4:13">
      <c r="D52" s="12">
        <v>46059</v>
      </c>
      <c r="E52" s="13">
        <v>1576842</v>
      </c>
      <c r="F52" s="13" t="s">
        <v>15</v>
      </c>
      <c r="G52" s="14">
        <v>20411993</v>
      </c>
      <c r="H52" s="13" t="s">
        <v>326</v>
      </c>
      <c r="I52" s="13" t="s">
        <v>32</v>
      </c>
      <c r="J52" s="14">
        <v>1</v>
      </c>
      <c r="K52" s="14">
        <v>1</v>
      </c>
      <c r="L52" s="15">
        <v>7.8</v>
      </c>
      <c r="M52" s="15">
        <v>7.8</v>
      </c>
    </row>
    <row r="53" spans="4:13">
      <c r="D53" s="12">
        <v>46059</v>
      </c>
      <c r="E53" s="13">
        <v>1576842</v>
      </c>
      <c r="F53" s="13" t="s">
        <v>15</v>
      </c>
      <c r="G53" s="14">
        <v>20305135</v>
      </c>
      <c r="H53" s="13" t="s">
        <v>308</v>
      </c>
      <c r="I53" s="13" t="s">
        <v>309</v>
      </c>
      <c r="J53" s="14">
        <v>1</v>
      </c>
      <c r="K53" s="14">
        <v>1</v>
      </c>
      <c r="L53" s="15">
        <v>9.6</v>
      </c>
      <c r="M53" s="15">
        <v>9.6</v>
      </c>
    </row>
    <row r="54" spans="4:13">
      <c r="D54" s="12">
        <v>46059</v>
      </c>
      <c r="E54" s="13">
        <v>1576842</v>
      </c>
      <c r="F54" s="13" t="s">
        <v>15</v>
      </c>
      <c r="G54" s="14">
        <v>20303922</v>
      </c>
      <c r="H54" s="13" t="s">
        <v>20</v>
      </c>
      <c r="I54" s="13" t="s">
        <v>17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46062</v>
      </c>
      <c r="E55" s="13">
        <v>1577310</v>
      </c>
      <c r="F55" s="13" t="s">
        <v>15</v>
      </c>
      <c r="G55" s="14">
        <v>20305135</v>
      </c>
      <c r="H55" s="13" t="s">
        <v>308</v>
      </c>
      <c r="I55" s="13" t="s">
        <v>309</v>
      </c>
      <c r="J55" s="14">
        <v>1</v>
      </c>
      <c r="K55" s="14">
        <v>1</v>
      </c>
      <c r="L55" s="15">
        <v>9.6</v>
      </c>
      <c r="M55" s="15">
        <v>9.6</v>
      </c>
    </row>
    <row r="56" spans="4:13">
      <c r="D56" s="12">
        <v>46062</v>
      </c>
      <c r="E56" s="13">
        <v>1577310</v>
      </c>
      <c r="F56" s="13" t="s">
        <v>15</v>
      </c>
      <c r="G56" s="14">
        <v>20305170</v>
      </c>
      <c r="H56" s="13" t="s">
        <v>327</v>
      </c>
      <c r="I56" s="13" t="s">
        <v>328</v>
      </c>
      <c r="J56" s="14">
        <v>1</v>
      </c>
      <c r="K56" s="14">
        <v>1</v>
      </c>
      <c r="L56" s="15">
        <v>9.6</v>
      </c>
      <c r="M56" s="15">
        <v>9.6</v>
      </c>
    </row>
    <row r="57" spans="4:13">
      <c r="D57" s="12">
        <v>46062</v>
      </c>
      <c r="E57" s="13">
        <v>1577310</v>
      </c>
      <c r="F57" s="13" t="s">
        <v>15</v>
      </c>
      <c r="G57" s="14">
        <v>20303922</v>
      </c>
      <c r="H57" s="13" t="s">
        <v>20</v>
      </c>
      <c r="I57" s="13" t="s">
        <v>17</v>
      </c>
      <c r="J57" s="14">
        <v>2</v>
      </c>
      <c r="K57" s="14">
        <v>2</v>
      </c>
      <c r="L57" s="15">
        <v>4.8</v>
      </c>
      <c r="M57" s="15">
        <v>9.6</v>
      </c>
    </row>
    <row r="58" spans="4:13">
      <c r="D58" s="12">
        <v>46063</v>
      </c>
      <c r="E58" s="13">
        <v>1577564</v>
      </c>
      <c r="F58" s="13" t="s">
        <v>21</v>
      </c>
      <c r="G58" s="14">
        <v>20305186</v>
      </c>
      <c r="H58" s="13" t="s">
        <v>329</v>
      </c>
      <c r="I58" s="13" t="s">
        <v>32</v>
      </c>
      <c r="J58" s="14">
        <v>1</v>
      </c>
      <c r="K58" s="14">
        <v>2</v>
      </c>
      <c r="L58" s="15">
        <v>26.4</v>
      </c>
      <c r="M58" s="15">
        <v>26.4</v>
      </c>
    </row>
    <row r="59" spans="4:13">
      <c r="D59" s="12">
        <v>46063</v>
      </c>
      <c r="E59" s="13">
        <v>1577643</v>
      </c>
      <c r="F59" s="13" t="s">
        <v>15</v>
      </c>
      <c r="G59" s="14">
        <v>20379147</v>
      </c>
      <c r="H59" s="13" t="s">
        <v>330</v>
      </c>
      <c r="I59" s="13" t="s">
        <v>324</v>
      </c>
      <c r="J59" s="14">
        <v>1</v>
      </c>
      <c r="K59" s="14">
        <v>1</v>
      </c>
      <c r="L59" s="15">
        <v>7.8</v>
      </c>
      <c r="M59" s="15">
        <v>7.8</v>
      </c>
    </row>
    <row r="60" spans="4:13">
      <c r="D60" s="12">
        <v>46063</v>
      </c>
      <c r="E60" s="13">
        <v>1577643</v>
      </c>
      <c r="F60" s="13" t="s">
        <v>15</v>
      </c>
      <c r="G60" s="14">
        <v>20363148</v>
      </c>
      <c r="H60" s="13" t="s">
        <v>323</v>
      </c>
      <c r="I60" s="13" t="s">
        <v>324</v>
      </c>
      <c r="J60" s="14">
        <v>1</v>
      </c>
      <c r="K60" s="14">
        <v>1</v>
      </c>
      <c r="L60" s="15">
        <v>7.8</v>
      </c>
      <c r="M60" s="15">
        <v>7.8</v>
      </c>
    </row>
    <row r="61" spans="4:13">
      <c r="D61" s="12">
        <v>46063</v>
      </c>
      <c r="E61" s="13">
        <v>1577643</v>
      </c>
      <c r="F61" s="13" t="s">
        <v>15</v>
      </c>
      <c r="G61" s="14">
        <v>20316051</v>
      </c>
      <c r="H61" s="13" t="s">
        <v>311</v>
      </c>
      <c r="I61" s="13" t="s">
        <v>312</v>
      </c>
      <c r="J61" s="14">
        <v>1</v>
      </c>
      <c r="K61" s="14">
        <v>1</v>
      </c>
      <c r="L61" s="15">
        <v>9.6</v>
      </c>
      <c r="M61" s="15">
        <v>9.6</v>
      </c>
    </row>
    <row r="62" spans="4:13">
      <c r="D62" s="12">
        <v>46063</v>
      </c>
      <c r="E62" s="13">
        <v>1577643</v>
      </c>
      <c r="F62" s="13" t="s">
        <v>24</v>
      </c>
      <c r="G62" s="14">
        <v>20372693</v>
      </c>
      <c r="H62" s="13" t="s">
        <v>331</v>
      </c>
      <c r="I62" s="13" t="s">
        <v>272</v>
      </c>
      <c r="J62" s="14">
        <v>1</v>
      </c>
      <c r="K62" s="14">
        <v>2</v>
      </c>
      <c r="L62" s="15">
        <v>26.4</v>
      </c>
      <c r="M62" s="15">
        <v>26.4</v>
      </c>
    </row>
  </sheetData>
  <autoFilter xmlns:etc="http://www.wps.cn/officeDocument/2017/etCustomData" ref="A7:M62" etc:filterBottomFollowUsedRange="0">
    <extLst/>
  </autoFilter>
  <mergeCells count="5">
    <mergeCell ref="D8:I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375" customWidth="1"/>
    <col min="7" max="7" width="10.125" customWidth="1"/>
    <col min="8" max="8" width="21.375" customWidth="1"/>
    <col min="9" max="9" width="17.25" customWidth="1"/>
    <col min="10" max="10" width="6.475" customWidth="1"/>
    <col min="11" max="11" width="9.45" customWidth="1"/>
    <col min="12" max="12" width="8.625" customWidth="1"/>
    <col min="13" max="13" width="10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4</v>
      </c>
      <c r="L8" s="11"/>
      <c r="M8" s="11">
        <v>49.8</v>
      </c>
    </row>
    <row r="9" spans="1:13">
      <c r="D9" s="12">
        <v>46044</v>
      </c>
      <c r="E9" s="13">
        <v>1572822</v>
      </c>
      <c r="F9" s="13" t="s">
        <v>15</v>
      </c>
      <c r="G9" s="14">
        <v>20305094</v>
      </c>
      <c r="H9" s="13" t="s">
        <v>123</v>
      </c>
      <c r="I9" s="13" t="s">
        <v>83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46044</v>
      </c>
      <c r="E10" s="13">
        <v>1572822</v>
      </c>
      <c r="F10" s="13" t="s">
        <v>24</v>
      </c>
      <c r="G10" s="14">
        <v>20303986</v>
      </c>
      <c r="H10" s="13" t="s">
        <v>25</v>
      </c>
      <c r="I10" s="13" t="s">
        <v>26</v>
      </c>
      <c r="J10" s="14">
        <v>3</v>
      </c>
      <c r="K10" s="14">
        <v>3</v>
      </c>
      <c r="L10" s="15">
        <v>15</v>
      </c>
      <c r="M10" s="15">
        <v>45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" customWidth="1"/>
    <col min="9" max="9" width="17.375" customWidth="1"/>
    <col min="10" max="10" width="6.475" customWidth="1"/>
    <col min="11" max="11" width="9.45" customWidth="1"/>
    <col min="12" max="12" width="12.2083333333333" customWidth="1"/>
    <col min="13" max="13" width="10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11</v>
      </c>
      <c r="K8" s="10">
        <v>14</v>
      </c>
      <c r="L8" s="11"/>
      <c r="M8" s="11">
        <v>61.2</v>
      </c>
    </row>
    <row r="9" spans="1:13">
      <c r="D9" s="12">
        <v>46043</v>
      </c>
      <c r="E9" s="13">
        <v>1572351</v>
      </c>
      <c r="F9" s="13" t="s">
        <v>15</v>
      </c>
      <c r="G9" s="14">
        <v>20305049</v>
      </c>
      <c r="H9" s="13" t="s">
        <v>16</v>
      </c>
      <c r="I9" s="13" t="s">
        <v>17</v>
      </c>
      <c r="J9" s="14">
        <v>2</v>
      </c>
      <c r="K9" s="14">
        <v>2</v>
      </c>
      <c r="L9" s="15">
        <v>4.8</v>
      </c>
      <c r="M9" s="15">
        <v>9.6</v>
      </c>
    </row>
    <row r="10" spans="1:13">
      <c r="D10" s="12">
        <v>46043</v>
      </c>
      <c r="E10" s="13">
        <v>1572351</v>
      </c>
      <c r="F10" s="13" t="s">
        <v>15</v>
      </c>
      <c r="G10" s="14">
        <v>20303984</v>
      </c>
      <c r="H10" s="13" t="s">
        <v>82</v>
      </c>
      <c r="I10" s="13" t="s">
        <v>83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46049</v>
      </c>
      <c r="E11" s="13">
        <v>1573930</v>
      </c>
      <c r="F11" s="13" t="s">
        <v>15</v>
      </c>
      <c r="G11" s="14">
        <v>20303984</v>
      </c>
      <c r="H11" s="13" t="s">
        <v>82</v>
      </c>
      <c r="I11" s="13" t="s">
        <v>83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46050</v>
      </c>
      <c r="E12" s="13">
        <v>1574271</v>
      </c>
      <c r="F12" s="13" t="s">
        <v>15</v>
      </c>
      <c r="G12" s="14">
        <v>20303984</v>
      </c>
      <c r="H12" s="13" t="s">
        <v>82</v>
      </c>
      <c r="I12" s="13" t="s">
        <v>83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46051</v>
      </c>
      <c r="E13" s="13">
        <v>1574662</v>
      </c>
      <c r="F13" s="13" t="s">
        <v>15</v>
      </c>
      <c r="G13" s="14">
        <v>20303922</v>
      </c>
      <c r="H13" s="13" t="s">
        <v>20</v>
      </c>
      <c r="I13" s="13" t="s">
        <v>17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46056</v>
      </c>
      <c r="E14" s="13">
        <v>1575826</v>
      </c>
      <c r="F14" s="13" t="s">
        <v>15</v>
      </c>
      <c r="G14" s="14">
        <v>20305049</v>
      </c>
      <c r="H14" s="13" t="s">
        <v>16</v>
      </c>
      <c r="I14" s="13" t="s">
        <v>17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46056</v>
      </c>
      <c r="E15" s="13">
        <v>1575826</v>
      </c>
      <c r="F15" s="13" t="s">
        <v>15</v>
      </c>
      <c r="G15" s="14">
        <v>20303984</v>
      </c>
      <c r="H15" s="13" t="s">
        <v>82</v>
      </c>
      <c r="I15" s="13" t="s">
        <v>83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46056</v>
      </c>
      <c r="E16" s="13">
        <v>1575826</v>
      </c>
      <c r="F16" s="13" t="s">
        <v>54</v>
      </c>
      <c r="G16" s="14">
        <v>20305060</v>
      </c>
      <c r="H16" s="13" t="s">
        <v>334</v>
      </c>
      <c r="I16" s="13" t="s">
        <v>91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46059</v>
      </c>
      <c r="E17" s="13">
        <v>1576865</v>
      </c>
      <c r="F17" s="13" t="s">
        <v>15</v>
      </c>
      <c r="G17" s="14">
        <v>20305049</v>
      </c>
      <c r="H17" s="13" t="s">
        <v>16</v>
      </c>
      <c r="I17" s="13" t="s">
        <v>17</v>
      </c>
      <c r="J17" s="14">
        <v>1</v>
      </c>
      <c r="K17" s="14">
        <v>1</v>
      </c>
      <c r="L17" s="15">
        <v>4.8</v>
      </c>
      <c r="M17" s="15">
        <v>4.8</v>
      </c>
    </row>
    <row r="18" ht="0.05" customHeight="1"/>
  </sheetData>
  <mergeCells count="5">
    <mergeCell ref="D8:I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Q1" sqref="Q$1:Q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375" customWidth="1"/>
    <col min="9" max="9" width="16.375" customWidth="1"/>
    <col min="10" max="10" width="6.475" customWidth="1"/>
    <col min="11" max="11" width="9.45" customWidth="1"/>
    <col min="12" max="12" width="9.5" customWidth="1"/>
    <col min="13" max="13" width="10.1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16</v>
      </c>
      <c r="L8" s="11"/>
      <c r="M8" s="11">
        <v>54.3</v>
      </c>
    </row>
    <row r="9" spans="1:13">
      <c r="D9" s="12">
        <v>46052</v>
      </c>
      <c r="E9" s="13">
        <v>1575067</v>
      </c>
      <c r="F9" s="13" t="s">
        <v>15</v>
      </c>
      <c r="G9" s="14">
        <v>20310299</v>
      </c>
      <c r="H9" s="13" t="s">
        <v>336</v>
      </c>
      <c r="I9" s="13" t="s">
        <v>70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46055</v>
      </c>
      <c r="E10" s="13">
        <v>1575456</v>
      </c>
      <c r="F10" s="13" t="s">
        <v>143</v>
      </c>
      <c r="G10" s="14">
        <v>20311256</v>
      </c>
      <c r="H10" s="13" t="s">
        <v>337</v>
      </c>
      <c r="I10" s="13" t="s">
        <v>91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46056</v>
      </c>
      <c r="E11" s="13">
        <v>1575933</v>
      </c>
      <c r="F11" s="13" t="s">
        <v>54</v>
      </c>
      <c r="G11" s="14">
        <v>20305166</v>
      </c>
      <c r="H11" s="13" t="s">
        <v>338</v>
      </c>
      <c r="I11" s="13" t="s">
        <v>91</v>
      </c>
      <c r="J11" s="14">
        <v>1</v>
      </c>
      <c r="K11" s="14">
        <v>5</v>
      </c>
      <c r="L11" s="15">
        <v>16.5</v>
      </c>
      <c r="M11" s="15">
        <v>16.5</v>
      </c>
    </row>
    <row r="12" spans="1:13">
      <c r="D12" s="12">
        <v>46064</v>
      </c>
      <c r="E12" s="13">
        <v>1577973</v>
      </c>
      <c r="F12" s="13" t="s">
        <v>54</v>
      </c>
      <c r="G12" s="14">
        <v>20305166</v>
      </c>
      <c r="H12" s="13" t="s">
        <v>338</v>
      </c>
      <c r="I12" s="13" t="s">
        <v>91</v>
      </c>
      <c r="J12" s="14">
        <v>1</v>
      </c>
      <c r="K12" s="14">
        <v>5</v>
      </c>
      <c r="L12" s="15">
        <v>16.5</v>
      </c>
      <c r="M12" s="15">
        <v>16.5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&amp;"-,Regular"2026年2月24日 9:41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ICU</vt:lpstr>
      <vt:lpstr>耳鼻喉科</vt:lpstr>
      <vt:lpstr>妇科病房</vt:lpstr>
      <vt:lpstr>妇科门诊</vt:lpstr>
      <vt:lpstr>供应室</vt:lpstr>
      <vt:lpstr>骨脑</vt:lpstr>
      <vt:lpstr>急诊</vt:lpstr>
      <vt:lpstr>检验科</vt:lpstr>
      <vt:lpstr>介入科</vt:lpstr>
      <vt:lpstr>口腔科</vt:lpstr>
      <vt:lpstr>美容整形外科</vt:lpstr>
      <vt:lpstr>美外新</vt:lpstr>
      <vt:lpstr>泌外腔镜</vt:lpstr>
      <vt:lpstr>皮肤门诊</vt:lpstr>
      <vt:lpstr>普外一</vt:lpstr>
      <vt:lpstr>伤口造口门诊</vt:lpstr>
      <vt:lpstr>手术室</vt:lpstr>
      <vt:lpstr>外科门诊</vt:lpstr>
      <vt:lpstr>消化科</vt:lpstr>
      <vt:lpstr>消化内镜</vt:lpstr>
      <vt:lpstr>心内科</vt:lpstr>
      <vt:lpstr>血管科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2026-02-24T04:09:00Z</dcterms:created>
  <dcterms:modified xsi:type="dcterms:W3CDTF">2026-02-26T04:19:28Z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951450F462724E0094057F35A76ABC9E_12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