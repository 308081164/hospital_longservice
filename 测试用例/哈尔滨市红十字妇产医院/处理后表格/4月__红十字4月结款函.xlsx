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3" sheetId="3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<sst xmlns="http://schemas.openxmlformats.org/spreadsheetml/2006/main" count="36" uniqueCount="19">
  <si>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/>
  </si>
  <si>
    <t>哈尔滨市红十字中心医院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</si>
  <si>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哈尔滨市红十字中心医院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</si>
  <si>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</si>
  <si>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</si>
  <si>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</si>
  <si>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</si>
  <si>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</si>
  <si>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</si>
  <si>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</si>
  <si>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系统账单+外来器械+加急费用</t>
  </si>
  <si>
    <t>２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</si>
  <si>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</si>
  <si>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                        </t>
    </r>
    <r>
      <rPr>
        <sz val="14"/>
        <color rgb="FF000000"/>
        <rFont val="宋体"/>
        <charset val="134"/>
      </rPr>
      <t>加急物流费</t>
    </r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</si>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</sst>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177" fontId="5" fillId="0" borderId="2" xfId="0" applyNumberFormat="1" applyFont="1" applyFill="1" applyBorder="1" applyAlignment="1">
      <alignment horizontal="center" vertical="top" wrapText="1" readingOrder="1"/>
    </xf>
    <xf numFmtId="177" fontId="1" fillId="0" borderId="3" xfId="0" applyNumberFormat="1" applyFont="1" applyFill="1" applyBorder="1" applyAlignment="1">
      <alignment vertical="top" wrapText="1"/>
    </xf>
    <xf numFmtId="177" fontId="3" fillId="0" borderId="0" xfId="0" applyNumberFormat="1" applyFont="1" applyFill="1" applyBorder="1" applyAlignment="1">
      <alignment horizontal="left" vertical="top" wrapText="1" readingOrder="1"/>
    </xf>
    <xf numFmtId="177" fontId="1" fillId="0" borderId="0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26670</xdr:colOff>
      <xdr:row>1</xdr:row>
      <xdr:rowOff>635</xdr:rowOff>
    </xdr:from>
    <xdr:to>
      <xdr:col>5</xdr:col>
      <xdr:colOff>1037590</xdr:colOff>
      <xdr:row>1</xdr:row>
      <xdr:rowOff>341284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835" y="635"/>
          <a:ext cx="308800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418;&#21313;&#2338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加急"/>
    </sheetNames>
    <sheetDataSet>
      <sheetData sheetId="0">
        <row r="9">
          <cell r="L9">
            <v>173051</v>
          </cell>
        </row>
      </sheetData>
      <sheetData sheetId="1">
        <row r="9">
          <cell r="L9">
            <v>634.5</v>
          </cell>
        </row>
        <row r="18">
          <cell r="L18">
            <v>621.5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2" workbookViewId="0">
      <selection activeCell="J11" sqref="J11"/>
    </sheetView>
  </sheetViews>
  <sheetFormatPr defaultColWidth="9" defaultRowHeight="13.5"/>
  <cols>
    <col min="1" max="1" width="0.225" style="1" customWidth="1"/>
    <col min="2" max="2" width="0.433333333333333" style="1" customWidth="1"/>
    <col min="3" max="3" width="2.28333333333333" style="1" customWidth="1"/>
    <col min="4" max="4" width="7.55833333333333" style="1" customWidth="1"/>
    <col min="5" max="5" width="17.4166666666667" style="1" customWidth="1"/>
    <col min="6" max="6" width="14.725" style="1" customWidth="1"/>
    <col min="7" max="7" width="27.5" style="1" customWidth="1"/>
    <col min="8" max="8" width="24.975" style="1" customWidth="1"/>
    <col min="9" max="9" width="1.575" style="1" customWidth="1"/>
    <col min="10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9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9">
      <c r="D6" s="3" t="s">
        <v>1</v>
      </c>
    </row>
    <row r="7" s="1" customFormat="1" ht="18" customHeight="1" spans="3:9">
      <c r="D7" s="4" t="s">
        <v>2</v>
      </c>
    </row>
    <row r="8" s="1" customFormat="1" ht="15" spans="3:9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9">
      <c r="D9" s="6" t="s">
        <v>3</v>
      </c>
    </row>
    <row r="10" s="1" customFormat="1" ht="15" spans="3:9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9" customHeight="1" spans="3:9">
      <c r="D11" s="7" t="s">
        <v>4</v>
      </c>
      <c r="E11" s="7" t="s">
        <v>5</v>
      </c>
      <c r="F11" s="7" t="s">
        <v>6</v>
      </c>
      <c r="G11" s="8"/>
      <c r="H11" s="7" t="s">
        <v>7</v>
      </c>
      <c r="I11" s="8"/>
    </row>
    <row r="12" s="1" customFormat="1" ht="39" customHeight="1" spans="3:9">
      <c r="D12" s="7" t="s">
        <v>8</v>
      </c>
      <c r="E12" s="7" t="s">
        <v>9</v>
      </c>
      <c r="F12" s="9">
        <f>[1]账单!$L$9+[1]外来器械!$L$9+[1]外来器械!$L$18+9123.13</f>
        <v>183430.13</v>
      </c>
      <c r="G12" s="8"/>
      <c r="H12" s="10" t="s">
        <v>10</v>
      </c>
      <c r="I12" s="8"/>
    </row>
    <row r="13" s="1" customFormat="1" ht="39" customHeight="1" spans="3:9">
      <c r="D13" s="7" t="s">
        <v>11</v>
      </c>
      <c r="E13" s="7" t="s">
        <v>12</v>
      </c>
      <c r="F13" s="9">
        <f>3000+750</f>
        <v>3750</v>
      </c>
      <c r="G13" s="8"/>
      <c r="H13" s="7" t="s">
        <v>13</v>
      </c>
      <c r="I13" s="8"/>
    </row>
    <row r="14" s="1" customFormat="1" ht="39" customHeight="1" spans="3:9">
      <c r="D14" s="7" t="s">
        <v>14</v>
      </c>
      <c r="E14" s="8"/>
      <c r="F14" s="9">
        <f>F12+F13</f>
        <v>187180.13</v>
      </c>
      <c r="G14" s="8"/>
      <c r="H14" s="7"/>
      <c r="I14" s="8"/>
    </row>
    <row r="15" s="1" customFormat="1" ht="39" customHeight="1" spans="3:9">
      <c r="D15" s="7" t="s">
        <v>15</v>
      </c>
      <c r="E15" s="8"/>
      <c r="F15" s="11">
        <f>F14</f>
        <v>187180.13</v>
      </c>
      <c r="G15" s="12"/>
      <c r="H15" s="7" t="s">
        <v>0</v>
      </c>
      <c r="I15" s="8"/>
    </row>
    <row r="16" s="1" customFormat="1" ht="29" customHeight="1" spans="3:9">
      <c r="D16" s="13"/>
      <c r="E16" s="14"/>
      <c r="F16" s="14"/>
      <c r="G16" s="14"/>
      <c r="H16" s="14"/>
      <c r="I16" s="14"/>
    </row>
    <row r="17" s="1" customFormat="1" ht="244" customHeight="1" spans="4:8">
      <c r="D17" s="6" t="s">
        <v>16</v>
      </c>
    </row>
    <row r="18" s="1" customFormat="1" ht="45" customHeight="1" spans="4:8">
      <c r="D18" s="15" t="s">
        <v>0</v>
      </c>
      <c r="E18" s="15" t="s">
        <v>0</v>
      </c>
      <c r="F18" s="16" t="s">
        <v>17</v>
      </c>
      <c r="H18" s="15" t="s">
        <v>0</v>
      </c>
    </row>
    <row r="19" s="1" customFormat="1" ht="36" customHeight="1" spans="4:8">
      <c r="D19" s="17" t="s">
        <v>18</v>
      </c>
    </row>
    <row r="20" s="1" customFormat="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2026-05-08T01:57:19Z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98A6272AF08D4F34B8AFB80A9760BA88_13</vt:lpwstr>
  </property>
  <property fmtid="{D5CDD505-2E9C-101B-9397-08002B2CF9AE}" pid="4" name="CalculationRule">
    <vt:i4>0</vt:i4>
  </property>
</Properties>
</file>