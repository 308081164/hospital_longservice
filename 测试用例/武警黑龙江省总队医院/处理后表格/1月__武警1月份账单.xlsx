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45" windowHeight="12255" activeTab="1"/>
  </bookViews>
  <sheets>
    <sheet name="供应室" sheetId="1" r:id="rId1"/>
    <sheet name="手术室" sheetId="2" r:id="rId2"/>
  </sheets>
  <definedNames>
    <definedName name="_xlnm._FilterDatabase" localSheetId="0" hidden="1">供应室!$A$9:$K$35</definedName>
    <definedName name="_xlnm._FilterDatabase" localSheetId="1" hidden="1">手术室!$A$7:$K$209</definedName>
    <definedName name="_xlnm.Print_Titles" localSheetId="0">供应室!$1:$6</definedName>
    <definedName name="_xlnm.Print_Titles" localSheetId="1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<sst xmlns="http://schemas.openxmlformats.org/spreadsheetml/2006/main" count="502" uniqueCount="107">
  <si>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</si>
  <si>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2026/1/1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2026/1/31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</si>
  <si>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</si>
  <si>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武警黑龙江省总队医院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</si>
  <si>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</si>
  <si>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</si>
  <si>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</si>
  <si>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</si>
  <si>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</si>
  <si>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</si>
  <si>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</si>
  <si>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</si>
  <si>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供应室</t>
  </si>
  <si>
    <t>敷料包</t>
  </si>
  <si>
    <t>敷料包(无纺布包)</t>
  </si>
  <si>
    <t>器械包（无纺布）</t>
  </si>
  <si>
    <t>敷料包(纸塑袋)</t>
  </si>
  <si>
    <t>敷料包（纸塑袋）</t>
  </si>
  <si>
    <t>额外包(ETO)</t>
  </si>
  <si>
    <t>环氧乙烷（自行打包）-1包</t>
  </si>
  <si>
    <t>额外包(无纺布)</t>
  </si>
  <si>
    <t>弯盘1镊子2/W6050</t>
  </si>
  <si>
    <t>弯盘1镊子2剪刀1/W6050</t>
  </si>
  <si>
    <t>弯盘1镊子2/z2032</t>
  </si>
  <si>
    <t>手术室</t>
  </si>
  <si>
    <t>器械包</t>
  </si>
  <si>
    <t>精索器械-37件</t>
  </si>
  <si>
    <t>阑尾钳</t>
  </si>
  <si>
    <t>盆1碗1盘2/W9050</t>
  </si>
  <si>
    <t>额外包(纸塑袋)</t>
  </si>
  <si>
    <t>骨科肩关节器械-1/z7537</t>
  </si>
  <si>
    <t>卵圆钳-2/Z1526</t>
  </si>
  <si>
    <t>敷料包（无纺布）</t>
  </si>
  <si>
    <t>阑尾包</t>
  </si>
  <si>
    <t>持物钳罐-2/z2044</t>
  </si>
  <si>
    <t>肛肠包</t>
  </si>
  <si>
    <t>膝关节镜</t>
  </si>
  <si>
    <t>28号肛门镜-1/Z2032</t>
  </si>
  <si>
    <t>30号肛门镜-1/Z2032</t>
  </si>
  <si>
    <t>肛肠拉钩窄-2/Z2032</t>
  </si>
  <si>
    <t>骨科枪状器械-1件/Z1035</t>
  </si>
  <si>
    <t>肛肠-杯1碗1盘1/w6050</t>
  </si>
  <si>
    <t>肛肠拉钩（宽）-2件/W605050</t>
  </si>
  <si>
    <t>骨锤-1/w6050</t>
  </si>
  <si>
    <t>膝关节镜-碗2盘1/w6050</t>
  </si>
  <si>
    <t>器械包（纸塑袋）</t>
  </si>
  <si>
    <t>腹腔镜阑尾器械</t>
  </si>
  <si>
    <t>手术室三通-1/Z1020</t>
  </si>
  <si>
    <t>手术室膝关节闭合器-2/Z1526</t>
  </si>
  <si>
    <t>小皮钩-2/Z1026</t>
  </si>
  <si>
    <t>二氧化碳管（新）-1/W9050</t>
  </si>
  <si>
    <t>额外包(低温等离子)</t>
  </si>
  <si>
    <t>低温组件-1/z1026</t>
  </si>
  <si>
    <t>骨科30度镜-1/双/Z1550</t>
  </si>
  <si>
    <t>单包装包(老肯低温)</t>
  </si>
  <si>
    <t>30度镜头10mm（新）-2件/Z2060</t>
  </si>
  <si>
    <t>30度镜头5mm（新）-2件/Z2060</t>
  </si>
  <si>
    <t>电切器械</t>
  </si>
  <si>
    <t>刷手包</t>
  </si>
  <si>
    <t>器械包(ZSD)</t>
  </si>
  <si>
    <t>开腹包（二）</t>
  </si>
  <si>
    <t>开腹包（一）</t>
  </si>
  <si>
    <t>S钩-4件/w7050</t>
  </si>
  <si>
    <t>大直角-2件/W6050</t>
  </si>
  <si>
    <t>六角改锥-3件/W6050</t>
  </si>
  <si>
    <t>骨折器械包</t>
  </si>
  <si>
    <t>小肌钩-2件/W6050</t>
  </si>
  <si>
    <t>本院骨科六角改锥（2.5）-1/Z1026</t>
  </si>
  <si>
    <t>刀柄-1/z7526</t>
  </si>
  <si>
    <t>气腹针-1/z1030</t>
  </si>
  <si>
    <t>鹰嘴钳-1/Z1526</t>
  </si>
  <si>
    <t>精索器械</t>
  </si>
  <si>
    <t>持物钳罐-2/W6050</t>
  </si>
  <si>
    <t>大鞍钩-2/W9050</t>
  </si>
  <si>
    <t>取钉器-1/W6050</t>
  </si>
  <si>
    <t>蚊式-6/W6050</t>
  </si>
  <si>
    <t>小取钉器-1/W6050</t>
  </si>
  <si>
    <t>本院骨科3.5改锥-1/W6050</t>
  </si>
  <si>
    <t>肛肠拉钩窄-2/W6050</t>
  </si>
  <si>
    <t>卵圆钳-2/W6050</t>
  </si>
  <si>
    <t>咬骨钳-1/W60050</t>
  </si>
  <si>
    <t>手缝合</t>
  </si>
  <si>
    <t>本院骨科黑把六角改锥-1/Z1026</t>
  </si>
  <si>
    <t>骨剥-2/z1035</t>
  </si>
  <si>
    <t>骨锉-1/Z1029</t>
  </si>
  <si>
    <t>刮勺-1/Z7526</t>
  </si>
  <si>
    <t>手骨剥-1/z7526</t>
  </si>
  <si>
    <t>骨凿-3件/W6050</t>
  </si>
  <si>
    <t>弯盘1平镊1钩镊1/Z1526</t>
  </si>
  <si>
    <t>杯1碗1盘1/w6050</t>
  </si>
  <si>
    <t>32号肛门镜-1/Z2032</t>
  </si>
  <si>
    <t>胃钳-1/z1029</t>
  </si>
  <si>
    <t>甲状腺器械</t>
  </si>
  <si>
    <t>头皮拉钩-3件/w6050</t>
  </si>
  <si>
    <t>骨凿-2件/W6050</t>
  </si>
  <si>
    <t>骨科租赁器械包-不带植入物</t>
  </si>
  <si>
    <t>骨科交叉韧带器械-13件</t>
  </si>
  <si>
    <t>骨科交叉韧带器械-14件</t>
  </si>
  <si>
    <t>骨科交叉韧带器械-8件/W9050</t>
  </si>
  <si>
    <t>骨科交叉韧带器械-9件/W9050</t>
  </si>
  <si>
    <t>钢尺-1/z7530</t>
  </si>
  <si>
    <t>手术室枪状器械-1/Z2032</t>
  </si>
  <si>
    <t>直角拉钩-1/Z1029</t>
  </si>
  <si>
    <t>骨科交叉韧带器械-13件（二）</t>
  </si>
  <si>
    <t>骨科交叉韧带器械-13件（一）</t>
  </si>
  <si>
    <t>小拉钩-2/Z1026</t>
  </si>
  <si>
    <t>小碗-1/z2530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</si>
</sst>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8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0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7" fillId="0" borderId="0"/>
  </cellStyleXfs>
  <cellXfs count="19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176" fontId="5" fillId="0" borderId="3" xfId="0" applyNumberFormat="1" applyFont="1" applyFill="1" applyBorder="1" applyAlignment="1">
      <alignment horizontal="center" vertical="top" wrapText="1" readingOrder="1"/>
    </xf>
    <xf numFmtId="0" fontId="6" fillId="3" borderId="3" xfId="0" applyNumberFormat="1" applyFont="1" applyFill="1" applyBorder="1" applyAlignment="1">
      <alignment vertical="top" wrapText="1" readingOrder="1"/>
    </xf>
    <xf numFmtId="0" fontId="6" fillId="3" borderId="3" xfId="0" applyNumberFormat="1" applyFont="1" applyFill="1" applyBorder="1" applyAlignment="1">
      <alignment horizontal="center" vertical="top" wrapText="1" readingOrder="1"/>
    </xf>
    <xf numFmtId="176" fontId="6" fillId="3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247015</xdr:colOff>
      <xdr:row>1</xdr:row>
      <xdr:rowOff>38100</xdr:rowOff>
    </xdr:from>
    <xdr:to>
      <xdr:col>9</xdr:col>
      <xdr:colOff>757003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39790" y="209550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151765</xdr:colOff>
      <xdr:row>1</xdr:row>
      <xdr:rowOff>76200</xdr:rowOff>
    </xdr:from>
    <xdr:to>
      <xdr:col>9</xdr:col>
      <xdr:colOff>661753</xdr:colOff>
      <xdr:row>4</xdr:row>
      <xdr:rowOff>73660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844540" y="2476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5"/>
  <sheetViews>
    <sheetView showGridLines="0" view="pageBreakPreview" zoomScaleNormal="100" workbookViewId="0">
      <pane ySplit="6" topLeftCell="A7" activePane="bottomLeft" state="frozen"/>
      <selection/>
      <selection pane="bottomLeft" activeCell="K10" sqref="K1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1">
      <c r="C8" s="3" t="s">
        <v>2</v>
      </c>
      <c r="D8" s="16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17"/>
      <c r="J8" s="18"/>
      <c r="K8" s="18"/>
    </row>
    <row r="9" spans="2:11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1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55</v>
      </c>
      <c r="J10" s="10"/>
      <c r="K10" s="10">
        <f>SUM(K11:K35)</f>
        <v>1048.5</v>
      </c>
    </row>
    <row r="11" spans="2:11">
      <c r="D11" s="11">
        <v>46026</v>
      </c>
      <c r="E11" s="12">
        <v>1567539</v>
      </c>
      <c r="F11" s="12" t="s">
        <v>13</v>
      </c>
      <c r="G11" s="13">
        <v>20390455</v>
      </c>
      <c r="H11" s="12" t="s">
        <v>13</v>
      </c>
      <c r="I11" s="13">
        <v>1</v>
      </c>
      <c r="J11" s="14">
        <v>15</v>
      </c>
      <c r="K11" s="14">
        <f>I11*J11</f>
        <v>15</v>
      </c>
    </row>
    <row r="12" spans="2:11">
      <c r="D12" s="11">
        <v>46026</v>
      </c>
      <c r="E12" s="12">
        <v>1567539</v>
      </c>
      <c r="F12" s="12" t="s">
        <v>14</v>
      </c>
      <c r="G12" s="13">
        <v>20390460</v>
      </c>
      <c r="H12" s="12" t="s">
        <v>15</v>
      </c>
      <c r="I12" s="13">
        <v>3</v>
      </c>
      <c r="J12" s="14">
        <v>20</v>
      </c>
      <c r="K12" s="14">
        <f t="shared" ref="K12:K35" si="0">I12*J12</f>
        <v>60</v>
      </c>
    </row>
    <row r="13" spans="2:11">
      <c r="D13" s="11">
        <v>46030</v>
      </c>
      <c r="E13" s="12">
        <v>1568945</v>
      </c>
      <c r="F13" s="12" t="s">
        <v>13</v>
      </c>
      <c r="G13" s="13">
        <v>20390455</v>
      </c>
      <c r="H13" s="12" t="s">
        <v>13</v>
      </c>
      <c r="I13" s="13">
        <v>1</v>
      </c>
      <c r="J13" s="14">
        <v>15</v>
      </c>
      <c r="K13" s="14">
        <f t="shared" si="0"/>
        <v>15</v>
      </c>
    </row>
    <row r="14" spans="2:11">
      <c r="D14" s="11">
        <v>46030</v>
      </c>
      <c r="E14" s="12">
        <v>1568945</v>
      </c>
      <c r="F14" s="12" t="s">
        <v>14</v>
      </c>
      <c r="G14" s="13">
        <v>20390460</v>
      </c>
      <c r="H14" s="12" t="s">
        <v>15</v>
      </c>
      <c r="I14" s="13">
        <v>3</v>
      </c>
      <c r="J14" s="14">
        <v>20</v>
      </c>
      <c r="K14" s="14">
        <f t="shared" si="0"/>
        <v>60</v>
      </c>
    </row>
    <row r="15" spans="2:11">
      <c r="D15" s="11">
        <v>46030</v>
      </c>
      <c r="E15" s="12">
        <v>1568945</v>
      </c>
      <c r="F15" s="12" t="s">
        <v>16</v>
      </c>
      <c r="G15" s="13">
        <v>20390605</v>
      </c>
      <c r="H15" s="12" t="s">
        <v>17</v>
      </c>
      <c r="I15" s="13">
        <v>2</v>
      </c>
      <c r="J15" s="14">
        <v>8</v>
      </c>
      <c r="K15" s="14">
        <f t="shared" si="0"/>
        <v>16</v>
      </c>
    </row>
    <row r="16" spans="2:11">
      <c r="D16" s="11">
        <v>46031</v>
      </c>
      <c r="E16" s="12">
        <v>1569074</v>
      </c>
      <c r="F16" s="12" t="s">
        <v>18</v>
      </c>
      <c r="G16" s="13">
        <v>20390602</v>
      </c>
      <c r="H16" s="12" t="s">
        <v>19</v>
      </c>
      <c r="I16" s="13">
        <v>2</v>
      </c>
      <c r="J16" s="14">
        <v>35</v>
      </c>
      <c r="K16" s="14">
        <f t="shared" si="0"/>
        <v>70</v>
      </c>
    </row>
    <row r="17" spans="4:11">
      <c r="D17" s="11">
        <v>46034</v>
      </c>
      <c r="E17" s="12">
        <v>1569768</v>
      </c>
      <c r="F17" s="12" t="s">
        <v>13</v>
      </c>
      <c r="G17" s="13">
        <v>20390455</v>
      </c>
      <c r="H17" s="12" t="s">
        <v>13</v>
      </c>
      <c r="I17" s="13">
        <v>1</v>
      </c>
      <c r="J17" s="14">
        <v>15</v>
      </c>
      <c r="K17" s="14">
        <f t="shared" si="0"/>
        <v>15</v>
      </c>
    </row>
    <row r="18" spans="4:11">
      <c r="D18" s="11">
        <v>46034</v>
      </c>
      <c r="E18" s="12">
        <v>1569768</v>
      </c>
      <c r="F18" s="12" t="s">
        <v>14</v>
      </c>
      <c r="G18" s="13">
        <v>20390460</v>
      </c>
      <c r="H18" s="12" t="s">
        <v>15</v>
      </c>
      <c r="I18" s="13">
        <v>3</v>
      </c>
      <c r="J18" s="14">
        <v>20</v>
      </c>
      <c r="K18" s="14">
        <f t="shared" si="0"/>
        <v>60</v>
      </c>
    </row>
    <row r="19" spans="4:11">
      <c r="D19" s="11">
        <v>46037</v>
      </c>
      <c r="E19" s="12">
        <v>1570912</v>
      </c>
      <c r="F19" s="12" t="s">
        <v>13</v>
      </c>
      <c r="G19" s="13">
        <v>20390455</v>
      </c>
      <c r="H19" s="12" t="s">
        <v>13</v>
      </c>
      <c r="I19" s="13">
        <v>1</v>
      </c>
      <c r="J19" s="14">
        <v>15</v>
      </c>
      <c r="K19" s="14">
        <f t="shared" si="0"/>
        <v>15</v>
      </c>
    </row>
    <row r="20" spans="4:11">
      <c r="D20" s="11">
        <v>46037</v>
      </c>
      <c r="E20" s="12">
        <v>1570912</v>
      </c>
      <c r="F20" s="12" t="s">
        <v>14</v>
      </c>
      <c r="G20" s="13">
        <v>20390460</v>
      </c>
      <c r="H20" s="12" t="s">
        <v>15</v>
      </c>
      <c r="I20" s="13">
        <v>3</v>
      </c>
      <c r="J20" s="14">
        <v>20</v>
      </c>
      <c r="K20" s="14">
        <f t="shared" si="0"/>
        <v>60</v>
      </c>
    </row>
    <row r="21" spans="4:11">
      <c r="D21" s="11">
        <v>46038</v>
      </c>
      <c r="E21" s="12">
        <v>1571041</v>
      </c>
      <c r="F21" s="12" t="s">
        <v>18</v>
      </c>
      <c r="G21" s="13">
        <v>20390602</v>
      </c>
      <c r="H21" s="12" t="s">
        <v>19</v>
      </c>
      <c r="I21" s="13">
        <v>2</v>
      </c>
      <c r="J21" s="14">
        <v>35</v>
      </c>
      <c r="K21" s="14">
        <f t="shared" si="0"/>
        <v>70</v>
      </c>
    </row>
    <row r="22" spans="4:11">
      <c r="D22" s="11">
        <v>46041</v>
      </c>
      <c r="E22" s="12">
        <v>1571754</v>
      </c>
      <c r="F22" s="12" t="s">
        <v>13</v>
      </c>
      <c r="G22" s="13">
        <v>20390455</v>
      </c>
      <c r="H22" s="12" t="s">
        <v>13</v>
      </c>
      <c r="I22" s="13">
        <v>1</v>
      </c>
      <c r="J22" s="14">
        <v>15</v>
      </c>
      <c r="K22" s="14">
        <f t="shared" si="0"/>
        <v>15</v>
      </c>
    </row>
    <row r="23" spans="4:11">
      <c r="D23" s="11">
        <v>46041</v>
      </c>
      <c r="E23" s="12">
        <v>1571754</v>
      </c>
      <c r="F23" s="12" t="s">
        <v>14</v>
      </c>
      <c r="G23" s="13">
        <v>20390460</v>
      </c>
      <c r="H23" s="12" t="s">
        <v>15</v>
      </c>
      <c r="I23" s="13">
        <v>5</v>
      </c>
      <c r="J23" s="14">
        <v>20</v>
      </c>
      <c r="K23" s="14">
        <f t="shared" si="0"/>
        <v>100</v>
      </c>
    </row>
    <row r="24" spans="4:11">
      <c r="D24" s="11">
        <v>46041</v>
      </c>
      <c r="E24" s="12">
        <v>1571754</v>
      </c>
      <c r="F24" s="12" t="s">
        <v>16</v>
      </c>
      <c r="G24" s="13">
        <v>20390605</v>
      </c>
      <c r="H24" s="12" t="s">
        <v>17</v>
      </c>
      <c r="I24" s="13">
        <v>1</v>
      </c>
      <c r="J24" s="14">
        <v>8</v>
      </c>
      <c r="K24" s="14">
        <f t="shared" si="0"/>
        <v>8</v>
      </c>
    </row>
    <row r="25" spans="4:11">
      <c r="D25" s="11">
        <v>46044</v>
      </c>
      <c r="E25" s="12">
        <v>1572794</v>
      </c>
      <c r="F25" s="12" t="s">
        <v>13</v>
      </c>
      <c r="G25" s="13">
        <v>20390455</v>
      </c>
      <c r="H25" s="12" t="s">
        <v>13</v>
      </c>
      <c r="I25" s="13">
        <v>1</v>
      </c>
      <c r="J25" s="14">
        <v>15</v>
      </c>
      <c r="K25" s="14">
        <f t="shared" si="0"/>
        <v>15</v>
      </c>
    </row>
    <row r="26" spans="4:11">
      <c r="D26" s="11">
        <v>46044</v>
      </c>
      <c r="E26" s="12">
        <v>1572794</v>
      </c>
      <c r="F26" s="12" t="s">
        <v>14</v>
      </c>
      <c r="G26" s="13">
        <v>20390460</v>
      </c>
      <c r="H26" s="12" t="s">
        <v>15</v>
      </c>
      <c r="I26" s="13">
        <v>6</v>
      </c>
      <c r="J26" s="14">
        <v>20</v>
      </c>
      <c r="K26" s="14">
        <f t="shared" si="0"/>
        <v>120</v>
      </c>
    </row>
    <row r="27" spans="4:11">
      <c r="D27" s="11">
        <v>46044</v>
      </c>
      <c r="E27" s="12">
        <v>1572794</v>
      </c>
      <c r="F27" s="12" t="s">
        <v>16</v>
      </c>
      <c r="G27" s="13">
        <v>20390605</v>
      </c>
      <c r="H27" s="12" t="s">
        <v>17</v>
      </c>
      <c r="I27" s="13">
        <v>2</v>
      </c>
      <c r="J27" s="14">
        <v>8</v>
      </c>
      <c r="K27" s="14">
        <f t="shared" si="0"/>
        <v>16</v>
      </c>
    </row>
    <row r="28" spans="4:11">
      <c r="D28" s="11">
        <v>46048</v>
      </c>
      <c r="E28" s="12">
        <v>1573696</v>
      </c>
      <c r="F28" s="12" t="s">
        <v>13</v>
      </c>
      <c r="G28" s="13">
        <v>20390455</v>
      </c>
      <c r="H28" s="12" t="s">
        <v>13</v>
      </c>
      <c r="I28" s="13">
        <v>1</v>
      </c>
      <c r="J28" s="14">
        <v>15</v>
      </c>
      <c r="K28" s="14">
        <f t="shared" si="0"/>
        <v>15</v>
      </c>
    </row>
    <row r="29" spans="4:11">
      <c r="D29" s="11">
        <v>46048</v>
      </c>
      <c r="E29" s="12">
        <v>1573696</v>
      </c>
      <c r="F29" s="12" t="s">
        <v>14</v>
      </c>
      <c r="G29" s="13">
        <v>20390460</v>
      </c>
      <c r="H29" s="12" t="s">
        <v>15</v>
      </c>
      <c r="I29" s="13">
        <v>2</v>
      </c>
      <c r="J29" s="14">
        <v>20</v>
      </c>
      <c r="K29" s="14">
        <f t="shared" si="0"/>
        <v>40</v>
      </c>
    </row>
    <row r="30" spans="4:11">
      <c r="D30" s="11">
        <v>46048</v>
      </c>
      <c r="E30" s="12">
        <v>1573696</v>
      </c>
      <c r="F30" s="12" t="s">
        <v>20</v>
      </c>
      <c r="G30" s="13">
        <v>20390458</v>
      </c>
      <c r="H30" s="12" t="s">
        <v>21</v>
      </c>
      <c r="I30" s="13">
        <v>3</v>
      </c>
      <c r="J30" s="14">
        <v>16.5</v>
      </c>
      <c r="K30" s="14">
        <f t="shared" si="0"/>
        <v>49.5</v>
      </c>
    </row>
    <row r="31" spans="4:11">
      <c r="D31" s="11">
        <v>46050</v>
      </c>
      <c r="E31" s="12">
        <v>1574140</v>
      </c>
      <c r="F31" s="12" t="s">
        <v>14</v>
      </c>
      <c r="G31" s="13">
        <v>20390460</v>
      </c>
      <c r="H31" s="12" t="s">
        <v>15</v>
      </c>
      <c r="I31" s="13">
        <v>1</v>
      </c>
      <c r="J31" s="14">
        <v>20</v>
      </c>
      <c r="K31" s="14">
        <f t="shared" si="0"/>
        <v>20</v>
      </c>
    </row>
    <row r="32" spans="4:11">
      <c r="D32" s="11">
        <v>46051</v>
      </c>
      <c r="E32" s="12">
        <v>1574720</v>
      </c>
      <c r="F32" s="12" t="s">
        <v>13</v>
      </c>
      <c r="G32" s="13">
        <v>20390455</v>
      </c>
      <c r="H32" s="12" t="s">
        <v>13</v>
      </c>
      <c r="I32" s="13">
        <v>1</v>
      </c>
      <c r="J32" s="14">
        <v>15</v>
      </c>
      <c r="K32" s="14">
        <f t="shared" si="0"/>
        <v>15</v>
      </c>
    </row>
    <row r="33" spans="4:11">
      <c r="D33" s="11">
        <v>46051</v>
      </c>
      <c r="E33" s="12">
        <v>1574720</v>
      </c>
      <c r="F33" s="12" t="s">
        <v>14</v>
      </c>
      <c r="G33" s="13">
        <v>20390460</v>
      </c>
      <c r="H33" s="12" t="s">
        <v>15</v>
      </c>
      <c r="I33" s="13">
        <v>4</v>
      </c>
      <c r="J33" s="14">
        <v>20</v>
      </c>
      <c r="K33" s="14">
        <f t="shared" si="0"/>
        <v>80</v>
      </c>
    </row>
    <row r="34" spans="4:11">
      <c r="D34" s="11">
        <v>46051</v>
      </c>
      <c r="E34" s="12">
        <v>1574722</v>
      </c>
      <c r="F34" s="12" t="s">
        <v>20</v>
      </c>
      <c r="G34" s="13">
        <v>20390459</v>
      </c>
      <c r="H34" s="12" t="s">
        <v>22</v>
      </c>
      <c r="I34" s="13">
        <v>3</v>
      </c>
      <c r="J34" s="14">
        <v>22</v>
      </c>
      <c r="K34" s="14">
        <f t="shared" si="0"/>
        <v>66</v>
      </c>
    </row>
    <row r="35" spans="4:11">
      <c r="D35" s="11">
        <v>46052</v>
      </c>
      <c r="E35" s="12">
        <v>1574802</v>
      </c>
      <c r="F35" s="12" t="s">
        <v>20</v>
      </c>
      <c r="G35" s="13">
        <v>20390458</v>
      </c>
      <c r="H35" s="12" t="s">
        <v>23</v>
      </c>
      <c r="I35" s="13">
        <v>2</v>
      </c>
      <c r="J35" s="14">
        <v>16.5</v>
      </c>
      <c r="K35" s="14">
        <f t="shared" si="0"/>
        <v>33</v>
      </c>
    </row>
  </sheetData>
  <autoFilter xmlns:etc="http://www.wps.cn/officeDocument/2017/etCustomData" ref="A9:K35" etc:filterBottomFollowUsedRange="0">
    <extLst/>
  </autoFilter>
  <mergeCells count="6">
    <mergeCell ref="D8:H8"/>
    <mergeCell ref="D10:H10"/>
    <mergeCell ref="C9:C35"/>
    <mergeCell ref="B4:H5"/>
    <mergeCell ref="A8:B35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&amp;"-,Regular"2026年2月3日 15:26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9"/>
  <sheetViews>
    <sheetView showGridLines="0" tabSelected="1" view="pageBreakPreview" zoomScaleNormal="100" topLeftCell="E1" workbookViewId="0">
      <pane ySplit="6" topLeftCell="A7" activePane="bottomLeft" state="frozen"/>
      <selection/>
      <selection pane="bottomLeft" activeCell="L8" sqref="L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24</v>
      </c>
      <c r="E8" s="8" t="s">
        <v>2</v>
      </c>
      <c r="F8" s="8" t="s">
        <v>2</v>
      </c>
      <c r="G8" s="8" t="s">
        <v>2</v>
      </c>
      <c r="H8" s="8" t="s">
        <v>2</v>
      </c>
      <c r="I8" s="9">
        <v>338</v>
      </c>
      <c r="J8" s="10"/>
      <c r="K8" s="10">
        <f>SUM(K9:K209)</f>
        <v>12176.5</v>
      </c>
    </row>
    <row r="9" spans="1:11">
      <c r="D9" s="11">
        <v>46026</v>
      </c>
      <c r="E9" s="12">
        <v>1567568</v>
      </c>
      <c r="F9" s="12" t="s">
        <v>25</v>
      </c>
      <c r="G9" s="13">
        <v>20390277</v>
      </c>
      <c r="H9" s="12" t="s">
        <v>26</v>
      </c>
      <c r="I9" s="13">
        <v>1</v>
      </c>
      <c r="J9" s="14">
        <v>209</v>
      </c>
      <c r="K9" s="14">
        <f>I9*J9</f>
        <v>209</v>
      </c>
    </row>
    <row r="10" spans="1:11">
      <c r="D10" s="11">
        <v>46026</v>
      </c>
      <c r="E10" s="12">
        <v>1567568</v>
      </c>
      <c r="F10" s="12" t="s">
        <v>25</v>
      </c>
      <c r="G10" s="13">
        <v>20390085</v>
      </c>
      <c r="H10" s="12" t="s">
        <v>27</v>
      </c>
      <c r="I10" s="13">
        <v>1</v>
      </c>
      <c r="J10" s="14">
        <v>33</v>
      </c>
      <c r="K10" s="14">
        <f t="shared" ref="K10:K41" si="0">I10*J10</f>
        <v>33</v>
      </c>
    </row>
    <row r="11" spans="1:11">
      <c r="D11" s="11">
        <v>46026</v>
      </c>
      <c r="E11" s="12">
        <v>1567568</v>
      </c>
      <c r="F11" s="12" t="s">
        <v>20</v>
      </c>
      <c r="G11" s="13">
        <v>20390263</v>
      </c>
      <c r="H11" s="12" t="s">
        <v>28</v>
      </c>
      <c r="I11" s="13">
        <v>1</v>
      </c>
      <c r="J11" s="14">
        <v>22</v>
      </c>
      <c r="K11" s="14">
        <f t="shared" si="0"/>
        <v>22</v>
      </c>
    </row>
    <row r="12" spans="1:11">
      <c r="D12" s="11">
        <v>46026</v>
      </c>
      <c r="E12" s="12">
        <v>1567599</v>
      </c>
      <c r="F12" s="12" t="s">
        <v>29</v>
      </c>
      <c r="G12" s="13">
        <v>20407588</v>
      </c>
      <c r="H12" s="12" t="s">
        <v>30</v>
      </c>
      <c r="I12" s="13">
        <v>1</v>
      </c>
      <c r="J12" s="14">
        <v>8</v>
      </c>
      <c r="K12" s="14">
        <f t="shared" si="0"/>
        <v>8</v>
      </c>
    </row>
    <row r="13" spans="1:11">
      <c r="D13" s="11">
        <v>46026</v>
      </c>
      <c r="E13" s="12">
        <v>1567599</v>
      </c>
      <c r="F13" s="12" t="s">
        <v>29</v>
      </c>
      <c r="G13" s="13">
        <v>20390260</v>
      </c>
      <c r="H13" s="12" t="s">
        <v>31</v>
      </c>
      <c r="I13" s="13">
        <v>1</v>
      </c>
      <c r="J13" s="14">
        <v>16.5</v>
      </c>
      <c r="K13" s="14">
        <f t="shared" si="0"/>
        <v>16.5</v>
      </c>
    </row>
    <row r="14" spans="1:11">
      <c r="D14" s="11">
        <v>46027</v>
      </c>
      <c r="E14" s="12">
        <v>1567857</v>
      </c>
      <c r="F14" s="12" t="s">
        <v>14</v>
      </c>
      <c r="G14" s="13">
        <v>20390604</v>
      </c>
      <c r="H14" s="12" t="s">
        <v>32</v>
      </c>
      <c r="I14" s="13">
        <v>6</v>
      </c>
      <c r="J14" s="14">
        <v>20</v>
      </c>
      <c r="K14" s="14">
        <f t="shared" si="0"/>
        <v>120</v>
      </c>
    </row>
    <row r="15" spans="1:11">
      <c r="D15" s="11">
        <v>46027</v>
      </c>
      <c r="E15" s="12">
        <v>1567898</v>
      </c>
      <c r="F15" s="12" t="s">
        <v>25</v>
      </c>
      <c r="G15" s="13">
        <v>20390099</v>
      </c>
      <c r="H15" s="12" t="s">
        <v>33</v>
      </c>
      <c r="I15" s="13">
        <v>1</v>
      </c>
      <c r="J15" s="14">
        <v>225.5</v>
      </c>
      <c r="K15" s="14">
        <f t="shared" si="0"/>
        <v>225.5</v>
      </c>
    </row>
    <row r="16" spans="1:11">
      <c r="D16" s="11">
        <v>46027</v>
      </c>
      <c r="E16" s="12">
        <v>1567898</v>
      </c>
      <c r="F16" s="12" t="s">
        <v>29</v>
      </c>
      <c r="G16" s="13">
        <v>20390260</v>
      </c>
      <c r="H16" s="12" t="s">
        <v>31</v>
      </c>
      <c r="I16" s="13">
        <v>1</v>
      </c>
      <c r="J16" s="14">
        <v>16.5</v>
      </c>
      <c r="K16" s="14">
        <f t="shared" si="0"/>
        <v>16.5</v>
      </c>
    </row>
    <row r="17" spans="4:11">
      <c r="D17" s="11">
        <v>46027</v>
      </c>
      <c r="E17" s="12">
        <v>1567898</v>
      </c>
      <c r="F17" s="12" t="s">
        <v>20</v>
      </c>
      <c r="G17" s="13">
        <v>20390273</v>
      </c>
      <c r="H17" s="12" t="s">
        <v>34</v>
      </c>
      <c r="I17" s="13">
        <v>1</v>
      </c>
      <c r="J17" s="14">
        <v>16.5</v>
      </c>
      <c r="K17" s="14">
        <f t="shared" si="0"/>
        <v>16.5</v>
      </c>
    </row>
    <row r="18" spans="4:11">
      <c r="D18" s="11">
        <v>46027</v>
      </c>
      <c r="E18" s="12">
        <v>1567898</v>
      </c>
      <c r="F18" s="12" t="s">
        <v>20</v>
      </c>
      <c r="G18" s="13">
        <v>20390263</v>
      </c>
      <c r="H18" s="12" t="s">
        <v>28</v>
      </c>
      <c r="I18" s="13">
        <v>1</v>
      </c>
      <c r="J18" s="14">
        <v>22</v>
      </c>
      <c r="K18" s="14">
        <f t="shared" si="0"/>
        <v>22</v>
      </c>
    </row>
    <row r="19" spans="4:11">
      <c r="D19" s="11">
        <v>46028</v>
      </c>
      <c r="E19" s="12">
        <v>1568221</v>
      </c>
      <c r="F19" s="12" t="s">
        <v>25</v>
      </c>
      <c r="G19" s="13">
        <v>20390101</v>
      </c>
      <c r="H19" s="12" t="s">
        <v>35</v>
      </c>
      <c r="I19" s="13">
        <v>2</v>
      </c>
      <c r="J19" s="14">
        <v>88</v>
      </c>
      <c r="K19" s="14">
        <f t="shared" si="0"/>
        <v>176</v>
      </c>
    </row>
    <row r="20" spans="4:11">
      <c r="D20" s="11">
        <v>46028</v>
      </c>
      <c r="E20" s="12">
        <v>1568221</v>
      </c>
      <c r="F20" s="12" t="s">
        <v>25</v>
      </c>
      <c r="G20" s="13">
        <v>20390277</v>
      </c>
      <c r="H20" s="12" t="s">
        <v>26</v>
      </c>
      <c r="I20" s="13">
        <v>1</v>
      </c>
      <c r="J20" s="14">
        <v>209</v>
      </c>
      <c r="K20" s="14">
        <f t="shared" si="0"/>
        <v>209</v>
      </c>
    </row>
    <row r="21" spans="4:11">
      <c r="D21" s="11">
        <v>46028</v>
      </c>
      <c r="E21" s="12">
        <v>1568221</v>
      </c>
      <c r="F21" s="12" t="s">
        <v>25</v>
      </c>
      <c r="G21" s="13">
        <v>20390096</v>
      </c>
      <c r="H21" s="12" t="s">
        <v>36</v>
      </c>
      <c r="I21" s="13">
        <v>1</v>
      </c>
      <c r="J21" s="14">
        <v>148.5</v>
      </c>
      <c r="K21" s="14">
        <f t="shared" si="0"/>
        <v>148.5</v>
      </c>
    </row>
    <row r="22" spans="4:11">
      <c r="D22" s="11">
        <v>46028</v>
      </c>
      <c r="E22" s="12">
        <v>1568221</v>
      </c>
      <c r="F22" s="12" t="s">
        <v>29</v>
      </c>
      <c r="G22" s="13">
        <v>20394777</v>
      </c>
      <c r="H22" s="12" t="s">
        <v>37</v>
      </c>
      <c r="I22" s="13">
        <v>1</v>
      </c>
      <c r="J22" s="14">
        <v>13</v>
      </c>
      <c r="K22" s="14">
        <f t="shared" si="0"/>
        <v>13</v>
      </c>
    </row>
    <row r="23" spans="4:11">
      <c r="D23" s="11">
        <v>46028</v>
      </c>
      <c r="E23" s="12">
        <v>1568221</v>
      </c>
      <c r="F23" s="12" t="s">
        <v>29</v>
      </c>
      <c r="G23" s="13">
        <v>20393476</v>
      </c>
      <c r="H23" s="12" t="s">
        <v>38</v>
      </c>
      <c r="I23" s="13">
        <v>1</v>
      </c>
      <c r="J23" s="14">
        <v>13</v>
      </c>
      <c r="K23" s="14">
        <f t="shared" si="0"/>
        <v>13</v>
      </c>
    </row>
    <row r="24" spans="4:11">
      <c r="D24" s="11">
        <v>46028</v>
      </c>
      <c r="E24" s="12">
        <v>1568221</v>
      </c>
      <c r="F24" s="12" t="s">
        <v>29</v>
      </c>
      <c r="G24" s="13">
        <v>20392065</v>
      </c>
      <c r="H24" s="12" t="s">
        <v>39</v>
      </c>
      <c r="I24" s="13">
        <v>1</v>
      </c>
      <c r="J24" s="14">
        <v>16.5</v>
      </c>
      <c r="K24" s="14">
        <f t="shared" si="0"/>
        <v>16.5</v>
      </c>
    </row>
    <row r="25" spans="4:11">
      <c r="D25" s="11">
        <v>46028</v>
      </c>
      <c r="E25" s="12">
        <v>1568221</v>
      </c>
      <c r="F25" s="12" t="s">
        <v>29</v>
      </c>
      <c r="G25" s="13">
        <v>20407588</v>
      </c>
      <c r="H25" s="12" t="s">
        <v>30</v>
      </c>
      <c r="I25" s="13">
        <v>1</v>
      </c>
      <c r="J25" s="14">
        <v>8</v>
      </c>
      <c r="K25" s="14">
        <f t="shared" si="0"/>
        <v>8</v>
      </c>
    </row>
    <row r="26" spans="4:11">
      <c r="D26" s="11">
        <v>46028</v>
      </c>
      <c r="E26" s="12">
        <v>1568221</v>
      </c>
      <c r="F26" s="12" t="s">
        <v>29</v>
      </c>
      <c r="G26" s="13">
        <v>20407939</v>
      </c>
      <c r="H26" s="12" t="s">
        <v>40</v>
      </c>
      <c r="I26" s="13">
        <v>2</v>
      </c>
      <c r="J26" s="14">
        <v>8</v>
      </c>
      <c r="K26" s="14">
        <f t="shared" si="0"/>
        <v>16</v>
      </c>
    </row>
    <row r="27" spans="4:11">
      <c r="D27" s="11">
        <v>46028</v>
      </c>
      <c r="E27" s="12">
        <v>1568221</v>
      </c>
      <c r="F27" s="12" t="s">
        <v>29</v>
      </c>
      <c r="G27" s="13">
        <v>20390260</v>
      </c>
      <c r="H27" s="12" t="s">
        <v>31</v>
      </c>
      <c r="I27" s="13">
        <v>2</v>
      </c>
      <c r="J27" s="14">
        <v>16.5</v>
      </c>
      <c r="K27" s="14">
        <f t="shared" si="0"/>
        <v>33</v>
      </c>
    </row>
    <row r="28" spans="4:11">
      <c r="D28" s="11">
        <v>46028</v>
      </c>
      <c r="E28" s="12">
        <v>1568221</v>
      </c>
      <c r="F28" s="12" t="s">
        <v>14</v>
      </c>
      <c r="G28" s="13">
        <v>20390604</v>
      </c>
      <c r="H28" s="12" t="s">
        <v>32</v>
      </c>
      <c r="I28" s="13">
        <v>2</v>
      </c>
      <c r="J28" s="14">
        <v>20</v>
      </c>
      <c r="K28" s="14">
        <f t="shared" si="0"/>
        <v>40</v>
      </c>
    </row>
    <row r="29" spans="4:11">
      <c r="D29" s="11">
        <v>46028</v>
      </c>
      <c r="E29" s="12">
        <v>1568221</v>
      </c>
      <c r="F29" s="12" t="s">
        <v>20</v>
      </c>
      <c r="G29" s="13">
        <v>20390273</v>
      </c>
      <c r="H29" s="12" t="s">
        <v>34</v>
      </c>
      <c r="I29" s="13">
        <v>3</v>
      </c>
      <c r="J29" s="14">
        <v>16.5</v>
      </c>
      <c r="K29" s="14">
        <f t="shared" si="0"/>
        <v>49.5</v>
      </c>
    </row>
    <row r="30" spans="4:11">
      <c r="D30" s="11">
        <v>46028</v>
      </c>
      <c r="E30" s="12">
        <v>1568221</v>
      </c>
      <c r="F30" s="12" t="s">
        <v>20</v>
      </c>
      <c r="G30" s="13">
        <v>20390102</v>
      </c>
      <c r="H30" s="12" t="s">
        <v>41</v>
      </c>
      <c r="I30" s="13">
        <v>2</v>
      </c>
      <c r="J30" s="14">
        <v>16.5</v>
      </c>
      <c r="K30" s="14">
        <f t="shared" si="0"/>
        <v>33</v>
      </c>
    </row>
    <row r="31" spans="4:11">
      <c r="D31" s="11">
        <v>46028</v>
      </c>
      <c r="E31" s="12">
        <v>1568221</v>
      </c>
      <c r="F31" s="12" t="s">
        <v>20</v>
      </c>
      <c r="G31" s="13">
        <v>20399558</v>
      </c>
      <c r="H31" s="12" t="s">
        <v>42</v>
      </c>
      <c r="I31" s="13">
        <v>1</v>
      </c>
      <c r="J31" s="15">
        <v>16.5</v>
      </c>
      <c r="K31" s="14">
        <f t="shared" si="0"/>
        <v>16.5</v>
      </c>
    </row>
    <row r="32" spans="4:11">
      <c r="D32" s="11">
        <v>46028</v>
      </c>
      <c r="E32" s="12">
        <v>1568221</v>
      </c>
      <c r="F32" s="12" t="s">
        <v>20</v>
      </c>
      <c r="G32" s="13">
        <v>20391180</v>
      </c>
      <c r="H32" s="12" t="s">
        <v>43</v>
      </c>
      <c r="I32" s="13">
        <v>1</v>
      </c>
      <c r="J32" s="14">
        <v>16.5</v>
      </c>
      <c r="K32" s="14">
        <f t="shared" si="0"/>
        <v>16.5</v>
      </c>
    </row>
    <row r="33" spans="4:11">
      <c r="D33" s="11">
        <v>46028</v>
      </c>
      <c r="E33" s="12">
        <v>1568221</v>
      </c>
      <c r="F33" s="12" t="s">
        <v>20</v>
      </c>
      <c r="G33" s="13">
        <v>20390263</v>
      </c>
      <c r="H33" s="12" t="s">
        <v>28</v>
      </c>
      <c r="I33" s="13">
        <v>2</v>
      </c>
      <c r="J33" s="14">
        <v>22</v>
      </c>
      <c r="K33" s="14">
        <f t="shared" si="0"/>
        <v>44</v>
      </c>
    </row>
    <row r="34" spans="4:11">
      <c r="D34" s="11">
        <v>46028</v>
      </c>
      <c r="E34" s="12">
        <v>1568221</v>
      </c>
      <c r="F34" s="12" t="s">
        <v>20</v>
      </c>
      <c r="G34" s="13">
        <v>20391185</v>
      </c>
      <c r="H34" s="12" t="s">
        <v>44</v>
      </c>
      <c r="I34" s="13">
        <v>1</v>
      </c>
      <c r="J34" s="14">
        <v>16.5</v>
      </c>
      <c r="K34" s="14">
        <f t="shared" si="0"/>
        <v>16.5</v>
      </c>
    </row>
    <row r="35" spans="4:11">
      <c r="D35" s="11">
        <v>46028</v>
      </c>
      <c r="E35" s="12">
        <v>1568221</v>
      </c>
      <c r="F35" s="12" t="s">
        <v>16</v>
      </c>
      <c r="G35" s="13">
        <v>20390603</v>
      </c>
      <c r="H35" s="12" t="s">
        <v>45</v>
      </c>
      <c r="I35" s="13">
        <v>1</v>
      </c>
      <c r="J35" s="14">
        <v>8</v>
      </c>
      <c r="K35" s="14">
        <f t="shared" si="0"/>
        <v>8</v>
      </c>
    </row>
    <row r="36" spans="4:11">
      <c r="D36" s="11">
        <v>46029</v>
      </c>
      <c r="E36" s="12">
        <v>1568329</v>
      </c>
      <c r="F36" s="12" t="s">
        <v>18</v>
      </c>
      <c r="G36" s="13">
        <v>20390602</v>
      </c>
      <c r="H36" s="12" t="s">
        <v>19</v>
      </c>
      <c r="I36" s="13">
        <v>1</v>
      </c>
      <c r="J36" s="14">
        <v>35</v>
      </c>
      <c r="K36" s="14">
        <f t="shared" si="0"/>
        <v>35</v>
      </c>
    </row>
    <row r="37" spans="4:11">
      <c r="D37" s="11">
        <v>46029</v>
      </c>
      <c r="E37" s="12">
        <v>1568542</v>
      </c>
      <c r="F37" s="12" t="s">
        <v>14</v>
      </c>
      <c r="G37" s="13">
        <v>20390604</v>
      </c>
      <c r="H37" s="12" t="s">
        <v>32</v>
      </c>
      <c r="I37" s="13">
        <v>5</v>
      </c>
      <c r="J37" s="14">
        <v>20</v>
      </c>
      <c r="K37" s="14">
        <f t="shared" si="0"/>
        <v>100</v>
      </c>
    </row>
    <row r="38" spans="4:11">
      <c r="D38" s="11">
        <v>46029</v>
      </c>
      <c r="E38" s="12">
        <v>1568543</v>
      </c>
      <c r="F38" s="12" t="s">
        <v>25</v>
      </c>
      <c r="G38" s="13">
        <v>20390092</v>
      </c>
      <c r="H38" s="12" t="s">
        <v>46</v>
      </c>
      <c r="I38" s="13">
        <v>1</v>
      </c>
      <c r="J38" s="14">
        <v>88</v>
      </c>
      <c r="K38" s="14">
        <f t="shared" si="0"/>
        <v>88</v>
      </c>
    </row>
    <row r="39" spans="4:11">
      <c r="D39" s="11">
        <v>46029</v>
      </c>
      <c r="E39" s="12">
        <v>1568590</v>
      </c>
      <c r="F39" s="12" t="s">
        <v>29</v>
      </c>
      <c r="G39" s="13">
        <v>20390260</v>
      </c>
      <c r="H39" s="12" t="s">
        <v>31</v>
      </c>
      <c r="I39" s="13">
        <v>1</v>
      </c>
      <c r="J39" s="14">
        <v>16.5</v>
      </c>
      <c r="K39" s="14">
        <f t="shared" si="0"/>
        <v>16.5</v>
      </c>
    </row>
    <row r="40" spans="4:11">
      <c r="D40" s="11">
        <v>46029</v>
      </c>
      <c r="E40" s="12">
        <v>1568590</v>
      </c>
      <c r="F40" s="12" t="s">
        <v>29</v>
      </c>
      <c r="G40" s="13">
        <v>20403096</v>
      </c>
      <c r="H40" s="12" t="s">
        <v>47</v>
      </c>
      <c r="I40" s="13">
        <v>1</v>
      </c>
      <c r="J40" s="14">
        <v>8</v>
      </c>
      <c r="K40" s="14">
        <f t="shared" si="0"/>
        <v>8</v>
      </c>
    </row>
    <row r="41" spans="4:11">
      <c r="D41" s="11">
        <v>46029</v>
      </c>
      <c r="E41" s="12">
        <v>1568590</v>
      </c>
      <c r="F41" s="12" t="s">
        <v>29</v>
      </c>
      <c r="G41" s="13">
        <v>20403098</v>
      </c>
      <c r="H41" s="12" t="s">
        <v>48</v>
      </c>
      <c r="I41" s="13">
        <v>1</v>
      </c>
      <c r="J41" s="14">
        <v>16.5</v>
      </c>
      <c r="K41" s="14">
        <f t="shared" si="0"/>
        <v>16.5</v>
      </c>
    </row>
    <row r="42" spans="4:11">
      <c r="D42" s="11">
        <v>46029</v>
      </c>
      <c r="E42" s="12">
        <v>1568590</v>
      </c>
      <c r="F42" s="12" t="s">
        <v>29</v>
      </c>
      <c r="G42" s="13">
        <v>20405657</v>
      </c>
      <c r="H42" s="12" t="s">
        <v>49</v>
      </c>
      <c r="I42" s="13">
        <v>1</v>
      </c>
      <c r="J42" s="14">
        <v>13.5</v>
      </c>
      <c r="K42" s="14">
        <f t="shared" ref="K42:K73" si="1">I42*J42</f>
        <v>13.5</v>
      </c>
    </row>
    <row r="43" spans="4:11">
      <c r="D43" s="11">
        <v>46029</v>
      </c>
      <c r="E43" s="12">
        <v>1568590</v>
      </c>
      <c r="F43" s="12" t="s">
        <v>20</v>
      </c>
      <c r="G43" s="13">
        <v>20390273</v>
      </c>
      <c r="H43" s="12" t="s">
        <v>34</v>
      </c>
      <c r="I43" s="13">
        <v>1</v>
      </c>
      <c r="J43" s="14">
        <v>16.5</v>
      </c>
      <c r="K43" s="14">
        <f t="shared" si="1"/>
        <v>16.5</v>
      </c>
    </row>
    <row r="44" spans="4:11">
      <c r="D44" s="11">
        <v>46029</v>
      </c>
      <c r="E44" s="12">
        <v>1568590</v>
      </c>
      <c r="F44" s="12" t="s">
        <v>20</v>
      </c>
      <c r="G44" s="13">
        <v>20400214</v>
      </c>
      <c r="H44" s="12" t="s">
        <v>50</v>
      </c>
      <c r="I44" s="13">
        <v>1</v>
      </c>
      <c r="J44" s="14">
        <v>16.5</v>
      </c>
      <c r="K44" s="14">
        <f t="shared" si="1"/>
        <v>16.5</v>
      </c>
    </row>
    <row r="45" spans="4:11">
      <c r="D45" s="11">
        <v>46029</v>
      </c>
      <c r="E45" s="12">
        <v>1568590</v>
      </c>
      <c r="F45" s="12" t="s">
        <v>20</v>
      </c>
      <c r="G45" s="13">
        <v>20390263</v>
      </c>
      <c r="H45" s="12" t="s">
        <v>28</v>
      </c>
      <c r="I45" s="13">
        <v>1</v>
      </c>
      <c r="J45" s="14">
        <v>22</v>
      </c>
      <c r="K45" s="14">
        <f t="shared" si="1"/>
        <v>22</v>
      </c>
    </row>
    <row r="46" spans="4:11">
      <c r="D46" s="11">
        <v>46030</v>
      </c>
      <c r="E46" s="12">
        <v>1568662</v>
      </c>
      <c r="F46" s="12" t="s">
        <v>51</v>
      </c>
      <c r="G46" s="13">
        <v>20391360</v>
      </c>
      <c r="H46" s="12" t="s">
        <v>52</v>
      </c>
      <c r="I46" s="13">
        <v>13</v>
      </c>
      <c r="J46" s="14">
        <v>22</v>
      </c>
      <c r="K46" s="14">
        <f t="shared" si="1"/>
        <v>286</v>
      </c>
    </row>
    <row r="47" spans="4:11">
      <c r="D47" s="11">
        <v>46030</v>
      </c>
      <c r="E47" s="12">
        <v>1568662</v>
      </c>
      <c r="F47" s="12" t="s">
        <v>51</v>
      </c>
      <c r="G47" s="13">
        <v>20408133</v>
      </c>
      <c r="H47" s="12" t="s">
        <v>53</v>
      </c>
      <c r="I47" s="13">
        <v>1</v>
      </c>
      <c r="J47" s="14">
        <v>35</v>
      </c>
      <c r="K47" s="14">
        <f t="shared" si="1"/>
        <v>35</v>
      </c>
    </row>
    <row r="48" spans="4:11">
      <c r="D48" s="11">
        <v>46030</v>
      </c>
      <c r="E48" s="12">
        <v>1568662</v>
      </c>
      <c r="F48" s="12" t="s">
        <v>54</v>
      </c>
      <c r="G48" s="13">
        <v>20406379</v>
      </c>
      <c r="H48" s="12" t="s">
        <v>55</v>
      </c>
      <c r="I48" s="13">
        <v>1</v>
      </c>
      <c r="J48" s="14">
        <v>44</v>
      </c>
      <c r="K48" s="14">
        <f t="shared" si="1"/>
        <v>44</v>
      </c>
    </row>
    <row r="49" spans="4:11">
      <c r="D49" s="11">
        <v>46030</v>
      </c>
      <c r="E49" s="12">
        <v>1568662</v>
      </c>
      <c r="F49" s="12" t="s">
        <v>54</v>
      </c>
      <c r="G49" s="13">
        <v>20405478</v>
      </c>
      <c r="H49" s="12" t="s">
        <v>56</v>
      </c>
      <c r="I49" s="13">
        <v>1</v>
      </c>
      <c r="J49" s="14">
        <v>44</v>
      </c>
      <c r="K49" s="14">
        <f t="shared" si="1"/>
        <v>44</v>
      </c>
    </row>
    <row r="50" spans="4:11">
      <c r="D50" s="11">
        <v>46031</v>
      </c>
      <c r="E50" s="12">
        <v>1569288</v>
      </c>
      <c r="F50" s="12" t="s">
        <v>14</v>
      </c>
      <c r="G50" s="13">
        <v>20390604</v>
      </c>
      <c r="H50" s="12" t="s">
        <v>32</v>
      </c>
      <c r="I50" s="13">
        <v>8</v>
      </c>
      <c r="J50" s="14">
        <v>20</v>
      </c>
      <c r="K50" s="14">
        <f t="shared" si="1"/>
        <v>160</v>
      </c>
    </row>
    <row r="51" spans="4:11">
      <c r="D51" s="11">
        <v>46031</v>
      </c>
      <c r="E51" s="12">
        <v>1569288</v>
      </c>
      <c r="F51" s="12" t="s">
        <v>16</v>
      </c>
      <c r="G51" s="13">
        <v>20390605</v>
      </c>
      <c r="H51" s="12" t="s">
        <v>17</v>
      </c>
      <c r="I51" s="13">
        <v>1</v>
      </c>
      <c r="J51" s="14">
        <v>8</v>
      </c>
      <c r="K51" s="14">
        <f t="shared" si="1"/>
        <v>8</v>
      </c>
    </row>
    <row r="52" spans="4:11">
      <c r="D52" s="11">
        <v>46031</v>
      </c>
      <c r="E52" s="12">
        <v>1569288</v>
      </c>
      <c r="F52" s="12" t="s">
        <v>16</v>
      </c>
      <c r="G52" s="13">
        <v>20390603</v>
      </c>
      <c r="H52" s="12" t="s">
        <v>45</v>
      </c>
      <c r="I52" s="13">
        <v>1</v>
      </c>
      <c r="J52" s="14">
        <v>8</v>
      </c>
      <c r="K52" s="14">
        <f t="shared" si="1"/>
        <v>8</v>
      </c>
    </row>
    <row r="53" spans="4:11">
      <c r="D53" s="11">
        <v>46031</v>
      </c>
      <c r="E53" s="12">
        <v>1569328</v>
      </c>
      <c r="F53" s="12" t="s">
        <v>25</v>
      </c>
      <c r="G53" s="13">
        <v>20390098</v>
      </c>
      <c r="H53" s="12" t="s">
        <v>57</v>
      </c>
      <c r="I53" s="13">
        <v>1</v>
      </c>
      <c r="J53" s="14">
        <v>104.5</v>
      </c>
      <c r="K53" s="14">
        <f t="shared" si="1"/>
        <v>104.5</v>
      </c>
    </row>
    <row r="54" spans="4:11">
      <c r="D54" s="11">
        <v>46031</v>
      </c>
      <c r="E54" s="12">
        <v>1569328</v>
      </c>
      <c r="F54" s="12" t="s">
        <v>29</v>
      </c>
      <c r="G54" s="13">
        <v>20390260</v>
      </c>
      <c r="H54" s="12" t="s">
        <v>31</v>
      </c>
      <c r="I54" s="13">
        <v>1</v>
      </c>
      <c r="J54" s="14">
        <v>16.5</v>
      </c>
      <c r="K54" s="14">
        <f t="shared" si="1"/>
        <v>16.5</v>
      </c>
    </row>
    <row r="55" spans="4:11">
      <c r="D55" s="11">
        <v>46031</v>
      </c>
      <c r="E55" s="12">
        <v>1569328</v>
      </c>
      <c r="F55" s="12" t="s">
        <v>20</v>
      </c>
      <c r="G55" s="13">
        <v>20390273</v>
      </c>
      <c r="H55" s="12" t="s">
        <v>34</v>
      </c>
      <c r="I55" s="13">
        <v>1</v>
      </c>
      <c r="J55" s="14">
        <v>16.5</v>
      </c>
      <c r="K55" s="14">
        <f t="shared" si="1"/>
        <v>16.5</v>
      </c>
    </row>
    <row r="56" spans="4:11">
      <c r="D56" s="11">
        <v>46031</v>
      </c>
      <c r="E56" s="12">
        <v>1569328</v>
      </c>
      <c r="F56" s="12" t="s">
        <v>20</v>
      </c>
      <c r="G56" s="13">
        <v>20390263</v>
      </c>
      <c r="H56" s="12" t="s">
        <v>28</v>
      </c>
      <c r="I56" s="13">
        <v>1</v>
      </c>
      <c r="J56" s="14">
        <v>22</v>
      </c>
      <c r="K56" s="14">
        <f t="shared" si="1"/>
        <v>22</v>
      </c>
    </row>
    <row r="57" spans="4:11">
      <c r="D57" s="11">
        <v>46034</v>
      </c>
      <c r="E57" s="12">
        <v>1569769</v>
      </c>
      <c r="F57" s="12" t="s">
        <v>14</v>
      </c>
      <c r="G57" s="13">
        <v>20390270</v>
      </c>
      <c r="H57" s="12" t="s">
        <v>58</v>
      </c>
      <c r="I57" s="13">
        <v>2</v>
      </c>
      <c r="J57" s="14">
        <v>20</v>
      </c>
      <c r="K57" s="14">
        <f t="shared" si="1"/>
        <v>40</v>
      </c>
    </row>
    <row r="58" spans="4:11">
      <c r="D58" s="11">
        <v>46034</v>
      </c>
      <c r="E58" s="12">
        <v>1569822</v>
      </c>
      <c r="F58" s="12" t="s">
        <v>25</v>
      </c>
      <c r="G58" s="13">
        <v>20390098</v>
      </c>
      <c r="H58" s="12" t="s">
        <v>57</v>
      </c>
      <c r="I58" s="13">
        <v>1</v>
      </c>
      <c r="J58" s="14">
        <v>104.5</v>
      </c>
      <c r="K58" s="14">
        <f t="shared" si="1"/>
        <v>104.5</v>
      </c>
    </row>
    <row r="59" spans="4:11">
      <c r="D59" s="11">
        <v>46034</v>
      </c>
      <c r="E59" s="12">
        <v>1569822</v>
      </c>
      <c r="F59" s="12" t="s">
        <v>25</v>
      </c>
      <c r="G59" s="13">
        <v>20390085</v>
      </c>
      <c r="H59" s="12" t="s">
        <v>27</v>
      </c>
      <c r="I59" s="13">
        <v>1</v>
      </c>
      <c r="J59" s="14">
        <v>33</v>
      </c>
      <c r="K59" s="14">
        <f t="shared" si="1"/>
        <v>33</v>
      </c>
    </row>
    <row r="60" spans="4:11">
      <c r="D60" s="11">
        <v>46034</v>
      </c>
      <c r="E60" s="12">
        <v>1569822</v>
      </c>
      <c r="F60" s="12" t="s">
        <v>29</v>
      </c>
      <c r="G60" s="13">
        <v>20390260</v>
      </c>
      <c r="H60" s="12" t="s">
        <v>31</v>
      </c>
      <c r="I60" s="13">
        <v>2</v>
      </c>
      <c r="J60" s="14">
        <v>16.5</v>
      </c>
      <c r="K60" s="14">
        <f t="shared" si="1"/>
        <v>33</v>
      </c>
    </row>
    <row r="61" spans="4:11">
      <c r="D61" s="11">
        <v>46034</v>
      </c>
      <c r="E61" s="12">
        <v>1569822</v>
      </c>
      <c r="F61" s="12" t="s">
        <v>59</v>
      </c>
      <c r="G61" s="13">
        <v>20400004</v>
      </c>
      <c r="H61" s="12" t="s">
        <v>60</v>
      </c>
      <c r="I61" s="13">
        <v>1</v>
      </c>
      <c r="J61" s="14">
        <v>264</v>
      </c>
      <c r="K61" s="14">
        <f t="shared" si="1"/>
        <v>264</v>
      </c>
    </row>
    <row r="62" spans="4:11">
      <c r="D62" s="11">
        <v>46034</v>
      </c>
      <c r="E62" s="12">
        <v>1569822</v>
      </c>
      <c r="F62" s="12" t="s">
        <v>59</v>
      </c>
      <c r="G62" s="13">
        <v>20400001</v>
      </c>
      <c r="H62" s="12" t="s">
        <v>61</v>
      </c>
      <c r="I62" s="13">
        <v>1</v>
      </c>
      <c r="J62" s="14">
        <v>187</v>
      </c>
      <c r="K62" s="14">
        <f t="shared" si="1"/>
        <v>187</v>
      </c>
    </row>
    <row r="63" spans="4:11">
      <c r="D63" s="11">
        <v>46034</v>
      </c>
      <c r="E63" s="12">
        <v>1569822</v>
      </c>
      <c r="F63" s="12" t="s">
        <v>20</v>
      </c>
      <c r="G63" s="13">
        <v>20400005</v>
      </c>
      <c r="H63" s="12" t="s">
        <v>62</v>
      </c>
      <c r="I63" s="13">
        <v>1</v>
      </c>
      <c r="J63" s="14">
        <v>22</v>
      </c>
      <c r="K63" s="14">
        <f t="shared" si="1"/>
        <v>22</v>
      </c>
    </row>
    <row r="64" spans="4:11">
      <c r="D64" s="11">
        <v>46034</v>
      </c>
      <c r="E64" s="12">
        <v>1569822</v>
      </c>
      <c r="F64" s="12" t="s">
        <v>20</v>
      </c>
      <c r="G64" s="13">
        <v>20390273</v>
      </c>
      <c r="H64" s="12" t="s">
        <v>34</v>
      </c>
      <c r="I64" s="13">
        <v>1</v>
      </c>
      <c r="J64" s="14">
        <v>16.5</v>
      </c>
      <c r="K64" s="14">
        <f t="shared" si="1"/>
        <v>16.5</v>
      </c>
    </row>
    <row r="65" spans="4:11">
      <c r="D65" s="11">
        <v>46034</v>
      </c>
      <c r="E65" s="12">
        <v>1569822</v>
      </c>
      <c r="F65" s="12" t="s">
        <v>20</v>
      </c>
      <c r="G65" s="13">
        <v>20408745</v>
      </c>
      <c r="H65" s="12" t="s">
        <v>63</v>
      </c>
      <c r="I65" s="13">
        <v>1</v>
      </c>
      <c r="J65" s="14">
        <v>16.5</v>
      </c>
      <c r="K65" s="14">
        <f t="shared" si="1"/>
        <v>16.5</v>
      </c>
    </row>
    <row r="66" spans="4:11">
      <c r="D66" s="11">
        <v>46034</v>
      </c>
      <c r="E66" s="12">
        <v>1569822</v>
      </c>
      <c r="F66" s="12" t="s">
        <v>20</v>
      </c>
      <c r="G66" s="13">
        <v>20408744</v>
      </c>
      <c r="H66" s="12" t="s">
        <v>64</v>
      </c>
      <c r="I66" s="13">
        <v>1</v>
      </c>
      <c r="J66" s="14">
        <v>16.5</v>
      </c>
      <c r="K66" s="14">
        <f t="shared" si="1"/>
        <v>16.5</v>
      </c>
    </row>
    <row r="67" spans="4:11">
      <c r="D67" s="11">
        <v>46034</v>
      </c>
      <c r="E67" s="12">
        <v>1569822</v>
      </c>
      <c r="F67" s="12" t="s">
        <v>20</v>
      </c>
      <c r="G67" s="13">
        <v>20390263</v>
      </c>
      <c r="H67" s="12" t="s">
        <v>28</v>
      </c>
      <c r="I67" s="13">
        <v>2</v>
      </c>
      <c r="J67" s="14">
        <v>22</v>
      </c>
      <c r="K67" s="14">
        <f t="shared" si="1"/>
        <v>44</v>
      </c>
    </row>
    <row r="68" spans="4:11">
      <c r="D68" s="11">
        <v>46035</v>
      </c>
      <c r="E68" s="12">
        <v>1570193</v>
      </c>
      <c r="F68" s="12" t="s">
        <v>25</v>
      </c>
      <c r="G68" s="13">
        <v>20390092</v>
      </c>
      <c r="H68" s="12" t="s">
        <v>46</v>
      </c>
      <c r="I68" s="13">
        <v>1</v>
      </c>
      <c r="J68" s="14">
        <v>88</v>
      </c>
      <c r="K68" s="14">
        <f t="shared" si="1"/>
        <v>88</v>
      </c>
    </row>
    <row r="69" spans="4:11">
      <c r="D69" s="11">
        <v>46035</v>
      </c>
      <c r="E69" s="12">
        <v>1570193</v>
      </c>
      <c r="F69" s="12" t="s">
        <v>25</v>
      </c>
      <c r="G69" s="13">
        <v>20390094</v>
      </c>
      <c r="H69" s="12" t="s">
        <v>65</v>
      </c>
      <c r="I69" s="13">
        <v>1</v>
      </c>
      <c r="J69" s="14">
        <v>121</v>
      </c>
      <c r="K69" s="14">
        <f t="shared" si="1"/>
        <v>121</v>
      </c>
    </row>
    <row r="70" spans="4:11">
      <c r="D70" s="11">
        <v>46035</v>
      </c>
      <c r="E70" s="12">
        <v>1570193</v>
      </c>
      <c r="F70" s="12" t="s">
        <v>25</v>
      </c>
      <c r="G70" s="13">
        <v>20390099</v>
      </c>
      <c r="H70" s="12" t="s">
        <v>33</v>
      </c>
      <c r="I70" s="13">
        <v>1</v>
      </c>
      <c r="J70" s="14">
        <v>225.5</v>
      </c>
      <c r="K70" s="14">
        <f t="shared" si="1"/>
        <v>225.5</v>
      </c>
    </row>
    <row r="71" spans="4:11">
      <c r="D71" s="11">
        <v>46035</v>
      </c>
      <c r="E71" s="12">
        <v>1570193</v>
      </c>
      <c r="F71" s="12" t="s">
        <v>14</v>
      </c>
      <c r="G71" s="13">
        <v>20390604</v>
      </c>
      <c r="H71" s="12" t="s">
        <v>32</v>
      </c>
      <c r="I71" s="13">
        <v>7</v>
      </c>
      <c r="J71" s="14">
        <v>20</v>
      </c>
      <c r="K71" s="14">
        <f t="shared" si="1"/>
        <v>140</v>
      </c>
    </row>
    <row r="72" spans="4:11">
      <c r="D72" s="11">
        <v>46035</v>
      </c>
      <c r="E72" s="12">
        <v>1570193</v>
      </c>
      <c r="F72" s="12" t="s">
        <v>14</v>
      </c>
      <c r="G72" s="13">
        <v>20390460</v>
      </c>
      <c r="H72" s="12" t="s">
        <v>15</v>
      </c>
      <c r="I72" s="13">
        <v>1</v>
      </c>
      <c r="J72" s="14">
        <v>20</v>
      </c>
      <c r="K72" s="14">
        <f t="shared" si="1"/>
        <v>20</v>
      </c>
    </row>
    <row r="73" spans="4:11">
      <c r="D73" s="11">
        <v>46035</v>
      </c>
      <c r="E73" s="12">
        <v>1570193</v>
      </c>
      <c r="F73" s="12" t="s">
        <v>20</v>
      </c>
      <c r="G73" s="13">
        <v>20400214</v>
      </c>
      <c r="H73" s="12" t="s">
        <v>50</v>
      </c>
      <c r="I73" s="13">
        <v>1</v>
      </c>
      <c r="J73" s="14">
        <v>16.5</v>
      </c>
      <c r="K73" s="14">
        <f t="shared" si="1"/>
        <v>16.5</v>
      </c>
    </row>
    <row r="74" spans="4:11">
      <c r="D74" s="11">
        <v>46035</v>
      </c>
      <c r="E74" s="12">
        <v>1570193</v>
      </c>
      <c r="F74" s="12" t="s">
        <v>20</v>
      </c>
      <c r="G74" s="13">
        <v>20390263</v>
      </c>
      <c r="H74" s="12" t="s">
        <v>28</v>
      </c>
      <c r="I74" s="13">
        <v>2</v>
      </c>
      <c r="J74" s="14">
        <v>22</v>
      </c>
      <c r="K74" s="14">
        <f t="shared" ref="K74:K105" si="2">I74*J74</f>
        <v>44</v>
      </c>
    </row>
    <row r="75" spans="4:11">
      <c r="D75" s="11">
        <v>46035</v>
      </c>
      <c r="E75" s="12">
        <v>1570193</v>
      </c>
      <c r="F75" s="12" t="s">
        <v>20</v>
      </c>
      <c r="G75" s="13">
        <v>20393924</v>
      </c>
      <c r="H75" s="12" t="s">
        <v>66</v>
      </c>
      <c r="I75" s="13">
        <v>1</v>
      </c>
      <c r="J75" s="14">
        <v>16.5</v>
      </c>
      <c r="K75" s="14">
        <f t="shared" si="2"/>
        <v>16.5</v>
      </c>
    </row>
    <row r="76" spans="4:11">
      <c r="D76" s="11">
        <v>46035</v>
      </c>
      <c r="E76" s="12">
        <v>1570193</v>
      </c>
      <c r="F76" s="12" t="s">
        <v>16</v>
      </c>
      <c r="G76" s="13">
        <v>20390605</v>
      </c>
      <c r="H76" s="12" t="s">
        <v>17</v>
      </c>
      <c r="I76" s="13">
        <v>1</v>
      </c>
      <c r="J76" s="14">
        <v>8</v>
      </c>
      <c r="K76" s="14">
        <f t="shared" si="2"/>
        <v>8</v>
      </c>
    </row>
    <row r="77" ht="25.5" spans="4:11">
      <c r="D77" s="11">
        <v>46035</v>
      </c>
      <c r="E77" s="12">
        <v>1570231</v>
      </c>
      <c r="F77" s="12" t="s">
        <v>29</v>
      </c>
      <c r="G77" s="13">
        <v>20396605</v>
      </c>
      <c r="H77" s="12" t="s">
        <v>67</v>
      </c>
      <c r="I77" s="13">
        <v>1</v>
      </c>
      <c r="J77" s="14">
        <v>8</v>
      </c>
      <c r="K77" s="14">
        <f t="shared" si="2"/>
        <v>8</v>
      </c>
    </row>
    <row r="78" spans="4:11">
      <c r="D78" s="11">
        <v>46035</v>
      </c>
      <c r="E78" s="12">
        <v>1570231</v>
      </c>
      <c r="F78" s="12" t="s">
        <v>29</v>
      </c>
      <c r="G78" s="13">
        <v>20391179</v>
      </c>
      <c r="H78" s="12" t="s">
        <v>68</v>
      </c>
      <c r="I78" s="13">
        <v>1</v>
      </c>
      <c r="J78" s="14">
        <v>8</v>
      </c>
      <c r="K78" s="14">
        <f t="shared" si="2"/>
        <v>8</v>
      </c>
    </row>
    <row r="79" spans="4:11">
      <c r="D79" s="11">
        <v>46035</v>
      </c>
      <c r="E79" s="12">
        <v>1570231</v>
      </c>
      <c r="F79" s="12" t="s">
        <v>29</v>
      </c>
      <c r="G79" s="13">
        <v>20390260</v>
      </c>
      <c r="H79" s="12" t="s">
        <v>31</v>
      </c>
      <c r="I79" s="13">
        <v>2</v>
      </c>
      <c r="J79" s="14">
        <v>16.5</v>
      </c>
      <c r="K79" s="14">
        <f t="shared" si="2"/>
        <v>33</v>
      </c>
    </row>
    <row r="80" spans="4:11">
      <c r="D80" s="11">
        <v>46035</v>
      </c>
      <c r="E80" s="12">
        <v>1570231</v>
      </c>
      <c r="F80" s="12" t="s">
        <v>29</v>
      </c>
      <c r="G80" s="13">
        <v>20406384</v>
      </c>
      <c r="H80" s="12" t="s">
        <v>69</v>
      </c>
      <c r="I80" s="13">
        <v>1</v>
      </c>
      <c r="J80" s="14">
        <v>8</v>
      </c>
      <c r="K80" s="14">
        <f t="shared" si="2"/>
        <v>8</v>
      </c>
    </row>
    <row r="81" spans="4:11">
      <c r="D81" s="11">
        <v>46035</v>
      </c>
      <c r="E81" s="12">
        <v>1570231</v>
      </c>
      <c r="F81" s="12" t="s">
        <v>29</v>
      </c>
      <c r="G81" s="13">
        <v>20405657</v>
      </c>
      <c r="H81" s="12" t="s">
        <v>49</v>
      </c>
      <c r="I81" s="13">
        <v>1</v>
      </c>
      <c r="J81" s="14">
        <v>13.5</v>
      </c>
      <c r="K81" s="14">
        <f t="shared" si="2"/>
        <v>13.5</v>
      </c>
    </row>
    <row r="82" spans="4:11">
      <c r="D82" s="11">
        <v>46035</v>
      </c>
      <c r="E82" s="12">
        <v>1570231</v>
      </c>
      <c r="F82" s="12" t="s">
        <v>20</v>
      </c>
      <c r="G82" s="13">
        <v>20390273</v>
      </c>
      <c r="H82" s="12" t="s">
        <v>34</v>
      </c>
      <c r="I82" s="13">
        <v>2</v>
      </c>
      <c r="J82" s="14">
        <v>16.5</v>
      </c>
      <c r="K82" s="14">
        <f t="shared" si="2"/>
        <v>33</v>
      </c>
    </row>
    <row r="83" spans="4:11">
      <c r="D83" s="11">
        <v>46036</v>
      </c>
      <c r="E83" s="12">
        <v>1570296</v>
      </c>
      <c r="F83" s="12" t="s">
        <v>51</v>
      </c>
      <c r="G83" s="13">
        <v>20391360</v>
      </c>
      <c r="H83" s="12" t="s">
        <v>52</v>
      </c>
      <c r="I83" s="13">
        <v>10</v>
      </c>
      <c r="J83" s="14">
        <v>22</v>
      </c>
      <c r="K83" s="14">
        <f t="shared" si="2"/>
        <v>220</v>
      </c>
    </row>
    <row r="84" spans="4:11">
      <c r="D84" s="11">
        <v>46036</v>
      </c>
      <c r="E84" s="12">
        <v>1570296</v>
      </c>
      <c r="F84" s="12" t="s">
        <v>54</v>
      </c>
      <c r="G84" s="13">
        <v>20406379</v>
      </c>
      <c r="H84" s="12" t="s">
        <v>55</v>
      </c>
      <c r="I84" s="13">
        <v>1</v>
      </c>
      <c r="J84" s="14">
        <v>44</v>
      </c>
      <c r="K84" s="14">
        <f t="shared" si="2"/>
        <v>44</v>
      </c>
    </row>
    <row r="85" spans="4:11">
      <c r="D85" s="11">
        <v>46036</v>
      </c>
      <c r="E85" s="12">
        <v>1570296</v>
      </c>
      <c r="F85" s="12" t="s">
        <v>54</v>
      </c>
      <c r="G85" s="13">
        <v>20405478</v>
      </c>
      <c r="H85" s="12" t="s">
        <v>56</v>
      </c>
      <c r="I85" s="13">
        <v>1</v>
      </c>
      <c r="J85" s="14">
        <v>44</v>
      </c>
      <c r="K85" s="14">
        <f t="shared" si="2"/>
        <v>44</v>
      </c>
    </row>
    <row r="86" spans="4:11">
      <c r="D86" s="11">
        <v>46036</v>
      </c>
      <c r="E86" s="12">
        <v>1570566</v>
      </c>
      <c r="F86" s="12" t="s">
        <v>25</v>
      </c>
      <c r="G86" s="13">
        <v>20390099</v>
      </c>
      <c r="H86" s="12" t="s">
        <v>33</v>
      </c>
      <c r="I86" s="13">
        <v>1</v>
      </c>
      <c r="J86" s="14">
        <v>225.5</v>
      </c>
      <c r="K86" s="14">
        <f t="shared" si="2"/>
        <v>225.5</v>
      </c>
    </row>
    <row r="87" spans="4:11">
      <c r="D87" s="11">
        <v>46036</v>
      </c>
      <c r="E87" s="12">
        <v>1570566</v>
      </c>
      <c r="F87" s="12" t="s">
        <v>25</v>
      </c>
      <c r="G87" s="13">
        <v>20390085</v>
      </c>
      <c r="H87" s="12" t="s">
        <v>27</v>
      </c>
      <c r="I87" s="13">
        <v>1</v>
      </c>
      <c r="J87" s="14">
        <v>33</v>
      </c>
      <c r="K87" s="14">
        <f t="shared" si="2"/>
        <v>33</v>
      </c>
    </row>
    <row r="88" spans="4:11">
      <c r="D88" s="11">
        <v>46036</v>
      </c>
      <c r="E88" s="12">
        <v>1570566</v>
      </c>
      <c r="F88" s="12" t="s">
        <v>29</v>
      </c>
      <c r="G88" s="13">
        <v>20390260</v>
      </c>
      <c r="H88" s="12" t="s">
        <v>31</v>
      </c>
      <c r="I88" s="13">
        <v>2</v>
      </c>
      <c r="J88" s="14">
        <v>16.5</v>
      </c>
      <c r="K88" s="14">
        <f t="shared" si="2"/>
        <v>33</v>
      </c>
    </row>
    <row r="89" spans="4:11">
      <c r="D89" s="11">
        <v>46036</v>
      </c>
      <c r="E89" s="12">
        <v>1570566</v>
      </c>
      <c r="F89" s="12" t="s">
        <v>29</v>
      </c>
      <c r="G89" s="13">
        <v>20399180</v>
      </c>
      <c r="H89" s="12" t="s">
        <v>70</v>
      </c>
      <c r="I89" s="13">
        <v>1</v>
      </c>
      <c r="J89" s="14">
        <v>11</v>
      </c>
      <c r="K89" s="14">
        <f t="shared" si="2"/>
        <v>11</v>
      </c>
    </row>
    <row r="90" spans="4:11">
      <c r="D90" s="11">
        <v>46036</v>
      </c>
      <c r="E90" s="12">
        <v>1570566</v>
      </c>
      <c r="F90" s="12" t="s">
        <v>14</v>
      </c>
      <c r="G90" s="13">
        <v>20390270</v>
      </c>
      <c r="H90" s="12" t="s">
        <v>58</v>
      </c>
      <c r="I90" s="13">
        <v>1</v>
      </c>
      <c r="J90" s="14">
        <v>20</v>
      </c>
      <c r="K90" s="14">
        <f t="shared" si="2"/>
        <v>20</v>
      </c>
    </row>
    <row r="91" spans="4:11">
      <c r="D91" s="11">
        <v>46036</v>
      </c>
      <c r="E91" s="12">
        <v>1570566</v>
      </c>
      <c r="F91" s="12" t="s">
        <v>59</v>
      </c>
      <c r="G91" s="13">
        <v>20399007</v>
      </c>
      <c r="H91" s="12" t="s">
        <v>71</v>
      </c>
      <c r="I91" s="13">
        <v>1</v>
      </c>
      <c r="J91" s="14">
        <v>198</v>
      </c>
      <c r="K91" s="14">
        <f t="shared" si="2"/>
        <v>198</v>
      </c>
    </row>
    <row r="92" spans="4:11">
      <c r="D92" s="11">
        <v>46036</v>
      </c>
      <c r="E92" s="12">
        <v>1570566</v>
      </c>
      <c r="F92" s="12" t="s">
        <v>20</v>
      </c>
      <c r="G92" s="13">
        <v>20390273</v>
      </c>
      <c r="H92" s="12" t="s">
        <v>72</v>
      </c>
      <c r="I92" s="13">
        <v>2</v>
      </c>
      <c r="J92" s="14">
        <v>16.5</v>
      </c>
      <c r="K92" s="14">
        <f t="shared" si="2"/>
        <v>33</v>
      </c>
    </row>
    <row r="93" spans="4:11">
      <c r="D93" s="11">
        <v>46036</v>
      </c>
      <c r="E93" s="12">
        <v>1570566</v>
      </c>
      <c r="F93" s="12" t="s">
        <v>20</v>
      </c>
      <c r="G93" s="13">
        <v>20409159</v>
      </c>
      <c r="H93" s="12" t="s">
        <v>73</v>
      </c>
      <c r="I93" s="13">
        <v>1</v>
      </c>
      <c r="J93" s="14">
        <v>16.5</v>
      </c>
      <c r="K93" s="14">
        <f t="shared" si="2"/>
        <v>16.5</v>
      </c>
    </row>
    <row r="94" spans="4:11">
      <c r="D94" s="11">
        <v>46036</v>
      </c>
      <c r="E94" s="12">
        <v>1570566</v>
      </c>
      <c r="F94" s="12" t="s">
        <v>20</v>
      </c>
      <c r="G94" s="13">
        <v>20390263</v>
      </c>
      <c r="H94" s="12" t="s">
        <v>28</v>
      </c>
      <c r="I94" s="13">
        <v>1</v>
      </c>
      <c r="J94" s="14">
        <v>22</v>
      </c>
      <c r="K94" s="14">
        <f t="shared" si="2"/>
        <v>22</v>
      </c>
    </row>
    <row r="95" spans="4:11">
      <c r="D95" s="11">
        <v>46036</v>
      </c>
      <c r="E95" s="12">
        <v>1570566</v>
      </c>
      <c r="F95" s="12" t="s">
        <v>20</v>
      </c>
      <c r="G95" s="13">
        <v>20409160</v>
      </c>
      <c r="H95" s="12" t="s">
        <v>74</v>
      </c>
      <c r="I95" s="13">
        <v>1</v>
      </c>
      <c r="J95" s="14">
        <v>16.5</v>
      </c>
      <c r="K95" s="14">
        <f t="shared" si="2"/>
        <v>16.5</v>
      </c>
    </row>
    <row r="96" spans="4:11">
      <c r="D96" s="11">
        <v>46036</v>
      </c>
      <c r="E96" s="12">
        <v>1570566</v>
      </c>
      <c r="F96" s="12" t="s">
        <v>20</v>
      </c>
      <c r="G96" s="13">
        <v>20391177</v>
      </c>
      <c r="H96" s="12" t="s">
        <v>75</v>
      </c>
      <c r="I96" s="13">
        <v>1</v>
      </c>
      <c r="J96" s="14">
        <v>33</v>
      </c>
      <c r="K96" s="14">
        <f t="shared" si="2"/>
        <v>33</v>
      </c>
    </row>
    <row r="97" spans="4:11">
      <c r="D97" s="11">
        <v>46036</v>
      </c>
      <c r="E97" s="12">
        <v>1570566</v>
      </c>
      <c r="F97" s="12" t="s">
        <v>20</v>
      </c>
      <c r="G97" s="13">
        <v>20409161</v>
      </c>
      <c r="H97" s="12" t="s">
        <v>76</v>
      </c>
      <c r="I97" s="13">
        <v>1</v>
      </c>
      <c r="J97" s="14">
        <v>16.5</v>
      </c>
      <c r="K97" s="14">
        <f t="shared" si="2"/>
        <v>16.5</v>
      </c>
    </row>
    <row r="98" spans="4:11">
      <c r="D98" s="11">
        <v>46036</v>
      </c>
      <c r="E98" s="12">
        <v>1570566</v>
      </c>
      <c r="F98" s="12" t="s">
        <v>16</v>
      </c>
      <c r="G98" s="13">
        <v>20390605</v>
      </c>
      <c r="H98" s="12" t="s">
        <v>17</v>
      </c>
      <c r="I98" s="13">
        <v>1</v>
      </c>
      <c r="J98" s="14">
        <v>8</v>
      </c>
      <c r="K98" s="14">
        <f t="shared" si="2"/>
        <v>8</v>
      </c>
    </row>
    <row r="99" spans="4:11">
      <c r="D99" s="11">
        <v>46037</v>
      </c>
      <c r="E99" s="12">
        <v>1570913</v>
      </c>
      <c r="F99" s="12" t="s">
        <v>14</v>
      </c>
      <c r="G99" s="13">
        <v>20390604</v>
      </c>
      <c r="H99" s="12" t="s">
        <v>32</v>
      </c>
      <c r="I99" s="13">
        <v>4</v>
      </c>
      <c r="J99" s="14">
        <v>20</v>
      </c>
      <c r="K99" s="14">
        <f t="shared" si="2"/>
        <v>80</v>
      </c>
    </row>
    <row r="100" spans="4:11">
      <c r="D100" s="11">
        <v>46037</v>
      </c>
      <c r="E100" s="12">
        <v>1570913</v>
      </c>
      <c r="F100" s="12" t="s">
        <v>16</v>
      </c>
      <c r="G100" s="13">
        <v>20390605</v>
      </c>
      <c r="H100" s="12" t="s">
        <v>17</v>
      </c>
      <c r="I100" s="13">
        <v>1</v>
      </c>
      <c r="J100" s="14">
        <v>8</v>
      </c>
      <c r="K100" s="14">
        <f t="shared" si="2"/>
        <v>8</v>
      </c>
    </row>
    <row r="101" spans="4:11">
      <c r="D101" s="11">
        <v>46037</v>
      </c>
      <c r="E101" s="12">
        <v>1570949</v>
      </c>
      <c r="F101" s="12" t="s">
        <v>25</v>
      </c>
      <c r="G101" s="13">
        <v>20390101</v>
      </c>
      <c r="H101" s="12" t="s">
        <v>35</v>
      </c>
      <c r="I101" s="13">
        <v>2</v>
      </c>
      <c r="J101" s="14">
        <v>88</v>
      </c>
      <c r="K101" s="14">
        <f t="shared" si="2"/>
        <v>176</v>
      </c>
    </row>
    <row r="102" spans="4:11">
      <c r="D102" s="11">
        <v>46037</v>
      </c>
      <c r="E102" s="12">
        <v>1570949</v>
      </c>
      <c r="F102" s="12" t="s">
        <v>25</v>
      </c>
      <c r="G102" s="13">
        <v>20390094</v>
      </c>
      <c r="H102" s="12" t="s">
        <v>65</v>
      </c>
      <c r="I102" s="13">
        <v>1</v>
      </c>
      <c r="J102" s="14">
        <v>121</v>
      </c>
      <c r="K102" s="14">
        <f t="shared" si="2"/>
        <v>121</v>
      </c>
    </row>
    <row r="103" spans="4:11">
      <c r="D103" s="11">
        <v>46037</v>
      </c>
      <c r="E103" s="12">
        <v>1570949</v>
      </c>
      <c r="F103" s="12" t="s">
        <v>25</v>
      </c>
      <c r="G103" s="13">
        <v>20390277</v>
      </c>
      <c r="H103" s="12" t="s">
        <v>26</v>
      </c>
      <c r="I103" s="13">
        <v>1</v>
      </c>
      <c r="J103" s="14">
        <v>209</v>
      </c>
      <c r="K103" s="14">
        <f t="shared" si="2"/>
        <v>209</v>
      </c>
    </row>
    <row r="104" spans="4:11">
      <c r="D104" s="11">
        <v>46037</v>
      </c>
      <c r="E104" s="12">
        <v>1570949</v>
      </c>
      <c r="F104" s="12" t="s">
        <v>25</v>
      </c>
      <c r="G104" s="13">
        <v>20390099</v>
      </c>
      <c r="H104" s="12" t="s">
        <v>33</v>
      </c>
      <c r="I104" s="13">
        <v>1</v>
      </c>
      <c r="J104" s="14">
        <v>225.5</v>
      </c>
      <c r="K104" s="14">
        <f t="shared" si="2"/>
        <v>225.5</v>
      </c>
    </row>
    <row r="105" spans="4:11">
      <c r="D105" s="11">
        <v>46037</v>
      </c>
      <c r="E105" s="12">
        <v>1570949</v>
      </c>
      <c r="F105" s="12" t="s">
        <v>25</v>
      </c>
      <c r="G105" s="13">
        <v>20390085</v>
      </c>
      <c r="H105" s="12" t="s">
        <v>27</v>
      </c>
      <c r="I105" s="13">
        <v>1</v>
      </c>
      <c r="J105" s="14">
        <v>33</v>
      </c>
      <c r="K105" s="14">
        <f t="shared" si="2"/>
        <v>33</v>
      </c>
    </row>
    <row r="106" spans="4:11">
      <c r="D106" s="11">
        <v>46037</v>
      </c>
      <c r="E106" s="12">
        <v>1570949</v>
      </c>
      <c r="F106" s="12" t="s">
        <v>29</v>
      </c>
      <c r="G106" s="13">
        <v>20394777</v>
      </c>
      <c r="H106" s="12" t="s">
        <v>37</v>
      </c>
      <c r="I106" s="13">
        <v>1</v>
      </c>
      <c r="J106" s="14">
        <v>13</v>
      </c>
      <c r="K106" s="14">
        <f t="shared" ref="K106:K137" si="3">I106*J106</f>
        <v>13</v>
      </c>
    </row>
    <row r="107" spans="4:11">
      <c r="D107" s="11">
        <v>46037</v>
      </c>
      <c r="E107" s="12">
        <v>1570949</v>
      </c>
      <c r="F107" s="12" t="s">
        <v>29</v>
      </c>
      <c r="G107" s="13">
        <v>20393476</v>
      </c>
      <c r="H107" s="12" t="s">
        <v>38</v>
      </c>
      <c r="I107" s="13">
        <v>1</v>
      </c>
      <c r="J107" s="14">
        <v>13</v>
      </c>
      <c r="K107" s="14">
        <f t="shared" si="3"/>
        <v>13</v>
      </c>
    </row>
    <row r="108" spans="4:11">
      <c r="D108" s="11">
        <v>46037</v>
      </c>
      <c r="E108" s="12">
        <v>1570949</v>
      </c>
      <c r="F108" s="12" t="s">
        <v>29</v>
      </c>
      <c r="G108" s="13">
        <v>20392065</v>
      </c>
      <c r="H108" s="12" t="s">
        <v>39</v>
      </c>
      <c r="I108" s="13">
        <v>1</v>
      </c>
      <c r="J108" s="14">
        <v>16.5</v>
      </c>
      <c r="K108" s="14">
        <f t="shared" si="3"/>
        <v>16.5</v>
      </c>
    </row>
    <row r="109" spans="4:11">
      <c r="D109" s="11">
        <v>46037</v>
      </c>
      <c r="E109" s="12">
        <v>1570949</v>
      </c>
      <c r="F109" s="12" t="s">
        <v>20</v>
      </c>
      <c r="G109" s="13">
        <v>20409317</v>
      </c>
      <c r="H109" s="12" t="s">
        <v>77</v>
      </c>
      <c r="I109" s="13">
        <v>1</v>
      </c>
      <c r="J109" s="14">
        <v>16.5</v>
      </c>
      <c r="K109" s="14">
        <f t="shared" si="3"/>
        <v>16.5</v>
      </c>
    </row>
    <row r="110" spans="4:11">
      <c r="D110" s="11">
        <v>46037</v>
      </c>
      <c r="E110" s="12">
        <v>1570949</v>
      </c>
      <c r="F110" s="12" t="s">
        <v>20</v>
      </c>
      <c r="G110" s="13">
        <v>20390273</v>
      </c>
      <c r="H110" s="12" t="s">
        <v>72</v>
      </c>
      <c r="I110" s="13">
        <v>3</v>
      </c>
      <c r="J110" s="14">
        <v>16.5</v>
      </c>
      <c r="K110" s="14">
        <f t="shared" si="3"/>
        <v>49.5</v>
      </c>
    </row>
    <row r="111" spans="4:11">
      <c r="D111" s="11">
        <v>46037</v>
      </c>
      <c r="E111" s="12">
        <v>1570949</v>
      </c>
      <c r="F111" s="12" t="s">
        <v>20</v>
      </c>
      <c r="G111" s="13">
        <v>20390102</v>
      </c>
      <c r="H111" s="12" t="s">
        <v>41</v>
      </c>
      <c r="I111" s="13">
        <v>2</v>
      </c>
      <c r="J111" s="14">
        <v>16.5</v>
      </c>
      <c r="K111" s="14">
        <f t="shared" si="3"/>
        <v>33</v>
      </c>
    </row>
    <row r="112" spans="4:11">
      <c r="D112" s="11">
        <v>46037</v>
      </c>
      <c r="E112" s="12">
        <v>1570949</v>
      </c>
      <c r="F112" s="12" t="s">
        <v>20</v>
      </c>
      <c r="G112" s="13">
        <v>20409314</v>
      </c>
      <c r="H112" s="12" t="s">
        <v>78</v>
      </c>
      <c r="I112" s="13">
        <v>1</v>
      </c>
      <c r="J112" s="14">
        <v>16.5</v>
      </c>
      <c r="K112" s="14">
        <f t="shared" si="3"/>
        <v>16.5</v>
      </c>
    </row>
    <row r="113" spans="4:11">
      <c r="D113" s="11">
        <v>46037</v>
      </c>
      <c r="E113" s="12">
        <v>1570949</v>
      </c>
      <c r="F113" s="12" t="s">
        <v>20</v>
      </c>
      <c r="G113" s="13">
        <v>20409315</v>
      </c>
      <c r="H113" s="12" t="s">
        <v>79</v>
      </c>
      <c r="I113" s="13">
        <v>2</v>
      </c>
      <c r="J113" s="14">
        <v>16.5</v>
      </c>
      <c r="K113" s="14">
        <f t="shared" si="3"/>
        <v>33</v>
      </c>
    </row>
    <row r="114" spans="4:11">
      <c r="D114" s="11">
        <v>46037</v>
      </c>
      <c r="E114" s="12">
        <v>1570949</v>
      </c>
      <c r="F114" s="12" t="s">
        <v>20</v>
      </c>
      <c r="G114" s="13">
        <v>20390263</v>
      </c>
      <c r="H114" s="12" t="s">
        <v>28</v>
      </c>
      <c r="I114" s="13">
        <v>2</v>
      </c>
      <c r="J114" s="14">
        <v>22</v>
      </c>
      <c r="K114" s="14">
        <f t="shared" si="3"/>
        <v>44</v>
      </c>
    </row>
    <row r="115" spans="4:11">
      <c r="D115" s="11">
        <v>46037</v>
      </c>
      <c r="E115" s="12">
        <v>1570949</v>
      </c>
      <c r="F115" s="12" t="s">
        <v>20</v>
      </c>
      <c r="G115" s="13">
        <v>20393924</v>
      </c>
      <c r="H115" s="12" t="s">
        <v>66</v>
      </c>
      <c r="I115" s="13">
        <v>1</v>
      </c>
      <c r="J115" s="14">
        <v>16.5</v>
      </c>
      <c r="K115" s="14">
        <f t="shared" si="3"/>
        <v>16.5</v>
      </c>
    </row>
    <row r="116" spans="4:11">
      <c r="D116" s="11">
        <v>46037</v>
      </c>
      <c r="E116" s="12">
        <v>1570949</v>
      </c>
      <c r="F116" s="12" t="s">
        <v>20</v>
      </c>
      <c r="G116" s="13">
        <v>20409316</v>
      </c>
      <c r="H116" s="12" t="s">
        <v>80</v>
      </c>
      <c r="I116" s="13">
        <v>1</v>
      </c>
      <c r="J116" s="14">
        <v>16.5</v>
      </c>
      <c r="K116" s="14">
        <f t="shared" si="3"/>
        <v>16.5</v>
      </c>
    </row>
    <row r="117" spans="4:11">
      <c r="D117" s="11">
        <v>46038</v>
      </c>
      <c r="E117" s="12">
        <v>1571222</v>
      </c>
      <c r="F117" s="12" t="s">
        <v>14</v>
      </c>
      <c r="G117" s="13">
        <v>20390604</v>
      </c>
      <c r="H117" s="12" t="s">
        <v>32</v>
      </c>
      <c r="I117" s="13">
        <v>8</v>
      </c>
      <c r="J117" s="14">
        <v>20</v>
      </c>
      <c r="K117" s="14">
        <f t="shared" si="3"/>
        <v>160</v>
      </c>
    </row>
    <row r="118" spans="4:11">
      <c r="D118" s="11">
        <v>46038</v>
      </c>
      <c r="E118" s="12">
        <v>1571261</v>
      </c>
      <c r="F118" s="12" t="s">
        <v>25</v>
      </c>
      <c r="G118" s="13">
        <v>20390099</v>
      </c>
      <c r="H118" s="12" t="s">
        <v>33</v>
      </c>
      <c r="I118" s="13">
        <v>1</v>
      </c>
      <c r="J118" s="14">
        <v>225.5</v>
      </c>
      <c r="K118" s="14">
        <f t="shared" si="3"/>
        <v>225.5</v>
      </c>
    </row>
    <row r="119" spans="4:11">
      <c r="D119" s="11">
        <v>46038</v>
      </c>
      <c r="E119" s="12">
        <v>1571261</v>
      </c>
      <c r="F119" s="12" t="s">
        <v>25</v>
      </c>
      <c r="G119" s="13">
        <v>20390100</v>
      </c>
      <c r="H119" s="12" t="s">
        <v>81</v>
      </c>
      <c r="I119" s="13">
        <v>1</v>
      </c>
      <c r="J119" s="14">
        <v>148.5</v>
      </c>
      <c r="K119" s="14">
        <f t="shared" si="3"/>
        <v>148.5</v>
      </c>
    </row>
    <row r="120" spans="4:11">
      <c r="D120" s="11">
        <v>46038</v>
      </c>
      <c r="E120" s="12">
        <v>1571261</v>
      </c>
      <c r="F120" s="12" t="s">
        <v>29</v>
      </c>
      <c r="G120" s="13">
        <v>20402547</v>
      </c>
      <c r="H120" s="12" t="s">
        <v>82</v>
      </c>
      <c r="I120" s="13">
        <v>1</v>
      </c>
      <c r="J120" s="14">
        <v>8</v>
      </c>
      <c r="K120" s="14">
        <f t="shared" si="3"/>
        <v>8</v>
      </c>
    </row>
    <row r="121" spans="4:11">
      <c r="D121" s="11">
        <v>46038</v>
      </c>
      <c r="E121" s="12">
        <v>1571261</v>
      </c>
      <c r="F121" s="12" t="s">
        <v>29</v>
      </c>
      <c r="G121" s="13">
        <v>20394090</v>
      </c>
      <c r="H121" s="12" t="s">
        <v>83</v>
      </c>
      <c r="I121" s="13">
        <v>1</v>
      </c>
      <c r="J121" s="14">
        <v>13.5</v>
      </c>
      <c r="K121" s="14">
        <f t="shared" si="3"/>
        <v>13.5</v>
      </c>
    </row>
    <row r="122" spans="4:11">
      <c r="D122" s="11">
        <v>46038</v>
      </c>
      <c r="E122" s="12">
        <v>1571261</v>
      </c>
      <c r="F122" s="12" t="s">
        <v>29</v>
      </c>
      <c r="G122" s="13">
        <v>20390278</v>
      </c>
      <c r="H122" s="12" t="s">
        <v>84</v>
      </c>
      <c r="I122" s="13">
        <v>1</v>
      </c>
      <c r="J122" s="14">
        <v>8</v>
      </c>
      <c r="K122" s="14">
        <f t="shared" si="3"/>
        <v>8</v>
      </c>
    </row>
    <row r="123" spans="4:11">
      <c r="D123" s="11">
        <v>46038</v>
      </c>
      <c r="E123" s="12">
        <v>1571261</v>
      </c>
      <c r="F123" s="12" t="s">
        <v>29</v>
      </c>
      <c r="G123" s="13">
        <v>20401547</v>
      </c>
      <c r="H123" s="12" t="s">
        <v>85</v>
      </c>
      <c r="I123" s="13">
        <v>1</v>
      </c>
      <c r="J123" s="14">
        <v>8</v>
      </c>
      <c r="K123" s="14">
        <f t="shared" si="3"/>
        <v>8</v>
      </c>
    </row>
    <row r="124" spans="4:11">
      <c r="D124" s="11">
        <v>46038</v>
      </c>
      <c r="E124" s="12">
        <v>1571261</v>
      </c>
      <c r="F124" s="12" t="s">
        <v>29</v>
      </c>
      <c r="G124" s="13">
        <v>20390260</v>
      </c>
      <c r="H124" s="12" t="s">
        <v>31</v>
      </c>
      <c r="I124" s="13">
        <v>2</v>
      </c>
      <c r="J124" s="14">
        <v>16.5</v>
      </c>
      <c r="K124" s="14">
        <f t="shared" si="3"/>
        <v>33</v>
      </c>
    </row>
    <row r="125" spans="4:11">
      <c r="D125" s="11">
        <v>46038</v>
      </c>
      <c r="E125" s="12">
        <v>1571261</v>
      </c>
      <c r="F125" s="12" t="s">
        <v>29</v>
      </c>
      <c r="G125" s="13">
        <v>20393477</v>
      </c>
      <c r="H125" s="12" t="s">
        <v>86</v>
      </c>
      <c r="I125" s="13">
        <v>1</v>
      </c>
      <c r="J125" s="14">
        <v>8</v>
      </c>
      <c r="K125" s="14">
        <f t="shared" si="3"/>
        <v>8</v>
      </c>
    </row>
    <row r="126" spans="4:11">
      <c r="D126" s="11">
        <v>46038</v>
      </c>
      <c r="E126" s="12">
        <v>1571261</v>
      </c>
      <c r="F126" s="12" t="s">
        <v>20</v>
      </c>
      <c r="G126" s="13">
        <v>20390273</v>
      </c>
      <c r="H126" s="12" t="s">
        <v>72</v>
      </c>
      <c r="I126" s="13">
        <v>2</v>
      </c>
      <c r="J126" s="14">
        <v>16.5</v>
      </c>
      <c r="K126" s="14">
        <f t="shared" si="3"/>
        <v>33</v>
      </c>
    </row>
    <row r="127" spans="4:11">
      <c r="D127" s="11">
        <v>46038</v>
      </c>
      <c r="E127" s="12">
        <v>1571261</v>
      </c>
      <c r="F127" s="12" t="s">
        <v>20</v>
      </c>
      <c r="G127" s="13">
        <v>20391180</v>
      </c>
      <c r="H127" s="12" t="s">
        <v>43</v>
      </c>
      <c r="I127" s="13">
        <v>1</v>
      </c>
      <c r="J127" s="14">
        <v>16.5</v>
      </c>
      <c r="K127" s="14">
        <f t="shared" si="3"/>
        <v>16.5</v>
      </c>
    </row>
    <row r="128" spans="4:11">
      <c r="D128" s="11">
        <v>46038</v>
      </c>
      <c r="E128" s="12">
        <v>1571261</v>
      </c>
      <c r="F128" s="12" t="s">
        <v>20</v>
      </c>
      <c r="G128" s="13">
        <v>20407251</v>
      </c>
      <c r="H128" s="12" t="s">
        <v>87</v>
      </c>
      <c r="I128" s="13">
        <v>1</v>
      </c>
      <c r="J128" s="14">
        <v>16.5</v>
      </c>
      <c r="K128" s="14">
        <f t="shared" si="3"/>
        <v>16.5</v>
      </c>
    </row>
    <row r="129" spans="4:11">
      <c r="D129" s="11">
        <v>46038</v>
      </c>
      <c r="E129" s="12">
        <v>1571261</v>
      </c>
      <c r="F129" s="12" t="s">
        <v>20</v>
      </c>
      <c r="G129" s="13">
        <v>20390263</v>
      </c>
      <c r="H129" s="12" t="s">
        <v>28</v>
      </c>
      <c r="I129" s="13">
        <v>2</v>
      </c>
      <c r="J129" s="14">
        <v>22</v>
      </c>
      <c r="K129" s="14">
        <f t="shared" si="3"/>
        <v>44</v>
      </c>
    </row>
    <row r="130" spans="4:11">
      <c r="D130" s="11">
        <v>46041</v>
      </c>
      <c r="E130" s="12">
        <v>1571755</v>
      </c>
      <c r="F130" s="12" t="s">
        <v>25</v>
      </c>
      <c r="G130" s="13">
        <v>20390101</v>
      </c>
      <c r="H130" s="12" t="s">
        <v>35</v>
      </c>
      <c r="I130" s="13">
        <v>1</v>
      </c>
      <c r="J130" s="14">
        <v>88</v>
      </c>
      <c r="K130" s="14">
        <f t="shared" si="3"/>
        <v>88</v>
      </c>
    </row>
    <row r="131" spans="4:11">
      <c r="D131" s="11">
        <v>46041</v>
      </c>
      <c r="E131" s="12">
        <v>1571755</v>
      </c>
      <c r="F131" s="12" t="s">
        <v>29</v>
      </c>
      <c r="G131" s="13">
        <v>20409655</v>
      </c>
      <c r="H131" s="12" t="s">
        <v>88</v>
      </c>
      <c r="I131" s="13">
        <v>5</v>
      </c>
      <c r="J131" s="14">
        <v>16.5</v>
      </c>
      <c r="K131" s="14">
        <f t="shared" si="3"/>
        <v>82.5</v>
      </c>
    </row>
    <row r="132" spans="4:11">
      <c r="D132" s="11">
        <v>46042</v>
      </c>
      <c r="E132" s="12">
        <v>1571818</v>
      </c>
      <c r="F132" s="12" t="s">
        <v>29</v>
      </c>
      <c r="G132" s="13">
        <v>20393476</v>
      </c>
      <c r="H132" s="12" t="s">
        <v>38</v>
      </c>
      <c r="I132" s="13">
        <v>1</v>
      </c>
      <c r="J132" s="14">
        <v>13</v>
      </c>
      <c r="K132" s="14">
        <f t="shared" si="3"/>
        <v>13</v>
      </c>
    </row>
    <row r="133" spans="4:11">
      <c r="D133" s="11">
        <v>46042</v>
      </c>
      <c r="E133" s="12">
        <v>1571818</v>
      </c>
      <c r="F133" s="12" t="s">
        <v>29</v>
      </c>
      <c r="G133" s="13">
        <v>20392065</v>
      </c>
      <c r="H133" s="12" t="s">
        <v>39</v>
      </c>
      <c r="I133" s="13">
        <v>1</v>
      </c>
      <c r="J133" s="14">
        <v>16.5</v>
      </c>
      <c r="K133" s="14">
        <f t="shared" si="3"/>
        <v>16.5</v>
      </c>
    </row>
    <row r="134" spans="4:11">
      <c r="D134" s="11">
        <v>46042</v>
      </c>
      <c r="E134" s="12">
        <v>1571818</v>
      </c>
      <c r="F134" s="12" t="s">
        <v>20</v>
      </c>
      <c r="G134" s="13">
        <v>20390273</v>
      </c>
      <c r="H134" s="12" t="s">
        <v>72</v>
      </c>
      <c r="I134" s="13">
        <v>1</v>
      </c>
      <c r="J134" s="14">
        <v>16.5</v>
      </c>
      <c r="K134" s="14">
        <f t="shared" si="3"/>
        <v>16.5</v>
      </c>
    </row>
    <row r="135" spans="4:11">
      <c r="D135" s="11">
        <v>46042</v>
      </c>
      <c r="E135" s="12">
        <v>1571818</v>
      </c>
      <c r="F135" s="12" t="s">
        <v>20</v>
      </c>
      <c r="G135" s="13">
        <v>20390102</v>
      </c>
      <c r="H135" s="12" t="s">
        <v>41</v>
      </c>
      <c r="I135" s="13">
        <v>1</v>
      </c>
      <c r="J135" s="14">
        <v>16.5</v>
      </c>
      <c r="K135" s="14">
        <f t="shared" si="3"/>
        <v>16.5</v>
      </c>
    </row>
    <row r="136" spans="4:11">
      <c r="D136" s="11">
        <v>46042</v>
      </c>
      <c r="E136" s="12">
        <v>1572094</v>
      </c>
      <c r="F136" s="12" t="s">
        <v>14</v>
      </c>
      <c r="G136" s="13">
        <v>20390604</v>
      </c>
      <c r="H136" s="12" t="s">
        <v>32</v>
      </c>
      <c r="I136" s="13">
        <v>10</v>
      </c>
      <c r="J136" s="14">
        <v>20</v>
      </c>
      <c r="K136" s="14">
        <f t="shared" si="3"/>
        <v>200</v>
      </c>
    </row>
    <row r="137" spans="4:11">
      <c r="D137" s="11">
        <v>46042</v>
      </c>
      <c r="E137" s="12">
        <v>1572101</v>
      </c>
      <c r="F137" s="12" t="s">
        <v>25</v>
      </c>
      <c r="G137" s="13">
        <v>20390101</v>
      </c>
      <c r="H137" s="12" t="s">
        <v>35</v>
      </c>
      <c r="I137" s="13">
        <v>2</v>
      </c>
      <c r="J137" s="14">
        <v>88</v>
      </c>
      <c r="K137" s="14">
        <f t="shared" si="3"/>
        <v>176</v>
      </c>
    </row>
    <row r="138" spans="4:11">
      <c r="D138" s="11">
        <v>46042</v>
      </c>
      <c r="E138" s="12">
        <v>1572101</v>
      </c>
      <c r="F138" s="12" t="s">
        <v>14</v>
      </c>
      <c r="G138" s="13">
        <v>20390604</v>
      </c>
      <c r="H138" s="12" t="s">
        <v>32</v>
      </c>
      <c r="I138" s="13">
        <v>1</v>
      </c>
      <c r="J138" s="14">
        <v>20</v>
      </c>
      <c r="K138" s="14">
        <f t="shared" ref="K138:K169" si="4">I138*J138</f>
        <v>20</v>
      </c>
    </row>
    <row r="139" spans="4:11">
      <c r="D139" s="11">
        <v>46042</v>
      </c>
      <c r="E139" s="12">
        <v>1572101</v>
      </c>
      <c r="F139" s="12" t="s">
        <v>20</v>
      </c>
      <c r="G139" s="13">
        <v>20393922</v>
      </c>
      <c r="H139" s="12" t="s">
        <v>89</v>
      </c>
      <c r="I139" s="13">
        <v>2</v>
      </c>
      <c r="J139" s="14">
        <v>16.5</v>
      </c>
      <c r="K139" s="14">
        <f t="shared" si="4"/>
        <v>33</v>
      </c>
    </row>
    <row r="140" spans="4:11">
      <c r="D140" s="11">
        <v>46042</v>
      </c>
      <c r="E140" s="12">
        <v>1572101</v>
      </c>
      <c r="F140" s="12" t="s">
        <v>20</v>
      </c>
      <c r="G140" s="13">
        <v>20390273</v>
      </c>
      <c r="H140" s="12" t="s">
        <v>72</v>
      </c>
      <c r="I140" s="13">
        <v>2</v>
      </c>
      <c r="J140" s="14">
        <v>16.5</v>
      </c>
      <c r="K140" s="14">
        <f t="shared" si="4"/>
        <v>33</v>
      </c>
    </row>
    <row r="141" spans="4:11">
      <c r="D141" s="11">
        <v>46042</v>
      </c>
      <c r="E141" s="12">
        <v>1572101</v>
      </c>
      <c r="F141" s="12" t="s">
        <v>20</v>
      </c>
      <c r="G141" s="13">
        <v>20409314</v>
      </c>
      <c r="H141" s="12" t="s">
        <v>78</v>
      </c>
      <c r="I141" s="13">
        <v>1</v>
      </c>
      <c r="J141" s="14">
        <v>16.5</v>
      </c>
      <c r="K141" s="14">
        <f t="shared" si="4"/>
        <v>16.5</v>
      </c>
    </row>
    <row r="142" spans="4:11">
      <c r="D142" s="11">
        <v>46042</v>
      </c>
      <c r="E142" s="12">
        <v>1572102</v>
      </c>
      <c r="F142" s="12" t="s">
        <v>14</v>
      </c>
      <c r="G142" s="13">
        <v>20390604</v>
      </c>
      <c r="H142" s="12" t="s">
        <v>32</v>
      </c>
      <c r="I142" s="13">
        <v>2</v>
      </c>
      <c r="J142" s="14">
        <v>20</v>
      </c>
      <c r="K142" s="14">
        <f t="shared" si="4"/>
        <v>40</v>
      </c>
    </row>
    <row r="143" spans="4:11">
      <c r="D143" s="11">
        <v>46042</v>
      </c>
      <c r="E143" s="12">
        <v>1572124</v>
      </c>
      <c r="F143" s="12" t="s">
        <v>29</v>
      </c>
      <c r="G143" s="13">
        <v>20402208</v>
      </c>
      <c r="H143" s="12" t="s">
        <v>90</v>
      </c>
      <c r="I143" s="13">
        <v>1</v>
      </c>
      <c r="J143" s="14">
        <v>13</v>
      </c>
      <c r="K143" s="14">
        <f t="shared" si="4"/>
        <v>13</v>
      </c>
    </row>
    <row r="144" spans="4:11">
      <c r="D144" s="11">
        <v>46042</v>
      </c>
      <c r="E144" s="12">
        <v>1572124</v>
      </c>
      <c r="F144" s="12" t="s">
        <v>29</v>
      </c>
      <c r="G144" s="13">
        <v>20409896</v>
      </c>
      <c r="H144" s="12" t="s">
        <v>91</v>
      </c>
      <c r="I144" s="13">
        <v>1</v>
      </c>
      <c r="J144" s="14">
        <v>8</v>
      </c>
      <c r="K144" s="14">
        <f t="shared" si="4"/>
        <v>8</v>
      </c>
    </row>
    <row r="145" spans="4:11">
      <c r="D145" s="11">
        <v>46043</v>
      </c>
      <c r="E145" s="12">
        <v>1572449</v>
      </c>
      <c r="F145" s="12" t="s">
        <v>25</v>
      </c>
      <c r="G145" s="13">
        <v>20390098</v>
      </c>
      <c r="H145" s="12" t="s">
        <v>57</v>
      </c>
      <c r="I145" s="13">
        <v>1</v>
      </c>
      <c r="J145" s="14">
        <v>104.5</v>
      </c>
      <c r="K145" s="14">
        <f t="shared" si="4"/>
        <v>104.5</v>
      </c>
    </row>
    <row r="146" spans="4:11">
      <c r="D146" s="11">
        <v>46043</v>
      </c>
      <c r="E146" s="12">
        <v>1572449</v>
      </c>
      <c r="F146" s="12" t="s">
        <v>25</v>
      </c>
      <c r="G146" s="13">
        <v>20390277</v>
      </c>
      <c r="H146" s="12" t="s">
        <v>26</v>
      </c>
      <c r="I146" s="13">
        <v>1</v>
      </c>
      <c r="J146" s="14">
        <v>209</v>
      </c>
      <c r="K146" s="14">
        <f t="shared" si="4"/>
        <v>209</v>
      </c>
    </row>
    <row r="147" spans="4:11">
      <c r="D147" s="11">
        <v>46043</v>
      </c>
      <c r="E147" s="12">
        <v>1572449</v>
      </c>
      <c r="F147" s="12" t="s">
        <v>25</v>
      </c>
      <c r="G147" s="13">
        <v>20390099</v>
      </c>
      <c r="H147" s="12" t="s">
        <v>33</v>
      </c>
      <c r="I147" s="13">
        <v>1</v>
      </c>
      <c r="J147" s="14">
        <v>225.5</v>
      </c>
      <c r="K147" s="14">
        <f t="shared" si="4"/>
        <v>225.5</v>
      </c>
    </row>
    <row r="148" spans="4:11">
      <c r="D148" s="11">
        <v>46043</v>
      </c>
      <c r="E148" s="12">
        <v>1572449</v>
      </c>
      <c r="F148" s="12" t="s">
        <v>25</v>
      </c>
      <c r="G148" s="13">
        <v>20390085</v>
      </c>
      <c r="H148" s="12" t="s">
        <v>27</v>
      </c>
      <c r="I148" s="13">
        <v>1</v>
      </c>
      <c r="J148" s="14">
        <v>33</v>
      </c>
      <c r="K148" s="14">
        <f t="shared" si="4"/>
        <v>33</v>
      </c>
    </row>
    <row r="149" spans="4:11">
      <c r="D149" s="11">
        <v>46043</v>
      </c>
      <c r="E149" s="12">
        <v>1572449</v>
      </c>
      <c r="F149" s="12" t="s">
        <v>25</v>
      </c>
      <c r="G149" s="13">
        <v>20390100</v>
      </c>
      <c r="H149" s="12" t="s">
        <v>81</v>
      </c>
      <c r="I149" s="13">
        <v>1</v>
      </c>
      <c r="J149" s="14">
        <v>148.5</v>
      </c>
      <c r="K149" s="14">
        <f t="shared" si="4"/>
        <v>148.5</v>
      </c>
    </row>
    <row r="150" spans="4:11">
      <c r="D150" s="11">
        <v>46043</v>
      </c>
      <c r="E150" s="12">
        <v>1572449</v>
      </c>
      <c r="F150" s="12" t="s">
        <v>29</v>
      </c>
      <c r="G150" s="13">
        <v>20390260</v>
      </c>
      <c r="H150" s="12" t="s">
        <v>31</v>
      </c>
      <c r="I150" s="13">
        <v>4</v>
      </c>
      <c r="J150" s="14">
        <v>16.5</v>
      </c>
      <c r="K150" s="14">
        <f t="shared" si="4"/>
        <v>66</v>
      </c>
    </row>
    <row r="151" spans="4:11">
      <c r="D151" s="11">
        <v>46043</v>
      </c>
      <c r="E151" s="12">
        <v>1572449</v>
      </c>
      <c r="F151" s="12" t="s">
        <v>14</v>
      </c>
      <c r="G151" s="13">
        <v>20390604</v>
      </c>
      <c r="H151" s="12" t="s">
        <v>32</v>
      </c>
      <c r="I151" s="13">
        <v>2</v>
      </c>
      <c r="J151" s="14">
        <v>20</v>
      </c>
      <c r="K151" s="14">
        <f t="shared" si="4"/>
        <v>40</v>
      </c>
    </row>
    <row r="152" spans="4:11">
      <c r="D152" s="11">
        <v>46043</v>
      </c>
      <c r="E152" s="12">
        <v>1572449</v>
      </c>
      <c r="F152" s="12" t="s">
        <v>20</v>
      </c>
      <c r="G152" s="13">
        <v>20390273</v>
      </c>
      <c r="H152" s="12" t="s">
        <v>72</v>
      </c>
      <c r="I152" s="13">
        <v>2</v>
      </c>
      <c r="J152" s="14">
        <v>16.5</v>
      </c>
      <c r="K152" s="14">
        <f t="shared" si="4"/>
        <v>33</v>
      </c>
    </row>
    <row r="153" spans="4:11">
      <c r="D153" s="11">
        <v>46043</v>
      </c>
      <c r="E153" s="12">
        <v>1572449</v>
      </c>
      <c r="F153" s="12" t="s">
        <v>20</v>
      </c>
      <c r="G153" s="13">
        <v>20390263</v>
      </c>
      <c r="H153" s="12" t="s">
        <v>28</v>
      </c>
      <c r="I153" s="13">
        <v>4</v>
      </c>
      <c r="J153" s="14">
        <v>22</v>
      </c>
      <c r="K153" s="14">
        <f t="shared" si="4"/>
        <v>88</v>
      </c>
    </row>
    <row r="154" spans="4:11">
      <c r="D154" s="11">
        <v>46044</v>
      </c>
      <c r="E154" s="12">
        <v>1572795</v>
      </c>
      <c r="F154" s="12" t="s">
        <v>14</v>
      </c>
      <c r="G154" s="13">
        <v>20390604</v>
      </c>
      <c r="H154" s="12" t="s">
        <v>32</v>
      </c>
      <c r="I154" s="13">
        <v>1</v>
      </c>
      <c r="J154" s="14">
        <v>20</v>
      </c>
      <c r="K154" s="14">
        <f t="shared" si="4"/>
        <v>20</v>
      </c>
    </row>
    <row r="155" spans="4:11">
      <c r="D155" s="11">
        <v>46044</v>
      </c>
      <c r="E155" s="12">
        <v>1572795</v>
      </c>
      <c r="F155" s="12" t="s">
        <v>16</v>
      </c>
      <c r="G155" s="13">
        <v>20390605</v>
      </c>
      <c r="H155" s="12" t="s">
        <v>17</v>
      </c>
      <c r="I155" s="13">
        <v>1</v>
      </c>
      <c r="J155" s="14">
        <v>8</v>
      </c>
      <c r="K155" s="14">
        <f t="shared" si="4"/>
        <v>8</v>
      </c>
    </row>
    <row r="156" spans="4:11">
      <c r="D156" s="11">
        <v>46044</v>
      </c>
      <c r="E156" s="12">
        <v>1572845</v>
      </c>
      <c r="F156" s="12" t="s">
        <v>25</v>
      </c>
      <c r="G156" s="13">
        <v>20390098</v>
      </c>
      <c r="H156" s="12" t="s">
        <v>57</v>
      </c>
      <c r="I156" s="13">
        <v>1</v>
      </c>
      <c r="J156" s="14">
        <v>104.5</v>
      </c>
      <c r="K156" s="14">
        <f t="shared" si="4"/>
        <v>104.5</v>
      </c>
    </row>
    <row r="157" spans="4:11">
      <c r="D157" s="11">
        <v>46044</v>
      </c>
      <c r="E157" s="12">
        <v>1572845</v>
      </c>
      <c r="F157" s="12" t="s">
        <v>25</v>
      </c>
      <c r="G157" s="13">
        <v>20390097</v>
      </c>
      <c r="H157" s="12" t="s">
        <v>92</v>
      </c>
      <c r="I157" s="13">
        <v>1</v>
      </c>
      <c r="J157" s="14">
        <v>324.5</v>
      </c>
      <c r="K157" s="14">
        <f t="shared" si="4"/>
        <v>324.5</v>
      </c>
    </row>
    <row r="158" spans="4:11">
      <c r="D158" s="11">
        <v>46044</v>
      </c>
      <c r="E158" s="12">
        <v>1572845</v>
      </c>
      <c r="F158" s="12" t="s">
        <v>20</v>
      </c>
      <c r="G158" s="13">
        <v>20390273</v>
      </c>
      <c r="H158" s="12" t="s">
        <v>72</v>
      </c>
      <c r="I158" s="13">
        <v>1</v>
      </c>
      <c r="J158" s="14">
        <v>16.5</v>
      </c>
      <c r="K158" s="14">
        <f t="shared" si="4"/>
        <v>16.5</v>
      </c>
    </row>
    <row r="159" spans="4:11">
      <c r="D159" s="11">
        <v>46044</v>
      </c>
      <c r="E159" s="12">
        <v>1572845</v>
      </c>
      <c r="F159" s="12" t="s">
        <v>20</v>
      </c>
      <c r="G159" s="13">
        <v>20409315</v>
      </c>
      <c r="H159" s="12" t="s">
        <v>79</v>
      </c>
      <c r="I159" s="13">
        <v>1</v>
      </c>
      <c r="J159" s="14">
        <v>16.5</v>
      </c>
      <c r="K159" s="14">
        <f t="shared" si="4"/>
        <v>16.5</v>
      </c>
    </row>
    <row r="160" spans="4:11">
      <c r="D160" s="11">
        <v>46044</v>
      </c>
      <c r="E160" s="12">
        <v>1572845</v>
      </c>
      <c r="F160" s="12" t="s">
        <v>20</v>
      </c>
      <c r="G160" s="13">
        <v>20390263</v>
      </c>
      <c r="H160" s="12" t="s">
        <v>28</v>
      </c>
      <c r="I160" s="13">
        <v>1</v>
      </c>
      <c r="J160" s="14">
        <v>22</v>
      </c>
      <c r="K160" s="14">
        <f t="shared" si="4"/>
        <v>22</v>
      </c>
    </row>
    <row r="161" spans="4:11">
      <c r="D161" s="11">
        <v>46044</v>
      </c>
      <c r="E161" s="12">
        <v>1572845</v>
      </c>
      <c r="F161" s="12" t="s">
        <v>20</v>
      </c>
      <c r="G161" s="13">
        <v>20410299</v>
      </c>
      <c r="H161" s="12" t="s">
        <v>93</v>
      </c>
      <c r="I161" s="13">
        <v>1</v>
      </c>
      <c r="J161" s="14">
        <v>16.5</v>
      </c>
      <c r="K161" s="14">
        <f t="shared" si="4"/>
        <v>16.5</v>
      </c>
    </row>
    <row r="162" spans="4:11">
      <c r="D162" s="11">
        <v>46044</v>
      </c>
      <c r="E162" s="12">
        <v>1572860</v>
      </c>
      <c r="F162" s="12" t="s">
        <v>20</v>
      </c>
      <c r="G162" s="13">
        <v>20410300</v>
      </c>
      <c r="H162" s="12" t="s">
        <v>94</v>
      </c>
      <c r="I162" s="13">
        <v>1</v>
      </c>
      <c r="J162" s="14">
        <v>16.5</v>
      </c>
      <c r="K162" s="14">
        <f t="shared" si="4"/>
        <v>16.5</v>
      </c>
    </row>
    <row r="163" spans="4:11">
      <c r="D163" s="11">
        <v>46045</v>
      </c>
      <c r="E163" s="12">
        <v>1573192</v>
      </c>
      <c r="F163" s="12" t="s">
        <v>14</v>
      </c>
      <c r="G163" s="13">
        <v>20390604</v>
      </c>
      <c r="H163" s="12" t="s">
        <v>32</v>
      </c>
      <c r="I163" s="13">
        <v>6</v>
      </c>
      <c r="J163" s="14">
        <v>20</v>
      </c>
      <c r="K163" s="14">
        <f t="shared" si="4"/>
        <v>120</v>
      </c>
    </row>
    <row r="164" spans="4:11">
      <c r="D164" s="11">
        <v>46045</v>
      </c>
      <c r="E164" s="12">
        <v>1573193</v>
      </c>
      <c r="F164" s="12" t="s">
        <v>25</v>
      </c>
      <c r="G164" s="13">
        <v>20390085</v>
      </c>
      <c r="H164" s="12" t="s">
        <v>27</v>
      </c>
      <c r="I164" s="13">
        <v>1</v>
      </c>
      <c r="J164" s="14">
        <v>33</v>
      </c>
      <c r="K164" s="14">
        <f t="shared" si="4"/>
        <v>33</v>
      </c>
    </row>
    <row r="165" spans="4:11">
      <c r="D165" s="11">
        <v>46045</v>
      </c>
      <c r="E165" s="12">
        <v>1573193</v>
      </c>
      <c r="F165" s="12" t="s">
        <v>29</v>
      </c>
      <c r="G165" s="13">
        <v>20390260</v>
      </c>
      <c r="H165" s="12" t="s">
        <v>31</v>
      </c>
      <c r="I165" s="13">
        <v>1</v>
      </c>
      <c r="J165" s="14">
        <v>16.5</v>
      </c>
      <c r="K165" s="14">
        <f t="shared" si="4"/>
        <v>16.5</v>
      </c>
    </row>
    <row r="166" spans="4:11">
      <c r="D166" s="11">
        <v>46045</v>
      </c>
      <c r="E166" s="12">
        <v>1573193</v>
      </c>
      <c r="F166" s="12" t="s">
        <v>59</v>
      </c>
      <c r="G166" s="13">
        <v>20399007</v>
      </c>
      <c r="H166" s="12" t="s">
        <v>71</v>
      </c>
      <c r="I166" s="13">
        <v>1</v>
      </c>
      <c r="J166" s="14">
        <v>198</v>
      </c>
      <c r="K166" s="14">
        <f t="shared" si="4"/>
        <v>198</v>
      </c>
    </row>
    <row r="167" spans="4:11">
      <c r="D167" s="11">
        <v>46045</v>
      </c>
      <c r="E167" s="12">
        <v>1573193</v>
      </c>
      <c r="F167" s="12" t="s">
        <v>20</v>
      </c>
      <c r="G167" s="13">
        <v>20390273</v>
      </c>
      <c r="H167" s="12" t="s">
        <v>72</v>
      </c>
      <c r="I167" s="13">
        <v>1</v>
      </c>
      <c r="J167" s="14">
        <v>16.5</v>
      </c>
      <c r="K167" s="14">
        <f t="shared" si="4"/>
        <v>16.5</v>
      </c>
    </row>
    <row r="168" spans="4:11">
      <c r="D168" s="11">
        <v>46045</v>
      </c>
      <c r="E168" s="12">
        <v>1573193</v>
      </c>
      <c r="F168" s="12" t="s">
        <v>20</v>
      </c>
      <c r="G168" s="13">
        <v>20390263</v>
      </c>
      <c r="H168" s="12" t="s">
        <v>28</v>
      </c>
      <c r="I168" s="13">
        <v>1</v>
      </c>
      <c r="J168" s="14">
        <v>22</v>
      </c>
      <c r="K168" s="14">
        <f t="shared" si="4"/>
        <v>22</v>
      </c>
    </row>
    <row r="169" ht="24.75" spans="4:11">
      <c r="D169" s="11">
        <v>46048</v>
      </c>
      <c r="E169" s="12">
        <v>1573697</v>
      </c>
      <c r="F169" s="12" t="s">
        <v>95</v>
      </c>
      <c r="G169" s="13">
        <v>20410641</v>
      </c>
      <c r="H169" s="12" t="s">
        <v>96</v>
      </c>
      <c r="I169" s="13">
        <v>2</v>
      </c>
      <c r="J169" s="14">
        <v>77</v>
      </c>
      <c r="K169" s="14">
        <f t="shared" si="4"/>
        <v>154</v>
      </c>
    </row>
    <row r="170" ht="24.75" spans="4:11">
      <c r="D170" s="11">
        <v>46048</v>
      </c>
      <c r="E170" s="12">
        <v>1573697</v>
      </c>
      <c r="F170" s="12" t="s">
        <v>95</v>
      </c>
      <c r="G170" s="13">
        <v>20410642</v>
      </c>
      <c r="H170" s="12" t="s">
        <v>97</v>
      </c>
      <c r="I170" s="13">
        <v>1</v>
      </c>
      <c r="J170" s="14">
        <v>82.5</v>
      </c>
      <c r="K170" s="14">
        <f t="shared" ref="K170:K209" si="5">I170*J170</f>
        <v>82.5</v>
      </c>
    </row>
    <row r="171" spans="4:11">
      <c r="D171" s="11">
        <v>46048</v>
      </c>
      <c r="E171" s="12">
        <v>1573697</v>
      </c>
      <c r="F171" s="12" t="s">
        <v>20</v>
      </c>
      <c r="G171" s="13">
        <v>20410625</v>
      </c>
      <c r="H171" s="12" t="s">
        <v>98</v>
      </c>
      <c r="I171" s="13">
        <v>1</v>
      </c>
      <c r="J171" s="14">
        <v>44</v>
      </c>
      <c r="K171" s="14">
        <f t="shared" si="5"/>
        <v>44</v>
      </c>
    </row>
    <row r="172" spans="4:11">
      <c r="D172" s="11">
        <v>46048</v>
      </c>
      <c r="E172" s="12">
        <v>1573697</v>
      </c>
      <c r="F172" s="12" t="s">
        <v>20</v>
      </c>
      <c r="G172" s="13">
        <v>20410643</v>
      </c>
      <c r="H172" s="12" t="s">
        <v>99</v>
      </c>
      <c r="I172" s="13">
        <v>1</v>
      </c>
      <c r="J172" s="14">
        <v>49.5</v>
      </c>
      <c r="K172" s="14">
        <f t="shared" si="5"/>
        <v>49.5</v>
      </c>
    </row>
    <row r="173" spans="4:11">
      <c r="D173" s="11">
        <v>46050</v>
      </c>
      <c r="E173" s="12">
        <v>1574141</v>
      </c>
      <c r="F173" s="12" t="s">
        <v>25</v>
      </c>
      <c r="G173" s="13">
        <v>20390098</v>
      </c>
      <c r="H173" s="12" t="s">
        <v>57</v>
      </c>
      <c r="I173" s="13">
        <v>1</v>
      </c>
      <c r="J173" s="14">
        <v>104.5</v>
      </c>
      <c r="K173" s="14">
        <f t="shared" si="5"/>
        <v>104.5</v>
      </c>
    </row>
    <row r="174" spans="4:11">
      <c r="D174" s="11">
        <v>46050</v>
      </c>
      <c r="E174" s="12">
        <v>1574141</v>
      </c>
      <c r="F174" s="12" t="s">
        <v>25</v>
      </c>
      <c r="G174" s="13">
        <v>20390099</v>
      </c>
      <c r="H174" s="12" t="s">
        <v>33</v>
      </c>
      <c r="I174" s="13">
        <v>1</v>
      </c>
      <c r="J174" s="14">
        <v>225.5</v>
      </c>
      <c r="K174" s="14">
        <f t="shared" si="5"/>
        <v>225.5</v>
      </c>
    </row>
    <row r="175" spans="4:11">
      <c r="D175" s="11">
        <v>46050</v>
      </c>
      <c r="E175" s="12">
        <v>1574141</v>
      </c>
      <c r="F175" s="12" t="s">
        <v>25</v>
      </c>
      <c r="G175" s="13">
        <v>20390096</v>
      </c>
      <c r="H175" s="12" t="s">
        <v>36</v>
      </c>
      <c r="I175" s="13">
        <v>1</v>
      </c>
      <c r="J175" s="14">
        <v>148.5</v>
      </c>
      <c r="K175" s="14">
        <f t="shared" si="5"/>
        <v>148.5</v>
      </c>
    </row>
    <row r="176" spans="4:11">
      <c r="D176" s="11">
        <v>46050</v>
      </c>
      <c r="E176" s="12">
        <v>1574141</v>
      </c>
      <c r="F176" s="12" t="s">
        <v>29</v>
      </c>
      <c r="G176" s="13">
        <v>20391181</v>
      </c>
      <c r="H176" s="12" t="s">
        <v>100</v>
      </c>
      <c r="I176" s="13">
        <v>1</v>
      </c>
      <c r="J176" s="14">
        <v>8</v>
      </c>
      <c r="K176" s="14">
        <f t="shared" si="5"/>
        <v>8</v>
      </c>
    </row>
    <row r="177" spans="4:11">
      <c r="D177" s="11">
        <v>46050</v>
      </c>
      <c r="E177" s="12">
        <v>1574141</v>
      </c>
      <c r="F177" s="12" t="s">
        <v>29</v>
      </c>
      <c r="G177" s="13">
        <v>20404312</v>
      </c>
      <c r="H177" s="12" t="s">
        <v>101</v>
      </c>
      <c r="I177" s="13">
        <v>2</v>
      </c>
      <c r="J177" s="14">
        <v>13</v>
      </c>
      <c r="K177" s="14">
        <f t="shared" si="5"/>
        <v>26</v>
      </c>
    </row>
    <row r="178" spans="4:11">
      <c r="D178" s="11">
        <v>46050</v>
      </c>
      <c r="E178" s="12">
        <v>1574141</v>
      </c>
      <c r="F178" s="12" t="s">
        <v>29</v>
      </c>
      <c r="G178" s="13">
        <v>20403096</v>
      </c>
      <c r="H178" s="12" t="s">
        <v>47</v>
      </c>
      <c r="I178" s="13">
        <v>1</v>
      </c>
      <c r="J178" s="14">
        <v>8</v>
      </c>
      <c r="K178" s="14">
        <f t="shared" si="5"/>
        <v>8</v>
      </c>
    </row>
    <row r="179" spans="4:11">
      <c r="D179" s="11">
        <v>46050</v>
      </c>
      <c r="E179" s="12">
        <v>1574141</v>
      </c>
      <c r="F179" s="12" t="s">
        <v>29</v>
      </c>
      <c r="G179" s="13">
        <v>20403098</v>
      </c>
      <c r="H179" s="12" t="s">
        <v>48</v>
      </c>
      <c r="I179" s="13">
        <v>1</v>
      </c>
      <c r="J179" s="14">
        <v>16.5</v>
      </c>
      <c r="K179" s="14">
        <f t="shared" si="5"/>
        <v>16.5</v>
      </c>
    </row>
    <row r="180" spans="4:11">
      <c r="D180" s="11">
        <v>46050</v>
      </c>
      <c r="E180" s="12">
        <v>1574141</v>
      </c>
      <c r="F180" s="12" t="s">
        <v>29</v>
      </c>
      <c r="G180" s="13">
        <v>20404314</v>
      </c>
      <c r="H180" s="12" t="s">
        <v>102</v>
      </c>
      <c r="I180" s="13">
        <v>1</v>
      </c>
      <c r="J180" s="14">
        <v>8</v>
      </c>
      <c r="K180" s="14">
        <f t="shared" si="5"/>
        <v>8</v>
      </c>
    </row>
    <row r="181" ht="24.75" spans="4:11">
      <c r="D181" s="11">
        <v>46050</v>
      </c>
      <c r="E181" s="12">
        <v>1574141</v>
      </c>
      <c r="F181" s="12" t="s">
        <v>95</v>
      </c>
      <c r="G181" s="13">
        <v>20410642</v>
      </c>
      <c r="H181" s="12" t="s">
        <v>103</v>
      </c>
      <c r="I181" s="13">
        <v>1</v>
      </c>
      <c r="J181" s="14">
        <v>77</v>
      </c>
      <c r="K181" s="14">
        <f t="shared" si="5"/>
        <v>77</v>
      </c>
    </row>
    <row r="182" ht="24.75" spans="4:11">
      <c r="D182" s="11">
        <v>46050</v>
      </c>
      <c r="E182" s="12">
        <v>1574141</v>
      </c>
      <c r="F182" s="12" t="s">
        <v>95</v>
      </c>
      <c r="G182" s="13">
        <v>20410641</v>
      </c>
      <c r="H182" s="12" t="s">
        <v>104</v>
      </c>
      <c r="I182" s="13">
        <v>1</v>
      </c>
      <c r="J182" s="14">
        <v>77</v>
      </c>
      <c r="K182" s="14">
        <f t="shared" si="5"/>
        <v>77</v>
      </c>
    </row>
    <row r="183" spans="4:11">
      <c r="D183" s="11">
        <v>46050</v>
      </c>
      <c r="E183" s="12">
        <v>1574141</v>
      </c>
      <c r="F183" s="12" t="s">
        <v>14</v>
      </c>
      <c r="G183" s="13">
        <v>20390604</v>
      </c>
      <c r="H183" s="12" t="s">
        <v>32</v>
      </c>
      <c r="I183" s="13">
        <v>5</v>
      </c>
      <c r="J183" s="14">
        <v>20</v>
      </c>
      <c r="K183" s="14">
        <f t="shared" si="5"/>
        <v>100</v>
      </c>
    </row>
    <row r="184" spans="4:11">
      <c r="D184" s="11">
        <v>46050</v>
      </c>
      <c r="E184" s="12">
        <v>1574141</v>
      </c>
      <c r="F184" s="12" t="s">
        <v>14</v>
      </c>
      <c r="G184" s="13">
        <v>20390270</v>
      </c>
      <c r="H184" s="12" t="s">
        <v>58</v>
      </c>
      <c r="I184" s="13">
        <v>2</v>
      </c>
      <c r="J184" s="14">
        <v>20</v>
      </c>
      <c r="K184" s="14">
        <f t="shared" si="5"/>
        <v>40</v>
      </c>
    </row>
    <row r="185" spans="4:11">
      <c r="D185" s="11">
        <v>46050</v>
      </c>
      <c r="E185" s="12">
        <v>1574141</v>
      </c>
      <c r="F185" s="12" t="s">
        <v>20</v>
      </c>
      <c r="G185" s="13">
        <v>20390273</v>
      </c>
      <c r="H185" s="12" t="s">
        <v>72</v>
      </c>
      <c r="I185" s="13">
        <v>3</v>
      </c>
      <c r="J185" s="14">
        <v>16.5</v>
      </c>
      <c r="K185" s="14">
        <f t="shared" si="5"/>
        <v>49.5</v>
      </c>
    </row>
    <row r="186" spans="4:11">
      <c r="D186" s="11">
        <v>46050</v>
      </c>
      <c r="E186" s="12">
        <v>1574141</v>
      </c>
      <c r="F186" s="12" t="s">
        <v>20</v>
      </c>
      <c r="G186" s="13">
        <v>20391180</v>
      </c>
      <c r="H186" s="12" t="s">
        <v>43</v>
      </c>
      <c r="I186" s="13">
        <v>1</v>
      </c>
      <c r="J186" s="14">
        <v>16.5</v>
      </c>
      <c r="K186" s="14">
        <f t="shared" si="5"/>
        <v>16.5</v>
      </c>
    </row>
    <row r="187" spans="4:11">
      <c r="D187" s="11">
        <v>46050</v>
      </c>
      <c r="E187" s="12">
        <v>1574141</v>
      </c>
      <c r="F187" s="12" t="s">
        <v>20</v>
      </c>
      <c r="G187" s="13">
        <v>20410625</v>
      </c>
      <c r="H187" s="12" t="s">
        <v>98</v>
      </c>
      <c r="I187" s="13">
        <v>2</v>
      </c>
      <c r="J187" s="14">
        <v>44</v>
      </c>
      <c r="K187" s="14">
        <f t="shared" si="5"/>
        <v>88</v>
      </c>
    </row>
    <row r="188" spans="4:11">
      <c r="D188" s="11">
        <v>46050</v>
      </c>
      <c r="E188" s="12">
        <v>1574141</v>
      </c>
      <c r="F188" s="12" t="s">
        <v>20</v>
      </c>
      <c r="G188" s="13">
        <v>20409315</v>
      </c>
      <c r="H188" s="12" t="s">
        <v>79</v>
      </c>
      <c r="I188" s="13">
        <v>3</v>
      </c>
      <c r="J188" s="14">
        <v>16.5</v>
      </c>
      <c r="K188" s="14">
        <f t="shared" si="5"/>
        <v>49.5</v>
      </c>
    </row>
    <row r="189" spans="4:11">
      <c r="D189" s="11">
        <v>46050</v>
      </c>
      <c r="E189" s="12">
        <v>1574141</v>
      </c>
      <c r="F189" s="12" t="s">
        <v>20</v>
      </c>
      <c r="G189" s="13">
        <v>20390263</v>
      </c>
      <c r="H189" s="12" t="s">
        <v>28</v>
      </c>
      <c r="I189" s="13">
        <v>3</v>
      </c>
      <c r="J189" s="14">
        <v>22</v>
      </c>
      <c r="K189" s="14">
        <f t="shared" si="5"/>
        <v>66</v>
      </c>
    </row>
    <row r="190" spans="4:11">
      <c r="D190" s="11">
        <v>46050</v>
      </c>
      <c r="E190" s="12">
        <v>1574161</v>
      </c>
      <c r="F190" s="12" t="s">
        <v>51</v>
      </c>
      <c r="G190" s="13">
        <v>20391360</v>
      </c>
      <c r="H190" s="12" t="s">
        <v>52</v>
      </c>
      <c r="I190" s="13">
        <v>4</v>
      </c>
      <c r="J190" s="14">
        <v>22</v>
      </c>
      <c r="K190" s="14">
        <f t="shared" si="5"/>
        <v>88</v>
      </c>
    </row>
    <row r="191" spans="4:11">
      <c r="D191" s="11">
        <v>46051</v>
      </c>
      <c r="E191" s="12">
        <v>1574721</v>
      </c>
      <c r="F191" s="12" t="s">
        <v>25</v>
      </c>
      <c r="G191" s="13">
        <v>20390098</v>
      </c>
      <c r="H191" s="12" t="s">
        <v>57</v>
      </c>
      <c r="I191" s="13">
        <v>1</v>
      </c>
      <c r="J191" s="14">
        <v>104.5</v>
      </c>
      <c r="K191" s="14">
        <f t="shared" si="5"/>
        <v>104.5</v>
      </c>
    </row>
    <row r="192" spans="4:11">
      <c r="D192" s="11">
        <v>46051</v>
      </c>
      <c r="E192" s="12">
        <v>1574721</v>
      </c>
      <c r="F192" s="12" t="s">
        <v>25</v>
      </c>
      <c r="G192" s="13">
        <v>20390096</v>
      </c>
      <c r="H192" s="12" t="s">
        <v>36</v>
      </c>
      <c r="I192" s="13">
        <v>1</v>
      </c>
      <c r="J192" s="14">
        <v>148.5</v>
      </c>
      <c r="K192" s="14">
        <f t="shared" si="5"/>
        <v>148.5</v>
      </c>
    </row>
    <row r="193" spans="4:11">
      <c r="D193" s="11">
        <v>46051</v>
      </c>
      <c r="E193" s="12">
        <v>1574723</v>
      </c>
      <c r="F193" s="12" t="s">
        <v>20</v>
      </c>
      <c r="G193" s="13">
        <v>20390273</v>
      </c>
      <c r="H193" s="12" t="s">
        <v>72</v>
      </c>
      <c r="I193" s="13">
        <v>2</v>
      </c>
      <c r="J193" s="14">
        <v>16.5</v>
      </c>
      <c r="K193" s="14">
        <f t="shared" si="5"/>
        <v>33</v>
      </c>
    </row>
    <row r="194" spans="4:11">
      <c r="D194" s="11">
        <v>46051</v>
      </c>
      <c r="E194" s="12">
        <v>1574723</v>
      </c>
      <c r="F194" s="12" t="s">
        <v>20</v>
      </c>
      <c r="G194" s="13">
        <v>20391180</v>
      </c>
      <c r="H194" s="12" t="s">
        <v>43</v>
      </c>
      <c r="I194" s="13">
        <v>1</v>
      </c>
      <c r="J194" s="14">
        <v>16.5</v>
      </c>
      <c r="K194" s="14">
        <f t="shared" si="5"/>
        <v>16.5</v>
      </c>
    </row>
    <row r="195" spans="4:11">
      <c r="D195" s="11">
        <v>46051</v>
      </c>
      <c r="E195" s="12">
        <v>1574723</v>
      </c>
      <c r="F195" s="12" t="s">
        <v>20</v>
      </c>
      <c r="G195" s="13">
        <v>20390263</v>
      </c>
      <c r="H195" s="12" t="s">
        <v>28</v>
      </c>
      <c r="I195" s="13">
        <v>2</v>
      </c>
      <c r="J195" s="14">
        <v>22</v>
      </c>
      <c r="K195" s="14">
        <f t="shared" si="5"/>
        <v>44</v>
      </c>
    </row>
    <row r="196" spans="4:11">
      <c r="D196" s="11">
        <v>46052</v>
      </c>
      <c r="E196" s="12">
        <v>1574803</v>
      </c>
      <c r="F196" s="12" t="s">
        <v>29</v>
      </c>
      <c r="G196" s="13">
        <v>20404312</v>
      </c>
      <c r="H196" s="12" t="s">
        <v>101</v>
      </c>
      <c r="I196" s="13">
        <v>1</v>
      </c>
      <c r="J196" s="14">
        <v>13</v>
      </c>
      <c r="K196" s="14">
        <f t="shared" si="5"/>
        <v>13</v>
      </c>
    </row>
    <row r="197" spans="4:11">
      <c r="D197" s="11">
        <v>46052</v>
      </c>
      <c r="E197" s="12">
        <v>1574803</v>
      </c>
      <c r="F197" s="12" t="s">
        <v>29</v>
      </c>
      <c r="G197" s="13">
        <v>20403096</v>
      </c>
      <c r="H197" s="12" t="s">
        <v>47</v>
      </c>
      <c r="I197" s="13">
        <v>1</v>
      </c>
      <c r="J197" s="14">
        <v>8</v>
      </c>
      <c r="K197" s="14">
        <f t="shared" si="5"/>
        <v>8</v>
      </c>
    </row>
    <row r="198" spans="4:11">
      <c r="D198" s="11">
        <v>46052</v>
      </c>
      <c r="E198" s="12">
        <v>1574803</v>
      </c>
      <c r="F198" s="12" t="s">
        <v>29</v>
      </c>
      <c r="G198" s="13">
        <v>20403098</v>
      </c>
      <c r="H198" s="12" t="s">
        <v>48</v>
      </c>
      <c r="I198" s="13">
        <v>1</v>
      </c>
      <c r="J198" s="14">
        <v>16.5</v>
      </c>
      <c r="K198" s="14">
        <f t="shared" si="5"/>
        <v>16.5</v>
      </c>
    </row>
    <row r="199" spans="4:11">
      <c r="D199" s="11">
        <v>46052</v>
      </c>
      <c r="E199" s="12">
        <v>1574803</v>
      </c>
      <c r="F199" s="12" t="s">
        <v>29</v>
      </c>
      <c r="G199" s="13">
        <v>20399181</v>
      </c>
      <c r="H199" s="12" t="s">
        <v>105</v>
      </c>
      <c r="I199" s="13">
        <v>1</v>
      </c>
      <c r="J199" s="14">
        <v>13.5</v>
      </c>
      <c r="K199" s="14">
        <f t="shared" si="5"/>
        <v>13.5</v>
      </c>
    </row>
    <row r="200" spans="4:11">
      <c r="D200" s="11">
        <v>46052</v>
      </c>
      <c r="E200" s="12">
        <v>1574803</v>
      </c>
      <c r="F200" s="12" t="s">
        <v>29</v>
      </c>
      <c r="G200" s="13">
        <v>20404314</v>
      </c>
      <c r="H200" s="12" t="s">
        <v>102</v>
      </c>
      <c r="I200" s="13">
        <v>1</v>
      </c>
      <c r="J200" s="14">
        <v>8</v>
      </c>
      <c r="K200" s="14">
        <f t="shared" si="5"/>
        <v>8</v>
      </c>
    </row>
    <row r="201" spans="4:11">
      <c r="D201" s="11">
        <v>46052</v>
      </c>
      <c r="E201" s="12">
        <v>1574803</v>
      </c>
      <c r="F201" s="12" t="s">
        <v>20</v>
      </c>
      <c r="G201" s="13">
        <v>20409315</v>
      </c>
      <c r="H201" s="12" t="s">
        <v>79</v>
      </c>
      <c r="I201" s="13">
        <v>2</v>
      </c>
      <c r="J201" s="14">
        <v>16.5</v>
      </c>
      <c r="K201" s="14">
        <f t="shared" si="5"/>
        <v>33</v>
      </c>
    </row>
    <row r="202" spans="4:11">
      <c r="D202" s="11">
        <v>46052</v>
      </c>
      <c r="E202" s="12">
        <v>1574871</v>
      </c>
      <c r="F202" s="12" t="s">
        <v>51</v>
      </c>
      <c r="G202" s="13">
        <v>20391360</v>
      </c>
      <c r="H202" s="12" t="s">
        <v>52</v>
      </c>
      <c r="I202" s="13">
        <v>4</v>
      </c>
      <c r="J202" s="14">
        <v>22</v>
      </c>
      <c r="K202" s="14">
        <f t="shared" si="5"/>
        <v>88</v>
      </c>
    </row>
    <row r="203" spans="4:11">
      <c r="D203" s="11">
        <v>46052</v>
      </c>
      <c r="E203" s="12">
        <v>1575112</v>
      </c>
      <c r="F203" s="12" t="s">
        <v>14</v>
      </c>
      <c r="G203" s="13">
        <v>20390604</v>
      </c>
      <c r="H203" s="12" t="s">
        <v>32</v>
      </c>
      <c r="I203" s="13">
        <v>5</v>
      </c>
      <c r="J203" s="14">
        <v>20</v>
      </c>
      <c r="K203" s="14">
        <f t="shared" si="5"/>
        <v>100</v>
      </c>
    </row>
    <row r="204" spans="4:11">
      <c r="D204" s="11">
        <v>46052</v>
      </c>
      <c r="E204" s="12">
        <v>1575112</v>
      </c>
      <c r="F204" s="12" t="s">
        <v>14</v>
      </c>
      <c r="G204" s="13">
        <v>20390270</v>
      </c>
      <c r="H204" s="12" t="s">
        <v>58</v>
      </c>
      <c r="I204" s="13">
        <v>2</v>
      </c>
      <c r="J204" s="14">
        <v>20</v>
      </c>
      <c r="K204" s="14">
        <f t="shared" si="5"/>
        <v>40</v>
      </c>
    </row>
    <row r="205" spans="4:11">
      <c r="D205" s="11">
        <v>46052</v>
      </c>
      <c r="E205" s="12">
        <v>1575127</v>
      </c>
      <c r="F205" s="12" t="s">
        <v>25</v>
      </c>
      <c r="G205" s="13">
        <v>20390099</v>
      </c>
      <c r="H205" s="12" t="s">
        <v>33</v>
      </c>
      <c r="I205" s="13">
        <v>1</v>
      </c>
      <c r="J205" s="14">
        <v>225.5</v>
      </c>
      <c r="K205" s="14">
        <f t="shared" si="5"/>
        <v>225.5</v>
      </c>
    </row>
    <row r="206" spans="4:11">
      <c r="D206" s="11">
        <v>46052</v>
      </c>
      <c r="E206" s="12">
        <v>1575127</v>
      </c>
      <c r="F206" s="12" t="s">
        <v>29</v>
      </c>
      <c r="G206" s="13">
        <v>20404920</v>
      </c>
      <c r="H206" s="12" t="s">
        <v>106</v>
      </c>
      <c r="I206" s="13">
        <v>2</v>
      </c>
      <c r="J206" s="14">
        <v>16</v>
      </c>
      <c r="K206" s="14">
        <f t="shared" si="5"/>
        <v>32</v>
      </c>
    </row>
    <row r="207" spans="4:11">
      <c r="D207" s="11">
        <v>46052</v>
      </c>
      <c r="E207" s="12">
        <v>1575127</v>
      </c>
      <c r="F207" s="12" t="s">
        <v>20</v>
      </c>
      <c r="G207" s="13">
        <v>20390273</v>
      </c>
      <c r="H207" s="12" t="s">
        <v>72</v>
      </c>
      <c r="I207" s="13">
        <v>1</v>
      </c>
      <c r="J207" s="14">
        <v>16.5</v>
      </c>
      <c r="K207" s="14">
        <f t="shared" si="5"/>
        <v>16.5</v>
      </c>
    </row>
    <row r="208" spans="4:11">
      <c r="D208" s="11">
        <v>46052</v>
      </c>
      <c r="E208" s="12">
        <v>1575127</v>
      </c>
      <c r="F208" s="12" t="s">
        <v>20</v>
      </c>
      <c r="G208" s="13">
        <v>20409315</v>
      </c>
      <c r="H208" s="12" t="s">
        <v>79</v>
      </c>
      <c r="I208" s="13">
        <v>1</v>
      </c>
      <c r="J208" s="14">
        <v>16.5</v>
      </c>
      <c r="K208" s="14">
        <f t="shared" si="5"/>
        <v>16.5</v>
      </c>
    </row>
    <row r="209" spans="4:11">
      <c r="D209" s="11">
        <v>46052</v>
      </c>
      <c r="E209" s="12">
        <v>1575127</v>
      </c>
      <c r="F209" s="12" t="s">
        <v>20</v>
      </c>
      <c r="G209" s="13">
        <v>20390263</v>
      </c>
      <c r="H209" s="12" t="s">
        <v>28</v>
      </c>
      <c r="I209" s="13">
        <v>1</v>
      </c>
      <c r="J209" s="14">
        <v>22</v>
      </c>
      <c r="K209" s="14">
        <f t="shared" si="5"/>
        <v>22</v>
      </c>
    </row>
  </sheetData>
  <autoFilter xmlns:etc="http://www.wps.cn/officeDocument/2017/etCustomData" ref="A7:K209" etc:filterBottomFollowUsedRange="0">
    <extLst/>
  </autoFilter>
  <mergeCells count="5">
    <mergeCell ref="D8:H8"/>
    <mergeCell ref="C7:C209"/>
    <mergeCell ref="B4:H5"/>
    <mergeCell ref="A7:B20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&amp;"-,Regular"2026年2月3日 15:26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供应室</vt:lpstr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2026-02-03T07:28:00Z</dcterms:created>
  <dcterms:modified xsi:type="dcterms:W3CDTF">2026-02-06T00:59:45Z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5ED3194D6E8545699818394A487BF183_13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