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 activeTab="2"/>
  </bookViews>
  <sheets>
    <sheet name="耳鼻喉" sheetId="1" r:id="rId1"/>
    <sheet name="妇科" sheetId="2" r:id="rId2"/>
    <sheet name="口腔（群力分院）" sheetId="3" r:id="rId3"/>
    <sheet name="口腔科" sheetId="4" r:id="rId4"/>
    <sheet name="神内二" sheetId="5" r:id="rId5"/>
    <sheet name="手术室" sheetId="6" r:id="rId6"/>
    <sheet name="物理诊断" sheetId="7" r:id="rId7"/>
    <sheet name="眼科门诊" sheetId="8" r:id="rId8"/>
  </sheets>
  <definedNames>
    <definedName name="_xlnm._FilterDatabase" localSheetId="1" hidden="1">妇科!$A$7:$K$16</definedName>
    <definedName name="_xlnm._FilterDatabase" localSheetId="2" hidden="1">'口腔（群力分院）'!$A$7:$K$71</definedName>
    <definedName name="_xlnm._FilterDatabase" localSheetId="3" hidden="1">口腔科!$A$7:$K$27</definedName>
    <definedName name="_xlnm.Print_Titles" localSheetId="0">耳鼻喉!$1:$6</definedName>
    <definedName name="_xlnm.Print_Titles" localSheetId="1">妇科!$1:$6</definedName>
    <definedName name="_xlnm.Print_Titles" localSheetId="2">'口腔（群力分院）'!$1:$6</definedName>
    <definedName name="_xlnm.Print_Titles" localSheetId="3">口腔科!$1:$6</definedName>
    <definedName name="_xlnm.Print_Titles" localSheetId="4">神内二!$1:$6</definedName>
    <definedName name="_xlnm.Print_Titles" localSheetId="5">手术室!$1:$6</definedName>
    <definedName name="_xlnm.Print_Titles" localSheetId="6">物理诊断!$1:$6</definedName>
    <definedName name="_xlnm.Print_Titles" localSheetId="7">眼科门诊!$1:$6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<sst xmlns="http://schemas.openxmlformats.org/spreadsheetml/2006/main" count="362" uniqueCount="69">
  <si>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</si>
  <si>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</si>
  <si>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</si>
  <si>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黑龙江省中医药大学附属第 四 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</si>
  <si>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</si>
  <si>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</si>
  <si>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</si>
  <si>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</si>
  <si>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</si>
  <si>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</si>
  <si>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</si>
  <si>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</si>
  <si>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耳鼻喉</t>
  </si>
  <si>
    <t>额外包(纸塑袋)</t>
  </si>
  <si>
    <t>枪状镊-3/z1029</t>
  </si>
  <si>
    <t>吸引管-3/Z1026</t>
  </si>
  <si>
    <t>额外包(无纺布)</t>
  </si>
  <si>
    <t>异物钳2吸引管1/W6050</t>
  </si>
  <si>
    <t>妇科</t>
  </si>
  <si>
    <t>扩棒2吸头1(6,6.5)/Z7534</t>
  </si>
  <si>
    <t>器械包(ZSD)</t>
  </si>
  <si>
    <t>辅助取环包</t>
  </si>
  <si>
    <t>取环包</t>
  </si>
  <si>
    <t>病理钳-1/Z2032</t>
  </si>
  <si>
    <t>镊子2宫颈钳1/Z1535</t>
  </si>
  <si>
    <t>静脉切开包</t>
  </si>
  <si>
    <t>口腔（群力分院）</t>
  </si>
  <si>
    <t>拔牙钳-1/Z1029</t>
  </si>
  <si>
    <t>拔牙挺-1/Z7526</t>
  </si>
  <si>
    <t>充填器1 刮匙2/保Z7526</t>
  </si>
  <si>
    <t>光敏刀2 排龈器1/Z7526</t>
  </si>
  <si>
    <t>剪刀-1/Z1026</t>
  </si>
  <si>
    <t>洁牙机手柄-1/Z7526</t>
  </si>
  <si>
    <t>手机-1/Z7526</t>
  </si>
  <si>
    <t>刮匙-1/保/Z7530</t>
  </si>
  <si>
    <t>刮匙2去冠器1/保Z7526</t>
  </si>
  <si>
    <t>光敏刀1唇钩1刮勺1/Z1026</t>
  </si>
  <si>
    <t>充填器2 刮勺1/保Z7526</t>
  </si>
  <si>
    <t>刮匙-3/保/Z7526</t>
  </si>
  <si>
    <t>光敏刀-3/Z7526</t>
  </si>
  <si>
    <t>光敏刀2 刮勺1/保/Z7526</t>
  </si>
  <si>
    <t>充填器-3/Z7526</t>
  </si>
  <si>
    <t>骨刮匙-1/Z7526</t>
  </si>
  <si>
    <t>刮勺2 光敏刀1/保/Z7526</t>
  </si>
  <si>
    <t>刮治器-1/Z7526</t>
  </si>
  <si>
    <t>持针器-1/z1029</t>
  </si>
  <si>
    <t>充填器2 光敏刀1/Z7526</t>
  </si>
  <si>
    <t>刮勺1排龈器1刮治器1/保/Z7526</t>
  </si>
  <si>
    <t>车针盒/Z1526</t>
  </si>
  <si>
    <t>刀柄-1/Z7526</t>
  </si>
  <si>
    <t>刮勺1 充填器1 唇钩1/保/Z7526</t>
  </si>
  <si>
    <t>刮勺1 充填器1 光敏刀1/保/Z7526</t>
  </si>
  <si>
    <t>洁牙机头-5/z7520</t>
  </si>
  <si>
    <t>口腔科</t>
  </si>
  <si>
    <t>刮勺2充填器1/保/Z7526</t>
  </si>
  <si>
    <t>神内二</t>
  </si>
  <si>
    <t>气管套管-3件/Z1020</t>
  </si>
  <si>
    <t>手术室</t>
  </si>
  <si>
    <t>器械包</t>
  </si>
  <si>
    <t>通用包</t>
  </si>
  <si>
    <t>外科配件（一）</t>
  </si>
  <si>
    <t>持物钳罐-4件（卵2，剪1）/W6050</t>
  </si>
  <si>
    <t>物理诊断</t>
  </si>
  <si>
    <t>穿刺架-1/Z1029（有2个螺丝）</t>
  </si>
  <si>
    <t>镊子1持针器1/Z1029</t>
  </si>
  <si>
    <t>眼科门诊</t>
  </si>
  <si>
    <t>睑板腺镊-1/Z7520</t>
  </si>
  <si>
    <t>显微镊子-2/Z7529</t>
  </si>
  <si>
    <t>霰粒肿包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</si>
</sst>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8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0"/>
      <name val="Droid Sans Fallback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7" fillId="0" borderId="0"/>
  </cellStyleXfs>
  <cellXfs count="19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4" fillId="2" borderId="3" xfId="0" applyNumberFormat="1" applyFont="1" applyFill="1" applyBorder="1" applyAlignment="1">
      <alignment horizontal="center" vertical="top" wrapText="1" readingOrder="1"/>
    </xf>
    <xf numFmtId="176" fontId="4" fillId="2" borderId="3" xfId="0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176" fontId="5" fillId="0" borderId="3" xfId="0" applyNumberFormat="1" applyFont="1" applyFill="1" applyBorder="1" applyAlignment="1">
      <alignment horizontal="center" vertical="top" wrapText="1" readingOrder="1"/>
    </xf>
    <xf numFmtId="0" fontId="6" fillId="3" borderId="3" xfId="0" applyNumberFormat="1" applyFont="1" applyFill="1" applyBorder="1" applyAlignment="1">
      <alignment vertical="top" wrapText="1" readingOrder="1"/>
    </xf>
    <xf numFmtId="0" fontId="6" fillId="3" borderId="3" xfId="0" applyNumberFormat="1" applyFont="1" applyFill="1" applyBorder="1" applyAlignment="1">
      <alignment horizontal="center" vertical="top" wrapText="1" readingOrder="1"/>
    </xf>
    <xf numFmtId="176" fontId="6" fillId="3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247015</xdr:colOff>
      <xdr:row>1</xdr:row>
      <xdr:rowOff>47625</xdr:rowOff>
    </xdr:from>
    <xdr:to>
      <xdr:col>9</xdr:col>
      <xdr:colOff>757003</xdr:colOff>
      <xdr:row>4</xdr:row>
      <xdr:rowOff>45085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39790" y="219075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247015</xdr:colOff>
      <xdr:row>1</xdr:row>
      <xdr:rowOff>57150</xdr:rowOff>
    </xdr:from>
    <xdr:to>
      <xdr:col>9</xdr:col>
      <xdr:colOff>757003</xdr:colOff>
      <xdr:row>4</xdr:row>
      <xdr:rowOff>54610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39790" y="228600"/>
          <a:ext cx="509905" cy="508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237490</xdr:colOff>
      <xdr:row>1</xdr:row>
      <xdr:rowOff>66675</xdr:rowOff>
    </xdr:from>
    <xdr:to>
      <xdr:col>9</xdr:col>
      <xdr:colOff>747478</xdr:colOff>
      <xdr:row>4</xdr:row>
      <xdr:rowOff>64135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30265" y="238125"/>
          <a:ext cx="509905" cy="5086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285115</xdr:colOff>
      <xdr:row>1</xdr:row>
      <xdr:rowOff>47625</xdr:rowOff>
    </xdr:from>
    <xdr:to>
      <xdr:col>9</xdr:col>
      <xdr:colOff>795103</xdr:colOff>
      <xdr:row>4</xdr:row>
      <xdr:rowOff>45085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77890" y="219075"/>
          <a:ext cx="509905" cy="50863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247015</xdr:colOff>
      <xdr:row>1</xdr:row>
      <xdr:rowOff>19050</xdr:rowOff>
    </xdr:from>
    <xdr:to>
      <xdr:col>9</xdr:col>
      <xdr:colOff>757003</xdr:colOff>
      <xdr:row>4</xdr:row>
      <xdr:rowOff>16510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39790" y="190500"/>
          <a:ext cx="509905" cy="50863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247015</xdr:colOff>
      <xdr:row>1</xdr:row>
      <xdr:rowOff>38100</xdr:rowOff>
    </xdr:from>
    <xdr:to>
      <xdr:col>9</xdr:col>
      <xdr:colOff>757003</xdr:colOff>
      <xdr:row>4</xdr:row>
      <xdr:rowOff>35560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39790" y="209550"/>
          <a:ext cx="509905" cy="50863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266065</xdr:colOff>
      <xdr:row>1</xdr:row>
      <xdr:rowOff>28575</xdr:rowOff>
    </xdr:from>
    <xdr:to>
      <xdr:col>9</xdr:col>
      <xdr:colOff>776053</xdr:colOff>
      <xdr:row>4</xdr:row>
      <xdr:rowOff>26035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58840" y="200025"/>
          <a:ext cx="509905" cy="50863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294640</xdr:colOff>
      <xdr:row>1</xdr:row>
      <xdr:rowOff>38100</xdr:rowOff>
    </xdr:from>
    <xdr:to>
      <xdr:col>9</xdr:col>
      <xdr:colOff>804628</xdr:colOff>
      <xdr:row>4</xdr:row>
      <xdr:rowOff>35560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87415" y="2095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showGridLines="0" view="pageBreakPreview" zoomScaleNormal="100" workbookViewId="0">
      <pane ySplit="6" topLeftCell="A7" activePane="bottomLeft" state="frozen"/>
      <selection/>
      <selection pane="bottomLeft" activeCell="L10" sqref="L1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2:12">
      <c r="C1" s="1" t="s">
        <v>0</v>
      </c>
    </row>
    <row r="2" ht="23.05" customHeight="1"/>
    <row r="3" ht="2" customHeight="1"/>
    <row r="4" ht="15.2" customHeight="1" spans="2:12">
      <c r="B4" s="2" t="s">
        <v>1</v>
      </c>
    </row>
    <row r="6" ht="2.95" customHeight="1"/>
    <row r="7" ht="3.95" customHeight="1" spans="2:12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2">
      <c r="C8" s="3" t="s">
        <v>2</v>
      </c>
      <c r="D8" s="16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17"/>
      <c r="J8" s="18"/>
      <c r="K8" s="18"/>
    </row>
    <row r="9" spans="2:12">
      <c r="C9" s="3" t="s">
        <v>2</v>
      </c>
      <c r="D9" s="13" t="s">
        <v>4</v>
      </c>
      <c r="E9" s="13" t="s">
        <v>5</v>
      </c>
      <c r="F9" s="13" t="s">
        <v>6</v>
      </c>
      <c r="G9" s="13" t="s">
        <v>7</v>
      </c>
      <c r="H9" s="13" t="s">
        <v>8</v>
      </c>
      <c r="I9" s="13" t="s">
        <v>9</v>
      </c>
      <c r="J9" s="13" t="s">
        <v>10</v>
      </c>
      <c r="K9" s="13" t="s">
        <v>11</v>
      </c>
    </row>
    <row r="10" ht="14.25" spans="2:12">
      <c r="D10" s="7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9">
        <v>5</v>
      </c>
      <c r="J10" s="10"/>
      <c r="K10" s="10">
        <v>82.5</v>
      </c>
      <c r="L10">
        <f>K10+妇科!K8+'口腔（群力分院）'!K8+口腔科!K8+神内二!K8+手术室!K8+物理诊断!K8+眼科门诊!K8</f>
        <v>3024.5</v>
      </c>
    </row>
    <row r="11" spans="2:12">
      <c r="D11" s="11">
        <v>46122</v>
      </c>
      <c r="E11" s="12">
        <v>1593866</v>
      </c>
      <c r="F11" s="12" t="s">
        <v>13</v>
      </c>
      <c r="G11" s="13">
        <v>20013404</v>
      </c>
      <c r="H11" s="12" t="s">
        <v>14</v>
      </c>
      <c r="I11" s="13">
        <v>1</v>
      </c>
      <c r="J11" s="14">
        <v>16.5</v>
      </c>
      <c r="K11" s="14">
        <v>16.5</v>
      </c>
    </row>
    <row r="12" spans="2:12">
      <c r="D12" s="11">
        <v>46122</v>
      </c>
      <c r="E12" s="12">
        <v>1593866</v>
      </c>
      <c r="F12" s="12" t="s">
        <v>13</v>
      </c>
      <c r="G12" s="13">
        <v>20332473</v>
      </c>
      <c r="H12" s="12" t="s">
        <v>15</v>
      </c>
      <c r="I12" s="13">
        <v>3</v>
      </c>
      <c r="J12" s="14">
        <v>16.5</v>
      </c>
      <c r="K12" s="14">
        <v>49.5</v>
      </c>
    </row>
    <row r="13" spans="2:12">
      <c r="D13" s="11">
        <v>46122</v>
      </c>
      <c r="E13" s="12">
        <v>1593866</v>
      </c>
      <c r="F13" s="12" t="s">
        <v>16</v>
      </c>
      <c r="G13" s="13">
        <v>20012966</v>
      </c>
      <c r="H13" s="12" t="s">
        <v>17</v>
      </c>
      <c r="I13" s="13">
        <v>1</v>
      </c>
      <c r="J13" s="14">
        <v>16.5</v>
      </c>
      <c r="K13" s="14">
        <v>16.5</v>
      </c>
    </row>
  </sheetData>
  <mergeCells count="6">
    <mergeCell ref="D8:H8"/>
    <mergeCell ref="D10:H10"/>
    <mergeCell ref="C9:C13"/>
    <mergeCell ref="B4:H5"/>
    <mergeCell ref="A8:B13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&amp;"-,Regular"2026年5月7日 8:17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showGridLines="0" view="pageBreakPreview" zoomScaleNormal="100" workbookViewId="0">
      <pane ySplit="6" topLeftCell="A7" activePane="bottomLeft" state="frozen"/>
      <selection/>
      <selection pane="bottomLeft" activeCell="K16" sqref="K9:K1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18</v>
      </c>
      <c r="E8" s="8" t="s">
        <v>2</v>
      </c>
      <c r="F8" s="8" t="s">
        <v>2</v>
      </c>
      <c r="G8" s="8" t="s">
        <v>2</v>
      </c>
      <c r="H8" s="8" t="s">
        <v>2</v>
      </c>
      <c r="I8" s="9">
        <v>9</v>
      </c>
      <c r="J8" s="10"/>
      <c r="K8" s="10">
        <v>348.5</v>
      </c>
    </row>
    <row r="9" spans="1:11">
      <c r="D9" s="11">
        <v>46122</v>
      </c>
      <c r="E9" s="12">
        <v>1593867</v>
      </c>
      <c r="F9" s="12" t="s">
        <v>13</v>
      </c>
      <c r="G9" s="13">
        <v>20012984</v>
      </c>
      <c r="H9" s="12" t="s">
        <v>19</v>
      </c>
      <c r="I9" s="13">
        <v>1</v>
      </c>
      <c r="J9" s="14">
        <v>16.5</v>
      </c>
      <c r="K9" s="14">
        <v>16.5</v>
      </c>
    </row>
    <row r="10" spans="1:11">
      <c r="D10" s="11">
        <v>46122</v>
      </c>
      <c r="E10" s="12">
        <v>1593867</v>
      </c>
      <c r="F10" s="12" t="s">
        <v>20</v>
      </c>
      <c r="G10" s="13">
        <v>20012977</v>
      </c>
      <c r="H10" s="12" t="s">
        <v>21</v>
      </c>
      <c r="I10" s="13">
        <v>1</v>
      </c>
      <c r="J10" s="14">
        <v>33</v>
      </c>
      <c r="K10" s="14">
        <v>33</v>
      </c>
    </row>
    <row r="11" spans="1:11">
      <c r="D11" s="11">
        <v>46122</v>
      </c>
      <c r="E11" s="12">
        <v>1593867</v>
      </c>
      <c r="F11" s="12" t="s">
        <v>20</v>
      </c>
      <c r="G11" s="13">
        <v>20013268</v>
      </c>
      <c r="H11" s="12" t="s">
        <v>22</v>
      </c>
      <c r="I11" s="13">
        <v>2</v>
      </c>
      <c r="J11" s="14">
        <v>71.5</v>
      </c>
      <c r="K11" s="14">
        <v>143</v>
      </c>
    </row>
    <row r="12" spans="1:11">
      <c r="D12" s="11">
        <v>46130</v>
      </c>
      <c r="E12" s="12">
        <v>1596001</v>
      </c>
      <c r="F12" s="12" t="s">
        <v>13</v>
      </c>
      <c r="G12" s="13">
        <v>20012974</v>
      </c>
      <c r="H12" s="12" t="s">
        <v>23</v>
      </c>
      <c r="I12" s="13">
        <v>1</v>
      </c>
      <c r="J12" s="14">
        <v>13</v>
      </c>
      <c r="K12" s="14">
        <v>13</v>
      </c>
    </row>
    <row r="13" spans="1:11">
      <c r="D13" s="11">
        <v>46130</v>
      </c>
      <c r="E13" s="12">
        <v>1596001</v>
      </c>
      <c r="F13" s="12" t="s">
        <v>13</v>
      </c>
      <c r="G13" s="13">
        <v>20012984</v>
      </c>
      <c r="H13" s="12" t="s">
        <v>19</v>
      </c>
      <c r="I13" s="13">
        <v>1</v>
      </c>
      <c r="J13" s="14">
        <v>16.5</v>
      </c>
      <c r="K13" s="14">
        <v>16.5</v>
      </c>
    </row>
    <row r="14" spans="1:11">
      <c r="D14" s="11">
        <v>46130</v>
      </c>
      <c r="E14" s="12">
        <v>1596001</v>
      </c>
      <c r="F14" s="12" t="s">
        <v>13</v>
      </c>
      <c r="G14" s="13">
        <v>20012980</v>
      </c>
      <c r="H14" s="12" t="s">
        <v>24</v>
      </c>
      <c r="I14" s="13">
        <v>1</v>
      </c>
      <c r="J14" s="14">
        <v>16.5</v>
      </c>
      <c r="K14" s="14">
        <v>16.5</v>
      </c>
    </row>
    <row r="15" spans="1:11">
      <c r="D15" s="11">
        <v>46130</v>
      </c>
      <c r="E15" s="12">
        <v>1596001</v>
      </c>
      <c r="F15" s="12" t="s">
        <v>20</v>
      </c>
      <c r="G15" s="13">
        <v>20013652</v>
      </c>
      <c r="H15" s="12" t="s">
        <v>25</v>
      </c>
      <c r="I15" s="13">
        <v>1</v>
      </c>
      <c r="J15" s="14">
        <v>38.5</v>
      </c>
      <c r="K15" s="14">
        <v>38.5</v>
      </c>
    </row>
    <row r="16" spans="1:11">
      <c r="D16" s="11">
        <v>46130</v>
      </c>
      <c r="E16" s="12">
        <v>1596001</v>
      </c>
      <c r="F16" s="12" t="s">
        <v>20</v>
      </c>
      <c r="G16" s="13">
        <v>20013268</v>
      </c>
      <c r="H16" s="12" t="s">
        <v>22</v>
      </c>
      <c r="I16" s="13">
        <v>1</v>
      </c>
      <c r="J16" s="14">
        <v>71.5</v>
      </c>
      <c r="K16" s="14">
        <v>71.5</v>
      </c>
    </row>
  </sheetData>
  <autoFilter xmlns:etc="http://www.wps.cn/officeDocument/2017/etCustomData" ref="A7:K16" etc:filterBottomFollowUsedRange="0">
    <extLst/>
  </autoFilter>
  <mergeCells count="5">
    <mergeCell ref="D8:H8"/>
    <mergeCell ref="C7:C16"/>
    <mergeCell ref="B4:H5"/>
    <mergeCell ref="A7:B16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&amp;"-,Regular"2026年5月7日 8:17 
&amp;"-,Bold"&amp;10 黑龙江省铂康医疗灭菌有限公司 &amp;R&amp;"Droid Sans Fallback"&amp;9第&amp;P页，共&amp;N页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1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K9" sqref="K9:K7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26</v>
      </c>
      <c r="E8" s="8" t="s">
        <v>2</v>
      </c>
      <c r="F8" s="8" t="s">
        <v>2</v>
      </c>
      <c r="G8" s="8" t="s">
        <v>2</v>
      </c>
      <c r="H8" s="8" t="s">
        <v>2</v>
      </c>
      <c r="I8" s="9">
        <v>162</v>
      </c>
      <c r="J8" s="10"/>
      <c r="K8" s="10">
        <f>SUM(K9:K71)</f>
        <v>1505.5</v>
      </c>
    </row>
    <row r="9" spans="1:11">
      <c r="D9" s="11">
        <v>46116</v>
      </c>
      <c r="E9" s="12">
        <v>1592041</v>
      </c>
      <c r="F9" s="12" t="s">
        <v>13</v>
      </c>
      <c r="G9" s="13">
        <v>20013013</v>
      </c>
      <c r="H9" s="12" t="s">
        <v>27</v>
      </c>
      <c r="I9" s="13">
        <v>10</v>
      </c>
      <c r="J9" s="14">
        <v>8</v>
      </c>
      <c r="K9" s="14">
        <f>J9*I9</f>
        <v>80</v>
      </c>
    </row>
    <row r="10" spans="1:11">
      <c r="D10" s="11">
        <v>46116</v>
      </c>
      <c r="E10" s="12">
        <v>1592041</v>
      </c>
      <c r="F10" s="12" t="s">
        <v>13</v>
      </c>
      <c r="G10" s="13">
        <v>20013015</v>
      </c>
      <c r="H10" s="12" t="s">
        <v>28</v>
      </c>
      <c r="I10" s="13">
        <v>6</v>
      </c>
      <c r="J10" s="14">
        <v>8</v>
      </c>
      <c r="K10" s="14">
        <f t="shared" ref="K10:K41" si="0">J10*I10</f>
        <v>48</v>
      </c>
    </row>
    <row r="11" spans="1:11">
      <c r="D11" s="11">
        <v>46116</v>
      </c>
      <c r="E11" s="12">
        <v>1592041</v>
      </c>
      <c r="F11" s="12" t="s">
        <v>13</v>
      </c>
      <c r="G11" s="13">
        <v>20318483</v>
      </c>
      <c r="H11" s="12" t="s">
        <v>29</v>
      </c>
      <c r="I11" s="13">
        <v>1</v>
      </c>
      <c r="J11" s="14">
        <v>16.5</v>
      </c>
      <c r="K11" s="14">
        <f t="shared" si="0"/>
        <v>16.5</v>
      </c>
    </row>
    <row r="12" spans="1:11">
      <c r="D12" s="11">
        <v>46116</v>
      </c>
      <c r="E12" s="12">
        <v>1592041</v>
      </c>
      <c r="F12" s="12" t="s">
        <v>13</v>
      </c>
      <c r="G12" s="13">
        <v>20372760</v>
      </c>
      <c r="H12" s="12" t="s">
        <v>30</v>
      </c>
      <c r="I12" s="13">
        <v>1</v>
      </c>
      <c r="J12" s="14">
        <v>16.5</v>
      </c>
      <c r="K12" s="14">
        <f t="shared" si="0"/>
        <v>16.5</v>
      </c>
    </row>
    <row r="13" spans="1:11">
      <c r="D13" s="11">
        <v>46116</v>
      </c>
      <c r="E13" s="12">
        <v>1592041</v>
      </c>
      <c r="F13" s="12" t="s">
        <v>13</v>
      </c>
      <c r="G13" s="13">
        <v>20310271</v>
      </c>
      <c r="H13" s="12" t="s">
        <v>31</v>
      </c>
      <c r="I13" s="13">
        <v>1</v>
      </c>
      <c r="J13" s="14">
        <v>8</v>
      </c>
      <c r="K13" s="14">
        <f t="shared" si="0"/>
        <v>8</v>
      </c>
    </row>
    <row r="14" spans="1:11">
      <c r="D14" s="11">
        <v>46116</v>
      </c>
      <c r="E14" s="12">
        <v>1592041</v>
      </c>
      <c r="F14" s="12" t="s">
        <v>13</v>
      </c>
      <c r="G14" s="13">
        <v>20013175</v>
      </c>
      <c r="H14" s="12" t="s">
        <v>32</v>
      </c>
      <c r="I14" s="13">
        <v>1</v>
      </c>
      <c r="J14" s="14">
        <v>8</v>
      </c>
      <c r="K14" s="14">
        <f t="shared" si="0"/>
        <v>8</v>
      </c>
    </row>
    <row r="15" spans="1:11">
      <c r="D15" s="11">
        <v>46116</v>
      </c>
      <c r="E15" s="12">
        <v>1592041</v>
      </c>
      <c r="F15" s="12" t="s">
        <v>13</v>
      </c>
      <c r="G15" s="13">
        <v>20013132</v>
      </c>
      <c r="H15" s="12" t="s">
        <v>33</v>
      </c>
      <c r="I15" s="13">
        <v>2</v>
      </c>
      <c r="J15" s="14">
        <v>8</v>
      </c>
      <c r="K15" s="14">
        <f t="shared" si="0"/>
        <v>16</v>
      </c>
    </row>
    <row r="16" spans="1:11">
      <c r="D16" s="11">
        <v>46122</v>
      </c>
      <c r="E16" s="12">
        <v>1593868</v>
      </c>
      <c r="F16" s="12" t="s">
        <v>13</v>
      </c>
      <c r="G16" s="13">
        <v>20013013</v>
      </c>
      <c r="H16" s="12" t="s">
        <v>27</v>
      </c>
      <c r="I16" s="13">
        <v>1</v>
      </c>
      <c r="J16" s="14">
        <v>8</v>
      </c>
      <c r="K16" s="14">
        <f t="shared" si="0"/>
        <v>8</v>
      </c>
    </row>
    <row r="17" spans="4:11">
      <c r="D17" s="11">
        <v>46122</v>
      </c>
      <c r="E17" s="12">
        <v>1593868</v>
      </c>
      <c r="F17" s="12" t="s">
        <v>13</v>
      </c>
      <c r="G17" s="13">
        <v>20014214</v>
      </c>
      <c r="H17" s="12" t="s">
        <v>34</v>
      </c>
      <c r="I17" s="13">
        <v>1</v>
      </c>
      <c r="J17" s="14">
        <v>8</v>
      </c>
      <c r="K17" s="14">
        <f t="shared" si="0"/>
        <v>8</v>
      </c>
    </row>
    <row r="18" spans="4:11">
      <c r="D18" s="11">
        <v>46122</v>
      </c>
      <c r="E18" s="12">
        <v>1593868</v>
      </c>
      <c r="F18" s="12" t="s">
        <v>13</v>
      </c>
      <c r="G18" s="13">
        <v>20323155</v>
      </c>
      <c r="H18" s="12" t="s">
        <v>35</v>
      </c>
      <c r="I18" s="13">
        <v>1</v>
      </c>
      <c r="J18" s="14">
        <v>16.5</v>
      </c>
      <c r="K18" s="14">
        <f t="shared" si="0"/>
        <v>16.5</v>
      </c>
    </row>
    <row r="19" spans="4:11">
      <c r="D19" s="11">
        <v>46122</v>
      </c>
      <c r="E19" s="12">
        <v>1593868</v>
      </c>
      <c r="F19" s="12" t="s">
        <v>13</v>
      </c>
      <c r="G19" s="13">
        <v>20377710</v>
      </c>
      <c r="H19" s="12" t="s">
        <v>36</v>
      </c>
      <c r="I19" s="13">
        <v>1</v>
      </c>
      <c r="J19" s="14">
        <v>16.5</v>
      </c>
      <c r="K19" s="14">
        <f t="shared" si="0"/>
        <v>16.5</v>
      </c>
    </row>
    <row r="20" spans="4:11">
      <c r="D20" s="11">
        <v>46122</v>
      </c>
      <c r="E20" s="12">
        <v>1593868</v>
      </c>
      <c r="F20" s="12" t="s">
        <v>13</v>
      </c>
      <c r="G20" s="13">
        <v>20310271</v>
      </c>
      <c r="H20" s="12" t="s">
        <v>31</v>
      </c>
      <c r="I20" s="13">
        <v>1</v>
      </c>
      <c r="J20" s="14">
        <v>8</v>
      </c>
      <c r="K20" s="14">
        <f t="shared" si="0"/>
        <v>8</v>
      </c>
    </row>
    <row r="21" spans="4:11">
      <c r="D21" s="11">
        <v>46122</v>
      </c>
      <c r="E21" s="12">
        <v>1593868</v>
      </c>
      <c r="F21" s="12" t="s">
        <v>13</v>
      </c>
      <c r="G21" s="13">
        <v>20013175</v>
      </c>
      <c r="H21" s="12" t="s">
        <v>32</v>
      </c>
      <c r="I21" s="13">
        <v>4</v>
      </c>
      <c r="J21" s="14">
        <v>8</v>
      </c>
      <c r="K21" s="14">
        <f t="shared" si="0"/>
        <v>32</v>
      </c>
    </row>
    <row r="22" spans="4:11">
      <c r="D22" s="11">
        <v>46122</v>
      </c>
      <c r="E22" s="12">
        <v>1593868</v>
      </c>
      <c r="F22" s="12" t="s">
        <v>13</v>
      </c>
      <c r="G22" s="13">
        <v>20013132</v>
      </c>
      <c r="H22" s="12" t="s">
        <v>33</v>
      </c>
      <c r="I22" s="13">
        <v>2</v>
      </c>
      <c r="J22" s="14">
        <v>8</v>
      </c>
      <c r="K22" s="14">
        <f t="shared" si="0"/>
        <v>16</v>
      </c>
    </row>
    <row r="23" spans="4:11">
      <c r="D23" s="11">
        <v>46127</v>
      </c>
      <c r="E23" s="12">
        <v>1595191</v>
      </c>
      <c r="F23" s="12" t="s">
        <v>13</v>
      </c>
      <c r="G23" s="13">
        <v>20013013</v>
      </c>
      <c r="H23" s="12" t="s">
        <v>27</v>
      </c>
      <c r="I23" s="13">
        <v>6</v>
      </c>
      <c r="J23" s="14">
        <v>8</v>
      </c>
      <c r="K23" s="14">
        <f t="shared" si="0"/>
        <v>48</v>
      </c>
    </row>
    <row r="24" spans="4:11">
      <c r="D24" s="11">
        <v>46127</v>
      </c>
      <c r="E24" s="12">
        <v>1595191</v>
      </c>
      <c r="F24" s="12" t="s">
        <v>13</v>
      </c>
      <c r="G24" s="13">
        <v>20013015</v>
      </c>
      <c r="H24" s="12" t="s">
        <v>28</v>
      </c>
      <c r="I24" s="13">
        <v>2</v>
      </c>
      <c r="J24" s="14">
        <v>8</v>
      </c>
      <c r="K24" s="14">
        <f t="shared" si="0"/>
        <v>16</v>
      </c>
    </row>
    <row r="25" spans="4:11">
      <c r="D25" s="11">
        <v>46127</v>
      </c>
      <c r="E25" s="12">
        <v>1595191</v>
      </c>
      <c r="F25" s="12" t="s">
        <v>13</v>
      </c>
      <c r="G25" s="13">
        <v>20368238</v>
      </c>
      <c r="H25" s="12" t="s">
        <v>37</v>
      </c>
      <c r="I25" s="13">
        <v>1</v>
      </c>
      <c r="J25" s="14">
        <v>16.5</v>
      </c>
      <c r="K25" s="14">
        <f t="shared" si="0"/>
        <v>16.5</v>
      </c>
    </row>
    <row r="26" spans="4:11">
      <c r="D26" s="11">
        <v>46127</v>
      </c>
      <c r="E26" s="12">
        <v>1595191</v>
      </c>
      <c r="F26" s="12" t="s">
        <v>13</v>
      </c>
      <c r="G26" s="13">
        <v>20310458</v>
      </c>
      <c r="H26" s="12" t="s">
        <v>38</v>
      </c>
      <c r="I26" s="13">
        <v>1</v>
      </c>
      <c r="J26" s="14">
        <v>16.5</v>
      </c>
      <c r="K26" s="14">
        <f t="shared" si="0"/>
        <v>16.5</v>
      </c>
    </row>
    <row r="27" spans="4:11">
      <c r="D27" s="11">
        <v>46127</v>
      </c>
      <c r="E27" s="12">
        <v>1595191</v>
      </c>
      <c r="F27" s="12" t="s">
        <v>13</v>
      </c>
      <c r="G27" s="13">
        <v>20313575</v>
      </c>
      <c r="H27" s="12" t="s">
        <v>39</v>
      </c>
      <c r="I27" s="13">
        <v>1</v>
      </c>
      <c r="J27" s="14">
        <v>16.5</v>
      </c>
      <c r="K27" s="14">
        <f t="shared" si="0"/>
        <v>16.5</v>
      </c>
    </row>
    <row r="28" spans="4:11">
      <c r="D28" s="11">
        <v>46127</v>
      </c>
      <c r="E28" s="12">
        <v>1595191</v>
      </c>
      <c r="F28" s="12" t="s">
        <v>13</v>
      </c>
      <c r="G28" s="13">
        <v>20013175</v>
      </c>
      <c r="H28" s="12" t="s">
        <v>32</v>
      </c>
      <c r="I28" s="13">
        <v>1</v>
      </c>
      <c r="J28" s="14">
        <v>8</v>
      </c>
      <c r="K28" s="14">
        <f t="shared" si="0"/>
        <v>8</v>
      </c>
    </row>
    <row r="29" spans="4:11">
      <c r="D29" s="11">
        <v>46127</v>
      </c>
      <c r="E29" s="12">
        <v>1595191</v>
      </c>
      <c r="F29" s="12" t="s">
        <v>13</v>
      </c>
      <c r="G29" s="13">
        <v>20013132</v>
      </c>
      <c r="H29" s="12" t="s">
        <v>33</v>
      </c>
      <c r="I29" s="13">
        <v>4</v>
      </c>
      <c r="J29" s="14">
        <v>8</v>
      </c>
      <c r="K29" s="14">
        <f t="shared" si="0"/>
        <v>32</v>
      </c>
    </row>
    <row r="30" spans="4:11">
      <c r="D30" s="11">
        <v>46128</v>
      </c>
      <c r="E30" s="12">
        <v>1595298</v>
      </c>
      <c r="F30" s="12" t="s">
        <v>13</v>
      </c>
      <c r="G30" s="13">
        <v>20013132</v>
      </c>
      <c r="H30" s="12" t="s">
        <v>33</v>
      </c>
      <c r="I30" s="13">
        <v>1</v>
      </c>
      <c r="J30" s="14">
        <v>8</v>
      </c>
      <c r="K30" s="14">
        <f t="shared" si="0"/>
        <v>8</v>
      </c>
    </row>
    <row r="31" spans="4:11">
      <c r="D31" s="11">
        <v>46130</v>
      </c>
      <c r="E31" s="12">
        <v>1596002</v>
      </c>
      <c r="F31" s="12" t="s">
        <v>13</v>
      </c>
      <c r="G31" s="13">
        <v>20013013</v>
      </c>
      <c r="H31" s="12" t="s">
        <v>27</v>
      </c>
      <c r="I31" s="13">
        <v>9</v>
      </c>
      <c r="J31" s="14">
        <v>8</v>
      </c>
      <c r="K31" s="14">
        <f t="shared" si="0"/>
        <v>72</v>
      </c>
    </row>
    <row r="32" spans="4:11">
      <c r="D32" s="11">
        <v>46130</v>
      </c>
      <c r="E32" s="12">
        <v>1596002</v>
      </c>
      <c r="F32" s="12" t="s">
        <v>13</v>
      </c>
      <c r="G32" s="13">
        <v>20013015</v>
      </c>
      <c r="H32" s="12" t="s">
        <v>28</v>
      </c>
      <c r="I32" s="13">
        <v>4</v>
      </c>
      <c r="J32" s="14">
        <v>8</v>
      </c>
      <c r="K32" s="14">
        <f t="shared" si="0"/>
        <v>32</v>
      </c>
    </row>
    <row r="33" spans="4:11">
      <c r="D33" s="11">
        <v>46130</v>
      </c>
      <c r="E33" s="12">
        <v>1596002</v>
      </c>
      <c r="F33" s="12" t="s">
        <v>13</v>
      </c>
      <c r="G33" s="13">
        <v>20310458</v>
      </c>
      <c r="H33" s="12" t="s">
        <v>38</v>
      </c>
      <c r="I33" s="13">
        <v>1</v>
      </c>
      <c r="J33" s="14">
        <v>16.5</v>
      </c>
      <c r="K33" s="14">
        <f t="shared" si="0"/>
        <v>16.5</v>
      </c>
    </row>
    <row r="34" spans="4:11">
      <c r="D34" s="11">
        <v>46130</v>
      </c>
      <c r="E34" s="12">
        <v>1596002</v>
      </c>
      <c r="F34" s="12" t="s">
        <v>13</v>
      </c>
      <c r="G34" s="13">
        <v>20313829</v>
      </c>
      <c r="H34" s="12" t="s">
        <v>40</v>
      </c>
      <c r="I34" s="13">
        <v>1</v>
      </c>
      <c r="J34" s="14">
        <v>16.5</v>
      </c>
      <c r="K34" s="14">
        <f t="shared" si="0"/>
        <v>16.5</v>
      </c>
    </row>
    <row r="35" spans="4:11">
      <c r="D35" s="11">
        <v>46130</v>
      </c>
      <c r="E35" s="12">
        <v>1596002</v>
      </c>
      <c r="F35" s="12" t="s">
        <v>13</v>
      </c>
      <c r="G35" s="13">
        <v>20013175</v>
      </c>
      <c r="H35" s="12" t="s">
        <v>32</v>
      </c>
      <c r="I35" s="13">
        <v>3</v>
      </c>
      <c r="J35" s="14">
        <v>8</v>
      </c>
      <c r="K35" s="14">
        <f t="shared" si="0"/>
        <v>24</v>
      </c>
    </row>
    <row r="36" spans="4:11">
      <c r="D36" s="11">
        <v>46130</v>
      </c>
      <c r="E36" s="12">
        <v>1596002</v>
      </c>
      <c r="F36" s="12" t="s">
        <v>13</v>
      </c>
      <c r="G36" s="13">
        <v>20013132</v>
      </c>
      <c r="H36" s="12" t="s">
        <v>33</v>
      </c>
      <c r="I36" s="13">
        <v>10</v>
      </c>
      <c r="J36" s="14">
        <v>8</v>
      </c>
      <c r="K36" s="14">
        <f t="shared" si="0"/>
        <v>80</v>
      </c>
    </row>
    <row r="37" spans="4:11">
      <c r="D37" s="11">
        <v>46135</v>
      </c>
      <c r="E37" s="12">
        <v>1597316</v>
      </c>
      <c r="F37" s="12" t="s">
        <v>13</v>
      </c>
      <c r="G37" s="13">
        <v>20013013</v>
      </c>
      <c r="H37" s="12" t="s">
        <v>27</v>
      </c>
      <c r="I37" s="13">
        <v>8</v>
      </c>
      <c r="J37" s="14">
        <v>8</v>
      </c>
      <c r="K37" s="14">
        <f t="shared" si="0"/>
        <v>64</v>
      </c>
    </row>
    <row r="38" spans="4:11">
      <c r="D38" s="11">
        <v>46135</v>
      </c>
      <c r="E38" s="12">
        <v>1597316</v>
      </c>
      <c r="F38" s="12" t="s">
        <v>13</v>
      </c>
      <c r="G38" s="13">
        <v>20013015</v>
      </c>
      <c r="H38" s="12" t="s">
        <v>28</v>
      </c>
      <c r="I38" s="13">
        <v>4</v>
      </c>
      <c r="J38" s="14">
        <v>8</v>
      </c>
      <c r="K38" s="14">
        <f t="shared" si="0"/>
        <v>32</v>
      </c>
    </row>
    <row r="39" spans="4:11">
      <c r="D39" s="11">
        <v>46135</v>
      </c>
      <c r="E39" s="12">
        <v>1597316</v>
      </c>
      <c r="F39" s="12" t="s">
        <v>13</v>
      </c>
      <c r="G39" s="13">
        <v>20312662</v>
      </c>
      <c r="H39" s="12" t="s">
        <v>41</v>
      </c>
      <c r="I39" s="13">
        <v>2</v>
      </c>
      <c r="J39" s="14">
        <v>16.5</v>
      </c>
      <c r="K39" s="14">
        <f t="shared" si="0"/>
        <v>33</v>
      </c>
    </row>
    <row r="40" spans="4:11">
      <c r="D40" s="11">
        <v>46135</v>
      </c>
      <c r="E40" s="12">
        <v>1597316</v>
      </c>
      <c r="F40" s="12" t="s">
        <v>13</v>
      </c>
      <c r="G40" s="13">
        <v>20422631</v>
      </c>
      <c r="H40" s="12" t="s">
        <v>42</v>
      </c>
      <c r="I40" s="13">
        <v>2</v>
      </c>
      <c r="J40" s="15">
        <v>8</v>
      </c>
      <c r="K40" s="14">
        <f t="shared" si="0"/>
        <v>16</v>
      </c>
    </row>
    <row r="41" spans="4:11">
      <c r="D41" s="11">
        <v>46135</v>
      </c>
      <c r="E41" s="12">
        <v>1597316</v>
      </c>
      <c r="F41" s="12" t="s">
        <v>13</v>
      </c>
      <c r="G41" s="13">
        <v>20310458</v>
      </c>
      <c r="H41" s="12" t="s">
        <v>38</v>
      </c>
      <c r="I41" s="13">
        <v>2</v>
      </c>
      <c r="J41" s="14">
        <v>16.5</v>
      </c>
      <c r="K41" s="14">
        <f t="shared" si="0"/>
        <v>33</v>
      </c>
    </row>
    <row r="42" spans="4:11">
      <c r="D42" s="11">
        <v>46135</v>
      </c>
      <c r="E42" s="12">
        <v>1597316</v>
      </c>
      <c r="F42" s="12" t="s">
        <v>13</v>
      </c>
      <c r="G42" s="13">
        <v>20311765</v>
      </c>
      <c r="H42" s="12" t="s">
        <v>43</v>
      </c>
      <c r="I42" s="13">
        <v>1</v>
      </c>
      <c r="J42" s="14">
        <v>16.5</v>
      </c>
      <c r="K42" s="14">
        <f t="shared" ref="K42:K71" si="1">J42*I42</f>
        <v>16.5</v>
      </c>
    </row>
    <row r="43" spans="4:11">
      <c r="D43" s="11">
        <v>46135</v>
      </c>
      <c r="E43" s="12">
        <v>1597316</v>
      </c>
      <c r="F43" s="12" t="s">
        <v>13</v>
      </c>
      <c r="G43" s="13">
        <v>20313306</v>
      </c>
      <c r="H43" s="12" t="s">
        <v>44</v>
      </c>
      <c r="I43" s="13">
        <v>1</v>
      </c>
      <c r="J43" s="14">
        <v>8</v>
      </c>
      <c r="K43" s="14">
        <f t="shared" si="1"/>
        <v>8</v>
      </c>
    </row>
    <row r="44" spans="4:11">
      <c r="D44" s="11">
        <v>46135</v>
      </c>
      <c r="E44" s="12">
        <v>1597316</v>
      </c>
      <c r="F44" s="12" t="s">
        <v>13</v>
      </c>
      <c r="G44" s="13">
        <v>20013175</v>
      </c>
      <c r="H44" s="12" t="s">
        <v>32</v>
      </c>
      <c r="I44" s="13">
        <v>3</v>
      </c>
      <c r="J44" s="14">
        <v>8</v>
      </c>
      <c r="K44" s="14">
        <f t="shared" si="1"/>
        <v>24</v>
      </c>
    </row>
    <row r="45" spans="4:11">
      <c r="D45" s="11">
        <v>46135</v>
      </c>
      <c r="E45" s="12">
        <v>1597316</v>
      </c>
      <c r="F45" s="12" t="s">
        <v>13</v>
      </c>
      <c r="G45" s="13">
        <v>20013132</v>
      </c>
      <c r="H45" s="12" t="s">
        <v>33</v>
      </c>
      <c r="I45" s="13">
        <v>4</v>
      </c>
      <c r="J45" s="14">
        <v>8</v>
      </c>
      <c r="K45" s="14">
        <f t="shared" si="1"/>
        <v>32</v>
      </c>
    </row>
    <row r="46" spans="4:11">
      <c r="D46" s="11">
        <v>46136</v>
      </c>
      <c r="E46" s="12">
        <v>1598062</v>
      </c>
      <c r="F46" s="12" t="s">
        <v>13</v>
      </c>
      <c r="G46" s="13">
        <v>20013013</v>
      </c>
      <c r="H46" s="12" t="s">
        <v>27</v>
      </c>
      <c r="I46" s="13">
        <v>4</v>
      </c>
      <c r="J46" s="14">
        <v>8</v>
      </c>
      <c r="K46" s="14">
        <f t="shared" si="1"/>
        <v>32</v>
      </c>
    </row>
    <row r="47" spans="4:11">
      <c r="D47" s="11">
        <v>46136</v>
      </c>
      <c r="E47" s="12">
        <v>1598062</v>
      </c>
      <c r="F47" s="12" t="s">
        <v>13</v>
      </c>
      <c r="G47" s="13">
        <v>20013015</v>
      </c>
      <c r="H47" s="12" t="s">
        <v>28</v>
      </c>
      <c r="I47" s="13">
        <v>1</v>
      </c>
      <c r="J47" s="14">
        <v>8</v>
      </c>
      <c r="K47" s="14">
        <f t="shared" si="1"/>
        <v>8</v>
      </c>
    </row>
    <row r="48" spans="4:11">
      <c r="D48" s="11">
        <v>46136</v>
      </c>
      <c r="E48" s="12">
        <v>1598062</v>
      </c>
      <c r="F48" s="12" t="s">
        <v>13</v>
      </c>
      <c r="G48" s="13">
        <v>20310458</v>
      </c>
      <c r="H48" s="12" t="s">
        <v>38</v>
      </c>
      <c r="I48" s="13">
        <v>1</v>
      </c>
      <c r="J48" s="14">
        <v>16.5</v>
      </c>
      <c r="K48" s="14">
        <f t="shared" si="1"/>
        <v>16.5</v>
      </c>
    </row>
    <row r="49" spans="4:11">
      <c r="D49" s="11">
        <v>46136</v>
      </c>
      <c r="E49" s="12">
        <v>1598062</v>
      </c>
      <c r="F49" s="12" t="s">
        <v>13</v>
      </c>
      <c r="G49" s="13">
        <v>20311765</v>
      </c>
      <c r="H49" s="12" t="s">
        <v>43</v>
      </c>
      <c r="I49" s="13">
        <v>1</v>
      </c>
      <c r="J49" s="14">
        <v>16.5</v>
      </c>
      <c r="K49" s="14">
        <f t="shared" si="1"/>
        <v>16.5</v>
      </c>
    </row>
    <row r="50" spans="4:11">
      <c r="D50" s="11">
        <v>46136</v>
      </c>
      <c r="E50" s="12">
        <v>1598062</v>
      </c>
      <c r="F50" s="12" t="s">
        <v>13</v>
      </c>
      <c r="G50" s="13">
        <v>20313575</v>
      </c>
      <c r="H50" s="12" t="s">
        <v>39</v>
      </c>
      <c r="I50" s="13">
        <v>1</v>
      </c>
      <c r="J50" s="14">
        <v>16.5</v>
      </c>
      <c r="K50" s="14">
        <f t="shared" si="1"/>
        <v>16.5</v>
      </c>
    </row>
    <row r="51" spans="4:11">
      <c r="D51" s="11">
        <v>46136</v>
      </c>
      <c r="E51" s="12">
        <v>1598062</v>
      </c>
      <c r="F51" s="12" t="s">
        <v>13</v>
      </c>
      <c r="G51" s="13">
        <v>20013175</v>
      </c>
      <c r="H51" s="12" t="s">
        <v>32</v>
      </c>
      <c r="I51" s="13">
        <v>2</v>
      </c>
      <c r="J51" s="14">
        <v>8</v>
      </c>
      <c r="K51" s="14">
        <f t="shared" si="1"/>
        <v>16</v>
      </c>
    </row>
    <row r="52" spans="4:11">
      <c r="D52" s="11">
        <v>46136</v>
      </c>
      <c r="E52" s="12">
        <v>1598062</v>
      </c>
      <c r="F52" s="12" t="s">
        <v>13</v>
      </c>
      <c r="G52" s="13">
        <v>20013132</v>
      </c>
      <c r="H52" s="12" t="s">
        <v>33</v>
      </c>
      <c r="I52" s="13">
        <v>8</v>
      </c>
      <c r="J52" s="14">
        <v>8</v>
      </c>
      <c r="K52" s="14">
        <f t="shared" si="1"/>
        <v>64</v>
      </c>
    </row>
    <row r="53" spans="4:11">
      <c r="D53" s="11">
        <v>46140</v>
      </c>
      <c r="E53" s="12">
        <v>1598583</v>
      </c>
      <c r="F53" s="12" t="s">
        <v>13</v>
      </c>
      <c r="G53" s="13">
        <v>20013013</v>
      </c>
      <c r="H53" s="12" t="s">
        <v>27</v>
      </c>
      <c r="I53" s="13">
        <v>3</v>
      </c>
      <c r="J53" s="14">
        <v>8</v>
      </c>
      <c r="K53" s="14">
        <f t="shared" si="1"/>
        <v>24</v>
      </c>
    </row>
    <row r="54" spans="4:11">
      <c r="D54" s="11">
        <v>46140</v>
      </c>
      <c r="E54" s="12">
        <v>1598583</v>
      </c>
      <c r="F54" s="12" t="s">
        <v>13</v>
      </c>
      <c r="G54" s="13">
        <v>20013015</v>
      </c>
      <c r="H54" s="12" t="s">
        <v>28</v>
      </c>
      <c r="I54" s="13">
        <v>1</v>
      </c>
      <c r="J54" s="14">
        <v>8</v>
      </c>
      <c r="K54" s="14">
        <f t="shared" si="1"/>
        <v>8</v>
      </c>
    </row>
    <row r="55" spans="4:11">
      <c r="D55" s="11">
        <v>46140</v>
      </c>
      <c r="E55" s="12">
        <v>1598583</v>
      </c>
      <c r="F55" s="12" t="s">
        <v>13</v>
      </c>
      <c r="G55" s="13">
        <v>20310339</v>
      </c>
      <c r="H55" s="12" t="s">
        <v>45</v>
      </c>
      <c r="I55" s="13">
        <v>1</v>
      </c>
      <c r="J55" s="14">
        <v>8</v>
      </c>
      <c r="K55" s="14">
        <f t="shared" si="1"/>
        <v>8</v>
      </c>
    </row>
    <row r="56" spans="4:11">
      <c r="D56" s="11">
        <v>46140</v>
      </c>
      <c r="E56" s="12">
        <v>1598583</v>
      </c>
      <c r="F56" s="12" t="s">
        <v>13</v>
      </c>
      <c r="G56" s="13">
        <v>20314913</v>
      </c>
      <c r="H56" s="12" t="s">
        <v>46</v>
      </c>
      <c r="I56" s="13">
        <v>1</v>
      </c>
      <c r="J56" s="14">
        <v>16.5</v>
      </c>
      <c r="K56" s="14">
        <f t="shared" si="1"/>
        <v>16.5</v>
      </c>
    </row>
    <row r="57" spans="4:11">
      <c r="D57" s="11">
        <v>46140</v>
      </c>
      <c r="E57" s="12">
        <v>1598583</v>
      </c>
      <c r="F57" s="12" t="s">
        <v>13</v>
      </c>
      <c r="G57" s="13">
        <v>20314249</v>
      </c>
      <c r="H57" s="12" t="s">
        <v>47</v>
      </c>
      <c r="I57" s="13">
        <v>1</v>
      </c>
      <c r="J57" s="14">
        <v>16.5</v>
      </c>
      <c r="K57" s="14">
        <f t="shared" si="1"/>
        <v>16.5</v>
      </c>
    </row>
    <row r="58" spans="4:11">
      <c r="D58" s="11">
        <v>46140</v>
      </c>
      <c r="E58" s="12">
        <v>1598583</v>
      </c>
      <c r="F58" s="12" t="s">
        <v>13</v>
      </c>
      <c r="G58" s="13">
        <v>20310271</v>
      </c>
      <c r="H58" s="12" t="s">
        <v>31</v>
      </c>
      <c r="I58" s="13">
        <v>1</v>
      </c>
      <c r="J58" s="14">
        <v>8</v>
      </c>
      <c r="K58" s="14">
        <f t="shared" si="1"/>
        <v>8</v>
      </c>
    </row>
    <row r="59" spans="4:11">
      <c r="D59" s="11">
        <v>46140</v>
      </c>
      <c r="E59" s="12">
        <v>1598583</v>
      </c>
      <c r="F59" s="12" t="s">
        <v>13</v>
      </c>
      <c r="G59" s="13">
        <v>20013175</v>
      </c>
      <c r="H59" s="12" t="s">
        <v>32</v>
      </c>
      <c r="I59" s="13">
        <v>2</v>
      </c>
      <c r="J59" s="14">
        <v>8</v>
      </c>
      <c r="K59" s="14">
        <f t="shared" si="1"/>
        <v>16</v>
      </c>
    </row>
    <row r="60" spans="4:11">
      <c r="D60" s="11">
        <v>46140</v>
      </c>
      <c r="E60" s="12">
        <v>1598583</v>
      </c>
      <c r="F60" s="12" t="s">
        <v>13</v>
      </c>
      <c r="G60" s="13">
        <v>20013132</v>
      </c>
      <c r="H60" s="12" t="s">
        <v>33</v>
      </c>
      <c r="I60" s="13">
        <v>7</v>
      </c>
      <c r="J60" s="14">
        <v>8</v>
      </c>
      <c r="K60" s="14">
        <f t="shared" si="1"/>
        <v>56</v>
      </c>
    </row>
    <row r="61" spans="4:11">
      <c r="D61" s="11">
        <v>46142</v>
      </c>
      <c r="E61" s="12">
        <v>1599420</v>
      </c>
      <c r="F61" s="12" t="s">
        <v>13</v>
      </c>
      <c r="G61" s="13">
        <v>20013015</v>
      </c>
      <c r="H61" s="12" t="s">
        <v>28</v>
      </c>
      <c r="I61" s="13">
        <v>3</v>
      </c>
      <c r="J61" s="14">
        <v>8</v>
      </c>
      <c r="K61" s="14">
        <f t="shared" si="1"/>
        <v>24</v>
      </c>
    </row>
    <row r="62" spans="4:11">
      <c r="D62" s="11">
        <v>46142</v>
      </c>
      <c r="E62" s="12">
        <v>1599420</v>
      </c>
      <c r="F62" s="12" t="s">
        <v>13</v>
      </c>
      <c r="G62" s="13">
        <v>20389064</v>
      </c>
      <c r="H62" s="12" t="s">
        <v>48</v>
      </c>
      <c r="I62" s="13">
        <v>1</v>
      </c>
      <c r="J62" s="14">
        <v>11</v>
      </c>
      <c r="K62" s="14">
        <f t="shared" si="1"/>
        <v>11</v>
      </c>
    </row>
    <row r="63" spans="4:11">
      <c r="D63" s="11">
        <v>46142</v>
      </c>
      <c r="E63" s="12">
        <v>1599420</v>
      </c>
      <c r="F63" s="12" t="s">
        <v>13</v>
      </c>
      <c r="G63" s="13">
        <v>20310339</v>
      </c>
      <c r="H63" s="12" t="s">
        <v>45</v>
      </c>
      <c r="I63" s="13">
        <v>1</v>
      </c>
      <c r="J63" s="14">
        <v>8</v>
      </c>
      <c r="K63" s="14">
        <f t="shared" si="1"/>
        <v>8</v>
      </c>
    </row>
    <row r="64" spans="4:11">
      <c r="D64" s="11">
        <v>46142</v>
      </c>
      <c r="E64" s="12">
        <v>1599420</v>
      </c>
      <c r="F64" s="12" t="s">
        <v>13</v>
      </c>
      <c r="G64" s="13">
        <v>20357173</v>
      </c>
      <c r="H64" s="12" t="s">
        <v>49</v>
      </c>
      <c r="I64" s="13">
        <v>1</v>
      </c>
      <c r="J64" s="14">
        <v>8</v>
      </c>
      <c r="K64" s="14">
        <f t="shared" si="1"/>
        <v>8</v>
      </c>
    </row>
    <row r="65" spans="4:11">
      <c r="D65" s="11">
        <v>46142</v>
      </c>
      <c r="E65" s="12">
        <v>1599420</v>
      </c>
      <c r="F65" s="12" t="s">
        <v>13</v>
      </c>
      <c r="G65" s="13">
        <v>20369259</v>
      </c>
      <c r="H65" s="12" t="s">
        <v>50</v>
      </c>
      <c r="I65" s="13">
        <v>1</v>
      </c>
      <c r="J65" s="14">
        <v>16.5</v>
      </c>
      <c r="K65" s="14">
        <f t="shared" si="1"/>
        <v>16.5</v>
      </c>
    </row>
    <row r="66" spans="4:11">
      <c r="D66" s="11">
        <v>46142</v>
      </c>
      <c r="E66" s="12">
        <v>1599420</v>
      </c>
      <c r="F66" s="12" t="s">
        <v>13</v>
      </c>
      <c r="G66" s="13">
        <v>20311038</v>
      </c>
      <c r="H66" s="12" t="s">
        <v>51</v>
      </c>
      <c r="I66" s="13">
        <v>1</v>
      </c>
      <c r="J66" s="14">
        <v>16.5</v>
      </c>
      <c r="K66" s="14">
        <f t="shared" si="1"/>
        <v>16.5</v>
      </c>
    </row>
    <row r="67" spans="4:11">
      <c r="D67" s="11">
        <v>46142</v>
      </c>
      <c r="E67" s="12">
        <v>1599420</v>
      </c>
      <c r="F67" s="12" t="s">
        <v>13</v>
      </c>
      <c r="G67" s="13">
        <v>20311765</v>
      </c>
      <c r="H67" s="12" t="s">
        <v>43</v>
      </c>
      <c r="I67" s="13">
        <v>1</v>
      </c>
      <c r="J67" s="14">
        <v>16.5</v>
      </c>
      <c r="K67" s="14">
        <f t="shared" si="1"/>
        <v>16.5</v>
      </c>
    </row>
    <row r="68" spans="4:11">
      <c r="D68" s="11">
        <v>46142</v>
      </c>
      <c r="E68" s="12">
        <v>1599420</v>
      </c>
      <c r="F68" s="12" t="s">
        <v>13</v>
      </c>
      <c r="G68" s="13">
        <v>20310271</v>
      </c>
      <c r="H68" s="12" t="s">
        <v>31</v>
      </c>
      <c r="I68" s="13">
        <v>2</v>
      </c>
      <c r="J68" s="14">
        <v>8</v>
      </c>
      <c r="K68" s="14">
        <f t="shared" si="1"/>
        <v>16</v>
      </c>
    </row>
    <row r="69" spans="4:11">
      <c r="D69" s="11">
        <v>46142</v>
      </c>
      <c r="E69" s="12">
        <v>1599420</v>
      </c>
      <c r="F69" s="12" t="s">
        <v>13</v>
      </c>
      <c r="G69" s="13">
        <v>20013175</v>
      </c>
      <c r="H69" s="12" t="s">
        <v>32</v>
      </c>
      <c r="I69" s="13">
        <v>5</v>
      </c>
      <c r="J69" s="14">
        <v>8</v>
      </c>
      <c r="K69" s="14">
        <f t="shared" si="1"/>
        <v>40</v>
      </c>
    </row>
    <row r="70" spans="4:11">
      <c r="D70" s="11">
        <v>46142</v>
      </c>
      <c r="E70" s="12">
        <v>1599420</v>
      </c>
      <c r="F70" s="12" t="s">
        <v>13</v>
      </c>
      <c r="G70" s="13">
        <v>20423642</v>
      </c>
      <c r="H70" s="12" t="s">
        <v>52</v>
      </c>
      <c r="I70" s="13">
        <v>1</v>
      </c>
      <c r="J70" s="14">
        <v>27.5</v>
      </c>
      <c r="K70" s="14">
        <f t="shared" si="1"/>
        <v>27.5</v>
      </c>
    </row>
    <row r="71" spans="4:11">
      <c r="D71" s="11">
        <v>46142</v>
      </c>
      <c r="E71" s="12">
        <v>1599420</v>
      </c>
      <c r="F71" s="12" t="s">
        <v>13</v>
      </c>
      <c r="G71" s="13">
        <v>20013132</v>
      </c>
      <c r="H71" s="12" t="s">
        <v>33</v>
      </c>
      <c r="I71" s="13">
        <v>5</v>
      </c>
      <c r="J71" s="14">
        <v>8</v>
      </c>
      <c r="K71" s="14">
        <f t="shared" si="1"/>
        <v>40</v>
      </c>
    </row>
  </sheetData>
  <autoFilter xmlns:etc="http://www.wps.cn/officeDocument/2017/etCustomData" ref="A7:K71" etc:filterBottomFollowUsedRange="0">
    <extLst/>
  </autoFilter>
  <mergeCells count="5">
    <mergeCell ref="D8:H8"/>
    <mergeCell ref="C7:C71"/>
    <mergeCell ref="B4:H5"/>
    <mergeCell ref="A7:B7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&amp;"-,Regular"2026年5月7日 8:17 
&amp;"-,Bold"&amp;10 黑龙江省铂康医疗灭菌有限公司 &amp;R&amp;"Droid Sans Fallback"&amp;9第&amp;P页，共&amp;N页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2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53</v>
      </c>
      <c r="E8" s="8" t="s">
        <v>2</v>
      </c>
      <c r="F8" s="8" t="s">
        <v>2</v>
      </c>
      <c r="G8" s="8" t="s">
        <v>2</v>
      </c>
      <c r="H8" s="8" t="s">
        <v>2</v>
      </c>
      <c r="I8" s="9">
        <v>41</v>
      </c>
      <c r="J8" s="10"/>
      <c r="K8" s="10">
        <v>362</v>
      </c>
    </row>
    <row r="9" spans="1:11">
      <c r="D9" s="11">
        <v>46113</v>
      </c>
      <c r="E9" s="12">
        <v>1591254</v>
      </c>
      <c r="F9" s="12" t="s">
        <v>13</v>
      </c>
      <c r="G9" s="13">
        <v>20013013</v>
      </c>
      <c r="H9" s="12" t="s">
        <v>27</v>
      </c>
      <c r="I9" s="13">
        <v>5</v>
      </c>
      <c r="J9" s="14">
        <v>8</v>
      </c>
      <c r="K9" s="14">
        <v>40</v>
      </c>
    </row>
    <row r="10" spans="1:11">
      <c r="D10" s="11">
        <v>46113</v>
      </c>
      <c r="E10" s="12">
        <v>1591254</v>
      </c>
      <c r="F10" s="12" t="s">
        <v>13</v>
      </c>
      <c r="G10" s="13">
        <v>20013015</v>
      </c>
      <c r="H10" s="12" t="s">
        <v>28</v>
      </c>
      <c r="I10" s="13">
        <v>3</v>
      </c>
      <c r="J10" s="14">
        <v>8</v>
      </c>
      <c r="K10" s="14">
        <v>24</v>
      </c>
    </row>
    <row r="11" spans="1:11">
      <c r="D11" s="11">
        <v>46113</v>
      </c>
      <c r="E11" s="12">
        <v>1591254</v>
      </c>
      <c r="F11" s="12" t="s">
        <v>13</v>
      </c>
      <c r="G11" s="13">
        <v>20310339</v>
      </c>
      <c r="H11" s="12" t="s">
        <v>45</v>
      </c>
      <c r="I11" s="13">
        <v>1</v>
      </c>
      <c r="J11" s="14">
        <v>8</v>
      </c>
      <c r="K11" s="14">
        <v>8</v>
      </c>
    </row>
    <row r="12" spans="1:11">
      <c r="D12" s="11">
        <v>46113</v>
      </c>
      <c r="E12" s="12">
        <v>1591254</v>
      </c>
      <c r="F12" s="12" t="s">
        <v>13</v>
      </c>
      <c r="G12" s="13">
        <v>20311765</v>
      </c>
      <c r="H12" s="12" t="s">
        <v>43</v>
      </c>
      <c r="I12" s="13">
        <v>1</v>
      </c>
      <c r="J12" s="14">
        <v>16.5</v>
      </c>
      <c r="K12" s="14">
        <v>16.5</v>
      </c>
    </row>
    <row r="13" spans="1:11">
      <c r="D13" s="11">
        <v>46113</v>
      </c>
      <c r="E13" s="12">
        <v>1591254</v>
      </c>
      <c r="F13" s="12" t="s">
        <v>13</v>
      </c>
      <c r="G13" s="13">
        <v>20310271</v>
      </c>
      <c r="H13" s="12" t="s">
        <v>31</v>
      </c>
      <c r="I13" s="13">
        <v>1</v>
      </c>
      <c r="J13" s="14">
        <v>8</v>
      </c>
      <c r="K13" s="14">
        <v>8</v>
      </c>
    </row>
    <row r="14" spans="1:11">
      <c r="D14" s="11">
        <v>46113</v>
      </c>
      <c r="E14" s="12">
        <v>1591254</v>
      </c>
      <c r="F14" s="12" t="s">
        <v>13</v>
      </c>
      <c r="G14" s="13">
        <v>20013132</v>
      </c>
      <c r="H14" s="12" t="s">
        <v>33</v>
      </c>
      <c r="I14" s="13">
        <v>2</v>
      </c>
      <c r="J14" s="14">
        <v>8</v>
      </c>
      <c r="K14" s="14">
        <v>16</v>
      </c>
    </row>
    <row r="15" spans="1:11">
      <c r="D15" s="11">
        <v>46116</v>
      </c>
      <c r="E15" s="12">
        <v>1592042</v>
      </c>
      <c r="F15" s="12" t="s">
        <v>13</v>
      </c>
      <c r="G15" s="13">
        <v>20013013</v>
      </c>
      <c r="H15" s="12" t="s">
        <v>27</v>
      </c>
      <c r="I15" s="13">
        <v>1</v>
      </c>
      <c r="J15" s="14">
        <v>8</v>
      </c>
      <c r="K15" s="14">
        <v>8</v>
      </c>
    </row>
    <row r="16" spans="1:11">
      <c r="D16" s="11">
        <v>46116</v>
      </c>
      <c r="E16" s="12">
        <v>1592042</v>
      </c>
      <c r="F16" s="12" t="s">
        <v>13</v>
      </c>
      <c r="G16" s="13">
        <v>20013015</v>
      </c>
      <c r="H16" s="12" t="s">
        <v>28</v>
      </c>
      <c r="I16" s="13">
        <v>4</v>
      </c>
      <c r="J16" s="14">
        <v>8</v>
      </c>
      <c r="K16" s="14">
        <v>32</v>
      </c>
    </row>
    <row r="17" spans="4:11">
      <c r="D17" s="11">
        <v>46116</v>
      </c>
      <c r="E17" s="12">
        <v>1592042</v>
      </c>
      <c r="F17" s="12" t="s">
        <v>13</v>
      </c>
      <c r="G17" s="13">
        <v>20310339</v>
      </c>
      <c r="H17" s="12" t="s">
        <v>45</v>
      </c>
      <c r="I17" s="13">
        <v>2</v>
      </c>
      <c r="J17" s="14">
        <v>8</v>
      </c>
      <c r="K17" s="14">
        <v>16</v>
      </c>
    </row>
    <row r="18" spans="4:11">
      <c r="D18" s="11">
        <v>46116</v>
      </c>
      <c r="E18" s="12">
        <v>1592042</v>
      </c>
      <c r="F18" s="12" t="s">
        <v>13</v>
      </c>
      <c r="G18" s="13">
        <v>20357173</v>
      </c>
      <c r="H18" s="12" t="s">
        <v>49</v>
      </c>
      <c r="I18" s="13">
        <v>1</v>
      </c>
      <c r="J18" s="14">
        <v>8</v>
      </c>
      <c r="K18" s="14">
        <v>8</v>
      </c>
    </row>
    <row r="19" spans="4:11">
      <c r="D19" s="11">
        <v>46116</v>
      </c>
      <c r="E19" s="12">
        <v>1592042</v>
      </c>
      <c r="F19" s="12" t="s">
        <v>13</v>
      </c>
      <c r="G19" s="13">
        <v>20312185</v>
      </c>
      <c r="H19" s="12" t="s">
        <v>54</v>
      </c>
      <c r="I19" s="13">
        <v>1</v>
      </c>
      <c r="J19" s="14">
        <v>16.5</v>
      </c>
      <c r="K19" s="14">
        <v>16.5</v>
      </c>
    </row>
    <row r="20" spans="4:11">
      <c r="D20" s="11">
        <v>46116</v>
      </c>
      <c r="E20" s="12">
        <v>1592042</v>
      </c>
      <c r="F20" s="12" t="s">
        <v>13</v>
      </c>
      <c r="G20" s="13">
        <v>20310271</v>
      </c>
      <c r="H20" s="12" t="s">
        <v>31</v>
      </c>
      <c r="I20" s="13">
        <v>2</v>
      </c>
      <c r="J20" s="14">
        <v>8</v>
      </c>
      <c r="K20" s="14">
        <v>16</v>
      </c>
    </row>
    <row r="21" spans="4:11">
      <c r="D21" s="11">
        <v>46116</v>
      </c>
      <c r="E21" s="12">
        <v>1592042</v>
      </c>
      <c r="F21" s="12" t="s">
        <v>13</v>
      </c>
      <c r="G21" s="13">
        <v>20013175</v>
      </c>
      <c r="H21" s="12" t="s">
        <v>32</v>
      </c>
      <c r="I21" s="13">
        <v>1</v>
      </c>
      <c r="J21" s="14">
        <v>8</v>
      </c>
      <c r="K21" s="14">
        <v>8</v>
      </c>
    </row>
    <row r="22" spans="4:11">
      <c r="D22" s="11">
        <v>46116</v>
      </c>
      <c r="E22" s="12">
        <v>1592042</v>
      </c>
      <c r="F22" s="12" t="s">
        <v>13</v>
      </c>
      <c r="G22" s="13">
        <v>20013132</v>
      </c>
      <c r="H22" s="12" t="s">
        <v>33</v>
      </c>
      <c r="I22" s="13">
        <v>7</v>
      </c>
      <c r="J22" s="14">
        <v>8</v>
      </c>
      <c r="K22" s="14">
        <v>56</v>
      </c>
    </row>
    <row r="23" spans="4:11">
      <c r="D23" s="11">
        <v>46121</v>
      </c>
      <c r="E23" s="12">
        <v>1593090</v>
      </c>
      <c r="F23" s="12" t="s">
        <v>13</v>
      </c>
      <c r="G23" s="13">
        <v>20013013</v>
      </c>
      <c r="H23" s="12" t="s">
        <v>27</v>
      </c>
      <c r="I23" s="13">
        <v>2</v>
      </c>
      <c r="J23" s="14">
        <v>8</v>
      </c>
      <c r="K23" s="14">
        <v>16</v>
      </c>
    </row>
    <row r="24" spans="4:11">
      <c r="D24" s="11">
        <v>46121</v>
      </c>
      <c r="E24" s="12">
        <v>1593090</v>
      </c>
      <c r="F24" s="12" t="s">
        <v>13</v>
      </c>
      <c r="G24" s="13">
        <v>20312662</v>
      </c>
      <c r="H24" s="12" t="s">
        <v>41</v>
      </c>
      <c r="I24" s="13">
        <v>1</v>
      </c>
      <c r="J24" s="14">
        <v>16.5</v>
      </c>
      <c r="K24" s="14">
        <v>16.5</v>
      </c>
    </row>
    <row r="25" spans="4:11">
      <c r="D25" s="11">
        <v>46121</v>
      </c>
      <c r="E25" s="12">
        <v>1593090</v>
      </c>
      <c r="F25" s="12" t="s">
        <v>13</v>
      </c>
      <c r="G25" s="13">
        <v>20311038</v>
      </c>
      <c r="H25" s="12" t="s">
        <v>51</v>
      </c>
      <c r="I25" s="13">
        <v>1</v>
      </c>
      <c r="J25" s="14">
        <v>16.5</v>
      </c>
      <c r="K25" s="14">
        <v>16.5</v>
      </c>
    </row>
    <row r="26" spans="4:11">
      <c r="D26" s="11">
        <v>46121</v>
      </c>
      <c r="E26" s="12">
        <v>1593090</v>
      </c>
      <c r="F26" s="12" t="s">
        <v>13</v>
      </c>
      <c r="G26" s="13">
        <v>20310271</v>
      </c>
      <c r="H26" s="12" t="s">
        <v>31</v>
      </c>
      <c r="I26" s="13">
        <v>2</v>
      </c>
      <c r="J26" s="14">
        <v>8</v>
      </c>
      <c r="K26" s="14">
        <v>16</v>
      </c>
    </row>
    <row r="27" spans="4:11">
      <c r="D27" s="11">
        <v>46121</v>
      </c>
      <c r="E27" s="12">
        <v>1593090</v>
      </c>
      <c r="F27" s="12" t="s">
        <v>13</v>
      </c>
      <c r="G27" s="13">
        <v>20013132</v>
      </c>
      <c r="H27" s="12" t="s">
        <v>33</v>
      </c>
      <c r="I27" s="13">
        <v>3</v>
      </c>
      <c r="J27" s="14">
        <v>8</v>
      </c>
      <c r="K27" s="14">
        <v>24</v>
      </c>
    </row>
  </sheetData>
  <autoFilter xmlns:etc="http://www.wps.cn/officeDocument/2017/etCustomData" ref="A7:K27" etc:filterBottomFollowUsedRange="0">
    <extLst/>
  </autoFilter>
  <mergeCells count="5">
    <mergeCell ref="D8:H8"/>
    <mergeCell ref="C7:C27"/>
    <mergeCell ref="B4:H5"/>
    <mergeCell ref="A7:B27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&amp;"-,Regular"2026年5月7日 8:17 
&amp;"-,Bold"&amp;10 黑龙江省铂康医疗灭菌有限公司 &amp;R&amp;"Droid Sans Fallback"&amp;9第&amp;P页，共&amp;N页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N29" sqref="N29:N3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55</v>
      </c>
      <c r="E8" s="8" t="s">
        <v>2</v>
      </c>
      <c r="F8" s="8" t="s">
        <v>2</v>
      </c>
      <c r="G8" s="8" t="s">
        <v>2</v>
      </c>
      <c r="H8" s="8" t="s">
        <v>2</v>
      </c>
      <c r="I8" s="9">
        <v>1</v>
      </c>
      <c r="J8" s="10"/>
      <c r="K8" s="10">
        <v>16.5</v>
      </c>
    </row>
    <row r="9" spans="1:11">
      <c r="D9" s="11">
        <v>46140</v>
      </c>
      <c r="E9" s="12">
        <v>1598584</v>
      </c>
      <c r="F9" s="12" t="s">
        <v>13</v>
      </c>
      <c r="G9" s="13">
        <v>20014719</v>
      </c>
      <c r="H9" s="12" t="s">
        <v>56</v>
      </c>
      <c r="I9" s="13">
        <v>1</v>
      </c>
      <c r="J9" s="14">
        <v>16.5</v>
      </c>
      <c r="K9" s="14">
        <v>16.5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&amp;"-,Regular"2026年5月7日 8:17 
&amp;"-,Bold"&amp;10 黑龙江省铂康医疗灭菌有限公司 &amp;R&amp;"Droid Sans Fallback"&amp;9第&amp;P页，共&amp;N页 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57</v>
      </c>
      <c r="E8" s="8" t="s">
        <v>2</v>
      </c>
      <c r="F8" s="8" t="s">
        <v>2</v>
      </c>
      <c r="G8" s="8" t="s">
        <v>2</v>
      </c>
      <c r="H8" s="8" t="s">
        <v>2</v>
      </c>
      <c r="I8" s="9">
        <v>3</v>
      </c>
      <c r="J8" s="10"/>
      <c r="K8" s="10">
        <v>528</v>
      </c>
    </row>
    <row r="9" spans="1:11">
      <c r="D9" s="11">
        <v>46133</v>
      </c>
      <c r="E9" s="12">
        <v>1596552</v>
      </c>
      <c r="F9" s="12" t="s">
        <v>58</v>
      </c>
      <c r="G9" s="13">
        <v>20012804</v>
      </c>
      <c r="H9" s="12" t="s">
        <v>59</v>
      </c>
      <c r="I9" s="13">
        <v>1</v>
      </c>
      <c r="J9" s="14">
        <v>352</v>
      </c>
      <c r="K9" s="14">
        <v>352</v>
      </c>
    </row>
    <row r="10" spans="1:11">
      <c r="D10" s="11">
        <v>46133</v>
      </c>
      <c r="E10" s="12">
        <v>1596552</v>
      </c>
      <c r="F10" s="12" t="s">
        <v>58</v>
      </c>
      <c r="G10" s="13">
        <v>20012970</v>
      </c>
      <c r="H10" s="12" t="s">
        <v>60</v>
      </c>
      <c r="I10" s="13">
        <v>1</v>
      </c>
      <c r="J10" s="14">
        <v>154</v>
      </c>
      <c r="K10" s="14">
        <v>154</v>
      </c>
    </row>
    <row r="11" ht="25.5" spans="1:11">
      <c r="D11" s="11">
        <v>46133</v>
      </c>
      <c r="E11" s="12">
        <v>1596552</v>
      </c>
      <c r="F11" s="12" t="s">
        <v>16</v>
      </c>
      <c r="G11" s="13">
        <v>20012992</v>
      </c>
      <c r="H11" s="12" t="s">
        <v>61</v>
      </c>
      <c r="I11" s="13">
        <v>1</v>
      </c>
      <c r="J11" s="14">
        <v>22</v>
      </c>
      <c r="K11" s="14">
        <v>22</v>
      </c>
    </row>
  </sheetData>
  <mergeCells count="5">
    <mergeCell ref="D8:H8"/>
    <mergeCell ref="C7:C11"/>
    <mergeCell ref="B4:H5"/>
    <mergeCell ref="A7:B1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&amp;"-,Regular"2026年5月7日 8:17 
&amp;"-,Bold"&amp;10 黑龙江省铂康医疗灭菌有限公司 &amp;R&amp;"Droid Sans Fallback"&amp;9第&amp;P页，共&amp;N页 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62</v>
      </c>
      <c r="E8" s="8" t="s">
        <v>2</v>
      </c>
      <c r="F8" s="8" t="s">
        <v>2</v>
      </c>
      <c r="G8" s="8" t="s">
        <v>2</v>
      </c>
      <c r="H8" s="8" t="s">
        <v>2</v>
      </c>
      <c r="I8" s="9">
        <v>3</v>
      </c>
      <c r="J8" s="10"/>
      <c r="K8" s="10">
        <v>29.5</v>
      </c>
    </row>
    <row r="9" spans="1:11">
      <c r="D9" s="11">
        <v>46125</v>
      </c>
      <c r="E9" s="12">
        <v>1594425</v>
      </c>
      <c r="F9" s="12" t="s">
        <v>13</v>
      </c>
      <c r="G9" s="13">
        <v>20358641</v>
      </c>
      <c r="H9" s="12" t="s">
        <v>63</v>
      </c>
      <c r="I9" s="13">
        <v>2</v>
      </c>
      <c r="J9" s="14">
        <v>8</v>
      </c>
      <c r="K9" s="14">
        <v>16</v>
      </c>
    </row>
    <row r="10" spans="1:11">
      <c r="D10" s="11">
        <v>46125</v>
      </c>
      <c r="E10" s="12">
        <v>1594425</v>
      </c>
      <c r="F10" s="12" t="s">
        <v>13</v>
      </c>
      <c r="G10" s="13">
        <v>20358642</v>
      </c>
      <c r="H10" s="12" t="s">
        <v>64</v>
      </c>
      <c r="I10" s="13">
        <v>1</v>
      </c>
      <c r="J10" s="14">
        <v>13.5</v>
      </c>
      <c r="K10" s="14">
        <v>13.5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&amp;"-,Regular"2026年5月7日 8:17 
&amp;"-,Bold"&amp;10 黑龙江省铂康医疗灭菌有限公司 &amp;R&amp;"Droid Sans Fallback"&amp;9第&amp;P页，共&amp;N页 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65</v>
      </c>
      <c r="E8" s="8" t="s">
        <v>2</v>
      </c>
      <c r="F8" s="8" t="s">
        <v>2</v>
      </c>
      <c r="G8" s="8" t="s">
        <v>2</v>
      </c>
      <c r="H8" s="8" t="s">
        <v>2</v>
      </c>
      <c r="I8" s="9">
        <v>10</v>
      </c>
      <c r="J8" s="10"/>
      <c r="K8" s="10">
        <v>152</v>
      </c>
    </row>
    <row r="9" spans="1:11">
      <c r="D9" s="11">
        <v>46116</v>
      </c>
      <c r="E9" s="12">
        <v>1592043</v>
      </c>
      <c r="F9" s="12" t="s">
        <v>13</v>
      </c>
      <c r="G9" s="13">
        <v>20347412</v>
      </c>
      <c r="H9" s="12" t="s">
        <v>66</v>
      </c>
      <c r="I9" s="13">
        <v>6</v>
      </c>
      <c r="J9" s="14">
        <v>8</v>
      </c>
      <c r="K9" s="14">
        <v>48</v>
      </c>
    </row>
    <row r="10" spans="1:11">
      <c r="D10" s="11">
        <v>46116</v>
      </c>
      <c r="E10" s="12">
        <v>1592043</v>
      </c>
      <c r="F10" s="12" t="s">
        <v>13</v>
      </c>
      <c r="G10" s="13">
        <v>20347413</v>
      </c>
      <c r="H10" s="12" t="s">
        <v>67</v>
      </c>
      <c r="I10" s="13">
        <v>2</v>
      </c>
      <c r="J10" s="14">
        <v>13.5</v>
      </c>
      <c r="K10" s="14">
        <v>27</v>
      </c>
    </row>
    <row r="11" spans="1:11">
      <c r="D11" s="11">
        <v>46116</v>
      </c>
      <c r="E11" s="12">
        <v>1592043</v>
      </c>
      <c r="F11" s="12" t="s">
        <v>20</v>
      </c>
      <c r="G11" s="13">
        <v>20343697</v>
      </c>
      <c r="H11" s="12" t="s">
        <v>68</v>
      </c>
      <c r="I11" s="13">
        <v>2</v>
      </c>
      <c r="J11" s="14">
        <v>38.5</v>
      </c>
      <c r="K11" s="14">
        <v>77</v>
      </c>
    </row>
  </sheetData>
  <mergeCells count="5">
    <mergeCell ref="D8:H8"/>
    <mergeCell ref="C7:C11"/>
    <mergeCell ref="B4:H5"/>
    <mergeCell ref="A7:B1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&amp;"-,Regular"2026年5月7日 8:17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耳鼻喉</vt:lpstr>
      <vt:lpstr>妇科</vt:lpstr>
      <vt:lpstr>口腔（群力分院）</vt:lpstr>
      <vt:lpstr>口腔科</vt:lpstr>
      <vt:lpstr>神内二</vt:lpstr>
      <vt:lpstr>手术室</vt:lpstr>
      <vt:lpstr>物理诊断</vt:lpstr>
      <vt:lpstr>眼科门诊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2026-05-07T00:17:00Z</dcterms:created>
  <dcterms:modified xsi:type="dcterms:W3CDTF">2026-05-11T06:24:48Z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89B4A09408DF493B9F7B4EB0C15F377D_13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