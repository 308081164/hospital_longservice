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<sst xmlns="http://schemas.openxmlformats.org/spreadsheetml/2006/main" count="51" uniqueCount="20">
  <si>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</si>
  <si>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</si>
  <si>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</si>
  <si>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哈尔滨华夏眼科医院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</si>
  <si>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</si>
  <si>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</si>
  <si>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</si>
  <si>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</si>
  <si>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</si>
  <si>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</si>
  <si>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</si>
  <si>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</si>
  <si>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</si>
  <si>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</si>
  <si>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持物桶-2/Z2044</t>
  </si>
  <si>
    <t>弯盘-2/Z2032</t>
  </si>
  <si>
    <t>无菌缸-1/Z2530</t>
  </si>
  <si>
    <t>额外包(无纺布)</t>
  </si>
  <si>
    <t>ICL器械-8件（盒1）/W6050</t>
  </si>
  <si>
    <t>屈光器械盘（周）-15盒1/W6050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</si>
</sst>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I26" sqref="I26:J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6.475" customWidth="1"/>
    <col min="11" max="11" width="12.2083333333333" customWidth="1"/>
    <col min="12" max="12" width="12.8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</row>
    <row r="8" ht="15" spans="2:12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6" t="s">
        <v>2</v>
      </c>
      <c r="J8" s="7"/>
      <c r="K8" s="8"/>
      <c r="L8" s="8"/>
    </row>
    <row r="9" spans="2:12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6" t="s">
        <v>2</v>
      </c>
      <c r="J9" s="9" t="s">
        <v>9</v>
      </c>
      <c r="K9" s="9" t="s">
        <v>10</v>
      </c>
      <c r="L9" s="9" t="s">
        <v>11</v>
      </c>
    </row>
    <row r="10" ht="14.25" spans="2:12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6" t="s">
        <v>2</v>
      </c>
      <c r="J10" s="11">
        <v>11</v>
      </c>
      <c r="K10" s="12"/>
      <c r="L10" s="12">
        <v>252.5</v>
      </c>
    </row>
    <row r="11" spans="2:12">
      <c r="D11" s="13">
        <v>46167</v>
      </c>
      <c r="E11" s="14">
        <v>1606214</v>
      </c>
      <c r="F11" s="14" t="s">
        <v>13</v>
      </c>
      <c r="G11" s="9">
        <v>20361908</v>
      </c>
      <c r="H11" s="14" t="s">
        <v>14</v>
      </c>
      <c r="I11" s="6" t="s">
        <v>2</v>
      </c>
      <c r="J11" s="9">
        <v>3</v>
      </c>
      <c r="K11" s="15">
        <v>16.5</v>
      </c>
      <c r="L11" s="15">
        <v>49.5</v>
      </c>
    </row>
    <row r="12" spans="2:12">
      <c r="D12" s="13">
        <v>46167</v>
      </c>
      <c r="E12" s="14">
        <v>1606214</v>
      </c>
      <c r="F12" s="14" t="s">
        <v>13</v>
      </c>
      <c r="G12" s="9">
        <v>20410630</v>
      </c>
      <c r="H12" s="14" t="s">
        <v>15</v>
      </c>
      <c r="I12" s="6" t="s">
        <v>2</v>
      </c>
      <c r="J12" s="9">
        <v>3</v>
      </c>
      <c r="K12" s="15">
        <v>16.5</v>
      </c>
      <c r="L12" s="15">
        <v>49.5</v>
      </c>
    </row>
    <row r="13" spans="2:12">
      <c r="D13" s="13">
        <v>46167</v>
      </c>
      <c r="E13" s="14">
        <v>1606214</v>
      </c>
      <c r="F13" s="14" t="s">
        <v>13</v>
      </c>
      <c r="G13" s="9">
        <v>20416367</v>
      </c>
      <c r="H13" s="14" t="s">
        <v>16</v>
      </c>
      <c r="I13" s="6" t="s">
        <v>2</v>
      </c>
      <c r="J13" s="9">
        <v>1</v>
      </c>
      <c r="K13" s="15">
        <v>16</v>
      </c>
      <c r="L13" s="15">
        <v>16</v>
      </c>
    </row>
    <row r="14" spans="2:12">
      <c r="D14" s="13">
        <v>46167</v>
      </c>
      <c r="E14" s="14">
        <v>1606214</v>
      </c>
      <c r="F14" s="14" t="s">
        <v>17</v>
      </c>
      <c r="G14" s="9">
        <v>20389334</v>
      </c>
      <c r="H14" s="14" t="s">
        <v>18</v>
      </c>
      <c r="I14" s="6" t="s">
        <v>2</v>
      </c>
      <c r="J14" s="9">
        <v>2</v>
      </c>
      <c r="K14" s="15">
        <f>9*2.75</f>
        <v>24.75</v>
      </c>
      <c r="L14" s="15">
        <f>K14*J14</f>
        <v>49.5</v>
      </c>
    </row>
    <row r="15" spans="2:12">
      <c r="D15" s="13">
        <v>46167</v>
      </c>
      <c r="E15" s="14">
        <v>1606214</v>
      </c>
      <c r="F15" s="14" t="s">
        <v>17</v>
      </c>
      <c r="G15" s="9">
        <v>20374346</v>
      </c>
      <c r="H15" s="14" t="s">
        <v>19</v>
      </c>
      <c r="I15" s="6" t="s">
        <v>2</v>
      </c>
      <c r="J15" s="9">
        <v>2</v>
      </c>
      <c r="K15" s="15">
        <f>16*2.75</f>
        <v>44</v>
      </c>
      <c r="L15" s="15">
        <v>88</v>
      </c>
    </row>
  </sheetData>
  <mergeCells count="12">
    <mergeCell ref="D8:I8"/>
    <mergeCell ref="H9:I9"/>
    <mergeCell ref="D10:I10"/>
    <mergeCell ref="H11:I11"/>
    <mergeCell ref="H12:I12"/>
    <mergeCell ref="H13:I13"/>
    <mergeCell ref="H14:I14"/>
    <mergeCell ref="H15:I15"/>
    <mergeCell ref="C9:C15"/>
    <mergeCell ref="C1:I2"/>
    <mergeCell ref="B4:H5"/>
    <mergeCell ref="A8:B1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10:46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2026-06-02T02:46:00Z</dcterms:created>
  <dcterms:modified xsi:type="dcterms:W3CDTF">2026-06-02T06:43:43Z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C757DEE6D1BA4490AB1630DB8813A755_12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