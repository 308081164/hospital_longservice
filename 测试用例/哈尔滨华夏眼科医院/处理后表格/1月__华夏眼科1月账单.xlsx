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<sst xmlns="http://schemas.openxmlformats.org/spreadsheetml/2006/main" count="48" uniqueCount="23">
  <si>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</si>
  <si>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</si>
  <si>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</si>
  <si>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哈尔滨华夏眼科医院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</si>
  <si>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</si>
  <si>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</si>
  <si>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</si>
  <si>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</si>
  <si>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</si>
  <si>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</si>
  <si>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</si>
  <si>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</si>
  <si>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</si>
  <si>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</si>
  <si>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持物桶-2/Z2044</t>
  </si>
  <si>
    <t>屈光交联器械-2件（盒1）/Z1026</t>
  </si>
  <si>
    <t>弯盘-2/Z2032</t>
  </si>
  <si>
    <t>额外包(无纺布)</t>
  </si>
  <si>
    <t>ICL器械-8件（盒1）/W6050</t>
  </si>
  <si>
    <t>ICL器械-9件（盒1）/W6050</t>
  </si>
  <si>
    <t>虹膜恢复器-10件/W6050</t>
  </si>
  <si>
    <t>屈光器械盘（钩镊）-17盒1/W6050</t>
  </si>
  <si>
    <t>屈光器械盘（周）-15盒1/W6050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</si>
</sst>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O27" sqref="O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.875" customWidth="1"/>
    <col min="10" max="10" width="10.375" customWidth="1"/>
    <col min="11" max="11" width="12.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24</v>
      </c>
      <c r="J10" s="12"/>
      <c r="K10" s="12">
        <v>527.75</v>
      </c>
    </row>
    <row r="11" spans="2:11">
      <c r="D11" s="13">
        <v>46048</v>
      </c>
      <c r="E11" s="14">
        <v>1573683</v>
      </c>
      <c r="F11" s="14" t="s">
        <v>13</v>
      </c>
      <c r="G11" s="9">
        <v>20361908</v>
      </c>
      <c r="H11" s="14" t="s">
        <v>14</v>
      </c>
      <c r="I11" s="9">
        <v>3</v>
      </c>
      <c r="J11" s="15">
        <v>16.5</v>
      </c>
      <c r="K11" s="15">
        <f>J11*I11</f>
        <v>49.5</v>
      </c>
    </row>
    <row r="12" spans="2:11">
      <c r="D12" s="13">
        <v>46048</v>
      </c>
      <c r="E12" s="14">
        <v>1573683</v>
      </c>
      <c r="F12" s="14" t="s">
        <v>13</v>
      </c>
      <c r="G12" s="9">
        <v>20410628</v>
      </c>
      <c r="H12" s="14" t="s">
        <v>15</v>
      </c>
      <c r="I12" s="9">
        <v>1</v>
      </c>
      <c r="J12" s="15">
        <v>13.5</v>
      </c>
      <c r="K12" s="15">
        <f t="shared" ref="K12:K18" si="0">J12*I12</f>
        <v>13.5</v>
      </c>
    </row>
    <row r="13" spans="2:11">
      <c r="D13" s="13">
        <v>46048</v>
      </c>
      <c r="E13" s="14">
        <v>1573683</v>
      </c>
      <c r="F13" s="14" t="s">
        <v>13</v>
      </c>
      <c r="G13" s="9">
        <v>20410630</v>
      </c>
      <c r="H13" s="14" t="s">
        <v>16</v>
      </c>
      <c r="I13" s="9">
        <v>12</v>
      </c>
      <c r="J13" s="15">
        <v>16.5</v>
      </c>
      <c r="K13" s="15">
        <f t="shared" si="0"/>
        <v>198</v>
      </c>
    </row>
    <row r="14" spans="2:11">
      <c r="D14" s="13">
        <v>46048</v>
      </c>
      <c r="E14" s="14">
        <v>1573683</v>
      </c>
      <c r="F14" s="14" t="s">
        <v>17</v>
      </c>
      <c r="G14" s="9">
        <v>20389334</v>
      </c>
      <c r="H14" s="14" t="s">
        <v>18</v>
      </c>
      <c r="I14" s="9">
        <v>2</v>
      </c>
      <c r="J14" s="15">
        <f>9*2.75</f>
        <v>24.75</v>
      </c>
      <c r="K14" s="15">
        <f t="shared" si="0"/>
        <v>49.5</v>
      </c>
    </row>
    <row r="15" spans="2:11">
      <c r="D15" s="13">
        <v>46048</v>
      </c>
      <c r="E15" s="14">
        <v>1573683</v>
      </c>
      <c r="F15" s="14" t="s">
        <v>17</v>
      </c>
      <c r="G15" s="9">
        <v>20406842</v>
      </c>
      <c r="H15" s="14" t="s">
        <v>19</v>
      </c>
      <c r="I15" s="9">
        <v>2</v>
      </c>
      <c r="J15" s="15">
        <f>10*2.75</f>
        <v>27.5</v>
      </c>
      <c r="K15" s="15">
        <f t="shared" si="0"/>
        <v>55</v>
      </c>
    </row>
    <row r="16" spans="2:11">
      <c r="D16" s="13">
        <v>46048</v>
      </c>
      <c r="E16" s="14">
        <v>1573683</v>
      </c>
      <c r="F16" s="14" t="s">
        <v>17</v>
      </c>
      <c r="G16" s="9">
        <v>20410629</v>
      </c>
      <c r="H16" s="14" t="s">
        <v>20</v>
      </c>
      <c r="I16" s="9">
        <v>1</v>
      </c>
      <c r="J16" s="15">
        <f>10*2.75</f>
        <v>27.5</v>
      </c>
      <c r="K16" s="15">
        <f t="shared" si="0"/>
        <v>27.5</v>
      </c>
    </row>
    <row r="17" spans="4:11">
      <c r="D17" s="13">
        <v>46048</v>
      </c>
      <c r="E17" s="14">
        <v>1573683</v>
      </c>
      <c r="F17" s="14" t="s">
        <v>17</v>
      </c>
      <c r="G17" s="9">
        <v>20410627</v>
      </c>
      <c r="H17" s="14" t="s">
        <v>21</v>
      </c>
      <c r="I17" s="9">
        <v>1</v>
      </c>
      <c r="J17" s="15">
        <f>17*2.75</f>
        <v>46.75</v>
      </c>
      <c r="K17" s="15">
        <f t="shared" si="0"/>
        <v>46.75</v>
      </c>
    </row>
    <row r="18" spans="4:11">
      <c r="D18" s="13">
        <v>46048</v>
      </c>
      <c r="E18" s="14">
        <v>1573683</v>
      </c>
      <c r="F18" s="14" t="s">
        <v>17</v>
      </c>
      <c r="G18" s="9">
        <v>20374346</v>
      </c>
      <c r="H18" s="14" t="s">
        <v>22</v>
      </c>
      <c r="I18" s="9">
        <v>2</v>
      </c>
      <c r="J18" s="15">
        <f>16*2.75</f>
        <v>44</v>
      </c>
      <c r="K18" s="15">
        <f t="shared" si="0"/>
        <v>88</v>
      </c>
    </row>
  </sheetData>
  <mergeCells count="6">
    <mergeCell ref="D8:H8"/>
    <mergeCell ref="D10:H10"/>
    <mergeCell ref="C9:C18"/>
    <mergeCell ref="B4:H5"/>
    <mergeCell ref="A8:B18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16:12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2026-02-02T08:13:07Z</dcterms:created>
  <dcterms:modified xsi:type="dcterms:W3CDTF">2026-02-02T08:18:09Z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A39529A35E284E848C398405049D2A9F_12</vt:lpwstr>
  </property>
  <property fmtid="{D5CDD505-2E9C-101B-9397-08002B2CF9AE}" pid="4" name="KSOProductBuildVer">
    <vt:lpwstr>2052-12.1.0.24657</vt:lpwstr>
  </property>
  <property fmtid="{D5CDD505-2E9C-101B-9397-08002B2CF9AE}" pid="5" name="CalculationRule">
    <vt:i4>0</vt:i4>
  </property>
</Properties>
</file>