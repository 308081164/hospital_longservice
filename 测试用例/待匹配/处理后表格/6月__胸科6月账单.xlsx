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彩超室" sheetId="1" r:id="rId1"/>
    <sheet name="供应室" sheetId="2" r:id="rId2"/>
    <sheet name="呼吸二病区" sheetId="3" r:id="rId3"/>
    <sheet name="外1" sheetId="12" r:id="rId4"/>
    <sheet name="外2" sheetId="13" r:id="rId5"/>
    <sheet name="外3" sheetId="14" r:id="rId6"/>
    <sheet name="结核六病区" sheetId="5" r:id="rId7"/>
    <sheet name="结核四病区" sheetId="6" r:id="rId8"/>
    <sheet name="结核一病区" sheetId="7" r:id="rId9"/>
    <sheet name="腔镜室" sheetId="8" r:id="rId10"/>
    <sheet name="手术室" sheetId="9" r:id="rId11"/>
    <sheet name="术后监护病房" sheetId="10" r:id="rId12"/>
    <sheet name="肿二" sheetId="11" r:id="rId13"/>
  </sheets>
  <definedNames>
    <definedName name="_xlnm._FilterDatabase" localSheetId="9" hidden="1">腔镜室!$A$7:$K$47</definedName>
    <definedName name="_xlnm._FilterDatabase" localSheetId="10" hidden="1">手术室!$A$7:$K$95</definedName>
    <definedName name="_xlnm.Print_Titles" localSheetId="0">彩超室!$1:$6</definedName>
    <definedName name="_xlnm.Print_Titles" localSheetId="1">供应室!$1:$6</definedName>
    <definedName name="_xlnm.Print_Titles" localSheetId="2">呼吸二病区!$1:$6</definedName>
    <definedName name="_xlnm.Print_Titles" localSheetId="6">结核六病区!$1:$6</definedName>
    <definedName name="_xlnm.Print_Titles" localSheetId="7">结核四病区!$1:$6</definedName>
    <definedName name="_xlnm.Print_Titles" localSheetId="8">结核一病区!$1:$6</definedName>
    <definedName name="_xlnm.Print_Titles" localSheetId="9">腔镜室!$1:$6</definedName>
    <definedName name="_xlnm.Print_Titles" localSheetId="10">手术室!$1:$6</definedName>
    <definedName name="_xlnm.Print_Titles" localSheetId="11">术后监护病房!$1:$6</definedName>
    <definedName name="_xlnm.Print_Titles" localSheetId="12">肿二!$1:$6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<sst xmlns="http://schemas.openxmlformats.org/spreadsheetml/2006/main" count="624" uniqueCount="104">
  <si>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</si>
  <si>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</si>
  <si>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</si>
  <si>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哈尔滨市胸科医院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</si>
  <si>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</si>
  <si>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</si>
  <si>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</si>
  <si>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</si>
  <si>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</si>
  <si>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</si>
  <si>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</si>
  <si>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</si>
  <si>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彩超室</t>
  </si>
  <si>
    <t>敷料包(纸塑袋)</t>
  </si>
  <si>
    <t>纸卡/Z1020</t>
  </si>
  <si>
    <t>供应室</t>
  </si>
  <si>
    <t>敷料包</t>
  </si>
  <si>
    <t>大敷料包/棉布（标签贴胶带上！）</t>
  </si>
  <si>
    <t>剪口纱布/Z1019</t>
  </si>
  <si>
    <t>棉球/Z1020</t>
  </si>
  <si>
    <t>额外包(仅消毒)</t>
  </si>
  <si>
    <t>胸科医院外来一套79件（只消毒）</t>
  </si>
  <si>
    <t>呼吸二病区</t>
  </si>
  <si>
    <t>额外包(无纺布)</t>
  </si>
  <si>
    <t>开口器-1件/W6050</t>
  </si>
  <si>
    <t>外一</t>
  </si>
  <si>
    <t>器械包(ZSD)</t>
  </si>
  <si>
    <t>缝切包</t>
  </si>
  <si>
    <t>额外包(纸塑袋)</t>
  </si>
  <si>
    <t>刮勺1 探针1/保Z7537</t>
  </si>
  <si>
    <t>外二</t>
  </si>
  <si>
    <t>有槽探针-1/1029</t>
  </si>
  <si>
    <t>孔巾/Z1530</t>
  </si>
  <si>
    <t>剪刀-1（高温）/Z1029</t>
  </si>
  <si>
    <t>外三</t>
  </si>
  <si>
    <t>结核六病区</t>
  </si>
  <si>
    <t>开口器，压舌板-2/W6050</t>
  </si>
  <si>
    <t>结核四病区</t>
  </si>
  <si>
    <t>剪刀纱布-1/Z1526</t>
  </si>
  <si>
    <t>结核一病区</t>
  </si>
  <si>
    <t>腔镜室</t>
  </si>
  <si>
    <t>额外包(低温等离子)</t>
  </si>
  <si>
    <t>冷冻探头(低温)-1/Z3040</t>
  </si>
  <si>
    <t>探头手柄(低温)-1/Z3040</t>
  </si>
  <si>
    <t>带盖方盘-1/w9050</t>
  </si>
  <si>
    <t>带盖平皿-1件/Z1526</t>
  </si>
  <si>
    <t>氩气喷管-1/z3040</t>
  </si>
  <si>
    <t>手术室</t>
  </si>
  <si>
    <t>器械包</t>
  </si>
  <si>
    <t>腔镜开胸包</t>
  </si>
  <si>
    <t>刷手服（标签贴胶带上！）</t>
  </si>
  <si>
    <t>腔镜肺切</t>
  </si>
  <si>
    <t>持物钳罐3套-6/W9050</t>
  </si>
  <si>
    <t>盆1碗2盘2杯1/W9050</t>
  </si>
  <si>
    <t>腔镜吸引器-1件/Z7530</t>
  </si>
  <si>
    <t>手柄-1/Z2535</t>
  </si>
  <si>
    <t>吸引器金属头-1件/Z7520</t>
  </si>
  <si>
    <t>额外包(ETO)</t>
  </si>
  <si>
    <t>电凝钩-1。/z7550</t>
  </si>
  <si>
    <t>电凝钩导线-1/z3044</t>
  </si>
  <si>
    <t>单包装包(EO)</t>
  </si>
  <si>
    <t>30°外科镜头-1件（盒1）/z2060</t>
  </si>
  <si>
    <t>敷料包(无纺布包)</t>
  </si>
  <si>
    <t>手术衣/W9050</t>
  </si>
  <si>
    <t>毛巾（一个一叠）袋/Z2025</t>
  </si>
  <si>
    <t>线单 垫单/Z1530</t>
  </si>
  <si>
    <t>LOCK钳-1/z2060</t>
  </si>
  <si>
    <t>超声刀线-1/z3040</t>
  </si>
  <si>
    <t>电凝钩-1/Z7550</t>
  </si>
  <si>
    <t>外科胸腔镜头/z2060</t>
  </si>
  <si>
    <t>刷手海绵（袋）/Z1526</t>
  </si>
  <si>
    <t>外科腔镜器械（一）</t>
  </si>
  <si>
    <t>铁头吸引器-1件/Z1029</t>
  </si>
  <si>
    <t>手术衣（打包好的）/W9050</t>
  </si>
  <si>
    <t>颈淋巴包</t>
  </si>
  <si>
    <t>盘2碗2杯1/W7050</t>
  </si>
  <si>
    <t>骨科包</t>
  </si>
  <si>
    <t>减压包</t>
  </si>
  <si>
    <t>胸椎骨科</t>
  </si>
  <si>
    <t>关胸器-1/z1530</t>
  </si>
  <si>
    <t>开胸加件器械包</t>
  </si>
  <si>
    <t>去肋骨</t>
  </si>
  <si>
    <t>胸壁结核</t>
  </si>
  <si>
    <t>刮勺-1/Z1029</t>
  </si>
  <si>
    <t>盘2碗3杯1/W7050</t>
  </si>
  <si>
    <t>从发票中删除-按客户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</si>
  <si>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2026/7/3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2026/7/3</t>
    </r>
  </si>
  <si>
    <t>处理序号</t>
  </si>
  <si>
    <t>发票操作时间</t>
  </si>
  <si>
    <t>原因</t>
  </si>
  <si>
    <t>处理序号完成时间</t>
  </si>
  <si>
    <t>包名称</t>
  </si>
  <si>
    <t>金额</t>
  </si>
  <si>
    <t>调整</t>
  </si>
  <si>
    <t>手术衣28包</t>
  </si>
  <si>
    <t>术后监护病房</t>
  </si>
  <si>
    <t>无创呼吸机管路-8件/Z3060</t>
  </si>
  <si>
    <t>有创呼吸机管路-12件/Z3060</t>
  </si>
  <si>
    <t>有创呼吸机管路-16件/Z3060</t>
  </si>
  <si>
    <t>VAD有创管路-13件/Z3060</t>
  </si>
  <si>
    <t>迈瑞有创管路-12件/Z3060</t>
  </si>
  <si>
    <t>无创管路-10件/Z3060</t>
  </si>
  <si>
    <t>组件管路-8/z3060</t>
  </si>
  <si>
    <t>肿二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</si>
</sst>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  <numFmt numFmtId="178" formatCode="[$-10804]0.00"/>
    <numFmt numFmtId="179" formatCode="[$-10804]yyyy/m/d\ h:mm:ss"/>
  </numFmts>
  <fonts count="30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b/>
      <sz val="12"/>
      <color rgb="FFFFFFFF"/>
      <name val="Droid Sans Fallback"/>
      <charset val="134"/>
    </font>
    <font>
      <sz val="10"/>
      <color rgb="FF000000"/>
      <name val="宋体"/>
      <charset val="134"/>
    </font>
    <font>
      <sz val="11"/>
      <color rgb="FF000000"/>
      <name val="宋体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DFE3E8"/>
        <bgColor rgb="FFDFE3E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5" borderId="7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10" applyNumberFormat="0" applyAlignment="0" applyProtection="0">
      <alignment vertical="center"/>
    </xf>
    <xf numFmtId="0" fontId="19" fillId="7" borderId="11" applyNumberFormat="0" applyAlignment="0" applyProtection="0">
      <alignment vertical="center"/>
    </xf>
    <xf numFmtId="0" fontId="20" fillId="7" borderId="10" applyNumberFormat="0" applyAlignment="0" applyProtection="0">
      <alignment vertical="center"/>
    </xf>
    <xf numFmtId="0" fontId="21" fillId="8" borderId="12" applyNumberFormat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9" fillId="0" borderId="0"/>
  </cellStyleXfs>
  <cellXfs count="39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0" fillId="0" borderId="0" xfId="49" applyFont="1" applyFill="1" applyBorder="1" applyAlignment="1"/>
    <xf numFmtId="0" fontId="2" fillId="0" borderId="0" xfId="49" applyNumberFormat="1" applyFont="1" applyFill="1" applyBorder="1" applyAlignment="1">
      <alignment vertical="top" wrapText="1" readingOrder="1"/>
    </xf>
    <xf numFmtId="0" fontId="5" fillId="3" borderId="5" xfId="49" applyNumberFormat="1" applyFont="1" applyFill="1" applyBorder="1" applyAlignment="1">
      <alignment vertical="top" wrapText="1" readingOrder="1"/>
    </xf>
    <xf numFmtId="0" fontId="0" fillId="0" borderId="5" xfId="49" applyNumberFormat="1" applyFont="1" applyFill="1" applyBorder="1" applyAlignment="1">
      <alignment vertical="top" wrapText="1"/>
    </xf>
    <xf numFmtId="0" fontId="3" fillId="3" borderId="5" xfId="49" applyNumberFormat="1" applyFont="1" applyFill="1" applyBorder="1" applyAlignment="1">
      <alignment vertical="top" wrapText="1" readingOrder="1"/>
    </xf>
    <xf numFmtId="178" fontId="3" fillId="3" borderId="5" xfId="49" applyNumberFormat="1" applyFont="1" applyFill="1" applyBorder="1" applyAlignment="1">
      <alignment vertical="top" wrapText="1" readingOrder="1"/>
    </xf>
    <xf numFmtId="0" fontId="3" fillId="2" borderId="5" xfId="49" applyNumberFormat="1" applyFont="1" applyFill="1" applyBorder="1" applyAlignment="1">
      <alignment vertical="top" wrapText="1" readingOrder="1"/>
    </xf>
    <xf numFmtId="0" fontId="4" fillId="2" borderId="5" xfId="49" applyNumberFormat="1" applyFont="1" applyFill="1" applyBorder="1" applyAlignment="1">
      <alignment vertical="top" wrapText="1" readingOrder="1"/>
    </xf>
    <xf numFmtId="178" fontId="3" fillId="2" borderId="5" xfId="49" applyNumberFormat="1" applyFont="1" applyFill="1" applyBorder="1" applyAlignment="1">
      <alignment vertical="top" wrapText="1" readingOrder="1"/>
    </xf>
    <xf numFmtId="0" fontId="3" fillId="4" borderId="5" xfId="49" applyNumberFormat="1" applyFont="1" applyFill="1" applyBorder="1" applyAlignment="1">
      <alignment horizontal="left" vertical="top" wrapText="1" readingOrder="1"/>
    </xf>
    <xf numFmtId="0" fontId="3" fillId="4" borderId="5" xfId="49" applyNumberFormat="1" applyFont="1" applyFill="1" applyBorder="1" applyAlignment="1">
      <alignment vertical="top" wrapText="1" readingOrder="1"/>
    </xf>
    <xf numFmtId="178" fontId="3" fillId="4" borderId="5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horizontal="left" vertical="top" wrapText="1" readingOrder="1"/>
    </xf>
    <xf numFmtId="179" fontId="3" fillId="0" borderId="3" xfId="49" applyNumberFormat="1" applyFont="1" applyFill="1" applyBorder="1" applyAlignment="1">
      <alignment horizontal="left" vertical="top" wrapText="1" readingOrder="1"/>
    </xf>
    <xf numFmtId="0" fontId="0" fillId="0" borderId="6" xfId="49" applyNumberFormat="1" applyFont="1" applyFill="1" applyBorder="1" applyAlignment="1">
      <alignment vertical="top" wrapText="1"/>
    </xf>
    <xf numFmtId="0" fontId="6" fillId="0" borderId="3" xfId="49" applyNumberFormat="1" applyFont="1" applyFill="1" applyBorder="1" applyAlignment="1">
      <alignment vertical="top" wrapText="1" readingOrder="1"/>
    </xf>
    <xf numFmtId="179" fontId="3" fillId="0" borderId="3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vertical="top" wrapText="1" readingOrder="1"/>
    </xf>
    <xf numFmtId="178" fontId="3" fillId="0" borderId="3" xfId="49" applyNumberFormat="1" applyFont="1" applyFill="1" applyBorder="1" applyAlignment="1">
      <alignment vertical="top" wrapText="1" readingOrder="1"/>
    </xf>
    <xf numFmtId="0" fontId="7" fillId="2" borderId="3" xfId="0" applyNumberFormat="1" applyFont="1" applyFill="1" applyBorder="1" applyAlignment="1">
      <alignment vertical="top" wrapText="1" readingOrder="1"/>
    </xf>
    <xf numFmtId="0" fontId="8" fillId="3" borderId="3" xfId="0" applyNumberFormat="1" applyFont="1" applyFill="1" applyBorder="1" applyAlignment="1">
      <alignment vertical="top" wrapText="1" readingOrder="1"/>
    </xf>
    <xf numFmtId="0" fontId="8" fillId="3" borderId="3" xfId="0" applyNumberFormat="1" applyFont="1" applyFill="1" applyBorder="1" applyAlignment="1">
      <alignment horizontal="center" vertical="top" wrapText="1" readingOrder="1"/>
    </xf>
    <xf numFmtId="176" fontId="8" fillId="3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313690</xdr:colOff>
      <xdr:row>1</xdr:row>
      <xdr:rowOff>76200</xdr:rowOff>
    </xdr:from>
    <xdr:to>
      <xdr:col>10</xdr:col>
      <xdr:colOff>823678</xdr:colOff>
      <xdr:row>4</xdr:row>
      <xdr:rowOff>73660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36740" y="247650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0</xdr:colOff>
      <xdr:row>1</xdr:row>
      <xdr:rowOff>0</xdr:rowOff>
    </xdr:from>
    <xdr:to>
      <xdr:col>10</xdr:col>
      <xdr:colOff>509905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54050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0</xdr:colOff>
      <xdr:row>1</xdr:row>
      <xdr:rowOff>0</xdr:rowOff>
    </xdr:from>
    <xdr:to>
      <xdr:col>10</xdr:col>
      <xdr:colOff>509905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54050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0</xdr:colOff>
      <xdr:row>1</xdr:row>
      <xdr:rowOff>0</xdr:rowOff>
    </xdr:from>
    <xdr:to>
      <xdr:col>10</xdr:col>
      <xdr:colOff>509905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54050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0</xdr:colOff>
      <xdr:row>1</xdr:row>
      <xdr:rowOff>0</xdr:rowOff>
    </xdr:from>
    <xdr:to>
      <xdr:col>10</xdr:col>
      <xdr:colOff>509905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54050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0</xdr:colOff>
      <xdr:row>1</xdr:row>
      <xdr:rowOff>0</xdr:rowOff>
    </xdr:from>
    <xdr:to>
      <xdr:col>10</xdr:col>
      <xdr:colOff>509905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54050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0</xdr:colOff>
      <xdr:row>1</xdr:row>
      <xdr:rowOff>0</xdr:rowOff>
    </xdr:from>
    <xdr:to>
      <xdr:col>10</xdr:col>
      <xdr:colOff>509905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54050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0</xdr:colOff>
      <xdr:row>1</xdr:row>
      <xdr:rowOff>0</xdr:rowOff>
    </xdr:from>
    <xdr:to>
      <xdr:col>10</xdr:col>
      <xdr:colOff>509905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54050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0</xdr:colOff>
      <xdr:row>1</xdr:row>
      <xdr:rowOff>0</xdr:rowOff>
    </xdr:from>
    <xdr:to>
      <xdr:col>10</xdr:col>
      <xdr:colOff>509905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54050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0</xdr:colOff>
      <xdr:row>1</xdr:row>
      <xdr:rowOff>0</xdr:rowOff>
    </xdr:from>
    <xdr:to>
      <xdr:col>10</xdr:col>
      <xdr:colOff>509905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54050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0</xdr:colOff>
      <xdr:row>1</xdr:row>
      <xdr:rowOff>0</xdr:rowOff>
    </xdr:from>
    <xdr:to>
      <xdr:col>10</xdr:col>
      <xdr:colOff>509905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08533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0</xdr:colOff>
      <xdr:row>1</xdr:row>
      <xdr:rowOff>0</xdr:rowOff>
    </xdr:from>
    <xdr:to>
      <xdr:col>10</xdr:col>
      <xdr:colOff>509905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54050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0</xdr:colOff>
      <xdr:row>1</xdr:row>
      <xdr:rowOff>0</xdr:rowOff>
    </xdr:from>
    <xdr:to>
      <xdr:col>10</xdr:col>
      <xdr:colOff>509905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540500" y="1714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L11" sqref="L1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3.375" customWidth="1"/>
  </cols>
  <sheetData>
    <row r="1" spans="2:12">
      <c r="C1" s="1" t="s">
        <v>0</v>
      </c>
    </row>
    <row r="2" ht="23.05" customHeight="1"/>
    <row r="3" ht="2" customHeight="1"/>
    <row r="4" ht="15.2" customHeight="1" spans="2:12">
      <c r="B4" s="2" t="s">
        <v>1</v>
      </c>
    </row>
    <row r="6" ht="2.95" customHeight="1"/>
    <row r="7" ht="3.95" customHeight="1" spans="2:12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2">
      <c r="C8" s="3" t="s">
        <v>2</v>
      </c>
      <c r="D8" s="36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37"/>
      <c r="J8" s="38"/>
      <c r="K8" s="38"/>
    </row>
    <row r="9" spans="2:12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2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30</v>
      </c>
      <c r="J10" s="10">
        <v>2.5</v>
      </c>
      <c r="K10" s="10">
        <v>75</v>
      </c>
      <c r="L10">
        <f>K10+供应室!K8+呼吸二病区!K8+外1!K8+外2!K8+外3!K8+结核六病区!K8+结核四病区!K8+结核一病区!K8+腔镜室!K8+手术室!K8+术后监护病房!K8+肿二!K8</f>
        <v>9223.5</v>
      </c>
    </row>
    <row r="11" spans="2:12">
      <c r="D11" s="11">
        <v>46197</v>
      </c>
      <c r="E11" s="12">
        <v>1614870</v>
      </c>
      <c r="F11" s="12" t="s">
        <v>13</v>
      </c>
      <c r="G11" s="13">
        <v>20407048</v>
      </c>
      <c r="H11" s="12" t="s">
        <v>14</v>
      </c>
      <c r="I11" s="13">
        <v>30</v>
      </c>
      <c r="J11" s="14">
        <v>2.5</v>
      </c>
      <c r="K11" s="14">
        <v>75</v>
      </c>
    </row>
    <row r="12" ht="0.05" customHeight="1"/>
  </sheetData>
  <mergeCells count="6">
    <mergeCell ref="D8:H8"/>
    <mergeCell ref="D10:H10"/>
    <mergeCell ref="C9:C11"/>
    <mergeCell ref="B4:H5"/>
    <mergeCell ref="C1:H2"/>
    <mergeCell ref="A8:B11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&amp;"-,Regular"2026年7月3日 12:07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1.125" customWidth="1"/>
    <col min="11" max="11" width="10.8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15</v>
      </c>
      <c r="E8" s="8" t="s">
        <v>2</v>
      </c>
      <c r="F8" s="8" t="s">
        <v>2</v>
      </c>
      <c r="G8" s="8" t="s">
        <v>2</v>
      </c>
      <c r="H8" s="8" t="s">
        <v>2</v>
      </c>
      <c r="I8" s="9">
        <v>18</v>
      </c>
      <c r="J8" s="10"/>
      <c r="K8" s="10">
        <v>267.5</v>
      </c>
    </row>
    <row r="9" ht="24.75" spans="1:11">
      <c r="D9" s="11">
        <v>46174</v>
      </c>
      <c r="E9" s="12">
        <v>1608236</v>
      </c>
      <c r="F9" s="12" t="s">
        <v>16</v>
      </c>
      <c r="G9" s="13">
        <v>20013126</v>
      </c>
      <c r="H9" s="12" t="s">
        <v>17</v>
      </c>
      <c r="I9" s="13">
        <v>2</v>
      </c>
      <c r="J9" s="14">
        <v>25</v>
      </c>
      <c r="K9" s="14">
        <v>50</v>
      </c>
    </row>
    <row r="10" spans="1:11">
      <c r="D10" s="11">
        <v>46174</v>
      </c>
      <c r="E10" s="12">
        <v>1608236</v>
      </c>
      <c r="F10" s="12" t="s">
        <v>13</v>
      </c>
      <c r="G10" s="13">
        <v>20313504</v>
      </c>
      <c r="H10" s="12" t="s">
        <v>18</v>
      </c>
      <c r="I10" s="13">
        <v>2</v>
      </c>
      <c r="J10" s="14">
        <v>2.5</v>
      </c>
      <c r="K10" s="14">
        <v>5</v>
      </c>
    </row>
    <row r="11" ht="24.75" spans="1:11">
      <c r="D11" s="11">
        <v>46176</v>
      </c>
      <c r="E11" s="12">
        <v>1609032</v>
      </c>
      <c r="F11" s="12" t="s">
        <v>16</v>
      </c>
      <c r="G11" s="13">
        <v>20013126</v>
      </c>
      <c r="H11" s="12" t="s">
        <v>17</v>
      </c>
      <c r="I11" s="13">
        <v>1</v>
      </c>
      <c r="J11" s="14">
        <v>25</v>
      </c>
      <c r="K11" s="14">
        <v>25</v>
      </c>
    </row>
    <row r="12" ht="24.75" spans="1:11">
      <c r="D12" s="11">
        <v>46182</v>
      </c>
      <c r="E12" s="12">
        <v>1610735</v>
      </c>
      <c r="F12" s="12" t="s">
        <v>16</v>
      </c>
      <c r="G12" s="13">
        <v>20013126</v>
      </c>
      <c r="H12" s="12" t="s">
        <v>17</v>
      </c>
      <c r="I12" s="13">
        <v>1</v>
      </c>
      <c r="J12" s="14">
        <v>25</v>
      </c>
      <c r="K12" s="14">
        <v>25</v>
      </c>
    </row>
    <row r="13" spans="1:11">
      <c r="D13" s="11">
        <v>46183</v>
      </c>
      <c r="E13" s="12">
        <v>1611128</v>
      </c>
      <c r="F13" s="12" t="s">
        <v>13</v>
      </c>
      <c r="G13" s="13">
        <v>20013137</v>
      </c>
      <c r="H13" s="12" t="s">
        <v>19</v>
      </c>
      <c r="I13" s="13">
        <v>5</v>
      </c>
      <c r="J13" s="14">
        <v>2.5</v>
      </c>
      <c r="K13" s="14">
        <v>12.5</v>
      </c>
    </row>
    <row r="14" ht="24.75" spans="1:11">
      <c r="D14" s="11">
        <v>46184</v>
      </c>
      <c r="E14" s="12">
        <v>1611514</v>
      </c>
      <c r="F14" s="12" t="s">
        <v>16</v>
      </c>
      <c r="G14" s="13">
        <v>20013126</v>
      </c>
      <c r="H14" s="12" t="s">
        <v>17</v>
      </c>
      <c r="I14" s="13">
        <v>1</v>
      </c>
      <c r="J14" s="14">
        <v>25</v>
      </c>
      <c r="K14" s="14">
        <v>25</v>
      </c>
    </row>
    <row r="15" ht="24.75" spans="1:11">
      <c r="D15" s="11">
        <v>46189</v>
      </c>
      <c r="E15" s="12">
        <v>1612422</v>
      </c>
      <c r="F15" s="12" t="s">
        <v>16</v>
      </c>
      <c r="G15" s="13">
        <v>20013126</v>
      </c>
      <c r="H15" s="12" t="s">
        <v>17</v>
      </c>
      <c r="I15" s="13">
        <v>2</v>
      </c>
      <c r="J15" s="14">
        <v>25</v>
      </c>
      <c r="K15" s="14">
        <v>50</v>
      </c>
    </row>
    <row r="16" ht="24.75" spans="1:11">
      <c r="D16" s="11">
        <v>46190</v>
      </c>
      <c r="E16" s="12">
        <v>1612763</v>
      </c>
      <c r="F16" s="12" t="s">
        <v>16</v>
      </c>
      <c r="G16" s="13">
        <v>20013126</v>
      </c>
      <c r="H16" s="12" t="s">
        <v>17</v>
      </c>
      <c r="I16" s="13">
        <v>1</v>
      </c>
      <c r="J16" s="14">
        <v>25</v>
      </c>
      <c r="K16" s="14">
        <v>25</v>
      </c>
    </row>
    <row r="17" ht="24.75" spans="4:11">
      <c r="D17" s="11">
        <v>46192</v>
      </c>
      <c r="E17" s="12">
        <v>1613627</v>
      </c>
      <c r="F17" s="12" t="s">
        <v>20</v>
      </c>
      <c r="G17" s="13">
        <v>20405659</v>
      </c>
      <c r="H17" s="12" t="s">
        <v>21</v>
      </c>
      <c r="I17" s="13">
        <v>1</v>
      </c>
      <c r="J17" s="14">
        <v>0</v>
      </c>
      <c r="K17" s="14">
        <v>0</v>
      </c>
    </row>
    <row r="18" ht="24.75" spans="4:11">
      <c r="D18" s="11">
        <v>46196</v>
      </c>
      <c r="E18" s="12">
        <v>1614506</v>
      </c>
      <c r="F18" s="12" t="s">
        <v>16</v>
      </c>
      <c r="G18" s="13">
        <v>20013126</v>
      </c>
      <c r="H18" s="12" t="s">
        <v>17</v>
      </c>
      <c r="I18" s="13">
        <v>1</v>
      </c>
      <c r="J18" s="14">
        <v>25</v>
      </c>
      <c r="K18" s="14">
        <v>25</v>
      </c>
    </row>
    <row r="19" ht="24.75" spans="4:11">
      <c r="D19" s="11">
        <v>46202</v>
      </c>
      <c r="E19" s="12">
        <v>1616077</v>
      </c>
      <c r="F19" s="12" t="s">
        <v>16</v>
      </c>
      <c r="G19" s="13">
        <v>20013126</v>
      </c>
      <c r="H19" s="12" t="s">
        <v>17</v>
      </c>
      <c r="I19" s="13">
        <v>1</v>
      </c>
      <c r="J19" s="14">
        <v>25</v>
      </c>
      <c r="K19" s="14">
        <v>25</v>
      </c>
    </row>
  </sheetData>
  <mergeCells count="5">
    <mergeCell ref="D8:H8"/>
    <mergeCell ref="C7:C19"/>
    <mergeCell ref="B4:H5"/>
    <mergeCell ref="A7:B1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&amp;"-,Regular"2026年7月3日 12:07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9" sqref="K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1.125" customWidth="1"/>
    <col min="11" max="11" width="10.8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22</v>
      </c>
      <c r="E8" s="8" t="s">
        <v>2</v>
      </c>
      <c r="F8" s="8" t="s">
        <v>2</v>
      </c>
      <c r="G8" s="8" t="s">
        <v>2</v>
      </c>
      <c r="H8" s="8" t="s">
        <v>2</v>
      </c>
      <c r="I8" s="9">
        <v>1</v>
      </c>
      <c r="J8" s="10"/>
      <c r="K8" s="10">
        <v>16.5</v>
      </c>
    </row>
    <row r="9" spans="1:11">
      <c r="D9" s="11">
        <v>46178</v>
      </c>
      <c r="E9" s="12">
        <v>1609798</v>
      </c>
      <c r="F9" s="12" t="s">
        <v>23</v>
      </c>
      <c r="G9" s="13">
        <v>20313403</v>
      </c>
      <c r="H9" s="12" t="s">
        <v>24</v>
      </c>
      <c r="I9" s="13">
        <v>1</v>
      </c>
      <c r="J9" s="14">
        <v>16.5</v>
      </c>
      <c r="K9" s="14">
        <v>16.5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&amp;"-,Regular"2026年7月3日 12:07 
&amp;"-,Bold"&amp;10 黑龙江省铂康医疗灭菌有限公司 &amp;R&amp;"Droid Sans Fallback"&amp;9第&amp;P页，共&amp;N页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view="pageBreakPreview" zoomScaleNormal="100" workbookViewId="0">
      <selection activeCell="K10" sqref="K1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1.125" customWidth="1"/>
    <col min="11" max="11" width="10.875" customWidth="1"/>
  </cols>
  <sheetData>
    <row r="1" customFormat="1" spans="1:11">
      <c r="C1" s="1" t="s">
        <v>0</v>
      </c>
    </row>
    <row r="2" ht="23.05" customHeight="1"/>
    <row r="3" ht="2" customHeight="1"/>
    <row r="4" customFormat="1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35" t="s">
        <v>25</v>
      </c>
      <c r="E8" s="8" t="s">
        <v>2</v>
      </c>
      <c r="F8" s="8" t="s">
        <v>2</v>
      </c>
      <c r="G8" s="8" t="s">
        <v>2</v>
      </c>
      <c r="H8" s="8" t="s">
        <v>2</v>
      </c>
      <c r="I8" s="9">
        <v>2</v>
      </c>
      <c r="J8" s="10"/>
      <c r="K8" s="10">
        <v>85</v>
      </c>
    </row>
    <row r="9" customFormat="1" spans="1:11">
      <c r="D9" s="11">
        <v>46175</v>
      </c>
      <c r="E9" s="12">
        <v>1608637</v>
      </c>
      <c r="F9" s="12" t="s">
        <v>26</v>
      </c>
      <c r="G9" s="13">
        <v>20013122</v>
      </c>
      <c r="H9" s="12" t="s">
        <v>27</v>
      </c>
      <c r="I9" s="13">
        <v>1</v>
      </c>
      <c r="J9" s="14">
        <v>71.5</v>
      </c>
      <c r="K9" s="14">
        <v>71.5</v>
      </c>
    </row>
    <row r="10" customFormat="1" spans="1:11">
      <c r="D10" s="11">
        <v>46176</v>
      </c>
      <c r="E10" s="12">
        <v>1609033</v>
      </c>
      <c r="F10" s="12" t="s">
        <v>28</v>
      </c>
      <c r="G10" s="13">
        <v>20313449</v>
      </c>
      <c r="H10" s="12" t="s">
        <v>29</v>
      </c>
      <c r="I10" s="13">
        <v>1</v>
      </c>
      <c r="J10" s="14">
        <v>13.5</v>
      </c>
      <c r="K10" s="14">
        <v>13.5</v>
      </c>
    </row>
  </sheetData>
  <mergeCells count="5">
    <mergeCell ref="D8:H8"/>
    <mergeCell ref="C7:C10"/>
    <mergeCell ref="C1:H2"/>
    <mergeCell ref="B4:H5"/>
    <mergeCell ref="A7:B10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view="pageBreakPreview" zoomScaleNormal="100" workbookViewId="0">
      <selection activeCell="K19" sqref="I9:K1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1.125" customWidth="1"/>
    <col min="11" max="11" width="10.875" customWidth="1"/>
  </cols>
  <sheetData>
    <row r="1" customFormat="1" spans="1:11">
      <c r="C1" s="1" t="s">
        <v>0</v>
      </c>
    </row>
    <row r="2" ht="23.05" customHeight="1"/>
    <row r="3" ht="2" customHeight="1"/>
    <row r="4" customFormat="1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35" t="s">
        <v>30</v>
      </c>
      <c r="E8" s="8" t="s">
        <v>2</v>
      </c>
      <c r="F8" s="8" t="s">
        <v>2</v>
      </c>
      <c r="G8" s="8" t="s">
        <v>2</v>
      </c>
      <c r="H8" s="8" t="s">
        <v>2</v>
      </c>
      <c r="I8" s="9">
        <v>12</v>
      </c>
      <c r="J8" s="10"/>
      <c r="K8" s="10">
        <v>546</v>
      </c>
    </row>
    <row r="9" customFormat="1" spans="1:11">
      <c r="D9" s="11">
        <v>46176</v>
      </c>
      <c r="E9" s="12">
        <v>1609033</v>
      </c>
      <c r="F9" s="12" t="s">
        <v>28</v>
      </c>
      <c r="G9" s="13">
        <v>20313847</v>
      </c>
      <c r="H9" s="12" t="s">
        <v>31</v>
      </c>
      <c r="I9" s="13">
        <v>1</v>
      </c>
      <c r="J9" s="14">
        <v>8</v>
      </c>
      <c r="K9" s="14">
        <v>8</v>
      </c>
    </row>
    <row r="10" customFormat="1" spans="1:11">
      <c r="D10" s="11">
        <v>46176</v>
      </c>
      <c r="E10" s="12">
        <v>1609033</v>
      </c>
      <c r="F10" s="12" t="s">
        <v>26</v>
      </c>
      <c r="G10" s="13">
        <v>20013122</v>
      </c>
      <c r="H10" s="12" t="s">
        <v>27</v>
      </c>
      <c r="I10" s="13">
        <v>1</v>
      </c>
      <c r="J10" s="14">
        <v>71.5</v>
      </c>
      <c r="K10" s="14">
        <v>71.5</v>
      </c>
    </row>
    <row r="11" customFormat="1" spans="1:11">
      <c r="D11" s="11">
        <v>46182</v>
      </c>
      <c r="E11" s="12">
        <v>1610363</v>
      </c>
      <c r="F11" s="12" t="s">
        <v>26</v>
      </c>
      <c r="G11" s="13">
        <v>20013122</v>
      </c>
      <c r="H11" s="12" t="s">
        <v>27</v>
      </c>
      <c r="I11" s="13">
        <v>1</v>
      </c>
      <c r="J11" s="14">
        <v>71.5</v>
      </c>
      <c r="K11" s="14">
        <v>71.5</v>
      </c>
    </row>
    <row r="12" customFormat="1" spans="1:11">
      <c r="D12" s="11">
        <v>46182</v>
      </c>
      <c r="E12" s="12">
        <v>1610736</v>
      </c>
      <c r="F12" s="12" t="s">
        <v>26</v>
      </c>
      <c r="G12" s="13">
        <v>20013122</v>
      </c>
      <c r="H12" s="12" t="s">
        <v>27</v>
      </c>
      <c r="I12" s="13">
        <v>2</v>
      </c>
      <c r="J12" s="14">
        <v>71.5</v>
      </c>
      <c r="K12" s="14">
        <v>143</v>
      </c>
    </row>
    <row r="13" customFormat="1" spans="1:11">
      <c r="D13" s="11">
        <v>46183</v>
      </c>
      <c r="E13" s="12">
        <v>1611127</v>
      </c>
      <c r="F13" s="12" t="s">
        <v>28</v>
      </c>
      <c r="G13" s="13">
        <v>20313449</v>
      </c>
      <c r="H13" s="12" t="s">
        <v>29</v>
      </c>
      <c r="I13" s="13">
        <v>1</v>
      </c>
      <c r="J13" s="14">
        <v>13.5</v>
      </c>
      <c r="K13" s="14">
        <v>13.5</v>
      </c>
    </row>
    <row r="14" customFormat="1" spans="1:11">
      <c r="D14" s="11">
        <v>46183</v>
      </c>
      <c r="E14" s="12">
        <v>1611127</v>
      </c>
      <c r="F14" s="12" t="s">
        <v>26</v>
      </c>
      <c r="G14" s="13">
        <v>20013122</v>
      </c>
      <c r="H14" s="12" t="s">
        <v>27</v>
      </c>
      <c r="I14" s="13">
        <v>1</v>
      </c>
      <c r="J14" s="14">
        <v>71.5</v>
      </c>
      <c r="K14" s="14">
        <v>71.5</v>
      </c>
    </row>
    <row r="15" customFormat="1" spans="1:11">
      <c r="D15" s="11">
        <v>46190</v>
      </c>
      <c r="E15" s="12">
        <v>1613144</v>
      </c>
      <c r="F15" s="12" t="s">
        <v>28</v>
      </c>
      <c r="G15" s="13">
        <v>20313449</v>
      </c>
      <c r="H15" s="12" t="s">
        <v>29</v>
      </c>
      <c r="I15" s="13">
        <v>1</v>
      </c>
      <c r="J15" s="14">
        <v>13.5</v>
      </c>
      <c r="K15" s="14">
        <v>13.5</v>
      </c>
    </row>
    <row r="16" customFormat="1" spans="1:11">
      <c r="D16" s="11">
        <v>46190</v>
      </c>
      <c r="E16" s="12">
        <v>1613144</v>
      </c>
      <c r="F16" s="12" t="s">
        <v>26</v>
      </c>
      <c r="G16" s="13">
        <v>20013122</v>
      </c>
      <c r="H16" s="12" t="s">
        <v>27</v>
      </c>
      <c r="I16" s="13">
        <v>1</v>
      </c>
      <c r="J16" s="14">
        <v>71.5</v>
      </c>
      <c r="K16" s="14">
        <v>71.5</v>
      </c>
    </row>
    <row r="17" customFormat="1" spans="4:11">
      <c r="D17" s="11">
        <v>46195</v>
      </c>
      <c r="E17" s="12">
        <v>1614139</v>
      </c>
      <c r="F17" s="12" t="s">
        <v>26</v>
      </c>
      <c r="G17" s="13">
        <v>20013122</v>
      </c>
      <c r="H17" s="12" t="s">
        <v>27</v>
      </c>
      <c r="I17" s="13">
        <v>1</v>
      </c>
      <c r="J17" s="14">
        <v>71.5</v>
      </c>
      <c r="K17" s="14">
        <v>71.5</v>
      </c>
    </row>
    <row r="18" customFormat="1" spans="4:11">
      <c r="D18" s="11">
        <v>46198</v>
      </c>
      <c r="E18" s="12">
        <v>1615266</v>
      </c>
      <c r="F18" s="12" t="s">
        <v>13</v>
      </c>
      <c r="G18" s="13">
        <v>20313477</v>
      </c>
      <c r="H18" s="12" t="s">
        <v>32</v>
      </c>
      <c r="I18" s="13">
        <v>1</v>
      </c>
      <c r="J18" s="14">
        <v>2.5</v>
      </c>
      <c r="K18" s="14">
        <v>2.5</v>
      </c>
    </row>
    <row r="19" customFormat="1" spans="4:11">
      <c r="D19" s="11">
        <v>46202</v>
      </c>
      <c r="E19" s="12">
        <v>1616078</v>
      </c>
      <c r="F19" s="12" t="s">
        <v>28</v>
      </c>
      <c r="G19" s="13">
        <v>20313740</v>
      </c>
      <c r="H19" s="12" t="s">
        <v>33</v>
      </c>
      <c r="I19" s="13">
        <v>1</v>
      </c>
      <c r="J19" s="14">
        <v>8</v>
      </c>
      <c r="K19" s="14">
        <v>8</v>
      </c>
    </row>
    <row r="20" ht="0.05" customHeight="1"/>
  </sheetData>
  <mergeCells count="5">
    <mergeCell ref="D8:H8"/>
    <mergeCell ref="C7:C19"/>
    <mergeCell ref="C1:H2"/>
    <mergeCell ref="B4:H5"/>
    <mergeCell ref="A7:B1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view="pageBreakPreview" zoomScaleNormal="100" workbookViewId="0">
      <selection activeCell="K9" sqref="K9:K1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1.125" customWidth="1"/>
    <col min="11" max="11" width="10.875" customWidth="1"/>
  </cols>
  <sheetData>
    <row r="1" customFormat="1" spans="1:11">
      <c r="C1" s="1" t="s">
        <v>0</v>
      </c>
    </row>
    <row r="2" ht="23.05" customHeight="1"/>
    <row r="3" ht="2" customHeight="1"/>
    <row r="4" customFormat="1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35" t="s">
        <v>34</v>
      </c>
      <c r="E8" s="8" t="s">
        <v>2</v>
      </c>
      <c r="F8" s="8" t="s">
        <v>2</v>
      </c>
      <c r="G8" s="8" t="s">
        <v>2</v>
      </c>
      <c r="H8" s="8" t="s">
        <v>2</v>
      </c>
      <c r="I8" s="9">
        <v>6</v>
      </c>
      <c r="J8" s="10"/>
      <c r="K8" s="10">
        <v>302</v>
      </c>
    </row>
    <row r="9" customFormat="1" spans="1:11">
      <c r="D9" s="11">
        <v>46196</v>
      </c>
      <c r="E9" s="12">
        <v>1614507</v>
      </c>
      <c r="F9" s="12" t="s">
        <v>26</v>
      </c>
      <c r="G9" s="13">
        <v>20013122</v>
      </c>
      <c r="H9" s="12" t="s">
        <v>27</v>
      </c>
      <c r="I9" s="13">
        <v>1</v>
      </c>
      <c r="J9" s="14">
        <v>71.5</v>
      </c>
      <c r="K9" s="14">
        <v>71.5</v>
      </c>
    </row>
    <row r="10" customFormat="1" spans="1:11">
      <c r="D10" s="11">
        <v>46197</v>
      </c>
      <c r="E10" s="12">
        <v>1614871</v>
      </c>
      <c r="F10" s="12" t="s">
        <v>26</v>
      </c>
      <c r="G10" s="13">
        <v>20013122</v>
      </c>
      <c r="H10" s="12" t="s">
        <v>27</v>
      </c>
      <c r="I10" s="13">
        <v>1</v>
      </c>
      <c r="J10" s="14">
        <v>71.5</v>
      </c>
      <c r="K10" s="14">
        <v>71.5</v>
      </c>
    </row>
    <row r="11" customFormat="1" spans="1:11">
      <c r="D11" s="11">
        <v>46198</v>
      </c>
      <c r="E11" s="12">
        <v>1615266</v>
      </c>
      <c r="F11" s="12" t="s">
        <v>26</v>
      </c>
      <c r="G11" s="13">
        <v>20013122</v>
      </c>
      <c r="H11" s="12" t="s">
        <v>27</v>
      </c>
      <c r="I11" s="13">
        <v>1</v>
      </c>
      <c r="J11" s="14">
        <v>71.5</v>
      </c>
      <c r="K11" s="14">
        <v>71.5</v>
      </c>
    </row>
    <row r="12" customFormat="1" spans="1:11">
      <c r="D12" s="11">
        <v>46198</v>
      </c>
      <c r="E12" s="12">
        <v>1615266</v>
      </c>
      <c r="F12" s="12" t="s">
        <v>13</v>
      </c>
      <c r="G12" s="13">
        <v>20313477</v>
      </c>
      <c r="H12" s="12" t="s">
        <v>32</v>
      </c>
      <c r="I12" s="13">
        <v>1</v>
      </c>
      <c r="J12" s="14">
        <v>2.5</v>
      </c>
      <c r="K12" s="14">
        <v>2.5</v>
      </c>
    </row>
    <row r="13" customFormat="1" spans="1:11">
      <c r="D13" s="11">
        <v>46198</v>
      </c>
      <c r="E13" s="12">
        <v>1615287</v>
      </c>
      <c r="F13" s="12" t="s">
        <v>28</v>
      </c>
      <c r="G13" s="13">
        <v>20313449</v>
      </c>
      <c r="H13" s="12" t="s">
        <v>29</v>
      </c>
      <c r="I13" s="13">
        <v>1</v>
      </c>
      <c r="J13" s="14">
        <v>13.5</v>
      </c>
      <c r="K13" s="14">
        <v>13.5</v>
      </c>
    </row>
    <row r="14" customFormat="1" spans="1:11">
      <c r="D14" s="11">
        <v>46202</v>
      </c>
      <c r="E14" s="12">
        <v>1616078</v>
      </c>
      <c r="F14" s="12" t="s">
        <v>26</v>
      </c>
      <c r="G14" s="13">
        <v>20013122</v>
      </c>
      <c r="H14" s="12" t="s">
        <v>27</v>
      </c>
      <c r="I14" s="13">
        <v>1</v>
      </c>
      <c r="J14" s="14">
        <v>71.5</v>
      </c>
      <c r="K14" s="14">
        <v>71.5</v>
      </c>
    </row>
    <row r="15" ht="0.05" customHeight="1"/>
  </sheetData>
  <mergeCells count="5">
    <mergeCell ref="D8:H8"/>
    <mergeCell ref="C7:C14"/>
    <mergeCell ref="C1:H2"/>
    <mergeCell ref="B4:H5"/>
    <mergeCell ref="A7:B14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9" sqref="K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1.125" customWidth="1"/>
    <col min="11" max="11" width="10.8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35</v>
      </c>
      <c r="E8" s="8" t="s">
        <v>2</v>
      </c>
      <c r="F8" s="8" t="s">
        <v>2</v>
      </c>
      <c r="G8" s="8" t="s">
        <v>2</v>
      </c>
      <c r="H8" s="8" t="s">
        <v>2</v>
      </c>
      <c r="I8" s="9">
        <v>1</v>
      </c>
      <c r="J8" s="10"/>
      <c r="K8" s="10">
        <v>16.5</v>
      </c>
    </row>
    <row r="9" spans="1:11">
      <c r="D9" s="11">
        <v>46177</v>
      </c>
      <c r="E9" s="12">
        <v>1609086</v>
      </c>
      <c r="F9" s="12" t="s">
        <v>23</v>
      </c>
      <c r="G9" s="13">
        <v>20013166</v>
      </c>
      <c r="H9" s="12" t="s">
        <v>36</v>
      </c>
      <c r="I9" s="13">
        <v>1</v>
      </c>
      <c r="J9" s="14">
        <v>16.5</v>
      </c>
      <c r="K9" s="14">
        <v>16.5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&amp;"-,Regular"2026年7月3日 12:07 
&amp;"-,Bold"&amp;10 黑龙江省铂康医疗灭菌有限公司 &amp;R&amp;"Droid Sans Fallback"&amp;9第&amp;P页，共&amp;N页 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2" sqref="K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1.125" customWidth="1"/>
    <col min="11" max="11" width="10.8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37</v>
      </c>
      <c r="E8" s="8" t="s">
        <v>2</v>
      </c>
      <c r="F8" s="8" t="s">
        <v>2</v>
      </c>
      <c r="G8" s="8" t="s">
        <v>2</v>
      </c>
      <c r="H8" s="8" t="s">
        <v>2</v>
      </c>
      <c r="I8" s="9">
        <v>5</v>
      </c>
      <c r="J8" s="10"/>
      <c r="K8" s="10">
        <v>12.5</v>
      </c>
    </row>
    <row r="9" spans="1:11">
      <c r="D9" s="11">
        <v>46192</v>
      </c>
      <c r="E9" s="12">
        <v>1613568</v>
      </c>
      <c r="F9" s="12" t="s">
        <v>13</v>
      </c>
      <c r="G9" s="13">
        <v>20430371</v>
      </c>
      <c r="H9" s="12" t="s">
        <v>38</v>
      </c>
      <c r="I9" s="13">
        <v>5</v>
      </c>
      <c r="J9" s="14">
        <v>2.5</v>
      </c>
      <c r="K9" s="14">
        <v>12.5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&amp;"-,Regular"2026年7月3日 12:07 
&amp;"-,Bold"&amp;10 黑龙江省铂康医疗灭菌有限公司 &amp;R&amp;"Droid Sans Fallback"&amp;9第&amp;P页，共&amp;N页 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2" sqref="K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1.125" customWidth="1"/>
    <col min="11" max="11" width="10.8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39</v>
      </c>
      <c r="E8" s="8" t="s">
        <v>2</v>
      </c>
      <c r="F8" s="8" t="s">
        <v>2</v>
      </c>
      <c r="G8" s="8" t="s">
        <v>2</v>
      </c>
      <c r="H8" s="8" t="s">
        <v>2</v>
      </c>
      <c r="I8" s="9">
        <v>1</v>
      </c>
      <c r="J8" s="10"/>
      <c r="K8" s="10">
        <v>16.5</v>
      </c>
    </row>
    <row r="9" spans="1:11">
      <c r="D9" s="11">
        <v>46190</v>
      </c>
      <c r="E9" s="12">
        <v>1612762</v>
      </c>
      <c r="F9" s="12" t="s">
        <v>23</v>
      </c>
      <c r="G9" s="13">
        <v>20013166</v>
      </c>
      <c r="H9" s="12" t="s">
        <v>36</v>
      </c>
      <c r="I9" s="13">
        <v>1</v>
      </c>
      <c r="J9" s="14">
        <v>16.5</v>
      </c>
      <c r="K9" s="14">
        <v>16.5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&amp;"-,Regular"2026年7月3日 12:07 
&amp;"-,Bold"&amp;10 黑龙江省铂康医疗灭菌有限公司 &amp;R&amp;"Droid Sans Fallback"&amp;9第&amp;P页，共&amp;N页 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8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5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1.125" customWidth="1"/>
    <col min="11" max="11" width="10.8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40</v>
      </c>
      <c r="E8" s="8" t="s">
        <v>2</v>
      </c>
      <c r="F8" s="8" t="s">
        <v>2</v>
      </c>
      <c r="G8" s="8" t="s">
        <v>2</v>
      </c>
      <c r="H8" s="8" t="s">
        <v>2</v>
      </c>
      <c r="I8" s="9">
        <v>109</v>
      </c>
      <c r="J8" s="10"/>
      <c r="K8" s="10">
        <v>2692.5</v>
      </c>
    </row>
    <row r="9" spans="1:11">
      <c r="D9" s="11">
        <v>46176</v>
      </c>
      <c r="E9" s="12">
        <v>1608740</v>
      </c>
      <c r="F9" s="12" t="s">
        <v>41</v>
      </c>
      <c r="G9" s="13">
        <v>20014157</v>
      </c>
      <c r="H9" s="12" t="s">
        <v>42</v>
      </c>
      <c r="I9" s="13">
        <v>3</v>
      </c>
      <c r="J9" s="14">
        <v>35</v>
      </c>
      <c r="K9" s="14">
        <v>105</v>
      </c>
    </row>
    <row r="10" spans="1:11">
      <c r="D10" s="11">
        <v>46176</v>
      </c>
      <c r="E10" s="12">
        <v>1608740</v>
      </c>
      <c r="F10" s="12" t="s">
        <v>41</v>
      </c>
      <c r="G10" s="13">
        <v>20013998</v>
      </c>
      <c r="H10" s="12" t="s">
        <v>43</v>
      </c>
      <c r="I10" s="13">
        <v>1</v>
      </c>
      <c r="J10" s="14">
        <v>35</v>
      </c>
      <c r="K10" s="14">
        <v>35</v>
      </c>
    </row>
    <row r="11" spans="1:11">
      <c r="D11" s="11">
        <v>46176</v>
      </c>
      <c r="E11" s="12">
        <v>1608964</v>
      </c>
      <c r="F11" s="12" t="s">
        <v>41</v>
      </c>
      <c r="G11" s="13">
        <v>20014157</v>
      </c>
      <c r="H11" s="12" t="s">
        <v>42</v>
      </c>
      <c r="I11" s="13">
        <v>2</v>
      </c>
      <c r="J11" s="14">
        <v>35</v>
      </c>
      <c r="K11" s="14">
        <v>70</v>
      </c>
    </row>
    <row r="12" spans="1:11">
      <c r="D12" s="11">
        <v>46176</v>
      </c>
      <c r="E12" s="12">
        <v>1608964</v>
      </c>
      <c r="F12" s="12" t="s">
        <v>41</v>
      </c>
      <c r="G12" s="13">
        <v>20013998</v>
      </c>
      <c r="H12" s="12" t="s">
        <v>43</v>
      </c>
      <c r="I12" s="13">
        <v>1</v>
      </c>
      <c r="J12" s="14">
        <v>35</v>
      </c>
      <c r="K12" s="14">
        <v>35</v>
      </c>
    </row>
    <row r="13" spans="1:11">
      <c r="D13" s="11">
        <v>46176</v>
      </c>
      <c r="E13" s="12">
        <v>1609034</v>
      </c>
      <c r="F13" s="12" t="s">
        <v>23</v>
      </c>
      <c r="G13" s="13">
        <v>20404917</v>
      </c>
      <c r="H13" s="12" t="s">
        <v>44</v>
      </c>
      <c r="I13" s="13">
        <v>10</v>
      </c>
      <c r="J13" s="14">
        <v>16.5</v>
      </c>
      <c r="K13" s="14">
        <v>165</v>
      </c>
    </row>
    <row r="14" spans="1:11">
      <c r="D14" s="11">
        <v>46178</v>
      </c>
      <c r="E14" s="12">
        <v>1609495</v>
      </c>
      <c r="F14" s="12" t="s">
        <v>41</v>
      </c>
      <c r="G14" s="13">
        <v>20014157</v>
      </c>
      <c r="H14" s="12" t="s">
        <v>42</v>
      </c>
      <c r="I14" s="13">
        <v>1</v>
      </c>
      <c r="J14" s="14">
        <v>35</v>
      </c>
      <c r="K14" s="14">
        <v>35</v>
      </c>
    </row>
    <row r="15" spans="1:11">
      <c r="D15" s="11">
        <v>46178</v>
      </c>
      <c r="E15" s="12">
        <v>1609799</v>
      </c>
      <c r="F15" s="12" t="s">
        <v>23</v>
      </c>
      <c r="G15" s="13">
        <v>20404917</v>
      </c>
      <c r="H15" s="12" t="s">
        <v>44</v>
      </c>
      <c r="I15" s="13">
        <v>6</v>
      </c>
      <c r="J15" s="14">
        <v>16.5</v>
      </c>
      <c r="K15" s="14">
        <v>99</v>
      </c>
    </row>
    <row r="16" spans="1:11">
      <c r="D16" s="11">
        <v>46179</v>
      </c>
      <c r="E16" s="12">
        <v>1609847</v>
      </c>
      <c r="F16" s="12" t="s">
        <v>28</v>
      </c>
      <c r="G16" s="13">
        <v>20404916</v>
      </c>
      <c r="H16" s="12" t="s">
        <v>45</v>
      </c>
      <c r="I16" s="13">
        <v>1</v>
      </c>
      <c r="J16" s="14">
        <v>11</v>
      </c>
      <c r="K16" s="14">
        <v>11</v>
      </c>
    </row>
    <row r="17" spans="4:11">
      <c r="D17" s="11">
        <v>46182</v>
      </c>
      <c r="E17" s="12">
        <v>1610463</v>
      </c>
      <c r="F17" s="12" t="s">
        <v>41</v>
      </c>
      <c r="G17" s="13">
        <v>20014157</v>
      </c>
      <c r="H17" s="12" t="s">
        <v>42</v>
      </c>
      <c r="I17" s="13">
        <v>2</v>
      </c>
      <c r="J17" s="14">
        <v>35</v>
      </c>
      <c r="K17" s="14">
        <v>70</v>
      </c>
    </row>
    <row r="18" spans="4:11">
      <c r="D18" s="11">
        <v>46182</v>
      </c>
      <c r="E18" s="12">
        <v>1610740</v>
      </c>
      <c r="F18" s="12" t="s">
        <v>41</v>
      </c>
      <c r="G18" s="13">
        <v>20014157</v>
      </c>
      <c r="H18" s="12" t="s">
        <v>42</v>
      </c>
      <c r="I18" s="13">
        <v>2</v>
      </c>
      <c r="J18" s="14">
        <v>35</v>
      </c>
      <c r="K18" s="14">
        <v>70</v>
      </c>
    </row>
    <row r="19" spans="4:11">
      <c r="D19" s="11">
        <v>46182</v>
      </c>
      <c r="E19" s="12">
        <v>1610740</v>
      </c>
      <c r="F19" s="12" t="s">
        <v>41</v>
      </c>
      <c r="G19" s="13">
        <v>20013998</v>
      </c>
      <c r="H19" s="12" t="s">
        <v>43</v>
      </c>
      <c r="I19" s="13">
        <v>1</v>
      </c>
      <c r="J19" s="14">
        <v>35</v>
      </c>
      <c r="K19" s="14">
        <v>35</v>
      </c>
    </row>
    <row r="20" spans="4:11">
      <c r="D20" s="11">
        <v>46184</v>
      </c>
      <c r="E20" s="12">
        <v>1611207</v>
      </c>
      <c r="F20" s="12" t="s">
        <v>41</v>
      </c>
      <c r="G20" s="13">
        <v>20014157</v>
      </c>
      <c r="H20" s="12" t="s">
        <v>42</v>
      </c>
      <c r="I20" s="13">
        <v>2</v>
      </c>
      <c r="J20" s="14">
        <v>35</v>
      </c>
      <c r="K20" s="14">
        <v>70</v>
      </c>
    </row>
    <row r="21" spans="4:11">
      <c r="D21" s="11">
        <v>46184</v>
      </c>
      <c r="E21" s="12">
        <v>1611207</v>
      </c>
      <c r="F21" s="12" t="s">
        <v>41</v>
      </c>
      <c r="G21" s="13">
        <v>20013998</v>
      </c>
      <c r="H21" s="12" t="s">
        <v>43</v>
      </c>
      <c r="I21" s="13">
        <v>1</v>
      </c>
      <c r="J21" s="14">
        <v>35</v>
      </c>
      <c r="K21" s="14">
        <v>35</v>
      </c>
    </row>
    <row r="22" spans="4:11">
      <c r="D22" s="11">
        <v>46184</v>
      </c>
      <c r="E22" s="12">
        <v>1611515</v>
      </c>
      <c r="F22" s="12" t="s">
        <v>23</v>
      </c>
      <c r="G22" s="13">
        <v>20404917</v>
      </c>
      <c r="H22" s="12" t="s">
        <v>44</v>
      </c>
      <c r="I22" s="13">
        <v>8</v>
      </c>
      <c r="J22" s="14">
        <v>16.5</v>
      </c>
      <c r="K22" s="14">
        <v>132</v>
      </c>
    </row>
    <row r="23" spans="4:11">
      <c r="D23" s="11">
        <v>46184</v>
      </c>
      <c r="E23" s="12">
        <v>1611560</v>
      </c>
      <c r="F23" s="12" t="s">
        <v>28</v>
      </c>
      <c r="G23" s="13">
        <v>20404916</v>
      </c>
      <c r="H23" s="12" t="s">
        <v>45</v>
      </c>
      <c r="I23" s="13">
        <v>2</v>
      </c>
      <c r="J23" s="14">
        <v>11</v>
      </c>
      <c r="K23" s="14">
        <v>22</v>
      </c>
    </row>
    <row r="24" spans="4:11">
      <c r="D24" s="11">
        <v>46185</v>
      </c>
      <c r="E24" s="12">
        <v>1611933</v>
      </c>
      <c r="F24" s="12" t="s">
        <v>41</v>
      </c>
      <c r="G24" s="13">
        <v>20014157</v>
      </c>
      <c r="H24" s="12" t="s">
        <v>42</v>
      </c>
      <c r="I24" s="13">
        <v>3</v>
      </c>
      <c r="J24" s="14">
        <v>35</v>
      </c>
      <c r="K24" s="14">
        <v>105</v>
      </c>
    </row>
    <row r="25" spans="4:11">
      <c r="D25" s="11">
        <v>46185</v>
      </c>
      <c r="E25" s="12">
        <v>1611933</v>
      </c>
      <c r="F25" s="12" t="s">
        <v>41</v>
      </c>
      <c r="G25" s="13">
        <v>20013998</v>
      </c>
      <c r="H25" s="12" t="s">
        <v>43</v>
      </c>
      <c r="I25" s="13">
        <v>1</v>
      </c>
      <c r="J25" s="14">
        <v>35</v>
      </c>
      <c r="K25" s="14">
        <v>35</v>
      </c>
    </row>
    <row r="26" spans="4:11">
      <c r="D26" s="11">
        <v>46189</v>
      </c>
      <c r="E26" s="12">
        <v>1612459</v>
      </c>
      <c r="F26" s="12" t="s">
        <v>41</v>
      </c>
      <c r="G26" s="13">
        <v>20014157</v>
      </c>
      <c r="H26" s="12" t="s">
        <v>42</v>
      </c>
      <c r="I26" s="13">
        <v>4</v>
      </c>
      <c r="J26" s="14">
        <v>35</v>
      </c>
      <c r="K26" s="14">
        <v>140</v>
      </c>
    </row>
    <row r="27" spans="4:11">
      <c r="D27" s="11">
        <v>46190</v>
      </c>
      <c r="E27" s="12">
        <v>1612848</v>
      </c>
      <c r="F27" s="12" t="s">
        <v>41</v>
      </c>
      <c r="G27" s="13">
        <v>20014157</v>
      </c>
      <c r="H27" s="12" t="s">
        <v>42</v>
      </c>
      <c r="I27" s="13">
        <v>2</v>
      </c>
      <c r="J27" s="14">
        <v>35</v>
      </c>
      <c r="K27" s="14">
        <v>70</v>
      </c>
    </row>
    <row r="28" spans="4:11">
      <c r="D28" s="11">
        <v>46190</v>
      </c>
      <c r="E28" s="12">
        <v>1612848</v>
      </c>
      <c r="F28" s="12" t="s">
        <v>41</v>
      </c>
      <c r="G28" s="13">
        <v>20013998</v>
      </c>
      <c r="H28" s="12" t="s">
        <v>43</v>
      </c>
      <c r="I28" s="13">
        <v>1</v>
      </c>
      <c r="J28" s="14">
        <v>35</v>
      </c>
      <c r="K28" s="14">
        <v>35</v>
      </c>
    </row>
    <row r="29" spans="4:11">
      <c r="D29" s="11">
        <v>46190</v>
      </c>
      <c r="E29" s="12">
        <v>1612848</v>
      </c>
      <c r="F29" s="12" t="s">
        <v>41</v>
      </c>
      <c r="G29" s="13">
        <v>20365899</v>
      </c>
      <c r="H29" s="12" t="s">
        <v>46</v>
      </c>
      <c r="I29" s="13">
        <v>1</v>
      </c>
      <c r="J29" s="14">
        <v>35</v>
      </c>
      <c r="K29" s="14">
        <v>35</v>
      </c>
    </row>
    <row r="30" spans="4:11">
      <c r="D30" s="11">
        <v>46191</v>
      </c>
      <c r="E30" s="12">
        <v>1613248</v>
      </c>
      <c r="F30" s="12" t="s">
        <v>41</v>
      </c>
      <c r="G30" s="13">
        <v>20014157</v>
      </c>
      <c r="H30" s="12" t="s">
        <v>42</v>
      </c>
      <c r="I30" s="13">
        <v>5</v>
      </c>
      <c r="J30" s="14">
        <v>35</v>
      </c>
      <c r="K30" s="14">
        <v>175</v>
      </c>
    </row>
    <row r="31" spans="4:11">
      <c r="D31" s="11">
        <v>46191</v>
      </c>
      <c r="E31" s="12">
        <v>1613248</v>
      </c>
      <c r="F31" s="12" t="s">
        <v>41</v>
      </c>
      <c r="G31" s="13">
        <v>20013998</v>
      </c>
      <c r="H31" s="12" t="s">
        <v>43</v>
      </c>
      <c r="I31" s="13">
        <v>1</v>
      </c>
      <c r="J31" s="14">
        <v>35</v>
      </c>
      <c r="K31" s="14">
        <v>35</v>
      </c>
    </row>
    <row r="32" spans="4:11">
      <c r="D32" s="11">
        <v>46192</v>
      </c>
      <c r="E32" s="12">
        <v>1613569</v>
      </c>
      <c r="F32" s="12" t="s">
        <v>28</v>
      </c>
      <c r="G32" s="13">
        <v>20404916</v>
      </c>
      <c r="H32" s="12" t="s">
        <v>45</v>
      </c>
      <c r="I32" s="13">
        <v>4</v>
      </c>
      <c r="J32" s="14">
        <v>11</v>
      </c>
      <c r="K32" s="14">
        <v>44</v>
      </c>
    </row>
    <row r="33" spans="4:11">
      <c r="D33" s="11">
        <v>46192</v>
      </c>
      <c r="E33" s="12">
        <v>1613569</v>
      </c>
      <c r="F33" s="12" t="s">
        <v>23</v>
      </c>
      <c r="G33" s="13">
        <v>20404917</v>
      </c>
      <c r="H33" s="12" t="s">
        <v>44</v>
      </c>
      <c r="I33" s="13">
        <v>10</v>
      </c>
      <c r="J33" s="14">
        <v>16.5</v>
      </c>
      <c r="K33" s="14">
        <v>165</v>
      </c>
    </row>
    <row r="34" spans="4:11">
      <c r="D34" s="11">
        <v>46196</v>
      </c>
      <c r="E34" s="12">
        <v>1614220</v>
      </c>
      <c r="F34" s="12" t="s">
        <v>41</v>
      </c>
      <c r="G34" s="13">
        <v>20014157</v>
      </c>
      <c r="H34" s="12" t="s">
        <v>42</v>
      </c>
      <c r="I34" s="13">
        <v>2</v>
      </c>
      <c r="J34" s="14">
        <v>35</v>
      </c>
      <c r="K34" s="14">
        <v>70</v>
      </c>
    </row>
    <row r="35" spans="4:11">
      <c r="D35" s="11">
        <v>46196</v>
      </c>
      <c r="E35" s="12">
        <v>1614220</v>
      </c>
      <c r="F35" s="12" t="s">
        <v>41</v>
      </c>
      <c r="G35" s="13">
        <v>20013998</v>
      </c>
      <c r="H35" s="12" t="s">
        <v>43</v>
      </c>
      <c r="I35" s="13">
        <v>1</v>
      </c>
      <c r="J35" s="14">
        <v>35</v>
      </c>
      <c r="K35" s="14">
        <v>35</v>
      </c>
    </row>
    <row r="36" spans="4:11">
      <c r="D36" s="11">
        <v>46196</v>
      </c>
      <c r="E36" s="12">
        <v>1614508</v>
      </c>
      <c r="F36" s="12" t="s">
        <v>28</v>
      </c>
      <c r="G36" s="13">
        <v>20404916</v>
      </c>
      <c r="H36" s="12" t="s">
        <v>45</v>
      </c>
      <c r="I36" s="13">
        <v>1</v>
      </c>
      <c r="J36" s="14">
        <v>11</v>
      </c>
      <c r="K36" s="14">
        <v>11</v>
      </c>
    </row>
    <row r="37" spans="4:11">
      <c r="D37" s="11">
        <v>46196</v>
      </c>
      <c r="E37" s="12">
        <v>1614508</v>
      </c>
      <c r="F37" s="12" t="s">
        <v>23</v>
      </c>
      <c r="G37" s="13">
        <v>20404917</v>
      </c>
      <c r="H37" s="12" t="s">
        <v>44</v>
      </c>
      <c r="I37" s="13">
        <v>7</v>
      </c>
      <c r="J37" s="14">
        <v>16.5</v>
      </c>
      <c r="K37" s="14">
        <v>115.5</v>
      </c>
    </row>
    <row r="38" spans="4:11">
      <c r="D38" s="11">
        <v>46197</v>
      </c>
      <c r="E38" s="12">
        <v>1614603</v>
      </c>
      <c r="F38" s="12" t="s">
        <v>41</v>
      </c>
      <c r="G38" s="13">
        <v>20014157</v>
      </c>
      <c r="H38" s="12" t="s">
        <v>42</v>
      </c>
      <c r="I38" s="13">
        <v>3</v>
      </c>
      <c r="J38" s="14">
        <v>35</v>
      </c>
      <c r="K38" s="14">
        <v>105</v>
      </c>
    </row>
    <row r="39" spans="4:11">
      <c r="D39" s="11">
        <v>46197</v>
      </c>
      <c r="E39" s="12">
        <v>1614603</v>
      </c>
      <c r="F39" s="12" t="s">
        <v>41</v>
      </c>
      <c r="G39" s="13">
        <v>20013998</v>
      </c>
      <c r="H39" s="12" t="s">
        <v>43</v>
      </c>
      <c r="I39" s="13">
        <v>1</v>
      </c>
      <c r="J39" s="14">
        <v>35</v>
      </c>
      <c r="K39" s="14">
        <v>35</v>
      </c>
    </row>
    <row r="40" spans="4:11">
      <c r="D40" s="11">
        <v>46197</v>
      </c>
      <c r="E40" s="12">
        <v>1614603</v>
      </c>
      <c r="F40" s="12" t="s">
        <v>41</v>
      </c>
      <c r="G40" s="13">
        <v>20365899</v>
      </c>
      <c r="H40" s="12" t="s">
        <v>46</v>
      </c>
      <c r="I40" s="13">
        <v>1</v>
      </c>
      <c r="J40" s="14">
        <v>35</v>
      </c>
      <c r="K40" s="14">
        <v>35</v>
      </c>
    </row>
    <row r="41" spans="4:11">
      <c r="D41" s="11">
        <v>46198</v>
      </c>
      <c r="E41" s="12">
        <v>1614972</v>
      </c>
      <c r="F41" s="12" t="s">
        <v>41</v>
      </c>
      <c r="G41" s="13">
        <v>20014157</v>
      </c>
      <c r="H41" s="12" t="s">
        <v>42</v>
      </c>
      <c r="I41" s="13">
        <v>3</v>
      </c>
      <c r="J41" s="14">
        <v>35</v>
      </c>
      <c r="K41" s="14">
        <v>105</v>
      </c>
    </row>
    <row r="42" spans="4:11">
      <c r="D42" s="11">
        <v>46198</v>
      </c>
      <c r="E42" s="12">
        <v>1614972</v>
      </c>
      <c r="F42" s="12" t="s">
        <v>41</v>
      </c>
      <c r="G42" s="13">
        <v>20013998</v>
      </c>
      <c r="H42" s="12" t="s">
        <v>43</v>
      </c>
      <c r="I42" s="13">
        <v>1</v>
      </c>
      <c r="J42" s="14">
        <v>35</v>
      </c>
      <c r="K42" s="14">
        <v>35</v>
      </c>
    </row>
    <row r="43" spans="4:11">
      <c r="D43" s="11">
        <v>46199</v>
      </c>
      <c r="E43" s="12">
        <v>1615587</v>
      </c>
      <c r="F43" s="12" t="s">
        <v>28</v>
      </c>
      <c r="G43" s="13">
        <v>20404916</v>
      </c>
      <c r="H43" s="12" t="s">
        <v>45</v>
      </c>
      <c r="I43" s="13">
        <v>1</v>
      </c>
      <c r="J43" s="14">
        <v>11</v>
      </c>
      <c r="K43" s="14">
        <v>11</v>
      </c>
    </row>
    <row r="44" spans="4:11">
      <c r="D44" s="11">
        <v>46199</v>
      </c>
      <c r="E44" s="12">
        <v>1615587</v>
      </c>
      <c r="F44" s="12" t="s">
        <v>23</v>
      </c>
      <c r="G44" s="13">
        <v>20404917</v>
      </c>
      <c r="H44" s="12" t="s">
        <v>44</v>
      </c>
      <c r="I44" s="13">
        <v>8</v>
      </c>
      <c r="J44" s="14">
        <v>16.5</v>
      </c>
      <c r="K44" s="14">
        <v>132</v>
      </c>
    </row>
    <row r="45" spans="4:11">
      <c r="D45" s="11">
        <v>46200</v>
      </c>
      <c r="E45" s="12">
        <v>1615631</v>
      </c>
      <c r="F45" s="12" t="s">
        <v>41</v>
      </c>
      <c r="G45" s="13">
        <v>20014157</v>
      </c>
      <c r="H45" s="12" t="s">
        <v>42</v>
      </c>
      <c r="I45" s="13">
        <v>1</v>
      </c>
      <c r="J45" s="14">
        <v>35</v>
      </c>
      <c r="K45" s="14">
        <v>35</v>
      </c>
    </row>
    <row r="46" spans="4:11">
      <c r="D46" s="11">
        <v>46203</v>
      </c>
      <c r="E46" s="12">
        <v>1616174</v>
      </c>
      <c r="F46" s="12" t="s">
        <v>41</v>
      </c>
      <c r="G46" s="13">
        <v>20014157</v>
      </c>
      <c r="H46" s="12" t="s">
        <v>42</v>
      </c>
      <c r="I46" s="13">
        <v>3</v>
      </c>
      <c r="J46" s="14">
        <v>35</v>
      </c>
      <c r="K46" s="14">
        <v>105</v>
      </c>
    </row>
    <row r="47" spans="4:11">
      <c r="D47" s="11">
        <v>46203</v>
      </c>
      <c r="E47" s="12">
        <v>1616174</v>
      </c>
      <c r="F47" s="12" t="s">
        <v>41</v>
      </c>
      <c r="G47" s="13">
        <v>20013998</v>
      </c>
      <c r="H47" s="12" t="s">
        <v>43</v>
      </c>
      <c r="I47" s="13">
        <v>1</v>
      </c>
      <c r="J47" s="14">
        <v>35</v>
      </c>
      <c r="K47" s="14">
        <v>35</v>
      </c>
    </row>
    <row r="48" ht="0.05" customHeight="1"/>
  </sheetData>
  <autoFilter xmlns:etc="http://www.wps.cn/officeDocument/2017/etCustomData" ref="A7:K47" etc:filterBottomFollowUsedRange="0">
    <extLst/>
  </autoFilter>
  <mergeCells count="5">
    <mergeCell ref="D8:H8"/>
    <mergeCell ref="C7:C47"/>
    <mergeCell ref="B4:H5"/>
    <mergeCell ref="A7:B47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&amp;"-,Regular"2026年7月3日 12:07 
&amp;"-,Bold"&amp;10 黑龙江省铂康医疗灭菌有限公司 &amp;R&amp;"Droid Sans Fallback"&amp;9第&amp;P页，共&amp;N页 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9"/>
  <sheetViews>
    <sheetView showGridLines="0" view="pageBreakPreview" zoomScaleNormal="100" workbookViewId="0">
      <pane ySplit="6" topLeftCell="A7" activePane="bottomLeft" state="frozen"/>
      <selection/>
      <selection pane="bottomLeft" activeCell="K98" sqref="K9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0.125" customWidth="1"/>
    <col min="10" max="10" width="14.625" customWidth="1"/>
    <col min="11" max="11" width="10.8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47</v>
      </c>
      <c r="E8" s="8" t="s">
        <v>2</v>
      </c>
      <c r="F8" s="8" t="s">
        <v>2</v>
      </c>
      <c r="G8" s="8" t="s">
        <v>2</v>
      </c>
      <c r="H8" s="8" t="s">
        <v>2</v>
      </c>
      <c r="I8" s="9">
        <f>128-28</f>
        <v>100</v>
      </c>
      <c r="J8" s="10"/>
      <c r="K8" s="10">
        <f>4010-280</f>
        <v>3730</v>
      </c>
    </row>
    <row r="9" spans="1:11">
      <c r="D9" s="11">
        <v>46174</v>
      </c>
      <c r="E9" s="12">
        <v>1608237</v>
      </c>
      <c r="F9" s="12" t="s">
        <v>48</v>
      </c>
      <c r="G9" s="13">
        <v>20013153</v>
      </c>
      <c r="H9" s="12" t="s">
        <v>49</v>
      </c>
      <c r="I9" s="13">
        <v>1</v>
      </c>
      <c r="J9" s="14">
        <v>214.5</v>
      </c>
      <c r="K9" s="14">
        <v>214.5</v>
      </c>
    </row>
    <row r="10" spans="1:11">
      <c r="D10" s="11">
        <v>46174</v>
      </c>
      <c r="E10" s="12">
        <v>1608237</v>
      </c>
      <c r="F10" s="12" t="s">
        <v>16</v>
      </c>
      <c r="G10" s="13">
        <v>20313573</v>
      </c>
      <c r="H10" s="12" t="s">
        <v>50</v>
      </c>
      <c r="I10" s="13">
        <v>1</v>
      </c>
      <c r="J10" s="14">
        <v>25</v>
      </c>
      <c r="K10" s="14">
        <v>25</v>
      </c>
    </row>
    <row r="11" spans="1:11">
      <c r="D11" s="11">
        <v>46174</v>
      </c>
      <c r="E11" s="12">
        <v>1608237</v>
      </c>
      <c r="F11" s="12" t="s">
        <v>26</v>
      </c>
      <c r="G11" s="13">
        <v>20403070</v>
      </c>
      <c r="H11" s="12" t="s">
        <v>51</v>
      </c>
      <c r="I11" s="13">
        <v>1</v>
      </c>
      <c r="J11" s="14">
        <v>66</v>
      </c>
      <c r="K11" s="14">
        <v>66</v>
      </c>
    </row>
    <row r="12" spans="1:11">
      <c r="D12" s="11">
        <v>46174</v>
      </c>
      <c r="E12" s="12">
        <v>1608237</v>
      </c>
      <c r="F12" s="12" t="s">
        <v>23</v>
      </c>
      <c r="G12" s="13">
        <v>20013143</v>
      </c>
      <c r="H12" s="12" t="s">
        <v>52</v>
      </c>
      <c r="I12" s="13">
        <v>1</v>
      </c>
      <c r="J12" s="14">
        <v>33</v>
      </c>
      <c r="K12" s="14">
        <v>33</v>
      </c>
    </row>
    <row r="13" spans="1:11">
      <c r="D13" s="11">
        <v>46174</v>
      </c>
      <c r="E13" s="12">
        <v>1608237</v>
      </c>
      <c r="F13" s="12" t="s">
        <v>23</v>
      </c>
      <c r="G13" s="13">
        <v>20405025</v>
      </c>
      <c r="H13" s="12" t="s">
        <v>53</v>
      </c>
      <c r="I13" s="13">
        <v>1</v>
      </c>
      <c r="J13" s="14">
        <v>33</v>
      </c>
      <c r="K13" s="14">
        <v>33</v>
      </c>
    </row>
    <row r="14" spans="1:11">
      <c r="D14" s="11">
        <v>46175</v>
      </c>
      <c r="E14" s="12">
        <v>1608302</v>
      </c>
      <c r="F14" s="12" t="s">
        <v>28</v>
      </c>
      <c r="G14" s="13">
        <v>20411009</v>
      </c>
      <c r="H14" s="12" t="s">
        <v>54</v>
      </c>
      <c r="I14" s="13">
        <v>2</v>
      </c>
      <c r="J14" s="14">
        <v>8</v>
      </c>
      <c r="K14" s="14">
        <v>16</v>
      </c>
    </row>
    <row r="15" spans="1:11">
      <c r="D15" s="11">
        <v>46175</v>
      </c>
      <c r="E15" s="12">
        <v>1608302</v>
      </c>
      <c r="F15" s="12" t="s">
        <v>28</v>
      </c>
      <c r="G15" s="13">
        <v>20405024</v>
      </c>
      <c r="H15" s="12" t="s">
        <v>55</v>
      </c>
      <c r="I15" s="13">
        <v>1</v>
      </c>
      <c r="J15" s="14">
        <v>16</v>
      </c>
      <c r="K15" s="14">
        <v>16</v>
      </c>
    </row>
    <row r="16" spans="1:11">
      <c r="D16" s="11">
        <v>46175</v>
      </c>
      <c r="E16" s="12">
        <v>1608302</v>
      </c>
      <c r="F16" s="12" t="s">
        <v>28</v>
      </c>
      <c r="G16" s="13">
        <v>20313453</v>
      </c>
      <c r="H16" s="12" t="s">
        <v>56</v>
      </c>
      <c r="I16" s="13">
        <v>3</v>
      </c>
      <c r="J16" s="14">
        <v>8</v>
      </c>
      <c r="K16" s="14">
        <v>24</v>
      </c>
    </row>
    <row r="17" spans="4:11">
      <c r="D17" s="11">
        <v>46175</v>
      </c>
      <c r="E17" s="12">
        <v>1608608</v>
      </c>
      <c r="F17" s="12" t="s">
        <v>57</v>
      </c>
      <c r="G17" s="13">
        <v>20008621</v>
      </c>
      <c r="H17" s="12" t="s">
        <v>58</v>
      </c>
      <c r="I17" s="13">
        <v>1</v>
      </c>
      <c r="J17" s="14">
        <v>22</v>
      </c>
      <c r="K17" s="14">
        <v>22</v>
      </c>
    </row>
    <row r="18" spans="4:11">
      <c r="D18" s="11">
        <v>46175</v>
      </c>
      <c r="E18" s="12">
        <v>1608608</v>
      </c>
      <c r="F18" s="12" t="s">
        <v>57</v>
      </c>
      <c r="G18" s="13">
        <v>20314828</v>
      </c>
      <c r="H18" s="12" t="s">
        <v>59</v>
      </c>
      <c r="I18" s="13">
        <v>1</v>
      </c>
      <c r="J18" s="14">
        <v>35</v>
      </c>
      <c r="K18" s="14">
        <v>35</v>
      </c>
    </row>
    <row r="19" spans="4:11">
      <c r="D19" s="11">
        <v>46175</v>
      </c>
      <c r="E19" s="12">
        <v>1608608</v>
      </c>
      <c r="F19" s="12" t="s">
        <v>60</v>
      </c>
      <c r="G19" s="13">
        <v>20427894</v>
      </c>
      <c r="H19" s="12" t="s">
        <v>61</v>
      </c>
      <c r="I19" s="13">
        <v>1</v>
      </c>
      <c r="J19" s="14">
        <v>28</v>
      </c>
      <c r="K19" s="14">
        <v>28</v>
      </c>
    </row>
    <row r="20" spans="4:11">
      <c r="D20" s="11">
        <v>46178</v>
      </c>
      <c r="E20" s="12">
        <v>1609396</v>
      </c>
      <c r="F20" s="12" t="s">
        <v>48</v>
      </c>
      <c r="G20" s="13">
        <v>20013153</v>
      </c>
      <c r="H20" s="12" t="s">
        <v>49</v>
      </c>
      <c r="I20" s="13">
        <v>1</v>
      </c>
      <c r="J20" s="14">
        <v>214.5</v>
      </c>
      <c r="K20" s="14">
        <v>214.5</v>
      </c>
    </row>
    <row r="21" spans="4:11">
      <c r="D21" s="11">
        <v>46178</v>
      </c>
      <c r="E21" s="12">
        <v>1609396</v>
      </c>
      <c r="F21" s="12" t="s">
        <v>28</v>
      </c>
      <c r="G21" s="13">
        <v>20411009</v>
      </c>
      <c r="H21" s="12" t="s">
        <v>54</v>
      </c>
      <c r="I21" s="13">
        <v>1</v>
      </c>
      <c r="J21" s="14">
        <v>8</v>
      </c>
      <c r="K21" s="14">
        <v>8</v>
      </c>
    </row>
    <row r="22" spans="4:11">
      <c r="D22" s="11">
        <v>46178</v>
      </c>
      <c r="E22" s="12">
        <v>1609396</v>
      </c>
      <c r="F22" s="12" t="s">
        <v>28</v>
      </c>
      <c r="G22" s="13">
        <v>20405024</v>
      </c>
      <c r="H22" s="12" t="s">
        <v>55</v>
      </c>
      <c r="I22" s="13">
        <v>1</v>
      </c>
      <c r="J22" s="14">
        <v>16</v>
      </c>
      <c r="K22" s="14">
        <v>16</v>
      </c>
    </row>
    <row r="23" spans="4:11">
      <c r="D23" s="11">
        <v>46178</v>
      </c>
      <c r="E23" s="12">
        <v>1609396</v>
      </c>
      <c r="F23" s="12" t="s">
        <v>28</v>
      </c>
      <c r="G23" s="13">
        <v>20313453</v>
      </c>
      <c r="H23" s="12" t="s">
        <v>56</v>
      </c>
      <c r="I23" s="13">
        <v>1</v>
      </c>
      <c r="J23" s="14">
        <v>8</v>
      </c>
      <c r="K23" s="14">
        <v>8</v>
      </c>
    </row>
    <row r="24" spans="4:11">
      <c r="D24" s="11">
        <v>46178</v>
      </c>
      <c r="E24" s="12">
        <v>1609396</v>
      </c>
      <c r="F24" s="12" t="s">
        <v>26</v>
      </c>
      <c r="G24" s="13">
        <v>20403070</v>
      </c>
      <c r="H24" s="12" t="s">
        <v>51</v>
      </c>
      <c r="I24" s="13">
        <v>1</v>
      </c>
      <c r="J24" s="14">
        <v>66</v>
      </c>
      <c r="K24" s="14">
        <v>66</v>
      </c>
    </row>
    <row r="25" spans="4:11">
      <c r="D25" s="11">
        <v>46178</v>
      </c>
      <c r="E25" s="12">
        <v>1609396</v>
      </c>
      <c r="F25" s="12" t="s">
        <v>23</v>
      </c>
      <c r="G25" s="13">
        <v>20013143</v>
      </c>
      <c r="H25" s="12" t="s">
        <v>52</v>
      </c>
      <c r="I25" s="13">
        <v>1</v>
      </c>
      <c r="J25" s="14">
        <v>33</v>
      </c>
      <c r="K25" s="14">
        <v>33</v>
      </c>
    </row>
    <row r="26" spans="4:11">
      <c r="D26" s="11">
        <v>46178</v>
      </c>
      <c r="E26" s="12">
        <v>1609396</v>
      </c>
      <c r="F26" s="12" t="s">
        <v>23</v>
      </c>
      <c r="G26" s="13">
        <v>20405025</v>
      </c>
      <c r="H26" s="12" t="s">
        <v>53</v>
      </c>
      <c r="I26" s="13">
        <v>1</v>
      </c>
      <c r="J26" s="14">
        <v>33</v>
      </c>
      <c r="K26" s="14">
        <v>33</v>
      </c>
    </row>
    <row r="27" ht="24.75" spans="4:11">
      <c r="D27" s="11">
        <v>46178</v>
      </c>
      <c r="E27" s="12">
        <v>1609746</v>
      </c>
      <c r="F27" s="12" t="s">
        <v>16</v>
      </c>
      <c r="G27" s="13">
        <v>20013126</v>
      </c>
      <c r="H27" s="12" t="s">
        <v>17</v>
      </c>
      <c r="I27" s="13">
        <v>2</v>
      </c>
      <c r="J27" s="14">
        <v>25</v>
      </c>
      <c r="K27" s="14">
        <v>50</v>
      </c>
    </row>
    <row r="28" spans="4:11">
      <c r="D28" s="11">
        <v>46178</v>
      </c>
      <c r="E28" s="12">
        <v>1609746</v>
      </c>
      <c r="F28" s="12" t="s">
        <v>62</v>
      </c>
      <c r="G28" s="13">
        <v>20013131</v>
      </c>
      <c r="H28" s="12" t="s">
        <v>63</v>
      </c>
      <c r="I28" s="13">
        <v>1</v>
      </c>
      <c r="J28" s="14">
        <v>30</v>
      </c>
      <c r="K28" s="14">
        <v>30</v>
      </c>
    </row>
    <row r="29" spans="4:11">
      <c r="D29" s="11">
        <v>46178</v>
      </c>
      <c r="E29" s="12">
        <v>1609746</v>
      </c>
      <c r="F29" s="12" t="s">
        <v>13</v>
      </c>
      <c r="G29" s="13">
        <v>20013133</v>
      </c>
      <c r="H29" s="12" t="s">
        <v>64</v>
      </c>
      <c r="I29" s="13">
        <v>2</v>
      </c>
      <c r="J29" s="14">
        <v>4</v>
      </c>
      <c r="K29" s="14">
        <v>8</v>
      </c>
    </row>
    <row r="30" spans="4:11">
      <c r="D30" s="11">
        <v>46178</v>
      </c>
      <c r="E30" s="12">
        <v>1609746</v>
      </c>
      <c r="F30" s="12" t="s">
        <v>13</v>
      </c>
      <c r="G30" s="13">
        <v>20313436</v>
      </c>
      <c r="H30" s="12" t="s">
        <v>65</v>
      </c>
      <c r="I30" s="13">
        <v>1</v>
      </c>
      <c r="J30" s="14">
        <v>2.5</v>
      </c>
      <c r="K30" s="14">
        <v>2.5</v>
      </c>
    </row>
    <row r="31" spans="4:11">
      <c r="D31" s="11">
        <v>46178</v>
      </c>
      <c r="E31" s="12">
        <v>1609755</v>
      </c>
      <c r="F31" s="12" t="s">
        <v>57</v>
      </c>
      <c r="G31" s="13">
        <v>20007738</v>
      </c>
      <c r="H31" s="12" t="s">
        <v>66</v>
      </c>
      <c r="I31" s="13">
        <v>1</v>
      </c>
      <c r="J31" s="14">
        <v>28</v>
      </c>
      <c r="K31" s="14">
        <v>28</v>
      </c>
    </row>
    <row r="32" spans="4:11">
      <c r="D32" s="11">
        <v>46178</v>
      </c>
      <c r="E32" s="12">
        <v>1609755</v>
      </c>
      <c r="F32" s="12" t="s">
        <v>57</v>
      </c>
      <c r="G32" s="13">
        <v>20006222</v>
      </c>
      <c r="H32" s="12" t="s">
        <v>67</v>
      </c>
      <c r="I32" s="13">
        <v>1</v>
      </c>
      <c r="J32" s="14">
        <v>35</v>
      </c>
      <c r="K32" s="14">
        <v>35</v>
      </c>
    </row>
    <row r="33" spans="4:11">
      <c r="D33" s="11">
        <v>46178</v>
      </c>
      <c r="E33" s="12">
        <v>1609755</v>
      </c>
      <c r="F33" s="12" t="s">
        <v>57</v>
      </c>
      <c r="G33" s="13">
        <v>20007730</v>
      </c>
      <c r="H33" s="12" t="s">
        <v>68</v>
      </c>
      <c r="I33" s="13">
        <v>1</v>
      </c>
      <c r="J33" s="14">
        <v>22</v>
      </c>
      <c r="K33" s="14">
        <v>22</v>
      </c>
    </row>
    <row r="34" spans="4:11">
      <c r="D34" s="11">
        <v>46178</v>
      </c>
      <c r="E34" s="12">
        <v>1609755</v>
      </c>
      <c r="F34" s="12" t="s">
        <v>57</v>
      </c>
      <c r="G34" s="13">
        <v>20314828</v>
      </c>
      <c r="H34" s="12" t="s">
        <v>59</v>
      </c>
      <c r="I34" s="13">
        <v>1</v>
      </c>
      <c r="J34" s="14">
        <v>35</v>
      </c>
      <c r="K34" s="14">
        <v>35</v>
      </c>
    </row>
    <row r="35" spans="4:11">
      <c r="D35" s="11">
        <v>46178</v>
      </c>
      <c r="E35" s="12">
        <v>1609755</v>
      </c>
      <c r="F35" s="12" t="s">
        <v>60</v>
      </c>
      <c r="G35" s="13">
        <v>20007726</v>
      </c>
      <c r="H35" s="12" t="s">
        <v>69</v>
      </c>
      <c r="I35" s="13">
        <v>1</v>
      </c>
      <c r="J35" s="14">
        <v>28</v>
      </c>
      <c r="K35" s="14">
        <v>28</v>
      </c>
    </row>
    <row r="36" ht="24.75" spans="4:11">
      <c r="D36" s="11">
        <v>46181</v>
      </c>
      <c r="E36" s="12">
        <v>1610344</v>
      </c>
      <c r="F36" s="12" t="s">
        <v>16</v>
      </c>
      <c r="G36" s="13">
        <v>20013126</v>
      </c>
      <c r="H36" s="12" t="s">
        <v>17</v>
      </c>
      <c r="I36" s="13">
        <v>3</v>
      </c>
      <c r="J36" s="14">
        <v>25</v>
      </c>
      <c r="K36" s="14">
        <v>75</v>
      </c>
    </row>
    <row r="37" spans="4:11">
      <c r="D37" s="11">
        <v>46181</v>
      </c>
      <c r="E37" s="12">
        <v>1610344</v>
      </c>
      <c r="F37" s="12" t="s">
        <v>13</v>
      </c>
      <c r="G37" s="13">
        <v>20013133</v>
      </c>
      <c r="H37" s="12" t="s">
        <v>64</v>
      </c>
      <c r="I37" s="13">
        <v>1</v>
      </c>
      <c r="J37" s="14">
        <v>4</v>
      </c>
      <c r="K37" s="14">
        <v>4</v>
      </c>
    </row>
    <row r="38" spans="4:11">
      <c r="D38" s="11">
        <v>46181</v>
      </c>
      <c r="E38" s="12">
        <v>1610344</v>
      </c>
      <c r="F38" s="12" t="s">
        <v>13</v>
      </c>
      <c r="G38" s="13">
        <v>20013134</v>
      </c>
      <c r="H38" s="12" t="s">
        <v>70</v>
      </c>
      <c r="I38" s="13">
        <v>2</v>
      </c>
      <c r="J38" s="14">
        <v>2.5</v>
      </c>
      <c r="K38" s="14">
        <v>5</v>
      </c>
    </row>
    <row r="39" spans="4:11">
      <c r="D39" s="11">
        <v>46181</v>
      </c>
      <c r="E39" s="12">
        <v>1610344</v>
      </c>
      <c r="F39" s="12" t="s">
        <v>13</v>
      </c>
      <c r="G39" s="13">
        <v>20313436</v>
      </c>
      <c r="H39" s="12" t="s">
        <v>65</v>
      </c>
      <c r="I39" s="13">
        <v>1</v>
      </c>
      <c r="J39" s="14">
        <v>2.5</v>
      </c>
      <c r="K39" s="14">
        <v>2.5</v>
      </c>
    </row>
    <row r="40" spans="4:11">
      <c r="D40" s="11">
        <v>46183</v>
      </c>
      <c r="E40" s="12">
        <v>1611126</v>
      </c>
      <c r="F40" s="12" t="s">
        <v>48</v>
      </c>
      <c r="G40" s="13">
        <v>20013153</v>
      </c>
      <c r="H40" s="12" t="s">
        <v>49</v>
      </c>
      <c r="I40" s="13">
        <v>1</v>
      </c>
      <c r="J40" s="14">
        <v>214.5</v>
      </c>
      <c r="K40" s="14">
        <v>214.5</v>
      </c>
    </row>
    <row r="41" spans="4:11">
      <c r="D41" s="11">
        <v>46183</v>
      </c>
      <c r="E41" s="12">
        <v>1611126</v>
      </c>
      <c r="F41" s="12" t="s">
        <v>48</v>
      </c>
      <c r="G41" s="13">
        <v>20013338</v>
      </c>
      <c r="H41" s="12" t="s">
        <v>71</v>
      </c>
      <c r="I41" s="13">
        <v>1</v>
      </c>
      <c r="J41" s="14">
        <v>82.5</v>
      </c>
      <c r="K41" s="14">
        <v>82.5</v>
      </c>
    </row>
    <row r="42" spans="4:11">
      <c r="D42" s="11">
        <v>46183</v>
      </c>
      <c r="E42" s="12">
        <v>1611126</v>
      </c>
      <c r="F42" s="12" t="s">
        <v>28</v>
      </c>
      <c r="G42" s="13">
        <v>20405024</v>
      </c>
      <c r="H42" s="12" t="s">
        <v>55</v>
      </c>
      <c r="I42" s="13">
        <v>1</v>
      </c>
      <c r="J42" s="14">
        <v>16</v>
      </c>
      <c r="K42" s="14">
        <v>16</v>
      </c>
    </row>
    <row r="43" spans="4:11">
      <c r="D43" s="11">
        <v>46183</v>
      </c>
      <c r="E43" s="12">
        <v>1611126</v>
      </c>
      <c r="F43" s="12" t="s">
        <v>28</v>
      </c>
      <c r="G43" s="13">
        <v>20313455</v>
      </c>
      <c r="H43" s="12" t="s">
        <v>72</v>
      </c>
      <c r="I43" s="13">
        <v>1</v>
      </c>
      <c r="J43" s="14">
        <v>8</v>
      </c>
      <c r="K43" s="14">
        <v>8</v>
      </c>
    </row>
    <row r="44" spans="4:11">
      <c r="D44" s="11">
        <v>46183</v>
      </c>
      <c r="E44" s="12">
        <v>1611126</v>
      </c>
      <c r="F44" s="12" t="s">
        <v>23</v>
      </c>
      <c r="G44" s="13">
        <v>20013143</v>
      </c>
      <c r="H44" s="12" t="s">
        <v>52</v>
      </c>
      <c r="I44" s="13">
        <v>1</v>
      </c>
      <c r="J44" s="14">
        <v>33</v>
      </c>
      <c r="K44" s="14">
        <v>33</v>
      </c>
    </row>
    <row r="45" spans="4:11">
      <c r="D45" s="11">
        <v>46183</v>
      </c>
      <c r="E45" s="12">
        <v>1611126</v>
      </c>
      <c r="F45" s="12" t="s">
        <v>23</v>
      </c>
      <c r="G45" s="13">
        <v>20405025</v>
      </c>
      <c r="H45" s="12" t="s">
        <v>53</v>
      </c>
      <c r="I45" s="13">
        <v>1</v>
      </c>
      <c r="J45" s="14">
        <v>33</v>
      </c>
      <c r="K45" s="14">
        <v>33</v>
      </c>
    </row>
    <row r="46" spans="4:11">
      <c r="D46" s="11">
        <v>46183</v>
      </c>
      <c r="E46" s="12">
        <v>1611154</v>
      </c>
      <c r="F46" s="12" t="s">
        <v>28</v>
      </c>
      <c r="G46" s="13">
        <v>20313453</v>
      </c>
      <c r="H46" s="12" t="s">
        <v>56</v>
      </c>
      <c r="I46" s="13">
        <v>1</v>
      </c>
      <c r="J46" s="14">
        <v>8</v>
      </c>
      <c r="K46" s="14">
        <v>8</v>
      </c>
    </row>
    <row r="47" spans="4:11">
      <c r="D47" s="11">
        <v>46184</v>
      </c>
      <c r="E47" s="12">
        <v>1611373</v>
      </c>
      <c r="F47" s="12" t="s">
        <v>60</v>
      </c>
      <c r="G47" s="13">
        <v>20007726</v>
      </c>
      <c r="H47" s="12" t="s">
        <v>69</v>
      </c>
      <c r="I47" s="13">
        <v>1</v>
      </c>
      <c r="J47" s="14">
        <v>28</v>
      </c>
      <c r="K47" s="14">
        <v>28</v>
      </c>
    </row>
    <row r="48" ht="24.75" spans="4:11">
      <c r="D48" s="11">
        <v>46185</v>
      </c>
      <c r="E48" s="12">
        <v>1611857</v>
      </c>
      <c r="F48" s="12" t="s">
        <v>16</v>
      </c>
      <c r="G48" s="13">
        <v>20013126</v>
      </c>
      <c r="H48" s="12" t="s">
        <v>17</v>
      </c>
      <c r="I48" s="13">
        <v>2</v>
      </c>
      <c r="J48" s="14">
        <v>25</v>
      </c>
      <c r="K48" s="14">
        <v>50</v>
      </c>
    </row>
    <row r="49" spans="4:11">
      <c r="D49" s="11">
        <v>46185</v>
      </c>
      <c r="E49" s="12">
        <v>1611857</v>
      </c>
      <c r="F49" s="12" t="s">
        <v>62</v>
      </c>
      <c r="G49" s="13">
        <v>20013131</v>
      </c>
      <c r="H49" s="12" t="s">
        <v>73</v>
      </c>
      <c r="I49" s="13">
        <v>1</v>
      </c>
      <c r="J49" s="14">
        <v>20</v>
      </c>
      <c r="K49" s="14">
        <v>20</v>
      </c>
    </row>
    <row r="50" spans="4:11">
      <c r="D50" s="11">
        <v>46185</v>
      </c>
      <c r="E50" s="12">
        <v>1611857</v>
      </c>
      <c r="F50" s="12" t="s">
        <v>13</v>
      </c>
      <c r="G50" s="13">
        <v>20013133</v>
      </c>
      <c r="H50" s="12" t="s">
        <v>64</v>
      </c>
      <c r="I50" s="13">
        <v>1</v>
      </c>
      <c r="J50" s="14">
        <v>4</v>
      </c>
      <c r="K50" s="14">
        <v>4</v>
      </c>
    </row>
    <row r="51" spans="4:11">
      <c r="D51" s="11">
        <v>46185</v>
      </c>
      <c r="E51" s="12">
        <v>1611857</v>
      </c>
      <c r="F51" s="12" t="s">
        <v>13</v>
      </c>
      <c r="G51" s="13">
        <v>20013134</v>
      </c>
      <c r="H51" s="12" t="s">
        <v>70</v>
      </c>
      <c r="I51" s="13">
        <v>1</v>
      </c>
      <c r="J51" s="14">
        <v>2.5</v>
      </c>
      <c r="K51" s="14">
        <v>2.5</v>
      </c>
    </row>
    <row r="52" spans="4:11">
      <c r="D52" s="11">
        <v>46185</v>
      </c>
      <c r="E52" s="12">
        <v>1611857</v>
      </c>
      <c r="F52" s="12" t="s">
        <v>13</v>
      </c>
      <c r="G52" s="13">
        <v>20313436</v>
      </c>
      <c r="H52" s="12" t="s">
        <v>65</v>
      </c>
      <c r="I52" s="13">
        <v>1</v>
      </c>
      <c r="J52" s="14">
        <v>2.5</v>
      </c>
      <c r="K52" s="14">
        <v>2.5</v>
      </c>
    </row>
    <row r="53" ht="24.75" spans="4:11">
      <c r="D53" s="11">
        <v>46189</v>
      </c>
      <c r="E53" s="12">
        <v>1612423</v>
      </c>
      <c r="F53" s="12" t="s">
        <v>16</v>
      </c>
      <c r="G53" s="13">
        <v>20013126</v>
      </c>
      <c r="H53" s="12" t="s">
        <v>17</v>
      </c>
      <c r="I53" s="13">
        <v>1</v>
      </c>
      <c r="J53" s="14">
        <v>25</v>
      </c>
      <c r="K53" s="14">
        <v>25</v>
      </c>
    </row>
    <row r="54" spans="4:11">
      <c r="D54" s="11">
        <v>46190</v>
      </c>
      <c r="E54" s="12">
        <v>1613145</v>
      </c>
      <c r="F54" s="12" t="s">
        <v>48</v>
      </c>
      <c r="G54" s="13">
        <v>20013371</v>
      </c>
      <c r="H54" s="12" t="s">
        <v>74</v>
      </c>
      <c r="I54" s="13">
        <v>1</v>
      </c>
      <c r="J54" s="14">
        <v>209</v>
      </c>
      <c r="K54" s="14">
        <v>209</v>
      </c>
    </row>
    <row r="55" spans="4:11">
      <c r="D55" s="11">
        <v>46190</v>
      </c>
      <c r="E55" s="12">
        <v>1613145</v>
      </c>
      <c r="F55" s="12" t="s">
        <v>28</v>
      </c>
      <c r="G55" s="13">
        <v>20405024</v>
      </c>
      <c r="H55" s="12" t="s">
        <v>55</v>
      </c>
      <c r="I55" s="13">
        <v>1</v>
      </c>
      <c r="J55" s="14">
        <v>16</v>
      </c>
      <c r="K55" s="14">
        <v>16</v>
      </c>
    </row>
    <row r="56" spans="4:11">
      <c r="D56" s="11">
        <v>46190</v>
      </c>
      <c r="E56" s="12">
        <v>1613145</v>
      </c>
      <c r="F56" s="12" t="s">
        <v>23</v>
      </c>
      <c r="G56" s="13">
        <v>20013143</v>
      </c>
      <c r="H56" s="12" t="s">
        <v>52</v>
      </c>
      <c r="I56" s="13">
        <v>1</v>
      </c>
      <c r="J56" s="14">
        <v>33</v>
      </c>
      <c r="K56" s="14">
        <v>33</v>
      </c>
    </row>
    <row r="57" spans="4:11">
      <c r="D57" s="11">
        <v>46190</v>
      </c>
      <c r="E57" s="12">
        <v>1613145</v>
      </c>
      <c r="F57" s="12" t="s">
        <v>23</v>
      </c>
      <c r="G57" s="13">
        <v>20013151</v>
      </c>
      <c r="H57" s="12" t="s">
        <v>75</v>
      </c>
      <c r="I57" s="13">
        <v>1</v>
      </c>
      <c r="J57" s="14">
        <v>27.5</v>
      </c>
      <c r="K57" s="14">
        <v>27.5</v>
      </c>
    </row>
    <row r="58" spans="4:11">
      <c r="D58" s="11">
        <v>46190</v>
      </c>
      <c r="E58" s="12">
        <v>1613145</v>
      </c>
      <c r="F58" s="12" t="s">
        <v>13</v>
      </c>
      <c r="G58" s="13">
        <v>20013137</v>
      </c>
      <c r="H58" s="12" t="s">
        <v>19</v>
      </c>
      <c r="I58" s="13">
        <v>20</v>
      </c>
      <c r="J58" s="14">
        <v>2.5</v>
      </c>
      <c r="K58" s="14">
        <v>50</v>
      </c>
    </row>
    <row r="59" spans="4:11">
      <c r="D59" s="11">
        <v>46192</v>
      </c>
      <c r="E59" s="12">
        <v>1613570</v>
      </c>
      <c r="F59" s="12" t="s">
        <v>48</v>
      </c>
      <c r="G59" s="13">
        <v>20013329</v>
      </c>
      <c r="H59" s="12" t="s">
        <v>76</v>
      </c>
      <c r="I59" s="13">
        <v>1</v>
      </c>
      <c r="J59" s="14">
        <v>236.5</v>
      </c>
      <c r="K59" s="14">
        <v>236.5</v>
      </c>
    </row>
    <row r="60" spans="4:11">
      <c r="D60" s="11">
        <v>46192</v>
      </c>
      <c r="E60" s="12">
        <v>1613570</v>
      </c>
      <c r="F60" s="12" t="s">
        <v>48</v>
      </c>
      <c r="G60" s="13">
        <v>20013326</v>
      </c>
      <c r="H60" s="12" t="s">
        <v>77</v>
      </c>
      <c r="I60" s="13">
        <v>1</v>
      </c>
      <c r="J60" s="14">
        <v>82.5</v>
      </c>
      <c r="K60" s="14">
        <v>82.5</v>
      </c>
    </row>
    <row r="61" spans="4:11">
      <c r="D61" s="11">
        <v>46192</v>
      </c>
      <c r="E61" s="12">
        <v>1613570</v>
      </c>
      <c r="F61" s="12" t="s">
        <v>48</v>
      </c>
      <c r="G61" s="13">
        <v>20013325</v>
      </c>
      <c r="H61" s="12" t="s">
        <v>78</v>
      </c>
      <c r="I61" s="13">
        <v>1</v>
      </c>
      <c r="J61" s="14">
        <v>121</v>
      </c>
      <c r="K61" s="14">
        <v>121</v>
      </c>
    </row>
    <row r="62" spans="4:11">
      <c r="D62" s="11">
        <v>46192</v>
      </c>
      <c r="E62" s="12">
        <v>1613570</v>
      </c>
      <c r="F62" s="12" t="s">
        <v>28</v>
      </c>
      <c r="G62" s="13">
        <v>20405985</v>
      </c>
      <c r="H62" s="12" t="s">
        <v>79</v>
      </c>
      <c r="I62" s="13">
        <v>1</v>
      </c>
      <c r="J62" s="14">
        <v>11</v>
      </c>
      <c r="K62" s="14">
        <v>11</v>
      </c>
    </row>
    <row r="63" spans="4:11">
      <c r="D63" s="11">
        <v>46192</v>
      </c>
      <c r="E63" s="12">
        <v>1613570</v>
      </c>
      <c r="F63" s="12" t="s">
        <v>28</v>
      </c>
      <c r="G63" s="13">
        <v>20405024</v>
      </c>
      <c r="H63" s="12" t="s">
        <v>55</v>
      </c>
      <c r="I63" s="13">
        <v>1</v>
      </c>
      <c r="J63" s="14">
        <v>16</v>
      </c>
      <c r="K63" s="14">
        <v>16</v>
      </c>
    </row>
    <row r="64" spans="4:11">
      <c r="D64" s="11">
        <v>46192</v>
      </c>
      <c r="E64" s="12">
        <v>1613570</v>
      </c>
      <c r="F64" s="12" t="s">
        <v>26</v>
      </c>
      <c r="G64" s="13">
        <v>20404553</v>
      </c>
      <c r="H64" s="12" t="s">
        <v>80</v>
      </c>
      <c r="I64" s="13">
        <v>1</v>
      </c>
      <c r="J64" s="14">
        <v>148.5</v>
      </c>
      <c r="K64" s="14">
        <v>148.5</v>
      </c>
    </row>
    <row r="65" spans="4:11">
      <c r="D65" s="11">
        <v>46192</v>
      </c>
      <c r="E65" s="12">
        <v>1613570</v>
      </c>
      <c r="F65" s="12" t="s">
        <v>26</v>
      </c>
      <c r="G65" s="13">
        <v>20013345</v>
      </c>
      <c r="H65" s="12" t="s">
        <v>81</v>
      </c>
      <c r="I65" s="13">
        <v>1</v>
      </c>
      <c r="J65" s="14">
        <v>38.5</v>
      </c>
      <c r="K65" s="14">
        <v>38.5</v>
      </c>
    </row>
    <row r="66" spans="4:11">
      <c r="D66" s="11">
        <v>46192</v>
      </c>
      <c r="E66" s="12">
        <v>1613570</v>
      </c>
      <c r="F66" s="12" t="s">
        <v>23</v>
      </c>
      <c r="G66" s="13">
        <v>20013143</v>
      </c>
      <c r="H66" s="12" t="s">
        <v>52</v>
      </c>
      <c r="I66" s="13">
        <v>2</v>
      </c>
      <c r="J66" s="14">
        <v>33</v>
      </c>
      <c r="K66" s="14">
        <v>66</v>
      </c>
    </row>
    <row r="67" spans="4:11">
      <c r="D67" s="11">
        <v>46192</v>
      </c>
      <c r="E67" s="12">
        <v>1613570</v>
      </c>
      <c r="F67" s="12" t="s">
        <v>23</v>
      </c>
      <c r="G67" s="13">
        <v>20405025</v>
      </c>
      <c r="H67" s="12" t="s">
        <v>53</v>
      </c>
      <c r="I67" s="13">
        <v>1</v>
      </c>
      <c r="J67" s="14">
        <v>33</v>
      </c>
      <c r="K67" s="14">
        <v>33</v>
      </c>
    </row>
    <row r="68" ht="24.75" spans="4:11">
      <c r="D68" s="11">
        <v>46195</v>
      </c>
      <c r="E68" s="12">
        <v>1614140</v>
      </c>
      <c r="F68" s="12" t="s">
        <v>16</v>
      </c>
      <c r="G68" s="13">
        <v>20013126</v>
      </c>
      <c r="H68" s="12" t="s">
        <v>17</v>
      </c>
      <c r="I68" s="13">
        <v>1</v>
      </c>
      <c r="J68" s="14">
        <v>25</v>
      </c>
      <c r="K68" s="14">
        <v>25</v>
      </c>
    </row>
    <row r="69" spans="4:11">
      <c r="D69" s="11">
        <v>46195</v>
      </c>
      <c r="E69" s="12">
        <v>1614140</v>
      </c>
      <c r="F69" s="12" t="s">
        <v>62</v>
      </c>
      <c r="G69" s="13">
        <v>20013131</v>
      </c>
      <c r="H69" s="12" t="s">
        <v>73</v>
      </c>
      <c r="I69" s="13">
        <v>1</v>
      </c>
      <c r="J69" s="14">
        <v>20</v>
      </c>
      <c r="K69" s="14">
        <v>20</v>
      </c>
    </row>
    <row r="70" spans="4:11">
      <c r="D70" s="11">
        <v>46195</v>
      </c>
      <c r="E70" s="12">
        <v>1614140</v>
      </c>
      <c r="F70" s="12" t="s">
        <v>13</v>
      </c>
      <c r="G70" s="13">
        <v>20013133</v>
      </c>
      <c r="H70" s="12" t="s">
        <v>64</v>
      </c>
      <c r="I70" s="13">
        <v>1</v>
      </c>
      <c r="J70" s="14">
        <v>4</v>
      </c>
      <c r="K70" s="14">
        <v>4</v>
      </c>
    </row>
    <row r="71" spans="4:11">
      <c r="D71" s="11">
        <v>46195</v>
      </c>
      <c r="E71" s="12">
        <v>1614140</v>
      </c>
      <c r="F71" s="12" t="s">
        <v>13</v>
      </c>
      <c r="G71" s="13">
        <v>20313436</v>
      </c>
      <c r="H71" s="12" t="s">
        <v>65</v>
      </c>
      <c r="I71" s="13">
        <v>2</v>
      </c>
      <c r="J71" s="14">
        <v>2.5</v>
      </c>
      <c r="K71" s="14">
        <v>5</v>
      </c>
    </row>
    <row r="72" ht="24.75" spans="4:11">
      <c r="D72" s="11">
        <v>46197</v>
      </c>
      <c r="E72" s="12">
        <v>1614872</v>
      </c>
      <c r="F72" s="12" t="s">
        <v>16</v>
      </c>
      <c r="G72" s="13">
        <v>20013126</v>
      </c>
      <c r="H72" s="12" t="s">
        <v>17</v>
      </c>
      <c r="I72" s="13">
        <v>2</v>
      </c>
      <c r="J72" s="14">
        <v>25</v>
      </c>
      <c r="K72" s="14">
        <v>50</v>
      </c>
    </row>
    <row r="73" spans="4:11">
      <c r="D73" s="11">
        <v>46197</v>
      </c>
      <c r="E73" s="12">
        <v>1614872</v>
      </c>
      <c r="F73" s="12" t="s">
        <v>62</v>
      </c>
      <c r="G73" s="13">
        <v>20013131</v>
      </c>
      <c r="H73" s="12" t="s">
        <v>73</v>
      </c>
      <c r="I73" s="13">
        <v>2</v>
      </c>
      <c r="J73" s="14">
        <v>20</v>
      </c>
      <c r="K73" s="14">
        <v>40</v>
      </c>
    </row>
    <row r="74" spans="4:11">
      <c r="D74" s="11">
        <v>46197</v>
      </c>
      <c r="E74" s="12">
        <v>1614872</v>
      </c>
      <c r="F74" s="12" t="s">
        <v>13</v>
      </c>
      <c r="G74" s="13">
        <v>20013134</v>
      </c>
      <c r="H74" s="12" t="s">
        <v>70</v>
      </c>
      <c r="I74" s="13">
        <v>1</v>
      </c>
      <c r="J74" s="14">
        <v>2.5</v>
      </c>
      <c r="K74" s="14">
        <v>2.5</v>
      </c>
    </row>
    <row r="75" spans="4:11">
      <c r="D75" s="11">
        <v>46197</v>
      </c>
      <c r="E75" s="12">
        <v>1614872</v>
      </c>
      <c r="F75" s="12" t="s">
        <v>13</v>
      </c>
      <c r="G75" s="13">
        <v>20313436</v>
      </c>
      <c r="H75" s="12" t="s">
        <v>65</v>
      </c>
      <c r="I75" s="13">
        <v>1</v>
      </c>
      <c r="J75" s="14">
        <v>2.5</v>
      </c>
      <c r="K75" s="14">
        <v>2.5</v>
      </c>
    </row>
    <row r="76" spans="4:11">
      <c r="D76" s="11">
        <v>46198</v>
      </c>
      <c r="E76" s="12">
        <v>1615267</v>
      </c>
      <c r="F76" s="12" t="s">
        <v>48</v>
      </c>
      <c r="G76" s="13">
        <v>20013327</v>
      </c>
      <c r="H76" s="12" t="s">
        <v>82</v>
      </c>
      <c r="I76" s="13">
        <v>1</v>
      </c>
      <c r="J76" s="14">
        <v>214.5</v>
      </c>
      <c r="K76" s="14">
        <v>214.5</v>
      </c>
    </row>
    <row r="77" spans="4:11">
      <c r="D77" s="11">
        <v>46198</v>
      </c>
      <c r="E77" s="12">
        <v>1615267</v>
      </c>
      <c r="F77" s="12" t="s">
        <v>28</v>
      </c>
      <c r="G77" s="13">
        <v>20405024</v>
      </c>
      <c r="H77" s="12" t="s">
        <v>55</v>
      </c>
      <c r="I77" s="13">
        <v>1</v>
      </c>
      <c r="J77" s="14">
        <v>16</v>
      </c>
      <c r="K77" s="14">
        <v>16</v>
      </c>
    </row>
    <row r="78" spans="4:11">
      <c r="D78" s="11">
        <v>46198</v>
      </c>
      <c r="E78" s="12">
        <v>1615267</v>
      </c>
      <c r="F78" s="12" t="s">
        <v>16</v>
      </c>
      <c r="G78" s="13">
        <v>20313573</v>
      </c>
      <c r="H78" s="12" t="s">
        <v>50</v>
      </c>
      <c r="I78" s="13">
        <v>2</v>
      </c>
      <c r="J78" s="14">
        <v>25</v>
      </c>
      <c r="K78" s="14">
        <v>50</v>
      </c>
    </row>
    <row r="79" spans="4:11">
      <c r="D79" s="11">
        <v>46198</v>
      </c>
      <c r="E79" s="12">
        <v>1615267</v>
      </c>
      <c r="F79" s="12" t="s">
        <v>23</v>
      </c>
      <c r="G79" s="13">
        <v>20013143</v>
      </c>
      <c r="H79" s="12" t="s">
        <v>52</v>
      </c>
      <c r="I79" s="13">
        <v>1</v>
      </c>
      <c r="J79" s="14">
        <v>33</v>
      </c>
      <c r="K79" s="14">
        <v>33</v>
      </c>
    </row>
    <row r="80" spans="4:11">
      <c r="D80" s="11">
        <v>46198</v>
      </c>
      <c r="E80" s="12">
        <v>1615267</v>
      </c>
      <c r="F80" s="12" t="s">
        <v>23</v>
      </c>
      <c r="G80" s="13">
        <v>20013151</v>
      </c>
      <c r="H80" s="12" t="s">
        <v>75</v>
      </c>
      <c r="I80" s="13">
        <v>1</v>
      </c>
      <c r="J80" s="14">
        <v>27.5</v>
      </c>
      <c r="K80" s="14">
        <v>27.5</v>
      </c>
    </row>
    <row r="81" spans="4:11">
      <c r="D81" s="11">
        <v>46198</v>
      </c>
      <c r="E81" s="12">
        <v>1615267</v>
      </c>
      <c r="F81" s="12" t="s">
        <v>13</v>
      </c>
      <c r="G81" s="13">
        <v>20013133</v>
      </c>
      <c r="H81" s="12" t="s">
        <v>64</v>
      </c>
      <c r="I81" s="13">
        <v>3</v>
      </c>
      <c r="J81" s="14">
        <v>4</v>
      </c>
      <c r="K81" s="14">
        <v>12</v>
      </c>
    </row>
    <row r="82" spans="4:11">
      <c r="D82" s="11">
        <v>46199</v>
      </c>
      <c r="E82" s="12">
        <v>1615588</v>
      </c>
      <c r="F82" s="12" t="s">
        <v>48</v>
      </c>
      <c r="G82" s="13">
        <v>20013327</v>
      </c>
      <c r="H82" s="12" t="s">
        <v>82</v>
      </c>
      <c r="I82" s="13">
        <v>1</v>
      </c>
      <c r="J82" s="14">
        <v>214.5</v>
      </c>
      <c r="K82" s="14">
        <v>214.5</v>
      </c>
    </row>
    <row r="83" spans="4:11">
      <c r="D83" s="11">
        <v>46199</v>
      </c>
      <c r="E83" s="12">
        <v>1615588</v>
      </c>
      <c r="F83" s="12" t="s">
        <v>28</v>
      </c>
      <c r="G83" s="13">
        <v>20013147</v>
      </c>
      <c r="H83" s="12" t="s">
        <v>83</v>
      </c>
      <c r="I83" s="13">
        <v>2</v>
      </c>
      <c r="J83" s="14">
        <v>8</v>
      </c>
      <c r="K83" s="14">
        <v>16</v>
      </c>
    </row>
    <row r="84" spans="4:11">
      <c r="D84" s="11">
        <v>46199</v>
      </c>
      <c r="E84" s="12">
        <v>1615588</v>
      </c>
      <c r="F84" s="12" t="s">
        <v>28</v>
      </c>
      <c r="G84" s="13">
        <v>20405024</v>
      </c>
      <c r="H84" s="12" t="s">
        <v>55</v>
      </c>
      <c r="I84" s="13">
        <v>1</v>
      </c>
      <c r="J84" s="14">
        <v>16</v>
      </c>
      <c r="K84" s="14">
        <v>16</v>
      </c>
    </row>
    <row r="85" spans="4:11">
      <c r="D85" s="11">
        <v>46199</v>
      </c>
      <c r="E85" s="12">
        <v>1615588</v>
      </c>
      <c r="F85" s="12" t="s">
        <v>23</v>
      </c>
      <c r="G85" s="13">
        <v>20013143</v>
      </c>
      <c r="H85" s="12" t="s">
        <v>52</v>
      </c>
      <c r="I85" s="13">
        <v>1</v>
      </c>
      <c r="J85" s="14">
        <v>33</v>
      </c>
      <c r="K85" s="14">
        <v>33</v>
      </c>
    </row>
    <row r="86" spans="4:11">
      <c r="D86" s="11">
        <v>46199</v>
      </c>
      <c r="E86" s="12">
        <v>1615588</v>
      </c>
      <c r="F86" s="12" t="s">
        <v>23</v>
      </c>
      <c r="G86" s="13">
        <v>20013151</v>
      </c>
      <c r="H86" s="12" t="s">
        <v>75</v>
      </c>
      <c r="I86" s="13">
        <v>1</v>
      </c>
      <c r="J86" s="14">
        <v>27.5</v>
      </c>
      <c r="K86" s="14">
        <v>27.5</v>
      </c>
    </row>
    <row r="87" spans="4:11">
      <c r="D87" s="11">
        <v>46202</v>
      </c>
      <c r="E87" s="12">
        <v>1616079</v>
      </c>
      <c r="F87" s="12" t="s">
        <v>48</v>
      </c>
      <c r="G87" s="13">
        <v>20013371</v>
      </c>
      <c r="H87" s="12" t="s">
        <v>74</v>
      </c>
      <c r="I87" s="13">
        <v>1</v>
      </c>
      <c r="J87" s="14">
        <v>209</v>
      </c>
      <c r="K87" s="14">
        <v>209</v>
      </c>
    </row>
    <row r="88" ht="24.75" spans="4:11">
      <c r="D88" s="11">
        <v>46202</v>
      </c>
      <c r="E88" s="12">
        <v>1616079</v>
      </c>
      <c r="F88" s="12" t="s">
        <v>16</v>
      </c>
      <c r="G88" s="13">
        <v>20013126</v>
      </c>
      <c r="H88" s="12" t="s">
        <v>17</v>
      </c>
      <c r="I88" s="13">
        <v>2</v>
      </c>
      <c r="J88" s="14">
        <v>25</v>
      </c>
      <c r="K88" s="14">
        <v>50</v>
      </c>
    </row>
    <row r="89" spans="4:11">
      <c r="D89" s="11">
        <v>46202</v>
      </c>
      <c r="E89" s="12">
        <v>1616079</v>
      </c>
      <c r="F89" s="12" t="s">
        <v>23</v>
      </c>
      <c r="G89" s="13">
        <v>20013143</v>
      </c>
      <c r="H89" s="12" t="s">
        <v>52</v>
      </c>
      <c r="I89" s="13">
        <v>1</v>
      </c>
      <c r="J89" s="14">
        <v>33</v>
      </c>
      <c r="K89" s="14">
        <v>33</v>
      </c>
    </row>
    <row r="90" spans="4:11">
      <c r="D90" s="11">
        <v>46202</v>
      </c>
      <c r="E90" s="12">
        <v>1616079</v>
      </c>
      <c r="F90" s="12" t="s">
        <v>23</v>
      </c>
      <c r="G90" s="13">
        <v>20013312</v>
      </c>
      <c r="H90" s="12" t="s">
        <v>84</v>
      </c>
      <c r="I90" s="13">
        <v>1</v>
      </c>
      <c r="J90" s="14">
        <v>33</v>
      </c>
      <c r="K90" s="14">
        <v>33</v>
      </c>
    </row>
    <row r="91" spans="4:11">
      <c r="D91" s="11">
        <v>46202</v>
      </c>
      <c r="E91" s="12">
        <v>1616079</v>
      </c>
      <c r="F91" s="12" t="s">
        <v>13</v>
      </c>
      <c r="G91" s="13">
        <v>20013133</v>
      </c>
      <c r="H91" s="12" t="s">
        <v>64</v>
      </c>
      <c r="I91" s="13">
        <v>2</v>
      </c>
      <c r="J91" s="14">
        <v>4</v>
      </c>
      <c r="K91" s="14">
        <v>8</v>
      </c>
    </row>
    <row r="92" spans="4:11">
      <c r="D92" s="11">
        <v>46202</v>
      </c>
      <c r="E92" s="12">
        <v>1616079</v>
      </c>
      <c r="F92" s="12" t="s">
        <v>13</v>
      </c>
      <c r="G92" s="13">
        <v>20013134</v>
      </c>
      <c r="H92" s="12" t="s">
        <v>70</v>
      </c>
      <c r="I92" s="13">
        <v>4</v>
      </c>
      <c r="J92" s="14">
        <v>2.5</v>
      </c>
      <c r="K92" s="14">
        <v>10</v>
      </c>
    </row>
    <row r="93" spans="4:11">
      <c r="D93" s="11">
        <v>46202</v>
      </c>
      <c r="E93" s="12">
        <v>1616079</v>
      </c>
      <c r="F93" s="12" t="s">
        <v>13</v>
      </c>
      <c r="G93" s="13">
        <v>20313436</v>
      </c>
      <c r="H93" s="12" t="s">
        <v>65</v>
      </c>
      <c r="I93" s="13">
        <v>1</v>
      </c>
      <c r="J93" s="14">
        <v>2.5</v>
      </c>
      <c r="K93" s="14">
        <v>2.5</v>
      </c>
    </row>
    <row r="94" spans="4:11">
      <c r="D94" s="11">
        <v>46202</v>
      </c>
      <c r="E94" s="12">
        <v>1616095</v>
      </c>
      <c r="F94" s="12" t="s">
        <v>28</v>
      </c>
      <c r="G94" s="13">
        <v>20013147</v>
      </c>
      <c r="H94" s="12" t="s">
        <v>83</v>
      </c>
      <c r="I94" s="13">
        <v>1</v>
      </c>
      <c r="J94" s="14">
        <v>8</v>
      </c>
      <c r="K94" s="14">
        <v>8</v>
      </c>
    </row>
    <row r="95" spans="4:11">
      <c r="D95" s="11">
        <v>46202</v>
      </c>
      <c r="E95" s="12">
        <v>1616095</v>
      </c>
      <c r="F95" s="12" t="s">
        <v>28</v>
      </c>
      <c r="G95" s="13">
        <v>20405024</v>
      </c>
      <c r="H95" s="12" t="s">
        <v>55</v>
      </c>
      <c r="I95" s="13">
        <v>1</v>
      </c>
      <c r="J95" s="14">
        <v>16</v>
      </c>
      <c r="K95" s="14">
        <v>16</v>
      </c>
    </row>
    <row r="96" ht="0.05" customHeight="1"/>
    <row r="97" spans="4:11">
      <c r="K97">
        <f>SUM(K9:K96)-280</f>
        <v>3730</v>
      </c>
    </row>
    <row r="101" ht="23.25" spans="4:11">
      <c r="D101" s="15" t="s">
        <v>85</v>
      </c>
      <c r="E101" s="16"/>
      <c r="F101" s="16"/>
      <c r="G101" s="16"/>
      <c r="H101" s="16"/>
      <c r="I101" s="16"/>
      <c r="J101" s="16"/>
      <c r="K101" s="16"/>
    </row>
    <row r="102" spans="4:11">
      <c r="D102" s="16"/>
      <c r="E102" s="16"/>
      <c r="F102" s="16"/>
      <c r="G102" s="16"/>
      <c r="H102" s="16"/>
      <c r="I102" s="16"/>
      <c r="J102" s="16"/>
      <c r="K102" s="16"/>
    </row>
    <row r="103" spans="4:11">
      <c r="D103" s="17" t="s">
        <v>86</v>
      </c>
      <c r="E103" s="16"/>
      <c r="F103" s="16"/>
      <c r="G103" s="16"/>
      <c r="H103" s="16"/>
      <c r="I103" s="16"/>
      <c r="J103" s="16"/>
      <c r="K103" s="16"/>
    </row>
    <row r="104" spans="4:11">
      <c r="D104" s="16"/>
      <c r="E104" s="16"/>
      <c r="F104" s="16"/>
      <c r="G104" s="16"/>
      <c r="H104" s="16"/>
      <c r="I104" s="16"/>
      <c r="J104" s="16"/>
      <c r="K104" s="16"/>
    </row>
    <row r="105" ht="15.75" spans="4:11">
      <c r="D105" s="18" t="s">
        <v>3</v>
      </c>
      <c r="E105" s="19" t="s">
        <v>2</v>
      </c>
      <c r="F105" s="19" t="s">
        <v>2</v>
      </c>
      <c r="G105" s="19" t="s">
        <v>2</v>
      </c>
      <c r="H105" s="19" t="s">
        <v>2</v>
      </c>
      <c r="I105" s="19" t="s">
        <v>2</v>
      </c>
      <c r="J105" s="20" t="s">
        <v>2</v>
      </c>
      <c r="K105" s="21"/>
    </row>
    <row r="106" spans="4:11">
      <c r="D106" s="22" t="s">
        <v>87</v>
      </c>
      <c r="E106" s="22" t="s">
        <v>88</v>
      </c>
      <c r="F106" s="19" t="s">
        <v>2</v>
      </c>
      <c r="G106" s="22" t="s">
        <v>89</v>
      </c>
      <c r="H106" s="22" t="s">
        <v>90</v>
      </c>
      <c r="I106" s="22" t="s">
        <v>7</v>
      </c>
      <c r="J106" s="22" t="s">
        <v>91</v>
      </c>
      <c r="K106" s="22" t="s">
        <v>92</v>
      </c>
    </row>
    <row r="107" ht="14.25" spans="4:11">
      <c r="D107" s="23" t="s">
        <v>47</v>
      </c>
      <c r="E107" s="19" t="s">
        <v>2</v>
      </c>
      <c r="F107" s="19" t="s">
        <v>2</v>
      </c>
      <c r="G107" s="19" t="s">
        <v>2</v>
      </c>
      <c r="H107" s="19" t="s">
        <v>2</v>
      </c>
      <c r="I107" s="19" t="s">
        <v>2</v>
      </c>
      <c r="J107" s="22" t="s">
        <v>2</v>
      </c>
      <c r="K107" s="24">
        <v>-280</v>
      </c>
    </row>
    <row r="108" spans="4:11">
      <c r="D108" s="25" t="s">
        <v>16</v>
      </c>
      <c r="E108" s="19" t="s">
        <v>2</v>
      </c>
      <c r="F108" s="19" t="s">
        <v>2</v>
      </c>
      <c r="G108" s="19" t="s">
        <v>2</v>
      </c>
      <c r="H108" s="19" t="s">
        <v>2</v>
      </c>
      <c r="I108" s="19" t="s">
        <v>2</v>
      </c>
      <c r="J108" s="26" t="s">
        <v>2</v>
      </c>
      <c r="K108" s="27">
        <v>-280</v>
      </c>
    </row>
    <row r="109" spans="4:11">
      <c r="D109" s="28">
        <v>3006175047</v>
      </c>
      <c r="E109" s="29">
        <v>46206.5271133912</v>
      </c>
      <c r="F109" s="30" t="s">
        <v>2</v>
      </c>
      <c r="G109" s="31" t="s">
        <v>93</v>
      </c>
      <c r="H109" s="32">
        <v>46149.8204138542</v>
      </c>
      <c r="I109" s="33">
        <v>20013131</v>
      </c>
      <c r="J109" s="31" t="s">
        <v>94</v>
      </c>
      <c r="K109" s="34">
        <v>-280</v>
      </c>
    </row>
  </sheetData>
  <autoFilter xmlns:etc="http://www.wps.cn/officeDocument/2017/etCustomData" ref="A7:K95" etc:filterBottomFollowUsedRange="0">
    <extLst/>
  </autoFilter>
  <mergeCells count="12">
    <mergeCell ref="D8:H8"/>
    <mergeCell ref="D101:K101"/>
    <mergeCell ref="D105:I105"/>
    <mergeCell ref="E106:F106"/>
    <mergeCell ref="D107:I107"/>
    <mergeCell ref="D108:I108"/>
    <mergeCell ref="E109:F109"/>
    <mergeCell ref="C7:C95"/>
    <mergeCell ref="B4:H5"/>
    <mergeCell ref="A7:B95"/>
    <mergeCell ref="C1:H2"/>
    <mergeCell ref="D103:H104"/>
  </mergeCells>
  <pageMargins left="0.25" right="0.25" top="0.75" bottom="0.75" header="0.298611111111111" footer="0.298611111111111"/>
  <pageSetup paperSize="9" scale="97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&amp;"-,Regular"2026年7月3日 12:07 
&amp;"-,Bold"&amp;10 黑龙江省铂康医疗灭菌有限公司 &amp;R&amp;"Droid Sans Fallback"&amp;9第&amp;P页，共&amp;N页 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1.125" customWidth="1"/>
    <col min="11" max="11" width="10.8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95</v>
      </c>
      <c r="E8" s="8" t="s">
        <v>2</v>
      </c>
      <c r="F8" s="8" t="s">
        <v>2</v>
      </c>
      <c r="G8" s="8" t="s">
        <v>2</v>
      </c>
      <c r="H8" s="8" t="s">
        <v>2</v>
      </c>
      <c r="I8" s="9">
        <v>9</v>
      </c>
      <c r="J8" s="10"/>
      <c r="K8" s="10">
        <v>1447</v>
      </c>
    </row>
    <row r="9" spans="1:11">
      <c r="D9" s="11">
        <v>46178</v>
      </c>
      <c r="E9" s="12">
        <v>1609747</v>
      </c>
      <c r="F9" s="12" t="s">
        <v>16</v>
      </c>
      <c r="G9" s="13">
        <v>20313635</v>
      </c>
      <c r="H9" s="12" t="s">
        <v>16</v>
      </c>
      <c r="I9" s="13">
        <v>1</v>
      </c>
      <c r="J9" s="14">
        <v>25</v>
      </c>
      <c r="K9" s="14">
        <v>25</v>
      </c>
    </row>
    <row r="10" spans="1:11">
      <c r="D10" s="11">
        <v>46179</v>
      </c>
      <c r="E10" s="12">
        <v>1609986</v>
      </c>
      <c r="F10" s="12" t="s">
        <v>57</v>
      </c>
      <c r="G10" s="13">
        <v>20428705</v>
      </c>
      <c r="H10" s="12" t="s">
        <v>96</v>
      </c>
      <c r="I10" s="13">
        <v>1</v>
      </c>
      <c r="J10" s="14">
        <v>154</v>
      </c>
      <c r="K10" s="14">
        <v>154</v>
      </c>
    </row>
    <row r="11" spans="1:11">
      <c r="D11" s="11">
        <v>46179</v>
      </c>
      <c r="E11" s="12">
        <v>1609986</v>
      </c>
      <c r="F11" s="12" t="s">
        <v>57</v>
      </c>
      <c r="G11" s="13">
        <v>20428704</v>
      </c>
      <c r="H11" s="12" t="s">
        <v>97</v>
      </c>
      <c r="I11" s="13">
        <v>1</v>
      </c>
      <c r="J11" s="14">
        <v>209</v>
      </c>
      <c r="K11" s="14">
        <v>209</v>
      </c>
    </row>
    <row r="12" spans="1:11">
      <c r="D12" s="11">
        <v>46179</v>
      </c>
      <c r="E12" s="12">
        <v>1609986</v>
      </c>
      <c r="F12" s="12" t="s">
        <v>57</v>
      </c>
      <c r="G12" s="13">
        <v>20407233</v>
      </c>
      <c r="H12" s="12" t="s">
        <v>98</v>
      </c>
      <c r="I12" s="13">
        <v>1</v>
      </c>
      <c r="J12" s="14">
        <v>275</v>
      </c>
      <c r="K12" s="14">
        <v>275</v>
      </c>
    </row>
    <row r="13" spans="1:11">
      <c r="D13" s="11">
        <v>46197</v>
      </c>
      <c r="E13" s="12">
        <v>1614873</v>
      </c>
      <c r="F13" s="12" t="s">
        <v>57</v>
      </c>
      <c r="G13" s="13">
        <v>20430814</v>
      </c>
      <c r="H13" s="12" t="s">
        <v>99</v>
      </c>
      <c r="I13" s="13">
        <v>1</v>
      </c>
      <c r="J13" s="14">
        <v>231</v>
      </c>
      <c r="K13" s="14">
        <v>231</v>
      </c>
    </row>
    <row r="14" spans="1:11">
      <c r="D14" s="11">
        <v>46197</v>
      </c>
      <c r="E14" s="12">
        <v>1614873</v>
      </c>
      <c r="F14" s="12" t="s">
        <v>57</v>
      </c>
      <c r="G14" s="13">
        <v>20407239</v>
      </c>
      <c r="H14" s="12" t="s">
        <v>100</v>
      </c>
      <c r="I14" s="13">
        <v>1</v>
      </c>
      <c r="J14" s="14">
        <v>209</v>
      </c>
      <c r="K14" s="14">
        <v>209</v>
      </c>
    </row>
    <row r="15" spans="1:11">
      <c r="D15" s="11">
        <v>46197</v>
      </c>
      <c r="E15" s="12">
        <v>1614873</v>
      </c>
      <c r="F15" s="12" t="s">
        <v>57</v>
      </c>
      <c r="G15" s="13">
        <v>20407235</v>
      </c>
      <c r="H15" s="12" t="s">
        <v>101</v>
      </c>
      <c r="I15" s="13">
        <v>1</v>
      </c>
      <c r="J15" s="14">
        <v>165</v>
      </c>
      <c r="K15" s="14">
        <v>165</v>
      </c>
    </row>
    <row r="16" spans="1:11">
      <c r="D16" s="11">
        <v>46197</v>
      </c>
      <c r="E16" s="12">
        <v>1614873</v>
      </c>
      <c r="F16" s="12" t="s">
        <v>57</v>
      </c>
      <c r="G16" s="13">
        <v>20405367</v>
      </c>
      <c r="H16" s="12" t="s">
        <v>102</v>
      </c>
      <c r="I16" s="13">
        <v>1</v>
      </c>
      <c r="J16" s="14">
        <v>154</v>
      </c>
      <c r="K16" s="14">
        <v>154</v>
      </c>
    </row>
    <row r="17" spans="4:11">
      <c r="D17" s="11">
        <v>46202</v>
      </c>
      <c r="E17" s="12">
        <v>1616080</v>
      </c>
      <c r="F17" s="12" t="s">
        <v>16</v>
      </c>
      <c r="G17" s="13">
        <v>20313635</v>
      </c>
      <c r="H17" s="12" t="s">
        <v>16</v>
      </c>
      <c r="I17" s="13">
        <v>1</v>
      </c>
      <c r="J17" s="14">
        <v>25</v>
      </c>
      <c r="K17" s="14">
        <v>25</v>
      </c>
    </row>
    <row r="18" ht="0.05" customHeight="1"/>
  </sheetData>
  <mergeCells count="5">
    <mergeCell ref="D8:H8"/>
    <mergeCell ref="C7:C17"/>
    <mergeCell ref="B4:H5"/>
    <mergeCell ref="A7:B17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&amp;"-,Regular"2026年7月3日 12:07 
&amp;"-,Bold"&amp;10 黑龙江省铂康医疗灭菌有限公司 &amp;R&amp;"Droid Sans Fallback"&amp;9第&amp;P页，共&amp;N页 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9" sqref="K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1.125" customWidth="1"/>
    <col min="11" max="11" width="10.8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103</v>
      </c>
      <c r="E8" s="8" t="s">
        <v>2</v>
      </c>
      <c r="F8" s="8" t="s">
        <v>2</v>
      </c>
      <c r="G8" s="8" t="s">
        <v>2</v>
      </c>
      <c r="H8" s="8" t="s">
        <v>2</v>
      </c>
      <c r="I8" s="9">
        <v>1</v>
      </c>
      <c r="J8" s="10"/>
      <c r="K8" s="10">
        <v>16.5</v>
      </c>
    </row>
    <row r="9" spans="1:11">
      <c r="D9" s="11">
        <v>46177</v>
      </c>
      <c r="E9" s="12">
        <v>1609087</v>
      </c>
      <c r="F9" s="12" t="s">
        <v>23</v>
      </c>
      <c r="G9" s="13">
        <v>20013166</v>
      </c>
      <c r="H9" s="12" t="s">
        <v>36</v>
      </c>
      <c r="I9" s="13">
        <v>1</v>
      </c>
      <c r="J9" s="14">
        <v>16.5</v>
      </c>
      <c r="K9" s="14">
        <v>16.5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&amp;"-,Regular"2026年7月3日 12:07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彩超室</vt:lpstr>
      <vt:lpstr>供应室</vt:lpstr>
      <vt:lpstr>呼吸二病区</vt:lpstr>
      <vt:lpstr>外1</vt:lpstr>
      <vt:lpstr>外2</vt:lpstr>
      <vt:lpstr>外3</vt:lpstr>
      <vt:lpstr>结核六病区</vt:lpstr>
      <vt:lpstr>结核四病区</vt:lpstr>
      <vt:lpstr>结核一病区</vt:lpstr>
      <vt:lpstr>腔镜室</vt:lpstr>
      <vt:lpstr>手术室</vt:lpstr>
      <vt:lpstr>术后监护病房</vt:lpstr>
      <vt:lpstr>肿二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2026-07-03T04:07:00Z</dcterms:created>
  <dcterms:modified xsi:type="dcterms:W3CDTF">2026-07-08T08:46:34Z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5FA218B2C687423BBF8D1A1EB339A754_12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