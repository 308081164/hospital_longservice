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7" activeTab="12"/>
  </bookViews>
  <sheets>
    <sheet name="耳鼻喉" sheetId="1" r:id="rId1"/>
    <sheet name="妇科" sheetId="2" r:id="rId2"/>
    <sheet name="急诊" sheetId="3" r:id="rId3"/>
    <sheet name="口腔科" sheetId="4" r:id="rId4"/>
    <sheet name="内科" sheetId="5" r:id="rId5"/>
    <sheet name="手术室" sheetId="6" r:id="rId6"/>
    <sheet name="透析科" sheetId="7" r:id="rId7"/>
    <sheet name="外科" sheetId="8" r:id="rId8"/>
    <sheet name="眼科" sheetId="9" r:id="rId9"/>
    <sheet name="外来器械" sheetId="11" r:id="rId10"/>
    <sheet name="外来器械加急" sheetId="10" r:id="rId11"/>
    <sheet name="加急" sheetId="13" r:id="rId12"/>
    <sheet name="费用调整" sheetId="12" r:id="rId13"/>
  </sheets>
  <definedNames>
    <definedName name="_xlnm._FilterDatabase" localSheetId="0" hidden="1">耳鼻喉!$A$9:$K$21</definedName>
    <definedName name="_xlnm._FilterDatabase" localSheetId="1" hidden="1">妇科!$A$7:$K$41</definedName>
    <definedName name="_xlnm._FilterDatabase" localSheetId="2" hidden="1">急诊!$A$7:$K$30</definedName>
    <definedName name="_xlnm._FilterDatabase" localSheetId="3" hidden="1">口腔科!$A$7:$K$112</definedName>
    <definedName name="_xlnm._FilterDatabase" localSheetId="4" hidden="1">内科!$A$7:$K$16</definedName>
    <definedName name="_xlnm._FilterDatabase" localSheetId="5" hidden="1">手术室!$A$7:$K$368</definedName>
    <definedName name="_xlnm._FilterDatabase" localSheetId="7" hidden="1">外科!$A$7:$K$18</definedName>
    <definedName name="_xlnm._FilterDatabase" localSheetId="8" hidden="1">眼科!$A$7:$K$46</definedName>
    <definedName name="_xlnm._FilterDatabase" localSheetId="9" hidden="1">外来器械!$A$5:$J$13</definedName>
    <definedName name="_xlnm.Print_Titles" localSheetId="0">耳鼻喉!$1:$6</definedName>
    <definedName name="_xlnm.Print_Titles" localSheetId="1">妇科!$1:$6</definedName>
    <definedName name="_xlnm.Print_Titles" localSheetId="2">急诊!$1:$6</definedName>
    <definedName name="_xlnm.Print_Titles" localSheetId="3">口腔科!$1:$6</definedName>
    <definedName name="_xlnm.Print_Titles" localSheetId="4">内科!$1:$6</definedName>
    <definedName name="_xlnm.Print_Titles" localSheetId="5">手术室!$1:$6</definedName>
    <definedName name="_xlnm.Print_Titles" localSheetId="6">透析科!$1:$6</definedName>
    <definedName name="_xlnm.Print_Titles" localSheetId="7">外科!$1:$6</definedName>
    <definedName name="_xlnm.Print_Titles" localSheetId="8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<sst xmlns="http://schemas.openxmlformats.org/spreadsheetml/2006/main" count="1691" uniqueCount="331">
  <si>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</si>
  <si>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</si>
  <si>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</si>
  <si>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哈尔滨森海医院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</si>
  <si>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</si>
  <si>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</si>
  <si>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</si>
  <si>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</si>
  <si>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</si>
  <si>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</si>
  <si>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</si>
  <si>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</si>
  <si>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</si>
  <si>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</si>
  <si>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喉异物钳-1/Z1535</t>
  </si>
  <si>
    <t>卷棉子-1/z7526</t>
  </si>
  <si>
    <t>镊子-1/z7530</t>
  </si>
  <si>
    <t>压舌板-1/Z7526</t>
  </si>
  <si>
    <t>止血钳-1/Z1029</t>
  </si>
  <si>
    <t>妇科</t>
  </si>
  <si>
    <t>宫颈钳-1/Z1535</t>
  </si>
  <si>
    <t>剪刀-1/Z1029</t>
  </si>
  <si>
    <t>取环器-1/z1535</t>
  </si>
  <si>
    <t>探针-1/z7537</t>
  </si>
  <si>
    <t>器械包(ZSD)</t>
  </si>
  <si>
    <t>环包</t>
  </si>
  <si>
    <t>换药包</t>
  </si>
  <si>
    <t>卵圆钳-1/Z1526</t>
  </si>
  <si>
    <t>人流包</t>
  </si>
  <si>
    <t>刮勺-1/Z7530</t>
  </si>
  <si>
    <t>小换药包</t>
  </si>
  <si>
    <t>敷料包(纸塑袋)</t>
  </si>
  <si>
    <t>纱布/Z1526</t>
  </si>
  <si>
    <t>7号穿刺针-1/Z7526</t>
  </si>
  <si>
    <t>穿刺针-1/Z7526</t>
  </si>
  <si>
    <t>接头-1/Z7520</t>
  </si>
  <si>
    <t>窥器-1/Z1526</t>
  </si>
  <si>
    <t>吸头-1/Z7534</t>
  </si>
  <si>
    <t>穿刺包</t>
  </si>
  <si>
    <t>急诊</t>
  </si>
  <si>
    <t>急诊大缝合</t>
  </si>
  <si>
    <t>急诊小缝合</t>
  </si>
  <si>
    <t>持针器-1/Z1026</t>
  </si>
  <si>
    <t>拆线剪1直镊1钩镊1/Z1026</t>
  </si>
  <si>
    <t>额外包(低温等离子)</t>
  </si>
  <si>
    <t>喉镜-1/Z1026</t>
  </si>
  <si>
    <t>剪刀-1/Z1026</t>
  </si>
  <si>
    <t>静脉切开包</t>
  </si>
  <si>
    <t>口腔科</t>
  </si>
  <si>
    <t>车针-12/z7520</t>
  </si>
  <si>
    <t>唇钩-1/Z7520</t>
  </si>
  <si>
    <t>光敏刀-1/Z7530</t>
  </si>
  <si>
    <t>洁牙机-3件/Z7526</t>
  </si>
  <si>
    <t>口镜-1/保/Z7526</t>
  </si>
  <si>
    <t>三枪头-1/Z7526</t>
  </si>
  <si>
    <t>手机-1/Z7526</t>
  </si>
  <si>
    <t>针柄-1/Z7526</t>
  </si>
  <si>
    <t>车针-19/z7520</t>
  </si>
  <si>
    <t>尺子-1/Z7526</t>
  </si>
  <si>
    <t>刀柄-1/Z7526</t>
  </si>
  <si>
    <t>去冠器-1/Z7534</t>
  </si>
  <si>
    <t>挖匙-1/Z7526</t>
  </si>
  <si>
    <t>拔牙钳-1/Z1029</t>
  </si>
  <si>
    <t>拔牙挺-1/Z7526</t>
  </si>
  <si>
    <t>车针-22/z7520</t>
  </si>
  <si>
    <t>充填器1/z7530</t>
  </si>
  <si>
    <t>探针-1/Z7520</t>
  </si>
  <si>
    <t>注射器-1/z1026</t>
  </si>
  <si>
    <t>棉球/Z1526</t>
  </si>
  <si>
    <t>洁牙机柄-1/Z7526</t>
  </si>
  <si>
    <t>车针-37/z7520</t>
  </si>
  <si>
    <t>缝合针-1件/Z7520</t>
  </si>
  <si>
    <t>棉球缸-1/z2530</t>
  </si>
  <si>
    <t>弯机-1/Z7526</t>
  </si>
  <si>
    <t>车针-11/z7520</t>
  </si>
  <si>
    <t>车针-9/z7520</t>
  </si>
  <si>
    <t>车针-14/z7520</t>
  </si>
  <si>
    <t>车针-8/z7520</t>
  </si>
  <si>
    <t>内科</t>
  </si>
  <si>
    <t>滤芯-2件/Z2030</t>
  </si>
  <si>
    <t>面罩-1/Z2030</t>
  </si>
  <si>
    <t>开口器-1/Z1026</t>
  </si>
  <si>
    <t>手术室</t>
  </si>
  <si>
    <t>器械包</t>
  </si>
  <si>
    <t>缝合包</t>
  </si>
  <si>
    <t>开腹包</t>
  </si>
  <si>
    <t>复位钳-1/z1530</t>
  </si>
  <si>
    <t>巾钳子-2/Z1530</t>
  </si>
  <si>
    <t>皮钩（长）-2/z1026</t>
  </si>
  <si>
    <t>皮钩（短）-2/z1026</t>
  </si>
  <si>
    <t>弯盘-1/z2032</t>
  </si>
  <si>
    <t>牙钳-2件/Z1526</t>
  </si>
  <si>
    <t>咬骨钳-1/z1530</t>
  </si>
  <si>
    <t>中弯-4/Z1526</t>
  </si>
  <si>
    <t>额外包(无纺布)</t>
  </si>
  <si>
    <t>摆锯-7件/W6050</t>
  </si>
  <si>
    <t>剥离子-1/W6050</t>
  </si>
  <si>
    <t>持物钳罐-2/W6050</t>
  </si>
  <si>
    <t>电钻-3件/W6050</t>
  </si>
  <si>
    <t>盆-1/W6050</t>
  </si>
  <si>
    <t>蚊式-10件/w6050</t>
  </si>
  <si>
    <t>小S拉钩-2件/W6050</t>
  </si>
  <si>
    <t>水管-1（低温）/Z3040</t>
  </si>
  <si>
    <t>断钉取出器械</t>
  </si>
  <si>
    <t>腹腔镜器械包</t>
  </si>
  <si>
    <t>骨科基础器械包</t>
  </si>
  <si>
    <t>1.0克氏针-4/z7537</t>
  </si>
  <si>
    <t>大刮勺-1/Z7537</t>
  </si>
  <si>
    <t>骨凿-1/Z1029</t>
  </si>
  <si>
    <t>克氏针-1/Z7530</t>
  </si>
  <si>
    <t>显微拉钩-2件/Z7526</t>
  </si>
  <si>
    <t>小刮勺-4件/Z7526</t>
  </si>
  <si>
    <t>组织钳-2/Z1526</t>
  </si>
  <si>
    <t>显微器械包</t>
  </si>
  <si>
    <t>持物钳罐-3/W6050</t>
  </si>
  <si>
    <t>大S拉钩-2件/W9050</t>
  </si>
  <si>
    <t>剪刀-1/z2060</t>
  </si>
  <si>
    <t>气腹管-1（低温）/z3040</t>
  </si>
  <si>
    <t>气腹针-1/Z1026</t>
  </si>
  <si>
    <t>施夹钳-1/z2060</t>
  </si>
  <si>
    <t>弯钳-1/z2060</t>
  </si>
  <si>
    <t>无损伤-1/z2060</t>
  </si>
  <si>
    <t>单包装包(老肯低温)</t>
  </si>
  <si>
    <t>30度镜头-1（盒1）/Z2060</t>
  </si>
  <si>
    <t>宫腔镜基础器械包（一）</t>
  </si>
  <si>
    <t>阑尾包</t>
  </si>
  <si>
    <t>驱血带（高温）-1/Z2025</t>
  </si>
  <si>
    <t>妇科电切-5件/Z2045</t>
  </si>
  <si>
    <t>吸引器-1/z1560</t>
  </si>
  <si>
    <t>30°腹腔镜镜头 -1/z2060</t>
  </si>
  <si>
    <t>妇科电切12°镜头-1件/z2060</t>
  </si>
  <si>
    <t>肛周包</t>
  </si>
  <si>
    <t>1.2克氏针-2件/z7534</t>
  </si>
  <si>
    <t>4.0克氏针-3件/z7534</t>
  </si>
  <si>
    <t>剥脱器-2/Z1026</t>
  </si>
  <si>
    <t>肛门镜-2/Z2032</t>
  </si>
  <si>
    <t>肛门拉钩-2/z2032</t>
  </si>
  <si>
    <t>钩镊-1/Z7526</t>
  </si>
  <si>
    <t>换药碗-1/z2032</t>
  </si>
  <si>
    <t>扩棒-5件/Z1026</t>
  </si>
  <si>
    <t>拉钩头-2件/Z1035</t>
  </si>
  <si>
    <t>肋骨剥离器-2/Z1530</t>
  </si>
  <si>
    <t>神经剥离子-2/z7530</t>
  </si>
  <si>
    <t>肾蒂钳-4/W6050</t>
  </si>
  <si>
    <t>吸引器头-6/z1026</t>
  </si>
  <si>
    <t>线锯-1/z1526</t>
  </si>
  <si>
    <t>压肠板-1/Z1035</t>
  </si>
  <si>
    <t>植骨打入器-1/Z1026</t>
  </si>
  <si>
    <t>持骨器-2件/W6050</t>
  </si>
  <si>
    <t>持骨器-3件/W6050</t>
  </si>
  <si>
    <t>点式复位钳-2/W6050</t>
  </si>
  <si>
    <t>钢丝剪-1/W6050</t>
  </si>
  <si>
    <t>骨撬-6件/W9050</t>
  </si>
  <si>
    <t>骨掀-2/W6050</t>
  </si>
  <si>
    <t>肋骨剪刀-1件/W9050</t>
  </si>
  <si>
    <t>牵开器-1/W7050</t>
  </si>
  <si>
    <t>枪式咬骨钳-4件/w7050</t>
  </si>
  <si>
    <t>深部骨拉钩-3件/w7050</t>
  </si>
  <si>
    <t>阴道拉钩-2/W6050</t>
  </si>
  <si>
    <t>椎板拉钩-4件/W6050</t>
  </si>
  <si>
    <t>膀胱镜剪刀-1/z1560</t>
  </si>
  <si>
    <t>膀胱镜软件-1/z1560</t>
  </si>
  <si>
    <t>膀胱镜软件-4/Z2060</t>
  </si>
  <si>
    <t>膀胱镜组件（21号）-2件/z1545</t>
  </si>
  <si>
    <t>膀胱镜组件（22.5号）-2件/z1545</t>
  </si>
  <si>
    <t>肠钳子-1/z2060</t>
  </si>
  <si>
    <t>单极线-1/Z3040</t>
  </si>
  <si>
    <t>弹簧钳-1/Z2060</t>
  </si>
  <si>
    <t>胶帽-2/Z7520</t>
  </si>
  <si>
    <t>双极-1/z2060</t>
  </si>
  <si>
    <t>双极线-1/Z3040</t>
  </si>
  <si>
    <t>小水管-1（低温）/z3040</t>
  </si>
  <si>
    <t>旋切器-13件筐1/W12050</t>
  </si>
  <si>
    <t>旋切器-18件筐1/W12050</t>
  </si>
  <si>
    <t>宫腔镜基础器械包（二）</t>
  </si>
  <si>
    <t>小水管-1（低温）/Z2030</t>
  </si>
  <si>
    <t>0°镜头-1/Z2060</t>
  </si>
  <si>
    <t>甲状腺包</t>
  </si>
  <si>
    <t>甲状腺（一）</t>
  </si>
  <si>
    <t>2.5克氏针-1/Z7530</t>
  </si>
  <si>
    <t>盆-1/W7050</t>
  </si>
  <si>
    <t>绷带（3列）/Z1526</t>
  </si>
  <si>
    <t>绷带（5列）/Z1526</t>
  </si>
  <si>
    <t>胸科包</t>
  </si>
  <si>
    <t>大镊子-2/Z1029</t>
  </si>
  <si>
    <t>卵圆钳-2/Z1535</t>
  </si>
  <si>
    <t>取石钳-1/Z1026</t>
  </si>
  <si>
    <t>大弯-2/Z1526</t>
  </si>
  <si>
    <t>举宫器-1/z1535</t>
  </si>
  <si>
    <t>凿子-1/Z7530</t>
  </si>
  <si>
    <t>持针器-1/z1560</t>
  </si>
  <si>
    <t>穿刺针（低温）-1/Z7540</t>
  </si>
  <si>
    <t>电凝钩-1/Z7550</t>
  </si>
  <si>
    <t>勺钳-1/z2060</t>
  </si>
  <si>
    <t>左弯1剪刀1无损伤1/Z2060</t>
  </si>
  <si>
    <t>1.0克氏针-3/z7537</t>
  </si>
  <si>
    <t>骨挫-1/Z7530</t>
  </si>
  <si>
    <t>克氏钳-1/z1029</t>
  </si>
  <si>
    <t>持夹钳-1/z2060</t>
  </si>
  <si>
    <t>气腹管-1（双金属头）/z3040</t>
  </si>
  <si>
    <t>锤子-1/W6050</t>
  </si>
  <si>
    <t>棉垫/Z3032</t>
  </si>
  <si>
    <t>1.2克氏针-4件/z7534</t>
  </si>
  <si>
    <t>4.5克氏针-2件/z7534</t>
  </si>
  <si>
    <t>病理钳（高温）-1/z2032</t>
  </si>
  <si>
    <t>钢丝引导器-1/Z1530</t>
  </si>
  <si>
    <t>金属导尿管-3件/Z1035</t>
  </si>
  <si>
    <t>精细剪-2/Z1026</t>
  </si>
  <si>
    <t>静脉剥脱器-2/Z1026</t>
  </si>
  <si>
    <t>开利-2/Z1029</t>
  </si>
  <si>
    <t>克氏针-4/Z7530</t>
  </si>
  <si>
    <t>漏勺-1/Z1535</t>
  </si>
  <si>
    <t>气管套管-3/Z1026</t>
  </si>
  <si>
    <t>髓核钳-1/z2032</t>
  </si>
  <si>
    <t>吸引器头-1/Z7526</t>
  </si>
  <si>
    <t>线锯手柄-2/Z1026</t>
  </si>
  <si>
    <t>圆凿-1/z7530</t>
  </si>
  <si>
    <t>扎丝（0.3）-1/Z1026</t>
  </si>
  <si>
    <t>扎丝（0.6）-1/Z1026</t>
  </si>
  <si>
    <t>抓钩-2/z1535</t>
  </si>
  <si>
    <t>鞍钩-2/W6050</t>
  </si>
  <si>
    <t>胆道加件-6件/W6050</t>
  </si>
  <si>
    <t>尿道扩张器-6件/W6050</t>
  </si>
  <si>
    <t>胃钳子-2/W6050</t>
  </si>
  <si>
    <t>穿刺器-41件（筐1）/W12050</t>
  </si>
  <si>
    <t>灯柄-1/z2040</t>
  </si>
  <si>
    <t>施夹钳-1/Z2060</t>
  </si>
  <si>
    <t>肺叶钳-2/Z1526</t>
  </si>
  <si>
    <t>透析科</t>
  </si>
  <si>
    <t>外科</t>
  </si>
  <si>
    <t>肋间包</t>
  </si>
  <si>
    <t>眼科</t>
  </si>
  <si>
    <t>睑板腺镊-1/z7526</t>
  </si>
  <si>
    <t>泪道探针-1/Z7520</t>
  </si>
  <si>
    <t>泪点扩张器-1/Z7520</t>
  </si>
  <si>
    <t>镊子缸-2件/z2044</t>
  </si>
  <si>
    <t>泪道探针（9号）-1/Z7520</t>
  </si>
  <si>
    <t>敷料包(无纺布包)</t>
  </si>
  <si>
    <t>纱布/z2032</t>
  </si>
  <si>
    <t>霰粒肿包</t>
  </si>
  <si>
    <t>孔巾/Z2032</t>
  </si>
  <si>
    <t>棉球/Z3032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</si>
  <si>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</si>
  <si>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</si>
  <si>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基本类型</t>
  </si>
  <si>
    <t>包编号</t>
  </si>
  <si>
    <t>包数量</t>
  </si>
  <si>
    <t>合计</t>
  </si>
  <si>
    <t>齐齐哈尔宜峰商贸有限责任公司</t>
  </si>
  <si>
    <t>骨科租赁器械包</t>
  </si>
  <si>
    <t>骨科租赁器械包-不带植入物</t>
  </si>
  <si>
    <t>崔玉华-股骨转子间骨折1/3</t>
  </si>
  <si>
    <t>崔玉华-股骨转子间骨折2/3</t>
  </si>
  <si>
    <t>崔玉华-股骨转子间骨折3/3</t>
  </si>
  <si>
    <t>张宝廷-股骨头缺血性坏死1/3</t>
  </si>
  <si>
    <t>张宝廷-股骨头缺血性坏死2/3</t>
  </si>
  <si>
    <t>张宝廷-股骨头缺血性坏死3/3</t>
  </si>
  <si>
    <t>哈尔滨森海医院2026年4月加急灭菌费9473.13，加急物流费合计1350元，总计金额10823.13元。</t>
  </si>
  <si>
    <t>哈尔滨森海医院2026年4月2日加急灭菌费1078+1078*25%=1347.5元，加急物流费150元，合计金额1497.5元。</t>
  </si>
  <si>
    <t>李景芹-膝关节退化性病变  2/9</t>
  </si>
  <si>
    <t>李景芹-膝关节退化性病变  3/9</t>
  </si>
  <si>
    <t>李景芹-膝关节退化性病变  4/9</t>
  </si>
  <si>
    <t>李景芹-膝关节退化性病变  5/9</t>
  </si>
  <si>
    <t>李景芹-膝关节退化性病变  6/9</t>
  </si>
  <si>
    <t>李景芹-膝关节退化性病变  7/9</t>
  </si>
  <si>
    <t>李景芹-膝关节退化性病变  8/9</t>
  </si>
  <si>
    <t>李景芹-膝关节退化性病变  9/9</t>
  </si>
  <si>
    <t>李景芹-膝关节退化性病变  1/9</t>
  </si>
  <si>
    <t>哈尔滨森海医院2026年4月6日加急灭菌费737+737*25%=921.25元，加急物流费150元，合计金额1071.25元。</t>
  </si>
  <si>
    <t>周龙全-膝关节退行性病变2/6</t>
  </si>
  <si>
    <t>周龙全-膝关节退行性病变1/6</t>
  </si>
  <si>
    <t>周龙全-膝关节退行性病变3/6</t>
  </si>
  <si>
    <t>周龙全-膝关节退行性病变4/6</t>
  </si>
  <si>
    <t>周龙全-膝关节退行性病变5/6</t>
  </si>
  <si>
    <t>周龙全-膝关节退行性病变6/6</t>
  </si>
  <si>
    <t>崔红艳-股骨颈骨折2/3</t>
  </si>
  <si>
    <t>崔红艳-股骨颈骨折3/3</t>
  </si>
  <si>
    <t>崔红艳-股骨颈骨折1/3</t>
  </si>
  <si>
    <t>哈尔滨森海医院2026年4月12日加急灭菌费737+737*25%=921.25元，加急物流费150元，合计金额1071.25元。</t>
  </si>
  <si>
    <t>隋立娟-膝关节退行性病变1/6</t>
  </si>
  <si>
    <t>隋立娟-膝关节退行性病变2/6</t>
  </si>
  <si>
    <t>隋立娟-膝关节退行性病变3/6</t>
  </si>
  <si>
    <t>隋立娟-膝关节退行性病变4/6</t>
  </si>
  <si>
    <t>隋立娟-膝关节退行性病变5/6</t>
  </si>
  <si>
    <t>隋立娟-膝关节退行性病变6/6</t>
  </si>
  <si>
    <t>哈尔滨森海医院2026年4月16日加急灭菌费737+737*25%=921.25元，加急物流费150元，合计金额1071.25元。</t>
  </si>
  <si>
    <t>王淑云-膝关节退行性病变  1/6</t>
  </si>
  <si>
    <t>王淑云-膝关节退行性病变  2/6</t>
  </si>
  <si>
    <t>王淑云-膝关节退行性病变  3/6</t>
  </si>
  <si>
    <t>王淑云-膝关节退行性病变  4/6</t>
  </si>
  <si>
    <t>王淑云-膝关节退行性病变  5/6</t>
  </si>
  <si>
    <t>王淑云-膝关节退行性病变  6/6</t>
  </si>
  <si>
    <t>哈尔滨森海医院2026年4月17日加急灭菌费442+442*25%=552.5元，加急物流费150元，合计金额702.5元。</t>
  </si>
  <si>
    <t>骨科租赁器械包-带植入物</t>
  </si>
  <si>
    <t>王伟伟-肩锁关节脱位  1/1</t>
  </si>
  <si>
    <t>哈尔滨森海医院2026年4月20日加急灭菌费737+737*25%=921.25元，合计金额1071.25元。</t>
  </si>
  <si>
    <t>李苓-膝关节退行性病变  1/6</t>
  </si>
  <si>
    <t>李苓-膝关节退行性病变  2/6</t>
  </si>
  <si>
    <t>李苓-膝关节退行性病变  4/6</t>
  </si>
  <si>
    <t>李苓-膝关节退行性病变  6/6</t>
  </si>
  <si>
    <t>李苓-膝关节退行性病变  3/6</t>
  </si>
  <si>
    <t>李苓-膝关节退行性病变  5/6</t>
  </si>
  <si>
    <t>哈尔滨森海医院2026年4月21日加急灭菌费839+839*25%=1048.75元，加急物流费150元，合计金额1198.75元。</t>
  </si>
  <si>
    <t>张亚芹-胫骨骨折  1/4</t>
  </si>
  <si>
    <t>张亚芹-胫骨骨折  3/4</t>
  </si>
  <si>
    <t>张亚芹-胫骨骨折  4/4</t>
  </si>
  <si>
    <t>张亚芹-胫骨骨折  2/4</t>
  </si>
  <si>
    <t>哈尔滨森海医院2026年4月25日加急灭菌费1721.5+1721.5*25%=2151.88元，加急物流费150元，合计金额2301.88元。</t>
  </si>
  <si>
    <t>关宝来-股骨头无菌性坏死1/5</t>
  </si>
  <si>
    <t>关宝来-股骨头无菌性坏死2/5</t>
  </si>
  <si>
    <t>关宝来-股骨头无菌性坏死3/5</t>
  </si>
  <si>
    <t>关宝来-股骨头无菌性坏死4/5</t>
  </si>
  <si>
    <t>关宝来-股骨头无菌性坏死5/5</t>
  </si>
  <si>
    <t>姜秀华-膝关节退行性病变1/7</t>
  </si>
  <si>
    <t>姜秀华-膝关节退行性病变2/7</t>
  </si>
  <si>
    <t>姜秀华-膝关节退行性病变3/7</t>
  </si>
  <si>
    <t>姜秀华-膝关节退行性病变4/7</t>
  </si>
  <si>
    <t>姜秀华-膝关节退行性病变5/7</t>
  </si>
  <si>
    <t>姜秀华-膝关节退行性病变6/7</t>
  </si>
  <si>
    <t>姜秀华-膝关节退行性病变7/7</t>
  </si>
  <si>
    <t>哈尔滨森海医院2026年4月14日加急灭菌费231+231*25%=288.75元，加急物流费150元，合计金额438.75元。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</si>
  <si>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</si>
  <si>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2026/5/8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2026/5/8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</si>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</sst>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yyyy/m/d"/>
    <numFmt numFmtId="179" formatCode="[$-10804]0.00;\(0.00\)"/>
  </numFmts>
  <fonts count="3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b/>
      <sz val="10"/>
      <color rgb="FF000000"/>
      <name val="Droid Sans Fallback"/>
      <charset val="134"/>
    </font>
    <font>
      <sz val="11"/>
      <name val="宋体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宋体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8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/>
  </cellStyleXfs>
  <cellXfs count="5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176" fontId="4" fillId="2" borderId="2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4" fillId="3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4" fillId="4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left" vertical="top" wrapText="1" readingOrder="1"/>
    </xf>
    <xf numFmtId="177" fontId="4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Alignment="1">
      <alignment horizontal="center" vertical="center" readingOrder="1"/>
    </xf>
    <xf numFmtId="0" fontId="8" fillId="0" borderId="0" xfId="0" applyFont="1" applyFill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8" fontId="4" fillId="0" borderId="4" xfId="0" applyNumberFormat="1" applyFont="1" applyFill="1" applyBorder="1" applyAlignment="1">
      <alignment horizontal="left" vertical="top" wrapText="1" readingOrder="1"/>
    </xf>
    <xf numFmtId="0" fontId="4" fillId="0" borderId="4" xfId="0" applyNumberFormat="1" applyFont="1" applyFill="1" applyBorder="1" applyAlignment="1">
      <alignment horizontal="lef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10" fillId="0" borderId="4" xfId="0" applyNumberFormat="1" applyFont="1" applyFill="1" applyBorder="1" applyAlignment="1">
      <alignment horizontal="center" vertical="top" wrapText="1" readingOrder="1"/>
    </xf>
    <xf numFmtId="179" fontId="10" fillId="0" borderId="4" xfId="0" applyNumberFormat="1" applyFont="1" applyFill="1" applyBorder="1" applyAlignment="1">
      <alignment vertical="top" wrapText="1" readingOrder="1"/>
    </xf>
    <xf numFmtId="178" fontId="4" fillId="0" borderId="5" xfId="0" applyNumberFormat="1" applyFont="1" applyFill="1" applyBorder="1" applyAlignment="1">
      <alignment horizontal="center" vertical="top" wrapText="1" readingOrder="1"/>
    </xf>
    <xf numFmtId="178" fontId="4" fillId="0" borderId="6" xfId="0" applyNumberFormat="1" applyFont="1" applyFill="1" applyBorder="1" applyAlignment="1">
      <alignment horizontal="center" vertical="top" wrapText="1" readingOrder="1"/>
    </xf>
    <xf numFmtId="178" fontId="4" fillId="0" borderId="7" xfId="0" applyNumberFormat="1" applyFont="1" applyFill="1" applyBorder="1" applyAlignment="1">
      <alignment horizontal="center" vertical="top" wrapText="1" readingOrder="1"/>
    </xf>
    <xf numFmtId="0" fontId="11" fillId="0" borderId="8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79" fontId="6" fillId="0" borderId="0" xfId="0" applyNumberFormat="1" applyFont="1" applyFill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12" fillId="2" borderId="2" xfId="0" applyNumberFormat="1" applyFont="1" applyFill="1" applyBorder="1" applyAlignment="1">
      <alignment vertical="top" wrapText="1" readingOrder="1"/>
    </xf>
    <xf numFmtId="0" fontId="13" fillId="2" borderId="2" xfId="0" applyNumberFormat="1" applyFont="1" applyFill="1" applyBorder="1" applyAlignment="1">
      <alignment horizontal="center" vertical="top" wrapText="1" readingOrder="1"/>
    </xf>
    <xf numFmtId="179" fontId="13" fillId="2" borderId="2" xfId="0" applyNumberFormat="1" applyFont="1" applyFill="1" applyBorder="1" applyAlignment="1">
      <alignment vertical="top" wrapText="1" readingOrder="1"/>
    </xf>
    <xf numFmtId="0" fontId="14" fillId="3" borderId="2" xfId="0" applyNumberFormat="1" applyFont="1" applyFill="1" applyBorder="1" applyAlignment="1">
      <alignment vertical="top" wrapText="1" readingOrder="1"/>
    </xf>
    <xf numFmtId="0" fontId="10" fillId="3" borderId="2" xfId="0" applyNumberFormat="1" applyFont="1" applyFill="1" applyBorder="1" applyAlignment="1">
      <alignment horizontal="center" vertical="top" wrapText="1" readingOrder="1"/>
    </xf>
    <xf numFmtId="179" fontId="10" fillId="3" borderId="2" xfId="0" applyNumberFormat="1" applyFont="1" applyFill="1" applyBorder="1" applyAlignment="1">
      <alignment vertical="top" wrapText="1" readingOrder="1"/>
    </xf>
    <xf numFmtId="178" fontId="4" fillId="0" borderId="3" xfId="0" applyNumberFormat="1" applyFont="1" applyFill="1" applyBorder="1" applyAlignment="1">
      <alignment horizontal="left" vertical="top" wrapText="1" readingOrder="1"/>
    </xf>
    <xf numFmtId="0" fontId="10" fillId="0" borderId="3" xfId="0" applyNumberFormat="1" applyFont="1" applyFill="1" applyBorder="1" applyAlignment="1">
      <alignment horizontal="center" vertical="top" wrapText="1" readingOrder="1"/>
    </xf>
    <xf numFmtId="179" fontId="10" fillId="0" borderId="3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9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10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9" fontId="5" fillId="3" borderId="3" xfId="0" applyNumberFormat="1" applyFont="1" applyFill="1" applyBorder="1" applyAlignment="1">
      <alignment horizontal="center" vertical="top" wrapText="1" readingOrder="1"/>
    </xf>
    <xf numFmtId="178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179" fontId="4" fillId="0" borderId="3" xfId="0" applyNumberFormat="1" applyFont="1" applyFill="1" applyBorder="1" applyAlignment="1">
      <alignment horizontal="center" vertical="top" wrapText="1" readingOrder="1"/>
    </xf>
    <xf numFmtId="0" fontId="15" fillId="2" borderId="3" xfId="0" applyNumberFormat="1" applyFont="1" applyFill="1" applyBorder="1" applyAlignment="1">
      <alignment vertical="top" wrapText="1" readingOrder="1"/>
    </xf>
    <xf numFmtId="0" fontId="12" fillId="2" borderId="3" xfId="0" applyNumberFormat="1" applyFont="1" applyFill="1" applyBorder="1" applyAlignment="1">
      <alignment horizontal="center" vertical="top" wrapText="1" readingOrder="1"/>
    </xf>
    <xf numFmtId="179" fontId="12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57150</xdr:rowOff>
    </xdr:from>
    <xdr:to>
      <xdr:col>10</xdr:col>
      <xdr:colOff>766528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304165</xdr:colOff>
      <xdr:row>1</xdr:row>
      <xdr:rowOff>19050</xdr:rowOff>
    </xdr:from>
    <xdr:to>
      <xdr:col>10</xdr:col>
      <xdr:colOff>814153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19050</xdr:rowOff>
    </xdr:from>
    <xdr:to>
      <xdr:col>10</xdr:col>
      <xdr:colOff>804628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28575</xdr:rowOff>
    </xdr:from>
    <xdr:to>
      <xdr:col>10</xdr:col>
      <xdr:colOff>766528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0</xdr:rowOff>
    </xdr:from>
    <xdr:to>
      <xdr:col>10</xdr:col>
      <xdr:colOff>747478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9525</xdr:rowOff>
    </xdr:from>
    <xdr:to>
      <xdr:col>10</xdr:col>
      <xdr:colOff>737953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28575</xdr:rowOff>
    </xdr:from>
    <xdr:to>
      <xdr:col>10</xdr:col>
      <xdr:colOff>804628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9525</xdr:rowOff>
    </xdr:from>
    <xdr:to>
      <xdr:col>10</xdr:col>
      <xdr:colOff>709378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9525</xdr:rowOff>
    </xdr:from>
    <xdr:to>
      <xdr:col>10</xdr:col>
      <xdr:colOff>804628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308610</xdr:colOff>
      <xdr:row>0</xdr:row>
      <xdr:rowOff>152400</xdr:rowOff>
    </xdr:from>
    <xdr:to>
      <xdr:col>9</xdr:col>
      <xdr:colOff>818598</xdr:colOff>
      <xdr:row>3</xdr:row>
      <xdr:rowOff>3810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4156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397510</xdr:colOff>
      <xdr:row>0</xdr:row>
      <xdr:rowOff>57785</xdr:rowOff>
    </xdr:from>
    <xdr:to>
      <xdr:col>7</xdr:col>
      <xdr:colOff>907498</xdr:colOff>
      <xdr:row>3</xdr:row>
      <xdr:rowOff>48260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3575" y="5778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2">
      <c r="C8" s="20" t="s">
        <v>2</v>
      </c>
      <c r="D8" s="56" t="s">
        <v>3</v>
      </c>
      <c r="E8" s="50" t="s">
        <v>2</v>
      </c>
      <c r="F8" s="50" t="s">
        <v>2</v>
      </c>
      <c r="G8" s="50" t="s">
        <v>2</v>
      </c>
      <c r="H8" s="50" t="s">
        <v>2</v>
      </c>
      <c r="I8" s="57"/>
      <c r="J8" s="58"/>
      <c r="K8" s="58"/>
    </row>
    <row r="9" spans="2:12">
      <c r="C9" s="20" t="s">
        <v>2</v>
      </c>
      <c r="D9" s="54" t="s">
        <v>4</v>
      </c>
      <c r="E9" s="54" t="s">
        <v>5</v>
      </c>
      <c r="F9" s="54" t="s">
        <v>6</v>
      </c>
      <c r="G9" s="54" t="s">
        <v>7</v>
      </c>
      <c r="H9" s="54" t="s">
        <v>8</v>
      </c>
      <c r="I9" s="54" t="s">
        <v>9</v>
      </c>
      <c r="J9" s="54" t="s">
        <v>10</v>
      </c>
      <c r="K9" s="54" t="s">
        <v>11</v>
      </c>
    </row>
    <row r="10" ht="14.25" spans="2:12">
      <c r="D10" s="49" t="s">
        <v>12</v>
      </c>
      <c r="E10" s="50" t="s">
        <v>2</v>
      </c>
      <c r="F10" s="50" t="s">
        <v>2</v>
      </c>
      <c r="G10" s="50" t="s">
        <v>2</v>
      </c>
      <c r="H10" s="50" t="s">
        <v>2</v>
      </c>
      <c r="I10" s="51">
        <v>45</v>
      </c>
      <c r="J10" s="52"/>
      <c r="K10" s="52">
        <v>369</v>
      </c>
      <c r="L10">
        <f>K10+妇科!K8+急诊!K8+口腔科!K8+内科!K8+手术室!K8+透析科!K8+外科!K8+眼科!K8</f>
        <v>25517</v>
      </c>
    </row>
    <row r="11" spans="2:12">
      <c r="D11" s="53">
        <v>46125</v>
      </c>
      <c r="E11" s="18">
        <v>1594325</v>
      </c>
      <c r="F11" s="18" t="s">
        <v>13</v>
      </c>
      <c r="G11" s="54">
        <v>20421270</v>
      </c>
      <c r="H11" s="18" t="s">
        <v>14</v>
      </c>
      <c r="I11" s="54">
        <v>1</v>
      </c>
      <c r="J11" s="55">
        <v>11</v>
      </c>
      <c r="K11" s="55">
        <v>11</v>
      </c>
    </row>
    <row r="12" spans="2:12">
      <c r="D12" s="53">
        <v>46125</v>
      </c>
      <c r="E12" s="18">
        <v>1594325</v>
      </c>
      <c r="F12" s="18" t="s">
        <v>13</v>
      </c>
      <c r="G12" s="54">
        <v>20421275</v>
      </c>
      <c r="H12" s="18" t="s">
        <v>15</v>
      </c>
      <c r="I12" s="54">
        <v>2</v>
      </c>
      <c r="J12" s="55">
        <v>8</v>
      </c>
      <c r="K12" s="55">
        <v>16</v>
      </c>
    </row>
    <row r="13" spans="2:12">
      <c r="D13" s="53">
        <v>46125</v>
      </c>
      <c r="E13" s="18">
        <v>1594325</v>
      </c>
      <c r="F13" s="18" t="s">
        <v>13</v>
      </c>
      <c r="G13" s="54">
        <v>20421286</v>
      </c>
      <c r="H13" s="18" t="s">
        <v>16</v>
      </c>
      <c r="I13" s="54">
        <v>8</v>
      </c>
      <c r="J13" s="55">
        <v>8</v>
      </c>
      <c r="K13" s="55">
        <v>64</v>
      </c>
    </row>
    <row r="14" spans="2:12">
      <c r="D14" s="53">
        <v>46125</v>
      </c>
      <c r="E14" s="18">
        <v>1594325</v>
      </c>
      <c r="F14" s="18" t="s">
        <v>13</v>
      </c>
      <c r="G14" s="54">
        <v>20421274</v>
      </c>
      <c r="H14" s="18" t="s">
        <v>17</v>
      </c>
      <c r="I14" s="54">
        <v>8</v>
      </c>
      <c r="J14" s="55">
        <v>8</v>
      </c>
      <c r="K14" s="55">
        <v>64</v>
      </c>
    </row>
    <row r="15" spans="2:12">
      <c r="D15" s="53">
        <v>46125</v>
      </c>
      <c r="E15" s="18">
        <v>1594325</v>
      </c>
      <c r="F15" s="18" t="s">
        <v>13</v>
      </c>
      <c r="G15" s="54">
        <v>20419014</v>
      </c>
      <c r="H15" s="18" t="s">
        <v>18</v>
      </c>
      <c r="I15" s="54">
        <v>1</v>
      </c>
      <c r="J15" s="55">
        <v>8</v>
      </c>
      <c r="K15" s="55">
        <v>8</v>
      </c>
    </row>
    <row r="16" spans="2:12">
      <c r="D16" s="53">
        <v>46135</v>
      </c>
      <c r="E16" s="18">
        <v>1597594</v>
      </c>
      <c r="F16" s="18" t="s">
        <v>13</v>
      </c>
      <c r="G16" s="54">
        <v>20421270</v>
      </c>
      <c r="H16" s="18" t="s">
        <v>14</v>
      </c>
      <c r="I16" s="54">
        <v>1</v>
      </c>
      <c r="J16" s="55">
        <v>11</v>
      </c>
      <c r="K16" s="55">
        <v>11</v>
      </c>
    </row>
    <row r="17" spans="4:11">
      <c r="D17" s="53">
        <v>46135</v>
      </c>
      <c r="E17" s="18">
        <v>1597594</v>
      </c>
      <c r="F17" s="18" t="s">
        <v>13</v>
      </c>
      <c r="G17" s="54">
        <v>20421286</v>
      </c>
      <c r="H17" s="18" t="s">
        <v>16</v>
      </c>
      <c r="I17" s="54">
        <v>6</v>
      </c>
      <c r="J17" s="55">
        <v>8</v>
      </c>
      <c r="K17" s="55">
        <v>48</v>
      </c>
    </row>
    <row r="18" spans="4:11">
      <c r="D18" s="53">
        <v>46135</v>
      </c>
      <c r="E18" s="18">
        <v>1597594</v>
      </c>
      <c r="F18" s="18" t="s">
        <v>13</v>
      </c>
      <c r="G18" s="54">
        <v>20421274</v>
      </c>
      <c r="H18" s="18" t="s">
        <v>17</v>
      </c>
      <c r="I18" s="54">
        <v>14</v>
      </c>
      <c r="J18" s="55">
        <v>8</v>
      </c>
      <c r="K18" s="55">
        <v>112</v>
      </c>
    </row>
    <row r="19" spans="4:11">
      <c r="D19" s="53">
        <v>46139</v>
      </c>
      <c r="E19" s="18">
        <v>1598473</v>
      </c>
      <c r="F19" s="18" t="s">
        <v>13</v>
      </c>
      <c r="G19" s="54">
        <v>20421270</v>
      </c>
      <c r="H19" s="18" t="s">
        <v>14</v>
      </c>
      <c r="I19" s="54">
        <v>1</v>
      </c>
      <c r="J19" s="55">
        <v>11</v>
      </c>
      <c r="K19" s="55">
        <v>11</v>
      </c>
    </row>
    <row r="20" spans="4:11">
      <c r="D20" s="53">
        <v>46139</v>
      </c>
      <c r="E20" s="18">
        <v>1598473</v>
      </c>
      <c r="F20" s="18" t="s">
        <v>13</v>
      </c>
      <c r="G20" s="54">
        <v>20421286</v>
      </c>
      <c r="H20" s="18" t="s">
        <v>16</v>
      </c>
      <c r="I20" s="54">
        <v>2</v>
      </c>
      <c r="J20" s="55">
        <v>8</v>
      </c>
      <c r="K20" s="55">
        <v>16</v>
      </c>
    </row>
    <row r="21" spans="4:11">
      <c r="D21" s="53">
        <v>46139</v>
      </c>
      <c r="E21" s="18">
        <v>1598473</v>
      </c>
      <c r="F21" s="18" t="s">
        <v>13</v>
      </c>
      <c r="G21" s="54">
        <v>20421274</v>
      </c>
      <c r="H21" s="18" t="s">
        <v>17</v>
      </c>
      <c r="I21" s="54">
        <v>1</v>
      </c>
      <c r="J21" s="55">
        <v>8</v>
      </c>
      <c r="K21" s="55">
        <v>8</v>
      </c>
    </row>
  </sheetData>
  <autoFilter xmlns:etc="http://www.wps.cn/officeDocument/2017/etCustomData" ref="A9:K21" etc:filterBottomFollowUsedRange="0">
    <extLst/>
  </autoFilter>
  <mergeCells count="6">
    <mergeCell ref="D8:H8"/>
    <mergeCell ref="D10:H10"/>
    <mergeCell ref="C9:C21"/>
    <mergeCell ref="B4:H5"/>
    <mergeCell ref="C1:H2"/>
    <mergeCell ref="A8:B2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19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43</v>
      </c>
      <c r="J8" s="52"/>
      <c r="K8" s="52">
        <v>1076</v>
      </c>
    </row>
    <row r="9" spans="1:11">
      <c r="D9" s="53">
        <v>46116</v>
      </c>
      <c r="E9" s="18">
        <v>1592184</v>
      </c>
      <c r="F9" s="18" t="s">
        <v>13</v>
      </c>
      <c r="G9" s="54">
        <v>20419015</v>
      </c>
      <c r="H9" s="18" t="s">
        <v>20</v>
      </c>
      <c r="I9" s="54">
        <v>1</v>
      </c>
      <c r="J9" s="55">
        <v>11</v>
      </c>
      <c r="K9" s="55">
        <v>11</v>
      </c>
    </row>
    <row r="10" spans="1:11">
      <c r="D10" s="53">
        <v>46116</v>
      </c>
      <c r="E10" s="18">
        <v>1592184</v>
      </c>
      <c r="F10" s="18" t="s">
        <v>13</v>
      </c>
      <c r="G10" s="54">
        <v>20419012</v>
      </c>
      <c r="H10" s="18" t="s">
        <v>21</v>
      </c>
      <c r="I10" s="54">
        <v>1</v>
      </c>
      <c r="J10" s="55">
        <v>8</v>
      </c>
      <c r="K10" s="55">
        <v>8</v>
      </c>
    </row>
    <row r="11" spans="1:11">
      <c r="D11" s="53">
        <v>46116</v>
      </c>
      <c r="E11" s="18">
        <v>1592184</v>
      </c>
      <c r="F11" s="18" t="s">
        <v>13</v>
      </c>
      <c r="G11" s="54">
        <v>20419013</v>
      </c>
      <c r="H11" s="18" t="s">
        <v>22</v>
      </c>
      <c r="I11" s="54">
        <v>1</v>
      </c>
      <c r="J11" s="55">
        <v>11</v>
      </c>
      <c r="K11" s="55">
        <v>11</v>
      </c>
    </row>
    <row r="12" spans="1:11">
      <c r="D12" s="53">
        <v>46116</v>
      </c>
      <c r="E12" s="18">
        <v>1592184</v>
      </c>
      <c r="F12" s="18" t="s">
        <v>13</v>
      </c>
      <c r="G12" s="54">
        <v>20420201</v>
      </c>
      <c r="H12" s="18" t="s">
        <v>23</v>
      </c>
      <c r="I12" s="54">
        <v>1</v>
      </c>
      <c r="J12" s="55">
        <v>8</v>
      </c>
      <c r="K12" s="55">
        <v>8</v>
      </c>
    </row>
    <row r="13" spans="1:11">
      <c r="D13" s="53">
        <v>46116</v>
      </c>
      <c r="E13" s="18">
        <v>1592184</v>
      </c>
      <c r="F13" s="18" t="s">
        <v>13</v>
      </c>
      <c r="G13" s="54">
        <v>20419014</v>
      </c>
      <c r="H13" s="18" t="s">
        <v>18</v>
      </c>
      <c r="I13" s="54">
        <v>2</v>
      </c>
      <c r="J13" s="55">
        <v>8</v>
      </c>
      <c r="K13" s="55">
        <v>16</v>
      </c>
    </row>
    <row r="14" spans="1:11">
      <c r="D14" s="53">
        <v>46116</v>
      </c>
      <c r="E14" s="18">
        <v>1592184</v>
      </c>
      <c r="F14" s="18" t="s">
        <v>24</v>
      </c>
      <c r="G14" s="54">
        <v>20419007</v>
      </c>
      <c r="H14" s="18" t="s">
        <v>25</v>
      </c>
      <c r="I14" s="54">
        <v>3</v>
      </c>
      <c r="J14" s="55">
        <v>49.5</v>
      </c>
      <c r="K14" s="55">
        <v>148.5</v>
      </c>
    </row>
    <row r="15" spans="1:11">
      <c r="D15" s="53">
        <v>46116</v>
      </c>
      <c r="E15" s="18">
        <v>1592184</v>
      </c>
      <c r="F15" s="18" t="s">
        <v>24</v>
      </c>
      <c r="G15" s="54">
        <v>20419008</v>
      </c>
      <c r="H15" s="18" t="s">
        <v>26</v>
      </c>
      <c r="I15" s="54">
        <v>1</v>
      </c>
      <c r="J15" s="55">
        <v>22</v>
      </c>
      <c r="K15" s="55">
        <v>22</v>
      </c>
    </row>
    <row r="16" spans="1:11">
      <c r="D16" s="53">
        <v>46119</v>
      </c>
      <c r="E16" s="18">
        <v>1592567</v>
      </c>
      <c r="F16" s="18" t="s">
        <v>13</v>
      </c>
      <c r="G16" s="54">
        <v>20419010</v>
      </c>
      <c r="H16" s="18" t="s">
        <v>27</v>
      </c>
      <c r="I16" s="54">
        <v>1</v>
      </c>
      <c r="J16" s="55">
        <v>11</v>
      </c>
      <c r="K16" s="55">
        <v>11</v>
      </c>
    </row>
    <row r="17" spans="4:11">
      <c r="D17" s="53">
        <v>46119</v>
      </c>
      <c r="E17" s="18">
        <v>1592567</v>
      </c>
      <c r="F17" s="18" t="s">
        <v>24</v>
      </c>
      <c r="G17" s="54">
        <v>20419007</v>
      </c>
      <c r="H17" s="18" t="s">
        <v>25</v>
      </c>
      <c r="I17" s="54">
        <v>1</v>
      </c>
      <c r="J17" s="55">
        <v>49.5</v>
      </c>
      <c r="K17" s="55">
        <v>49.5</v>
      </c>
    </row>
    <row r="18" spans="4:11">
      <c r="D18" s="53">
        <v>46119</v>
      </c>
      <c r="E18" s="18">
        <v>1592567</v>
      </c>
      <c r="F18" s="18" t="s">
        <v>24</v>
      </c>
      <c r="G18" s="54">
        <v>20419381</v>
      </c>
      <c r="H18" s="18" t="s">
        <v>28</v>
      </c>
      <c r="I18" s="54">
        <v>1</v>
      </c>
      <c r="J18" s="55">
        <v>71.5</v>
      </c>
      <c r="K18" s="55">
        <v>71.5</v>
      </c>
    </row>
    <row r="19" spans="4:11">
      <c r="D19" s="53">
        <v>46122</v>
      </c>
      <c r="E19" s="18">
        <v>1593758</v>
      </c>
      <c r="F19" s="18" t="s">
        <v>13</v>
      </c>
      <c r="G19" s="54">
        <v>20419019</v>
      </c>
      <c r="H19" s="18" t="s">
        <v>29</v>
      </c>
      <c r="I19" s="54">
        <v>1</v>
      </c>
      <c r="J19" s="55">
        <v>8</v>
      </c>
      <c r="K19" s="55">
        <v>8</v>
      </c>
    </row>
    <row r="20" spans="4:11">
      <c r="D20" s="53">
        <v>46122</v>
      </c>
      <c r="E20" s="18">
        <v>1593758</v>
      </c>
      <c r="F20" s="18" t="s">
        <v>24</v>
      </c>
      <c r="G20" s="54">
        <v>20419381</v>
      </c>
      <c r="H20" s="18" t="s">
        <v>28</v>
      </c>
      <c r="I20" s="54">
        <v>2</v>
      </c>
      <c r="J20" s="55">
        <v>71.5</v>
      </c>
      <c r="K20" s="55">
        <v>143</v>
      </c>
    </row>
    <row r="21" spans="4:11">
      <c r="D21" s="53">
        <v>46126</v>
      </c>
      <c r="E21" s="18">
        <v>1594719</v>
      </c>
      <c r="F21" s="18" t="s">
        <v>13</v>
      </c>
      <c r="G21" s="54">
        <v>20419019</v>
      </c>
      <c r="H21" s="18" t="s">
        <v>29</v>
      </c>
      <c r="I21" s="54">
        <v>1</v>
      </c>
      <c r="J21" s="55">
        <v>8</v>
      </c>
      <c r="K21" s="55">
        <v>8</v>
      </c>
    </row>
    <row r="22" spans="4:11">
      <c r="D22" s="53">
        <v>46126</v>
      </c>
      <c r="E22" s="18">
        <v>1594719</v>
      </c>
      <c r="F22" s="18" t="s">
        <v>13</v>
      </c>
      <c r="G22" s="54">
        <v>20419010</v>
      </c>
      <c r="H22" s="18" t="s">
        <v>27</v>
      </c>
      <c r="I22" s="54">
        <v>1</v>
      </c>
      <c r="J22" s="55">
        <v>11</v>
      </c>
      <c r="K22" s="55">
        <v>11</v>
      </c>
    </row>
    <row r="23" spans="4:11">
      <c r="D23" s="53">
        <v>46126</v>
      </c>
      <c r="E23" s="18">
        <v>1594719</v>
      </c>
      <c r="F23" s="18" t="s">
        <v>24</v>
      </c>
      <c r="G23" s="54">
        <v>20419007</v>
      </c>
      <c r="H23" s="18" t="s">
        <v>25</v>
      </c>
      <c r="I23" s="54">
        <v>1</v>
      </c>
      <c r="J23" s="55">
        <v>49.5</v>
      </c>
      <c r="K23" s="55">
        <v>49.5</v>
      </c>
    </row>
    <row r="24" spans="4:11">
      <c r="D24" s="53">
        <v>46126</v>
      </c>
      <c r="E24" s="18">
        <v>1594719</v>
      </c>
      <c r="F24" s="18" t="s">
        <v>24</v>
      </c>
      <c r="G24" s="54">
        <v>20419381</v>
      </c>
      <c r="H24" s="18" t="s">
        <v>28</v>
      </c>
      <c r="I24" s="54">
        <v>1</v>
      </c>
      <c r="J24" s="55">
        <v>71.5</v>
      </c>
      <c r="K24" s="55">
        <v>71.5</v>
      </c>
    </row>
    <row r="25" spans="4:11">
      <c r="D25" s="53">
        <v>46128</v>
      </c>
      <c r="E25" s="18">
        <v>1595513</v>
      </c>
      <c r="F25" s="18" t="s">
        <v>24</v>
      </c>
      <c r="G25" s="54">
        <v>20419381</v>
      </c>
      <c r="H25" s="18" t="s">
        <v>28</v>
      </c>
      <c r="I25" s="54">
        <v>1</v>
      </c>
      <c r="J25" s="55">
        <v>71.5</v>
      </c>
      <c r="K25" s="55">
        <v>71.5</v>
      </c>
    </row>
    <row r="26" spans="4:11">
      <c r="D26" s="53">
        <v>46132</v>
      </c>
      <c r="E26" s="18">
        <v>1596454</v>
      </c>
      <c r="F26" s="18" t="s">
        <v>13</v>
      </c>
      <c r="G26" s="54">
        <v>20419014</v>
      </c>
      <c r="H26" s="18" t="s">
        <v>18</v>
      </c>
      <c r="I26" s="54">
        <v>1</v>
      </c>
      <c r="J26" s="55">
        <v>8</v>
      </c>
      <c r="K26" s="55">
        <v>8</v>
      </c>
    </row>
    <row r="27" spans="4:11">
      <c r="D27" s="53">
        <v>46132</v>
      </c>
      <c r="E27" s="18">
        <v>1596454</v>
      </c>
      <c r="F27" s="18" t="s">
        <v>24</v>
      </c>
      <c r="G27" s="54">
        <v>20419007</v>
      </c>
      <c r="H27" s="18" t="s">
        <v>25</v>
      </c>
      <c r="I27" s="54">
        <v>1</v>
      </c>
      <c r="J27" s="55">
        <v>49.5</v>
      </c>
      <c r="K27" s="55">
        <v>49.5</v>
      </c>
    </row>
    <row r="28" spans="4:11">
      <c r="D28" s="53">
        <v>46132</v>
      </c>
      <c r="E28" s="18">
        <v>1596454</v>
      </c>
      <c r="F28" s="18" t="s">
        <v>24</v>
      </c>
      <c r="G28" s="54">
        <v>20419009</v>
      </c>
      <c r="H28" s="18" t="s">
        <v>30</v>
      </c>
      <c r="I28" s="54">
        <v>1</v>
      </c>
      <c r="J28" s="55">
        <v>22</v>
      </c>
      <c r="K28" s="55">
        <v>22</v>
      </c>
    </row>
    <row r="29" spans="4:11">
      <c r="D29" s="53">
        <v>46134</v>
      </c>
      <c r="E29" s="18">
        <v>1597219</v>
      </c>
      <c r="F29" s="18" t="s">
        <v>13</v>
      </c>
      <c r="G29" s="54">
        <v>20419014</v>
      </c>
      <c r="H29" s="18" t="s">
        <v>18</v>
      </c>
      <c r="I29" s="54">
        <v>2</v>
      </c>
      <c r="J29" s="55">
        <v>8</v>
      </c>
      <c r="K29" s="55">
        <v>16</v>
      </c>
    </row>
    <row r="30" spans="4:11">
      <c r="D30" s="53">
        <v>46134</v>
      </c>
      <c r="E30" s="18">
        <v>1597219</v>
      </c>
      <c r="F30" s="18" t="s">
        <v>24</v>
      </c>
      <c r="G30" s="54">
        <v>20419009</v>
      </c>
      <c r="H30" s="18" t="s">
        <v>30</v>
      </c>
      <c r="I30" s="54">
        <v>1</v>
      </c>
      <c r="J30" s="55">
        <v>22</v>
      </c>
      <c r="K30" s="55">
        <v>22</v>
      </c>
    </row>
    <row r="31" customFormat="1" spans="4:11">
      <c r="D31" s="53">
        <v>46134</v>
      </c>
      <c r="E31" s="18">
        <v>1597219</v>
      </c>
      <c r="F31" s="18" t="s">
        <v>31</v>
      </c>
      <c r="G31" s="54">
        <v>20422615</v>
      </c>
      <c r="H31" s="18" t="s">
        <v>32</v>
      </c>
      <c r="I31" s="54">
        <v>5</v>
      </c>
      <c r="J31" s="55">
        <v>2.5</v>
      </c>
      <c r="K31" s="55">
        <f>J31*I31</f>
        <v>12.5</v>
      </c>
    </row>
    <row r="32" spans="4:11">
      <c r="D32" s="53">
        <v>46136</v>
      </c>
      <c r="E32" s="18">
        <v>1597959</v>
      </c>
      <c r="F32" s="18" t="s">
        <v>13</v>
      </c>
      <c r="G32" s="54">
        <v>20422852</v>
      </c>
      <c r="H32" s="18" t="s">
        <v>33</v>
      </c>
      <c r="I32" s="54">
        <v>1</v>
      </c>
      <c r="J32" s="55">
        <v>8</v>
      </c>
      <c r="K32" s="55">
        <v>8</v>
      </c>
    </row>
    <row r="33" spans="4:11">
      <c r="D33" s="53">
        <v>46136</v>
      </c>
      <c r="E33" s="18">
        <v>1597959</v>
      </c>
      <c r="F33" s="18" t="s">
        <v>13</v>
      </c>
      <c r="G33" s="54">
        <v>20422851</v>
      </c>
      <c r="H33" s="18" t="s">
        <v>34</v>
      </c>
      <c r="I33" s="54">
        <v>1</v>
      </c>
      <c r="J33" s="55">
        <v>8</v>
      </c>
      <c r="K33" s="55">
        <v>8</v>
      </c>
    </row>
    <row r="34" spans="4:11">
      <c r="D34" s="53">
        <v>46136</v>
      </c>
      <c r="E34" s="18">
        <v>1597959</v>
      </c>
      <c r="F34" s="18" t="s">
        <v>13</v>
      </c>
      <c r="G34" s="54">
        <v>20422853</v>
      </c>
      <c r="H34" s="18" t="s">
        <v>35</v>
      </c>
      <c r="I34" s="54">
        <v>1</v>
      </c>
      <c r="J34" s="55">
        <v>8</v>
      </c>
      <c r="K34" s="55">
        <v>8</v>
      </c>
    </row>
    <row r="35" spans="4:11">
      <c r="D35" s="53">
        <v>46136</v>
      </c>
      <c r="E35" s="18">
        <v>1597959</v>
      </c>
      <c r="F35" s="18" t="s">
        <v>13</v>
      </c>
      <c r="G35" s="54">
        <v>20419033</v>
      </c>
      <c r="H35" s="18" t="s">
        <v>36</v>
      </c>
      <c r="I35" s="54">
        <v>1</v>
      </c>
      <c r="J35" s="55">
        <v>11</v>
      </c>
      <c r="K35" s="55">
        <v>11</v>
      </c>
    </row>
    <row r="36" spans="4:11">
      <c r="D36" s="53">
        <v>46136</v>
      </c>
      <c r="E36" s="18">
        <v>1597959</v>
      </c>
      <c r="F36" s="18" t="s">
        <v>13</v>
      </c>
      <c r="G36" s="54">
        <v>20419024</v>
      </c>
      <c r="H36" s="18" t="s">
        <v>37</v>
      </c>
      <c r="I36" s="54">
        <v>1</v>
      </c>
      <c r="J36" s="55">
        <v>8</v>
      </c>
      <c r="K36" s="55">
        <v>8</v>
      </c>
    </row>
    <row r="37" spans="4:11">
      <c r="D37" s="53">
        <v>46136</v>
      </c>
      <c r="E37" s="18">
        <v>1597959</v>
      </c>
      <c r="F37" s="18" t="s">
        <v>24</v>
      </c>
      <c r="G37" s="54">
        <v>20422860</v>
      </c>
      <c r="H37" s="18" t="s">
        <v>38</v>
      </c>
      <c r="I37" s="54">
        <v>2</v>
      </c>
      <c r="J37" s="55">
        <v>16.5</v>
      </c>
      <c r="K37" s="55">
        <v>33</v>
      </c>
    </row>
    <row r="38" spans="4:11">
      <c r="D38" s="53">
        <v>46139</v>
      </c>
      <c r="E38" s="18">
        <v>1598474</v>
      </c>
      <c r="F38" s="18" t="s">
        <v>24</v>
      </c>
      <c r="G38" s="54">
        <v>20419007</v>
      </c>
      <c r="H38" s="18" t="s">
        <v>25</v>
      </c>
      <c r="I38" s="54">
        <v>1</v>
      </c>
      <c r="J38" s="55">
        <v>49.5</v>
      </c>
      <c r="K38" s="55">
        <v>49.5</v>
      </c>
    </row>
    <row r="39" spans="4:11">
      <c r="D39" s="53">
        <v>46139</v>
      </c>
      <c r="E39" s="18">
        <v>1598474</v>
      </c>
      <c r="F39" s="18" t="s">
        <v>24</v>
      </c>
      <c r="G39" s="54">
        <v>20419381</v>
      </c>
      <c r="H39" s="18" t="s">
        <v>28</v>
      </c>
      <c r="I39" s="54">
        <v>1</v>
      </c>
      <c r="J39" s="55">
        <v>71.5</v>
      </c>
      <c r="K39" s="55">
        <v>71.5</v>
      </c>
    </row>
    <row r="40" spans="4:11">
      <c r="D40" s="53">
        <v>46140</v>
      </c>
      <c r="E40" s="18">
        <v>1598927</v>
      </c>
      <c r="F40" s="18" t="s">
        <v>13</v>
      </c>
      <c r="G40" s="54">
        <v>20419014</v>
      </c>
      <c r="H40" s="18" t="s">
        <v>18</v>
      </c>
      <c r="I40" s="54">
        <v>1</v>
      </c>
      <c r="J40" s="55">
        <v>8</v>
      </c>
      <c r="K40" s="55">
        <v>8</v>
      </c>
    </row>
    <row r="41" spans="4:11">
      <c r="D41" s="53">
        <v>46140</v>
      </c>
      <c r="E41" s="18">
        <v>1598927</v>
      </c>
      <c r="F41" s="18" t="s">
        <v>24</v>
      </c>
      <c r="G41" s="54">
        <v>20419008</v>
      </c>
      <c r="H41" s="18" t="s">
        <v>26</v>
      </c>
      <c r="I41" s="54">
        <v>1</v>
      </c>
      <c r="J41" s="55">
        <v>22</v>
      </c>
      <c r="K41" s="55">
        <v>22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39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38</v>
      </c>
      <c r="J8" s="52"/>
      <c r="K8" s="52">
        <v>1719.5</v>
      </c>
    </row>
    <row r="9" spans="1:11">
      <c r="D9" s="53">
        <v>46113</v>
      </c>
      <c r="E9" s="18">
        <v>1591157</v>
      </c>
      <c r="F9" s="18" t="s">
        <v>13</v>
      </c>
      <c r="G9" s="54">
        <v>20419014</v>
      </c>
      <c r="H9" s="18" t="s">
        <v>18</v>
      </c>
      <c r="I9" s="54">
        <v>1</v>
      </c>
      <c r="J9" s="55">
        <v>8</v>
      </c>
      <c r="K9" s="55">
        <v>8</v>
      </c>
    </row>
    <row r="10" spans="1:11">
      <c r="D10" s="53">
        <v>46113</v>
      </c>
      <c r="E10" s="18">
        <v>1591157</v>
      </c>
      <c r="F10" s="18" t="s">
        <v>24</v>
      </c>
      <c r="G10" s="54">
        <v>20419727</v>
      </c>
      <c r="H10" s="18" t="s">
        <v>40</v>
      </c>
      <c r="I10" s="54">
        <v>1</v>
      </c>
      <c r="J10" s="55">
        <v>71.5</v>
      </c>
      <c r="K10" s="55">
        <v>71.5</v>
      </c>
    </row>
    <row r="11" spans="1:11">
      <c r="D11" s="53">
        <v>46116</v>
      </c>
      <c r="E11" s="18">
        <v>1592185</v>
      </c>
      <c r="F11" s="18" t="s">
        <v>24</v>
      </c>
      <c r="G11" s="54">
        <v>20419727</v>
      </c>
      <c r="H11" s="18" t="s">
        <v>40</v>
      </c>
      <c r="I11" s="54">
        <v>1</v>
      </c>
      <c r="J11" s="55">
        <v>71.5</v>
      </c>
      <c r="K11" s="55">
        <v>71.5</v>
      </c>
    </row>
    <row r="12" spans="1:11">
      <c r="D12" s="53">
        <v>46116</v>
      </c>
      <c r="E12" s="18">
        <v>1592185</v>
      </c>
      <c r="F12" s="18" t="s">
        <v>24</v>
      </c>
      <c r="G12" s="54">
        <v>20418984</v>
      </c>
      <c r="H12" s="18" t="s">
        <v>41</v>
      </c>
      <c r="I12" s="54">
        <v>1</v>
      </c>
      <c r="J12" s="55">
        <v>38.5</v>
      </c>
      <c r="K12" s="55">
        <v>38.5</v>
      </c>
    </row>
    <row r="13" spans="1:11">
      <c r="D13" s="53">
        <v>46119</v>
      </c>
      <c r="E13" s="18">
        <v>1592568</v>
      </c>
      <c r="F13" s="18" t="s">
        <v>13</v>
      </c>
      <c r="G13" s="54">
        <v>20418998</v>
      </c>
      <c r="H13" s="18" t="s">
        <v>42</v>
      </c>
      <c r="I13" s="54">
        <v>1</v>
      </c>
      <c r="J13" s="55">
        <v>8</v>
      </c>
      <c r="K13" s="55">
        <v>8</v>
      </c>
    </row>
    <row r="14" spans="1:11">
      <c r="D14" s="53">
        <v>46119</v>
      </c>
      <c r="E14" s="18">
        <v>1592568</v>
      </c>
      <c r="F14" s="18" t="s">
        <v>24</v>
      </c>
      <c r="G14" s="54">
        <v>20419727</v>
      </c>
      <c r="H14" s="18" t="s">
        <v>40</v>
      </c>
      <c r="I14" s="54">
        <v>1</v>
      </c>
      <c r="J14" s="55">
        <v>71.5</v>
      </c>
      <c r="K14" s="55">
        <v>71.5</v>
      </c>
    </row>
    <row r="15" spans="1:11">
      <c r="D15" s="53">
        <v>46119</v>
      </c>
      <c r="E15" s="18">
        <v>1592568</v>
      </c>
      <c r="F15" s="18" t="s">
        <v>24</v>
      </c>
      <c r="G15" s="54">
        <v>20418984</v>
      </c>
      <c r="H15" s="18" t="s">
        <v>41</v>
      </c>
      <c r="I15" s="54">
        <v>2</v>
      </c>
      <c r="J15" s="55">
        <v>38.5</v>
      </c>
      <c r="K15" s="55">
        <v>77</v>
      </c>
    </row>
    <row r="16" spans="1:11">
      <c r="D16" s="53">
        <v>46126</v>
      </c>
      <c r="E16" s="18">
        <v>1594720</v>
      </c>
      <c r="F16" s="18" t="s">
        <v>13</v>
      </c>
      <c r="G16" s="54">
        <v>20418998</v>
      </c>
      <c r="H16" s="18" t="s">
        <v>42</v>
      </c>
      <c r="I16" s="54">
        <v>1</v>
      </c>
      <c r="J16" s="55">
        <v>8</v>
      </c>
      <c r="K16" s="55">
        <v>8</v>
      </c>
    </row>
    <row r="17" spans="4:11">
      <c r="D17" s="53">
        <v>46126</v>
      </c>
      <c r="E17" s="18">
        <v>1594720</v>
      </c>
      <c r="F17" s="18" t="s">
        <v>24</v>
      </c>
      <c r="G17" s="54">
        <v>20419727</v>
      </c>
      <c r="H17" s="18" t="s">
        <v>40</v>
      </c>
      <c r="I17" s="54">
        <v>1</v>
      </c>
      <c r="J17" s="55">
        <v>71.5</v>
      </c>
      <c r="K17" s="55">
        <v>71.5</v>
      </c>
    </row>
    <row r="18" spans="4:11">
      <c r="D18" s="53">
        <v>46126</v>
      </c>
      <c r="E18" s="18">
        <v>1594720</v>
      </c>
      <c r="F18" s="18" t="s">
        <v>24</v>
      </c>
      <c r="G18" s="54">
        <v>20418984</v>
      </c>
      <c r="H18" s="18" t="s">
        <v>41</v>
      </c>
      <c r="I18" s="54">
        <v>3</v>
      </c>
      <c r="J18" s="55">
        <v>38.5</v>
      </c>
      <c r="K18" s="55">
        <v>115.5</v>
      </c>
    </row>
    <row r="19" spans="4:11">
      <c r="D19" s="53">
        <v>46132</v>
      </c>
      <c r="E19" s="18">
        <v>1596455</v>
      </c>
      <c r="F19" s="18" t="s">
        <v>24</v>
      </c>
      <c r="G19" s="54">
        <v>20419727</v>
      </c>
      <c r="H19" s="18" t="s">
        <v>40</v>
      </c>
      <c r="I19" s="54">
        <v>4</v>
      </c>
      <c r="J19" s="55">
        <v>71.5</v>
      </c>
      <c r="K19" s="55">
        <v>286</v>
      </c>
    </row>
    <row r="20" spans="4:11">
      <c r="D20" s="53">
        <v>46132</v>
      </c>
      <c r="E20" s="18">
        <v>1596455</v>
      </c>
      <c r="F20" s="18" t="s">
        <v>24</v>
      </c>
      <c r="G20" s="54">
        <v>20418984</v>
      </c>
      <c r="H20" s="18" t="s">
        <v>41</v>
      </c>
      <c r="I20" s="54">
        <v>1</v>
      </c>
      <c r="J20" s="55">
        <v>38.5</v>
      </c>
      <c r="K20" s="55">
        <v>38.5</v>
      </c>
    </row>
    <row r="21" spans="4:11">
      <c r="D21" s="53">
        <v>46136</v>
      </c>
      <c r="E21" s="18">
        <v>1597960</v>
      </c>
      <c r="F21" s="18" t="s">
        <v>13</v>
      </c>
      <c r="G21" s="54">
        <v>20418983</v>
      </c>
      <c r="H21" s="18" t="s">
        <v>43</v>
      </c>
      <c r="I21" s="54">
        <v>1</v>
      </c>
      <c r="J21" s="55">
        <v>16.5</v>
      </c>
      <c r="K21" s="55">
        <v>16.5</v>
      </c>
    </row>
    <row r="22" spans="4:11">
      <c r="D22" s="53">
        <v>46136</v>
      </c>
      <c r="E22" s="18">
        <v>1597960</v>
      </c>
      <c r="F22" s="18" t="s">
        <v>13</v>
      </c>
      <c r="G22" s="54">
        <v>20418998</v>
      </c>
      <c r="H22" s="18" t="s">
        <v>42</v>
      </c>
      <c r="I22" s="54">
        <v>3</v>
      </c>
      <c r="J22" s="55">
        <v>8</v>
      </c>
      <c r="K22" s="55">
        <v>24</v>
      </c>
    </row>
    <row r="23" spans="4:11">
      <c r="D23" s="53">
        <v>46136</v>
      </c>
      <c r="E23" s="18">
        <v>1597960</v>
      </c>
      <c r="F23" s="18" t="s">
        <v>24</v>
      </c>
      <c r="G23" s="54">
        <v>20419727</v>
      </c>
      <c r="H23" s="18" t="s">
        <v>40</v>
      </c>
      <c r="I23" s="54">
        <v>4</v>
      </c>
      <c r="J23" s="55">
        <v>71.5</v>
      </c>
      <c r="K23" s="55">
        <v>286</v>
      </c>
    </row>
    <row r="24" spans="4:11">
      <c r="D24" s="53">
        <v>46136</v>
      </c>
      <c r="E24" s="18">
        <v>1597960</v>
      </c>
      <c r="F24" s="18" t="s">
        <v>24</v>
      </c>
      <c r="G24" s="54">
        <v>20418984</v>
      </c>
      <c r="H24" s="18" t="s">
        <v>41</v>
      </c>
      <c r="I24" s="54">
        <v>3</v>
      </c>
      <c r="J24" s="55">
        <v>38.5</v>
      </c>
      <c r="K24" s="55">
        <v>115.5</v>
      </c>
    </row>
    <row r="25" spans="4:11">
      <c r="D25" s="53">
        <v>46136</v>
      </c>
      <c r="E25" s="18">
        <v>1597969</v>
      </c>
      <c r="F25" s="18" t="s">
        <v>44</v>
      </c>
      <c r="G25" s="54">
        <v>20420602</v>
      </c>
      <c r="H25" s="18" t="s">
        <v>45</v>
      </c>
      <c r="I25" s="54">
        <v>1</v>
      </c>
      <c r="J25" s="55">
        <v>22</v>
      </c>
      <c r="K25" s="55">
        <v>22</v>
      </c>
    </row>
    <row r="26" spans="4:11">
      <c r="D26" s="53">
        <v>46141</v>
      </c>
      <c r="E26" s="18">
        <v>1599319</v>
      </c>
      <c r="F26" s="18" t="s">
        <v>13</v>
      </c>
      <c r="G26" s="54">
        <v>20418997</v>
      </c>
      <c r="H26" s="18" t="s">
        <v>46</v>
      </c>
      <c r="I26" s="54">
        <v>1</v>
      </c>
      <c r="J26" s="55">
        <v>8</v>
      </c>
      <c r="K26" s="55">
        <v>8</v>
      </c>
    </row>
    <row r="27" spans="4:11">
      <c r="D27" s="53">
        <v>46141</v>
      </c>
      <c r="E27" s="18">
        <v>1599319</v>
      </c>
      <c r="F27" s="18" t="s">
        <v>13</v>
      </c>
      <c r="G27" s="54">
        <v>20419014</v>
      </c>
      <c r="H27" s="18" t="s">
        <v>18</v>
      </c>
      <c r="I27" s="54">
        <v>1</v>
      </c>
      <c r="J27" s="55">
        <v>8</v>
      </c>
      <c r="K27" s="55">
        <v>8</v>
      </c>
    </row>
    <row r="28" spans="4:11">
      <c r="D28" s="53">
        <v>46141</v>
      </c>
      <c r="E28" s="18">
        <v>1599319</v>
      </c>
      <c r="F28" s="18" t="s">
        <v>24</v>
      </c>
      <c r="G28" s="54">
        <v>20419727</v>
      </c>
      <c r="H28" s="18" t="s">
        <v>40</v>
      </c>
      <c r="I28" s="54">
        <v>3</v>
      </c>
      <c r="J28" s="55">
        <v>71.5</v>
      </c>
      <c r="K28" s="55">
        <v>214.5</v>
      </c>
    </row>
    <row r="29" spans="4:11">
      <c r="D29" s="53">
        <v>46141</v>
      </c>
      <c r="E29" s="18">
        <v>1599319</v>
      </c>
      <c r="F29" s="18" t="s">
        <v>24</v>
      </c>
      <c r="G29" s="54">
        <v>20418984</v>
      </c>
      <c r="H29" s="18" t="s">
        <v>41</v>
      </c>
      <c r="I29" s="54">
        <v>2</v>
      </c>
      <c r="J29" s="55">
        <v>38.5</v>
      </c>
      <c r="K29" s="55">
        <v>77</v>
      </c>
    </row>
    <row r="30" spans="4:11">
      <c r="D30" s="53">
        <v>46141</v>
      </c>
      <c r="E30" s="18">
        <v>1599319</v>
      </c>
      <c r="F30" s="18" t="s">
        <v>24</v>
      </c>
      <c r="G30" s="54">
        <v>20418980</v>
      </c>
      <c r="H30" s="18" t="s">
        <v>47</v>
      </c>
      <c r="I30" s="54">
        <v>1</v>
      </c>
      <c r="J30" s="55">
        <v>82.5</v>
      </c>
      <c r="K30" s="55">
        <v>82.5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48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186</v>
      </c>
      <c r="J8" s="52"/>
      <c r="K8" s="52">
        <v>1662</v>
      </c>
    </row>
    <row r="9" spans="1:11">
      <c r="D9" s="53">
        <v>46115</v>
      </c>
      <c r="E9" s="18">
        <v>1591914</v>
      </c>
      <c r="F9" s="18" t="s">
        <v>13</v>
      </c>
      <c r="G9" s="54">
        <v>20420065</v>
      </c>
      <c r="H9" s="18" t="s">
        <v>49</v>
      </c>
      <c r="I9" s="54">
        <v>1</v>
      </c>
      <c r="J9" s="55">
        <v>16.5</v>
      </c>
      <c r="K9" s="55">
        <v>16.5</v>
      </c>
    </row>
    <row r="10" spans="1:11">
      <c r="D10" s="53">
        <v>46115</v>
      </c>
      <c r="E10" s="18">
        <v>1591914</v>
      </c>
      <c r="F10" s="18" t="s">
        <v>13</v>
      </c>
      <c r="G10" s="54">
        <v>20419002</v>
      </c>
      <c r="H10" s="18" t="s">
        <v>50</v>
      </c>
      <c r="I10" s="54">
        <v>1</v>
      </c>
      <c r="J10" s="55">
        <v>8</v>
      </c>
      <c r="K10" s="55">
        <v>8</v>
      </c>
    </row>
    <row r="11" spans="1:11">
      <c r="D11" s="53">
        <v>46115</v>
      </c>
      <c r="E11" s="18">
        <v>1591914</v>
      </c>
      <c r="F11" s="18" t="s">
        <v>13</v>
      </c>
      <c r="G11" s="54">
        <v>20420137</v>
      </c>
      <c r="H11" s="18" t="s">
        <v>51</v>
      </c>
      <c r="I11" s="54">
        <v>1</v>
      </c>
      <c r="J11" s="55">
        <v>8</v>
      </c>
      <c r="K11" s="55">
        <v>8</v>
      </c>
    </row>
    <row r="12" spans="1:11">
      <c r="D12" s="53">
        <v>46115</v>
      </c>
      <c r="E12" s="18">
        <v>1591914</v>
      </c>
      <c r="F12" s="18" t="s">
        <v>13</v>
      </c>
      <c r="G12" s="54">
        <v>20420066</v>
      </c>
      <c r="H12" s="18" t="s">
        <v>52</v>
      </c>
      <c r="I12" s="54">
        <v>2</v>
      </c>
      <c r="J12" s="55">
        <v>16.5</v>
      </c>
      <c r="K12" s="55">
        <v>33</v>
      </c>
    </row>
    <row r="13" spans="1:11">
      <c r="D13" s="53">
        <v>46115</v>
      </c>
      <c r="E13" s="18">
        <v>1591914</v>
      </c>
      <c r="F13" s="18" t="s">
        <v>13</v>
      </c>
      <c r="G13" s="54">
        <v>20418993</v>
      </c>
      <c r="H13" s="18" t="s">
        <v>53</v>
      </c>
      <c r="I13" s="54">
        <v>3</v>
      </c>
      <c r="J13" s="55">
        <v>8</v>
      </c>
      <c r="K13" s="55">
        <v>24</v>
      </c>
    </row>
    <row r="14" spans="1:11">
      <c r="D14" s="53">
        <v>46115</v>
      </c>
      <c r="E14" s="18">
        <v>1591914</v>
      </c>
      <c r="F14" s="18" t="s">
        <v>13</v>
      </c>
      <c r="G14" s="54">
        <v>20418996</v>
      </c>
      <c r="H14" s="18" t="s">
        <v>54</v>
      </c>
      <c r="I14" s="54">
        <v>1</v>
      </c>
      <c r="J14" s="55">
        <v>8</v>
      </c>
      <c r="K14" s="55">
        <v>8</v>
      </c>
    </row>
    <row r="15" spans="1:11">
      <c r="D15" s="53">
        <v>46115</v>
      </c>
      <c r="E15" s="18">
        <v>1591914</v>
      </c>
      <c r="F15" s="18" t="s">
        <v>13</v>
      </c>
      <c r="G15" s="54">
        <v>20420075</v>
      </c>
      <c r="H15" s="18" t="s">
        <v>55</v>
      </c>
      <c r="I15" s="54">
        <v>3</v>
      </c>
      <c r="J15" s="55">
        <v>8</v>
      </c>
      <c r="K15" s="55">
        <v>24</v>
      </c>
    </row>
    <row r="16" spans="1:11">
      <c r="D16" s="53">
        <v>46115</v>
      </c>
      <c r="E16" s="18">
        <v>1591914</v>
      </c>
      <c r="F16" s="18" t="s">
        <v>13</v>
      </c>
      <c r="G16" s="54">
        <v>20419003</v>
      </c>
      <c r="H16" s="18" t="s">
        <v>56</v>
      </c>
      <c r="I16" s="54">
        <v>1</v>
      </c>
      <c r="J16" s="55">
        <v>8</v>
      </c>
      <c r="K16" s="55">
        <v>8</v>
      </c>
    </row>
    <row r="17" spans="4:11">
      <c r="D17" s="53">
        <v>46119</v>
      </c>
      <c r="E17" s="18">
        <v>1592569</v>
      </c>
      <c r="F17" s="18" t="s">
        <v>13</v>
      </c>
      <c r="G17" s="54">
        <v>20420065</v>
      </c>
      <c r="H17" s="18" t="s">
        <v>57</v>
      </c>
      <c r="I17" s="54">
        <v>1</v>
      </c>
      <c r="J17" s="55">
        <v>22</v>
      </c>
      <c r="K17" s="55">
        <v>22</v>
      </c>
    </row>
    <row r="18" spans="4:11">
      <c r="D18" s="53">
        <v>46119</v>
      </c>
      <c r="E18" s="18">
        <v>1592569</v>
      </c>
      <c r="F18" s="18" t="s">
        <v>13</v>
      </c>
      <c r="G18" s="54">
        <v>20420404</v>
      </c>
      <c r="H18" s="18" t="s">
        <v>58</v>
      </c>
      <c r="I18" s="54">
        <v>1</v>
      </c>
      <c r="J18" s="55">
        <v>8</v>
      </c>
      <c r="K18" s="55">
        <v>8</v>
      </c>
    </row>
    <row r="19" spans="4:11">
      <c r="D19" s="53">
        <v>46119</v>
      </c>
      <c r="E19" s="18">
        <v>1592569</v>
      </c>
      <c r="F19" s="18" t="s">
        <v>13</v>
      </c>
      <c r="G19" s="54">
        <v>20419002</v>
      </c>
      <c r="H19" s="18" t="s">
        <v>50</v>
      </c>
      <c r="I19" s="54">
        <v>1</v>
      </c>
      <c r="J19" s="55">
        <v>8</v>
      </c>
      <c r="K19" s="55">
        <v>8</v>
      </c>
    </row>
    <row r="20" customFormat="1" spans="4:11">
      <c r="D20" s="53">
        <v>46119</v>
      </c>
      <c r="E20" s="18">
        <v>1592569</v>
      </c>
      <c r="F20" s="18" t="s">
        <v>13</v>
      </c>
      <c r="G20" s="54">
        <v>20420403</v>
      </c>
      <c r="H20" s="18" t="s">
        <v>59</v>
      </c>
      <c r="I20" s="54">
        <v>1</v>
      </c>
      <c r="J20" s="55">
        <v>8</v>
      </c>
      <c r="K20" s="55">
        <f>J20*I20</f>
        <v>8</v>
      </c>
    </row>
    <row r="21" spans="4:11">
      <c r="D21" s="53">
        <v>46119</v>
      </c>
      <c r="E21" s="18">
        <v>1592569</v>
      </c>
      <c r="F21" s="18" t="s">
        <v>13</v>
      </c>
      <c r="G21" s="54">
        <v>20420137</v>
      </c>
      <c r="H21" s="18" t="s">
        <v>51</v>
      </c>
      <c r="I21" s="54">
        <v>1</v>
      </c>
      <c r="J21" s="55">
        <v>8</v>
      </c>
      <c r="K21" s="55">
        <v>8</v>
      </c>
    </row>
    <row r="22" spans="4:11">
      <c r="D22" s="53">
        <v>46119</v>
      </c>
      <c r="E22" s="18">
        <v>1592569</v>
      </c>
      <c r="F22" s="18" t="s">
        <v>13</v>
      </c>
      <c r="G22" s="54">
        <v>20418997</v>
      </c>
      <c r="H22" s="18" t="s">
        <v>46</v>
      </c>
      <c r="I22" s="54">
        <v>1</v>
      </c>
      <c r="J22" s="55">
        <v>8</v>
      </c>
      <c r="K22" s="55">
        <v>8</v>
      </c>
    </row>
    <row r="23" spans="4:11">
      <c r="D23" s="53">
        <v>46119</v>
      </c>
      <c r="E23" s="18">
        <v>1592569</v>
      </c>
      <c r="F23" s="18" t="s">
        <v>13</v>
      </c>
      <c r="G23" s="54">
        <v>20420066</v>
      </c>
      <c r="H23" s="18" t="s">
        <v>52</v>
      </c>
      <c r="I23" s="54">
        <v>1</v>
      </c>
      <c r="J23" s="55">
        <v>16.5</v>
      </c>
      <c r="K23" s="55">
        <v>16.5</v>
      </c>
    </row>
    <row r="24" spans="4:11">
      <c r="D24" s="53">
        <v>46119</v>
      </c>
      <c r="E24" s="18">
        <v>1592569</v>
      </c>
      <c r="F24" s="18" t="s">
        <v>13</v>
      </c>
      <c r="G24" s="54">
        <v>20418993</v>
      </c>
      <c r="H24" s="18" t="s">
        <v>53</v>
      </c>
      <c r="I24" s="54">
        <v>1</v>
      </c>
      <c r="J24" s="55">
        <v>8</v>
      </c>
      <c r="K24" s="55">
        <v>8</v>
      </c>
    </row>
    <row r="25" spans="4:11">
      <c r="D25" s="53">
        <v>46119</v>
      </c>
      <c r="E25" s="18">
        <v>1592569</v>
      </c>
      <c r="F25" s="18" t="s">
        <v>13</v>
      </c>
      <c r="G25" s="54">
        <v>20419030</v>
      </c>
      <c r="H25" s="18" t="s">
        <v>16</v>
      </c>
      <c r="I25" s="54">
        <v>1</v>
      </c>
      <c r="J25" s="55">
        <v>8</v>
      </c>
      <c r="K25" s="55">
        <v>8</v>
      </c>
    </row>
    <row r="26" spans="4:11">
      <c r="D26" s="53">
        <v>46119</v>
      </c>
      <c r="E26" s="18">
        <v>1592569</v>
      </c>
      <c r="F26" s="18" t="s">
        <v>13</v>
      </c>
      <c r="G26" s="54">
        <v>20420402</v>
      </c>
      <c r="H26" s="18" t="s">
        <v>60</v>
      </c>
      <c r="I26" s="54">
        <v>1</v>
      </c>
      <c r="J26" s="55">
        <v>8</v>
      </c>
      <c r="K26" s="55">
        <v>8</v>
      </c>
    </row>
    <row r="27" spans="4:11">
      <c r="D27" s="53">
        <v>46119</v>
      </c>
      <c r="E27" s="18">
        <v>1592569</v>
      </c>
      <c r="F27" s="18" t="s">
        <v>13</v>
      </c>
      <c r="G27" s="54">
        <v>20418996</v>
      </c>
      <c r="H27" s="18" t="s">
        <v>54</v>
      </c>
      <c r="I27" s="54">
        <v>3</v>
      </c>
      <c r="J27" s="55">
        <v>8</v>
      </c>
      <c r="K27" s="55">
        <v>24</v>
      </c>
    </row>
    <row r="28" spans="4:11">
      <c r="D28" s="53">
        <v>46119</v>
      </c>
      <c r="E28" s="18">
        <v>1592569</v>
      </c>
      <c r="F28" s="18" t="s">
        <v>13</v>
      </c>
      <c r="G28" s="54">
        <v>20420075</v>
      </c>
      <c r="H28" s="18" t="s">
        <v>55</v>
      </c>
      <c r="I28" s="54">
        <v>3</v>
      </c>
      <c r="J28" s="55">
        <v>8</v>
      </c>
      <c r="K28" s="55">
        <v>24</v>
      </c>
    </row>
    <row r="29" spans="4:11">
      <c r="D29" s="53">
        <v>46119</v>
      </c>
      <c r="E29" s="18">
        <v>1592569</v>
      </c>
      <c r="F29" s="18" t="s">
        <v>13</v>
      </c>
      <c r="G29" s="54">
        <v>20418995</v>
      </c>
      <c r="H29" s="18" t="s">
        <v>61</v>
      </c>
      <c r="I29" s="54">
        <v>2</v>
      </c>
      <c r="J29" s="55">
        <v>8</v>
      </c>
      <c r="K29" s="55">
        <v>16</v>
      </c>
    </row>
    <row r="30" spans="4:11">
      <c r="D30" s="53">
        <v>46119</v>
      </c>
      <c r="E30" s="18">
        <v>1592569</v>
      </c>
      <c r="F30" s="18" t="s">
        <v>13</v>
      </c>
      <c r="G30" s="54">
        <v>20419003</v>
      </c>
      <c r="H30" s="18" t="s">
        <v>56</v>
      </c>
      <c r="I30" s="54">
        <v>1</v>
      </c>
      <c r="J30" s="55">
        <v>8</v>
      </c>
      <c r="K30" s="55">
        <v>8</v>
      </c>
    </row>
    <row r="31" spans="4:11">
      <c r="D31" s="53">
        <v>46125</v>
      </c>
      <c r="E31" s="18">
        <v>1594326</v>
      </c>
      <c r="F31" s="18" t="s">
        <v>13</v>
      </c>
      <c r="G31" s="54">
        <v>20418992</v>
      </c>
      <c r="H31" s="18" t="s">
        <v>62</v>
      </c>
      <c r="I31" s="54">
        <v>3</v>
      </c>
      <c r="J31" s="55">
        <v>8</v>
      </c>
      <c r="K31" s="55">
        <v>24</v>
      </c>
    </row>
    <row r="32" spans="4:11">
      <c r="D32" s="53">
        <v>46125</v>
      </c>
      <c r="E32" s="18">
        <v>1594326</v>
      </c>
      <c r="F32" s="18" t="s">
        <v>13</v>
      </c>
      <c r="G32" s="54">
        <v>20421255</v>
      </c>
      <c r="H32" s="18" t="s">
        <v>63</v>
      </c>
      <c r="I32" s="54">
        <v>2</v>
      </c>
      <c r="J32" s="55">
        <v>8</v>
      </c>
      <c r="K32" s="55">
        <v>16</v>
      </c>
    </row>
    <row r="33" spans="4:11">
      <c r="D33" s="53">
        <v>46125</v>
      </c>
      <c r="E33" s="18">
        <v>1594326</v>
      </c>
      <c r="F33" s="18" t="s">
        <v>13</v>
      </c>
      <c r="G33" s="54">
        <v>20420065</v>
      </c>
      <c r="H33" s="18" t="s">
        <v>64</v>
      </c>
      <c r="I33" s="54">
        <v>1</v>
      </c>
      <c r="J33" s="55">
        <v>27.5</v>
      </c>
      <c r="K33" s="55">
        <v>27.5</v>
      </c>
    </row>
    <row r="34" spans="4:11">
      <c r="D34" s="53">
        <v>46125</v>
      </c>
      <c r="E34" s="18">
        <v>1594326</v>
      </c>
      <c r="F34" s="18" t="s">
        <v>13</v>
      </c>
      <c r="G34" s="54">
        <v>20421263</v>
      </c>
      <c r="H34" s="18" t="s">
        <v>65</v>
      </c>
      <c r="I34" s="54">
        <v>1</v>
      </c>
      <c r="J34" s="55">
        <v>8</v>
      </c>
      <c r="K34" s="55">
        <v>8</v>
      </c>
    </row>
    <row r="35" spans="4:11">
      <c r="D35" s="53">
        <v>46125</v>
      </c>
      <c r="E35" s="18">
        <v>1594326</v>
      </c>
      <c r="F35" s="18" t="s">
        <v>13</v>
      </c>
      <c r="G35" s="54">
        <v>20418997</v>
      </c>
      <c r="H35" s="18" t="s">
        <v>46</v>
      </c>
      <c r="I35" s="54">
        <v>1</v>
      </c>
      <c r="J35" s="55">
        <v>8</v>
      </c>
      <c r="K35" s="55">
        <v>8</v>
      </c>
    </row>
    <row r="36" spans="4:11">
      <c r="D36" s="53">
        <v>46125</v>
      </c>
      <c r="E36" s="18">
        <v>1594326</v>
      </c>
      <c r="F36" s="18" t="s">
        <v>13</v>
      </c>
      <c r="G36" s="54">
        <v>20418993</v>
      </c>
      <c r="H36" s="18" t="s">
        <v>53</v>
      </c>
      <c r="I36" s="54">
        <v>1</v>
      </c>
      <c r="J36" s="55">
        <v>8</v>
      </c>
      <c r="K36" s="55">
        <v>8</v>
      </c>
    </row>
    <row r="37" spans="4:11">
      <c r="D37" s="53">
        <v>46125</v>
      </c>
      <c r="E37" s="18">
        <v>1594326</v>
      </c>
      <c r="F37" s="18" t="s">
        <v>13</v>
      </c>
      <c r="G37" s="54">
        <v>20419030</v>
      </c>
      <c r="H37" s="18" t="s">
        <v>16</v>
      </c>
      <c r="I37" s="54">
        <v>2</v>
      </c>
      <c r="J37" s="55">
        <v>8</v>
      </c>
      <c r="K37" s="55">
        <v>16</v>
      </c>
    </row>
    <row r="38" spans="4:11">
      <c r="D38" s="53">
        <v>46125</v>
      </c>
      <c r="E38" s="18">
        <v>1594326</v>
      </c>
      <c r="F38" s="18" t="s">
        <v>13</v>
      </c>
      <c r="G38" s="54">
        <v>20418996</v>
      </c>
      <c r="H38" s="18" t="s">
        <v>54</v>
      </c>
      <c r="I38" s="54">
        <v>4</v>
      </c>
      <c r="J38" s="55">
        <v>8</v>
      </c>
      <c r="K38" s="55">
        <v>32</v>
      </c>
    </row>
    <row r="39" spans="4:11">
      <c r="D39" s="53">
        <v>46125</v>
      </c>
      <c r="E39" s="18">
        <v>1594326</v>
      </c>
      <c r="F39" s="18" t="s">
        <v>13</v>
      </c>
      <c r="G39" s="54">
        <v>20421258</v>
      </c>
      <c r="H39" s="18" t="s">
        <v>66</v>
      </c>
      <c r="I39" s="54">
        <v>1</v>
      </c>
      <c r="J39" s="55">
        <v>8</v>
      </c>
      <c r="K39" s="55">
        <v>8</v>
      </c>
    </row>
    <row r="40" spans="4:11">
      <c r="D40" s="53">
        <v>46125</v>
      </c>
      <c r="E40" s="18">
        <v>1594326</v>
      </c>
      <c r="F40" s="18" t="s">
        <v>13</v>
      </c>
      <c r="G40" s="54">
        <v>20418995</v>
      </c>
      <c r="H40" s="18" t="s">
        <v>61</v>
      </c>
      <c r="I40" s="54">
        <v>3</v>
      </c>
      <c r="J40" s="55">
        <v>8</v>
      </c>
      <c r="K40" s="55">
        <v>24</v>
      </c>
    </row>
    <row r="41" spans="4:11">
      <c r="D41" s="53">
        <v>46125</v>
      </c>
      <c r="E41" s="18">
        <v>1594326</v>
      </c>
      <c r="F41" s="18" t="s">
        <v>13</v>
      </c>
      <c r="G41" s="54">
        <v>20419003</v>
      </c>
      <c r="H41" s="18" t="s">
        <v>56</v>
      </c>
      <c r="I41" s="54">
        <v>1</v>
      </c>
      <c r="J41" s="55">
        <v>8</v>
      </c>
      <c r="K41" s="55">
        <v>8</v>
      </c>
    </row>
    <row r="42" spans="4:11">
      <c r="D42" s="53">
        <v>46125</v>
      </c>
      <c r="E42" s="18">
        <v>1594326</v>
      </c>
      <c r="F42" s="18" t="s">
        <v>13</v>
      </c>
      <c r="G42" s="54">
        <v>20421256</v>
      </c>
      <c r="H42" s="18" t="s">
        <v>67</v>
      </c>
      <c r="I42" s="54">
        <v>1</v>
      </c>
      <c r="J42" s="55">
        <v>8</v>
      </c>
      <c r="K42" s="55">
        <v>8</v>
      </c>
    </row>
    <row r="43" spans="4:11">
      <c r="D43" s="53">
        <v>46125</v>
      </c>
      <c r="E43" s="18">
        <v>1594326</v>
      </c>
      <c r="F43" s="18" t="s">
        <v>31</v>
      </c>
      <c r="G43" s="54">
        <v>20421200</v>
      </c>
      <c r="H43" s="18" t="s">
        <v>68</v>
      </c>
      <c r="I43" s="54">
        <v>4</v>
      </c>
      <c r="J43" s="55">
        <v>2.5</v>
      </c>
      <c r="K43" s="55">
        <v>10</v>
      </c>
    </row>
    <row r="44" spans="4:11">
      <c r="D44" s="53">
        <v>46125</v>
      </c>
      <c r="E44" s="18">
        <v>1594461</v>
      </c>
      <c r="F44" s="18" t="s">
        <v>13</v>
      </c>
      <c r="G44" s="54">
        <v>20420066</v>
      </c>
      <c r="H44" s="18" t="s">
        <v>52</v>
      </c>
      <c r="I44" s="54">
        <v>3</v>
      </c>
      <c r="J44" s="55">
        <v>16.5</v>
      </c>
      <c r="K44" s="55">
        <v>49.5</v>
      </c>
    </row>
    <row r="45" spans="4:11">
      <c r="D45" s="53">
        <v>46125</v>
      </c>
      <c r="E45" s="18">
        <v>1594461</v>
      </c>
      <c r="F45" s="18" t="s">
        <v>13</v>
      </c>
      <c r="G45" s="54">
        <v>20418989</v>
      </c>
      <c r="H45" s="18" t="s">
        <v>69</v>
      </c>
      <c r="I45" s="54">
        <v>1</v>
      </c>
      <c r="J45" s="55">
        <v>8</v>
      </c>
      <c r="K45" s="55">
        <v>8</v>
      </c>
    </row>
    <row r="46" spans="4:11">
      <c r="D46" s="53">
        <v>46125</v>
      </c>
      <c r="E46" s="18">
        <v>1594461</v>
      </c>
      <c r="F46" s="18" t="s">
        <v>13</v>
      </c>
      <c r="G46" s="54">
        <v>20420075</v>
      </c>
      <c r="H46" s="18" t="s">
        <v>55</v>
      </c>
      <c r="I46" s="54">
        <v>3</v>
      </c>
      <c r="J46" s="55">
        <v>8</v>
      </c>
      <c r="K46" s="55">
        <v>24</v>
      </c>
    </row>
    <row r="47" spans="4:11">
      <c r="D47" s="53">
        <v>46129</v>
      </c>
      <c r="E47" s="18">
        <v>1595894</v>
      </c>
      <c r="F47" s="18" t="s">
        <v>13</v>
      </c>
      <c r="G47" s="54">
        <v>20418992</v>
      </c>
      <c r="H47" s="18" t="s">
        <v>62</v>
      </c>
      <c r="I47" s="54">
        <v>2</v>
      </c>
      <c r="J47" s="55">
        <v>8</v>
      </c>
      <c r="K47" s="55">
        <v>16</v>
      </c>
    </row>
    <row r="48" spans="4:11">
      <c r="D48" s="53">
        <v>46129</v>
      </c>
      <c r="E48" s="18">
        <v>1595894</v>
      </c>
      <c r="F48" s="18" t="s">
        <v>13</v>
      </c>
      <c r="G48" s="54">
        <v>20421255</v>
      </c>
      <c r="H48" s="18" t="s">
        <v>63</v>
      </c>
      <c r="I48" s="54">
        <v>3</v>
      </c>
      <c r="J48" s="55">
        <v>8</v>
      </c>
      <c r="K48" s="55">
        <v>24</v>
      </c>
    </row>
    <row r="49" customFormat="1" spans="4:11">
      <c r="D49" s="53">
        <v>46129</v>
      </c>
      <c r="E49" s="18">
        <v>1595894</v>
      </c>
      <c r="F49" s="18" t="s">
        <v>13</v>
      </c>
      <c r="G49" s="54">
        <v>20420065</v>
      </c>
      <c r="H49" s="18" t="s">
        <v>70</v>
      </c>
      <c r="I49" s="54">
        <v>1</v>
      </c>
      <c r="J49" s="55">
        <v>44</v>
      </c>
      <c r="K49" s="55">
        <f>J49*I49</f>
        <v>44</v>
      </c>
    </row>
    <row r="50" spans="4:11">
      <c r="D50" s="53">
        <v>46129</v>
      </c>
      <c r="E50" s="18">
        <v>1595894</v>
      </c>
      <c r="F50" s="18" t="s">
        <v>13</v>
      </c>
      <c r="G50" s="54">
        <v>20418998</v>
      </c>
      <c r="H50" s="18" t="s">
        <v>42</v>
      </c>
      <c r="I50" s="54">
        <v>1</v>
      </c>
      <c r="J50" s="55">
        <v>8</v>
      </c>
      <c r="K50" s="55">
        <v>8</v>
      </c>
    </row>
    <row r="51" spans="4:11">
      <c r="D51" s="53">
        <v>46129</v>
      </c>
      <c r="E51" s="18">
        <v>1595894</v>
      </c>
      <c r="F51" s="18" t="s">
        <v>13</v>
      </c>
      <c r="G51" s="54">
        <v>20421263</v>
      </c>
      <c r="H51" s="18" t="s">
        <v>65</v>
      </c>
      <c r="I51" s="54">
        <v>4</v>
      </c>
      <c r="J51" s="55">
        <v>8</v>
      </c>
      <c r="K51" s="55">
        <v>32</v>
      </c>
    </row>
    <row r="52" spans="4:11">
      <c r="D52" s="53">
        <v>46129</v>
      </c>
      <c r="E52" s="18">
        <v>1595894</v>
      </c>
      <c r="F52" s="18" t="s">
        <v>13</v>
      </c>
      <c r="G52" s="54">
        <v>20419002</v>
      </c>
      <c r="H52" s="18" t="s">
        <v>50</v>
      </c>
      <c r="I52" s="54">
        <v>1</v>
      </c>
      <c r="J52" s="55">
        <v>8</v>
      </c>
      <c r="K52" s="55">
        <v>8</v>
      </c>
    </row>
    <row r="53" customFormat="1" spans="4:11">
      <c r="D53" s="53">
        <v>46129</v>
      </c>
      <c r="E53" s="18">
        <v>1595894</v>
      </c>
      <c r="F53" s="18" t="s">
        <v>13</v>
      </c>
      <c r="G53" s="54">
        <v>20420403</v>
      </c>
      <c r="H53" s="18" t="s">
        <v>59</v>
      </c>
      <c r="I53" s="54">
        <v>2</v>
      </c>
      <c r="J53" s="55">
        <v>8</v>
      </c>
      <c r="K53" s="55">
        <f>J53*I53</f>
        <v>16</v>
      </c>
    </row>
    <row r="54" spans="4:11">
      <c r="D54" s="53">
        <v>46129</v>
      </c>
      <c r="E54" s="18">
        <v>1595894</v>
      </c>
      <c r="F54" s="18" t="s">
        <v>13</v>
      </c>
      <c r="G54" s="54">
        <v>20421957</v>
      </c>
      <c r="H54" s="18" t="s">
        <v>71</v>
      </c>
      <c r="I54" s="54">
        <v>8</v>
      </c>
      <c r="J54" s="55">
        <v>8</v>
      </c>
      <c r="K54" s="55">
        <v>64</v>
      </c>
    </row>
    <row r="55" spans="4:11">
      <c r="D55" s="53">
        <v>46129</v>
      </c>
      <c r="E55" s="18">
        <v>1595894</v>
      </c>
      <c r="F55" s="18" t="s">
        <v>13</v>
      </c>
      <c r="G55" s="54">
        <v>20420137</v>
      </c>
      <c r="H55" s="18" t="s">
        <v>51</v>
      </c>
      <c r="I55" s="54">
        <v>2</v>
      </c>
      <c r="J55" s="55">
        <v>8</v>
      </c>
      <c r="K55" s="55">
        <v>16</v>
      </c>
    </row>
    <row r="56" spans="4:11">
      <c r="D56" s="53">
        <v>46129</v>
      </c>
      <c r="E56" s="18">
        <v>1595894</v>
      </c>
      <c r="F56" s="18" t="s">
        <v>13</v>
      </c>
      <c r="G56" s="54">
        <v>20418997</v>
      </c>
      <c r="H56" s="18" t="s">
        <v>46</v>
      </c>
      <c r="I56" s="54">
        <v>3</v>
      </c>
      <c r="J56" s="55">
        <v>8</v>
      </c>
      <c r="K56" s="55">
        <v>24</v>
      </c>
    </row>
    <row r="57" spans="4:11">
      <c r="D57" s="53">
        <v>46129</v>
      </c>
      <c r="E57" s="18">
        <v>1595894</v>
      </c>
      <c r="F57" s="18" t="s">
        <v>13</v>
      </c>
      <c r="G57" s="54">
        <v>20418993</v>
      </c>
      <c r="H57" s="18" t="s">
        <v>53</v>
      </c>
      <c r="I57" s="54">
        <v>1</v>
      </c>
      <c r="J57" s="55">
        <v>8</v>
      </c>
      <c r="K57" s="55">
        <v>8</v>
      </c>
    </row>
    <row r="58" spans="4:11">
      <c r="D58" s="53">
        <v>46129</v>
      </c>
      <c r="E58" s="18">
        <v>1595894</v>
      </c>
      <c r="F58" s="18" t="s">
        <v>13</v>
      </c>
      <c r="G58" s="54">
        <v>20419032</v>
      </c>
      <c r="H58" s="18" t="s">
        <v>72</v>
      </c>
      <c r="I58" s="54">
        <v>1</v>
      </c>
      <c r="J58" s="55">
        <v>16</v>
      </c>
      <c r="K58" s="55">
        <v>16</v>
      </c>
    </row>
    <row r="59" spans="4:11">
      <c r="D59" s="53">
        <v>46129</v>
      </c>
      <c r="E59" s="18">
        <v>1595894</v>
      </c>
      <c r="F59" s="18" t="s">
        <v>13</v>
      </c>
      <c r="G59" s="54">
        <v>20419030</v>
      </c>
      <c r="H59" s="18" t="s">
        <v>16</v>
      </c>
      <c r="I59" s="54">
        <v>1</v>
      </c>
      <c r="J59" s="55">
        <v>8</v>
      </c>
      <c r="K59" s="55">
        <v>8</v>
      </c>
    </row>
    <row r="60" spans="4:11">
      <c r="D60" s="53">
        <v>46129</v>
      </c>
      <c r="E60" s="18">
        <v>1595894</v>
      </c>
      <c r="F60" s="18" t="s">
        <v>13</v>
      </c>
      <c r="G60" s="54">
        <v>20418996</v>
      </c>
      <c r="H60" s="18" t="s">
        <v>54</v>
      </c>
      <c r="I60" s="54">
        <v>6</v>
      </c>
      <c r="J60" s="55">
        <v>8</v>
      </c>
      <c r="K60" s="55">
        <v>48</v>
      </c>
    </row>
    <row r="61" spans="4:11">
      <c r="D61" s="53">
        <v>46129</v>
      </c>
      <c r="E61" s="18">
        <v>1595894</v>
      </c>
      <c r="F61" s="18" t="s">
        <v>13</v>
      </c>
      <c r="G61" s="54">
        <v>20420075</v>
      </c>
      <c r="H61" s="18" t="s">
        <v>55</v>
      </c>
      <c r="I61" s="54">
        <v>9</v>
      </c>
      <c r="J61" s="55">
        <v>8</v>
      </c>
      <c r="K61" s="55">
        <v>72</v>
      </c>
    </row>
    <row r="62" spans="4:11">
      <c r="D62" s="53">
        <v>46129</v>
      </c>
      <c r="E62" s="18">
        <v>1595894</v>
      </c>
      <c r="F62" s="18" t="s">
        <v>13</v>
      </c>
      <c r="G62" s="54">
        <v>20421258</v>
      </c>
      <c r="H62" s="18" t="s">
        <v>66</v>
      </c>
      <c r="I62" s="54">
        <v>2</v>
      </c>
      <c r="J62" s="55">
        <v>8</v>
      </c>
      <c r="K62" s="55">
        <v>16</v>
      </c>
    </row>
    <row r="63" spans="4:11">
      <c r="D63" s="53">
        <v>46129</v>
      </c>
      <c r="E63" s="18">
        <v>1595894</v>
      </c>
      <c r="F63" s="18" t="s">
        <v>13</v>
      </c>
      <c r="G63" s="54">
        <v>20418995</v>
      </c>
      <c r="H63" s="18" t="s">
        <v>61</v>
      </c>
      <c r="I63" s="54">
        <v>4</v>
      </c>
      <c r="J63" s="55">
        <v>8</v>
      </c>
      <c r="K63" s="55">
        <v>32</v>
      </c>
    </row>
    <row r="64" spans="4:11">
      <c r="D64" s="53">
        <v>46129</v>
      </c>
      <c r="E64" s="18">
        <v>1595894</v>
      </c>
      <c r="F64" s="18" t="s">
        <v>13</v>
      </c>
      <c r="G64" s="54">
        <v>20421956</v>
      </c>
      <c r="H64" s="18" t="s">
        <v>73</v>
      </c>
      <c r="I64" s="54">
        <v>1</v>
      </c>
      <c r="J64" s="55">
        <v>8</v>
      </c>
      <c r="K64" s="55">
        <v>8</v>
      </c>
    </row>
    <row r="65" spans="4:11">
      <c r="D65" s="53">
        <v>46129</v>
      </c>
      <c r="E65" s="18">
        <v>1595894</v>
      </c>
      <c r="F65" s="18" t="s">
        <v>13</v>
      </c>
      <c r="G65" s="54">
        <v>20419003</v>
      </c>
      <c r="H65" s="18" t="s">
        <v>56</v>
      </c>
      <c r="I65" s="54">
        <v>1</v>
      </c>
      <c r="J65" s="55">
        <v>8</v>
      </c>
      <c r="K65" s="55">
        <v>8</v>
      </c>
    </row>
    <row r="66" spans="4:11">
      <c r="D66" s="53">
        <v>46134</v>
      </c>
      <c r="E66" s="18">
        <v>1597220</v>
      </c>
      <c r="F66" s="18" t="s">
        <v>13</v>
      </c>
      <c r="G66" s="54">
        <v>20418992</v>
      </c>
      <c r="H66" s="18" t="s">
        <v>62</v>
      </c>
      <c r="I66" s="54">
        <v>3</v>
      </c>
      <c r="J66" s="55">
        <v>8</v>
      </c>
      <c r="K66" s="55">
        <v>24</v>
      </c>
    </row>
    <row r="67" spans="4:11">
      <c r="D67" s="53">
        <v>46134</v>
      </c>
      <c r="E67" s="18">
        <v>1597220</v>
      </c>
      <c r="F67" s="18" t="s">
        <v>13</v>
      </c>
      <c r="G67" s="54">
        <v>20420065</v>
      </c>
      <c r="H67" s="18" t="s">
        <v>74</v>
      </c>
      <c r="I67" s="54">
        <v>1</v>
      </c>
      <c r="J67" s="55">
        <v>13.5</v>
      </c>
      <c r="K67" s="55">
        <v>13.5</v>
      </c>
    </row>
    <row r="68" spans="4:11">
      <c r="D68" s="53">
        <v>46134</v>
      </c>
      <c r="E68" s="18">
        <v>1597220</v>
      </c>
      <c r="F68" s="18" t="s">
        <v>13</v>
      </c>
      <c r="G68" s="54">
        <v>20420404</v>
      </c>
      <c r="H68" s="18" t="s">
        <v>58</v>
      </c>
      <c r="I68" s="54">
        <v>1</v>
      </c>
      <c r="J68" s="55">
        <v>8</v>
      </c>
      <c r="K68" s="55">
        <v>8</v>
      </c>
    </row>
    <row r="69" spans="4:11">
      <c r="D69" s="53">
        <v>46134</v>
      </c>
      <c r="E69" s="18">
        <v>1597220</v>
      </c>
      <c r="F69" s="18" t="s">
        <v>13</v>
      </c>
      <c r="G69" s="54">
        <v>20419002</v>
      </c>
      <c r="H69" s="18" t="s">
        <v>50</v>
      </c>
      <c r="I69" s="54">
        <v>1</v>
      </c>
      <c r="J69" s="55">
        <v>8</v>
      </c>
      <c r="K69" s="55">
        <v>8</v>
      </c>
    </row>
    <row r="70" spans="4:11">
      <c r="D70" s="53">
        <v>46134</v>
      </c>
      <c r="E70" s="18">
        <v>1597220</v>
      </c>
      <c r="F70" s="18" t="s">
        <v>13</v>
      </c>
      <c r="G70" s="54">
        <v>20418997</v>
      </c>
      <c r="H70" s="18" t="s">
        <v>46</v>
      </c>
      <c r="I70" s="54">
        <v>2</v>
      </c>
      <c r="J70" s="55">
        <v>8</v>
      </c>
      <c r="K70" s="55">
        <v>16</v>
      </c>
    </row>
    <row r="71" spans="4:11">
      <c r="D71" s="53">
        <v>46134</v>
      </c>
      <c r="E71" s="18">
        <v>1597220</v>
      </c>
      <c r="F71" s="18" t="s">
        <v>13</v>
      </c>
      <c r="G71" s="54">
        <v>20420066</v>
      </c>
      <c r="H71" s="18" t="s">
        <v>52</v>
      </c>
      <c r="I71" s="54">
        <v>1</v>
      </c>
      <c r="J71" s="55">
        <v>16.5</v>
      </c>
      <c r="K71" s="55">
        <v>16.5</v>
      </c>
    </row>
    <row r="72" spans="4:11">
      <c r="D72" s="53">
        <v>46134</v>
      </c>
      <c r="E72" s="18">
        <v>1597220</v>
      </c>
      <c r="F72" s="18" t="s">
        <v>13</v>
      </c>
      <c r="G72" s="54">
        <v>20418993</v>
      </c>
      <c r="H72" s="18" t="s">
        <v>53</v>
      </c>
      <c r="I72" s="54">
        <v>3</v>
      </c>
      <c r="J72" s="55">
        <v>8</v>
      </c>
      <c r="K72" s="55">
        <v>24</v>
      </c>
    </row>
    <row r="73" spans="4:11">
      <c r="D73" s="53">
        <v>46134</v>
      </c>
      <c r="E73" s="18">
        <v>1597220</v>
      </c>
      <c r="F73" s="18" t="s">
        <v>13</v>
      </c>
      <c r="G73" s="54">
        <v>20419030</v>
      </c>
      <c r="H73" s="18" t="s">
        <v>16</v>
      </c>
      <c r="I73" s="54">
        <v>1</v>
      </c>
      <c r="J73" s="55">
        <v>8</v>
      </c>
      <c r="K73" s="55">
        <v>8</v>
      </c>
    </row>
    <row r="74" spans="4:11">
      <c r="D74" s="53">
        <v>46134</v>
      </c>
      <c r="E74" s="18">
        <v>1597220</v>
      </c>
      <c r="F74" s="18" t="s">
        <v>13</v>
      </c>
      <c r="G74" s="54">
        <v>20418996</v>
      </c>
      <c r="H74" s="18" t="s">
        <v>54</v>
      </c>
      <c r="I74" s="54">
        <v>1</v>
      </c>
      <c r="J74" s="55">
        <v>8</v>
      </c>
      <c r="K74" s="55">
        <v>8</v>
      </c>
    </row>
    <row r="75" spans="4:11">
      <c r="D75" s="53">
        <v>46134</v>
      </c>
      <c r="E75" s="18">
        <v>1597220</v>
      </c>
      <c r="F75" s="18" t="s">
        <v>13</v>
      </c>
      <c r="G75" s="54">
        <v>20420075</v>
      </c>
      <c r="H75" s="18" t="s">
        <v>55</v>
      </c>
      <c r="I75" s="54">
        <v>1</v>
      </c>
      <c r="J75" s="55">
        <v>8</v>
      </c>
      <c r="K75" s="55">
        <v>8</v>
      </c>
    </row>
    <row r="76" spans="4:11">
      <c r="D76" s="53">
        <v>46134</v>
      </c>
      <c r="E76" s="18">
        <v>1597220</v>
      </c>
      <c r="F76" s="18" t="s">
        <v>13</v>
      </c>
      <c r="G76" s="54">
        <v>20419003</v>
      </c>
      <c r="H76" s="18" t="s">
        <v>56</v>
      </c>
      <c r="I76" s="54">
        <v>1</v>
      </c>
      <c r="J76" s="55">
        <v>8</v>
      </c>
      <c r="K76" s="55">
        <v>8</v>
      </c>
    </row>
    <row r="77" spans="4:11">
      <c r="D77" s="53">
        <v>46135</v>
      </c>
      <c r="E77" s="18">
        <v>1597595</v>
      </c>
      <c r="F77" s="18" t="s">
        <v>13</v>
      </c>
      <c r="G77" s="54">
        <v>20420065</v>
      </c>
      <c r="H77" s="18" t="s">
        <v>75</v>
      </c>
      <c r="I77" s="54">
        <v>1</v>
      </c>
      <c r="J77" s="55">
        <v>13.5</v>
      </c>
      <c r="K77" s="55">
        <v>13.5</v>
      </c>
    </row>
    <row r="78" spans="4:11">
      <c r="D78" s="53">
        <v>46135</v>
      </c>
      <c r="E78" s="18">
        <v>1597595</v>
      </c>
      <c r="F78" s="18" t="s">
        <v>13</v>
      </c>
      <c r="G78" s="54">
        <v>20421263</v>
      </c>
      <c r="H78" s="18" t="s">
        <v>65</v>
      </c>
      <c r="I78" s="54">
        <v>1</v>
      </c>
      <c r="J78" s="55">
        <v>8</v>
      </c>
      <c r="K78" s="55">
        <v>8</v>
      </c>
    </row>
    <row r="79" customFormat="1" spans="4:11">
      <c r="D79" s="53">
        <v>46135</v>
      </c>
      <c r="E79" s="18">
        <v>1597595</v>
      </c>
      <c r="F79" s="18" t="s">
        <v>13</v>
      </c>
      <c r="G79" s="54">
        <v>20420403</v>
      </c>
      <c r="H79" s="18" t="s">
        <v>59</v>
      </c>
      <c r="I79" s="54">
        <v>2</v>
      </c>
      <c r="J79" s="55">
        <v>8</v>
      </c>
      <c r="K79" s="55">
        <f>J79*I79</f>
        <v>16</v>
      </c>
    </row>
    <row r="80" spans="4:11">
      <c r="D80" s="53">
        <v>46135</v>
      </c>
      <c r="E80" s="18">
        <v>1597595</v>
      </c>
      <c r="F80" s="18" t="s">
        <v>13</v>
      </c>
      <c r="G80" s="54">
        <v>20420137</v>
      </c>
      <c r="H80" s="18" t="s">
        <v>51</v>
      </c>
      <c r="I80" s="54">
        <v>1</v>
      </c>
      <c r="J80" s="55">
        <v>8</v>
      </c>
      <c r="K80" s="55">
        <v>8</v>
      </c>
    </row>
    <row r="81" spans="4:11">
      <c r="D81" s="53">
        <v>46135</v>
      </c>
      <c r="E81" s="18">
        <v>1597595</v>
      </c>
      <c r="F81" s="18" t="s">
        <v>13</v>
      </c>
      <c r="G81" s="54">
        <v>20418997</v>
      </c>
      <c r="H81" s="18" t="s">
        <v>46</v>
      </c>
      <c r="I81" s="54">
        <v>1</v>
      </c>
      <c r="J81" s="55">
        <v>8</v>
      </c>
      <c r="K81" s="55">
        <v>8</v>
      </c>
    </row>
    <row r="82" spans="4:11">
      <c r="D82" s="53">
        <v>46135</v>
      </c>
      <c r="E82" s="18">
        <v>1597595</v>
      </c>
      <c r="F82" s="18" t="s">
        <v>13</v>
      </c>
      <c r="G82" s="54">
        <v>20419030</v>
      </c>
      <c r="H82" s="18" t="s">
        <v>16</v>
      </c>
      <c r="I82" s="54">
        <v>1</v>
      </c>
      <c r="J82" s="55">
        <v>8</v>
      </c>
      <c r="K82" s="55">
        <v>8</v>
      </c>
    </row>
    <row r="83" spans="4:11">
      <c r="D83" s="53">
        <v>46135</v>
      </c>
      <c r="E83" s="18">
        <v>1597595</v>
      </c>
      <c r="F83" s="18" t="s">
        <v>13</v>
      </c>
      <c r="G83" s="54">
        <v>20418996</v>
      </c>
      <c r="H83" s="18" t="s">
        <v>54</v>
      </c>
      <c r="I83" s="54">
        <v>4</v>
      </c>
      <c r="J83" s="55">
        <v>8</v>
      </c>
      <c r="K83" s="55">
        <v>32</v>
      </c>
    </row>
    <row r="84" spans="4:11">
      <c r="D84" s="53">
        <v>46135</v>
      </c>
      <c r="E84" s="18">
        <v>1597595</v>
      </c>
      <c r="F84" s="18" t="s">
        <v>13</v>
      </c>
      <c r="G84" s="54">
        <v>20421258</v>
      </c>
      <c r="H84" s="18" t="s">
        <v>66</v>
      </c>
      <c r="I84" s="54">
        <v>1</v>
      </c>
      <c r="J84" s="55">
        <v>8</v>
      </c>
      <c r="K84" s="55">
        <v>8</v>
      </c>
    </row>
    <row r="85" spans="4:11">
      <c r="D85" s="53">
        <v>46135</v>
      </c>
      <c r="E85" s="18">
        <v>1597595</v>
      </c>
      <c r="F85" s="18" t="s">
        <v>13</v>
      </c>
      <c r="G85" s="54">
        <v>20418995</v>
      </c>
      <c r="H85" s="18" t="s">
        <v>61</v>
      </c>
      <c r="I85" s="54">
        <v>1</v>
      </c>
      <c r="J85" s="55">
        <v>8</v>
      </c>
      <c r="K85" s="55">
        <v>8</v>
      </c>
    </row>
    <row r="86" spans="4:11">
      <c r="D86" s="53">
        <v>46135</v>
      </c>
      <c r="E86" s="18">
        <v>1597595</v>
      </c>
      <c r="F86" s="18" t="s">
        <v>13</v>
      </c>
      <c r="G86" s="54">
        <v>20419003</v>
      </c>
      <c r="H86" s="18" t="s">
        <v>56</v>
      </c>
      <c r="I86" s="54">
        <v>1</v>
      </c>
      <c r="J86" s="55">
        <v>8</v>
      </c>
      <c r="K86" s="55">
        <v>8</v>
      </c>
    </row>
    <row r="87" spans="4:11">
      <c r="D87" s="53">
        <v>46136</v>
      </c>
      <c r="E87" s="18">
        <v>1597740</v>
      </c>
      <c r="F87" s="18" t="s">
        <v>13</v>
      </c>
      <c r="G87" s="54">
        <v>20420066</v>
      </c>
      <c r="H87" s="18" t="s">
        <v>52</v>
      </c>
      <c r="I87" s="54">
        <v>1</v>
      </c>
      <c r="J87" s="55">
        <v>16.5</v>
      </c>
      <c r="K87" s="55">
        <v>16.5</v>
      </c>
    </row>
    <row r="88" spans="4:11">
      <c r="D88" s="53">
        <v>46136</v>
      </c>
      <c r="E88" s="18">
        <v>1597740</v>
      </c>
      <c r="F88" s="18" t="s">
        <v>13</v>
      </c>
      <c r="G88" s="54">
        <v>20420075</v>
      </c>
      <c r="H88" s="18" t="s">
        <v>55</v>
      </c>
      <c r="I88" s="54">
        <v>2</v>
      </c>
      <c r="J88" s="55">
        <v>8</v>
      </c>
      <c r="K88" s="55">
        <v>16</v>
      </c>
    </row>
    <row r="89" spans="4:11">
      <c r="D89" s="53">
        <v>46140</v>
      </c>
      <c r="E89" s="18">
        <v>1598928</v>
      </c>
      <c r="F89" s="18" t="s">
        <v>13</v>
      </c>
      <c r="G89" s="54">
        <v>20418992</v>
      </c>
      <c r="H89" s="18" t="s">
        <v>62</v>
      </c>
      <c r="I89" s="54">
        <v>2</v>
      </c>
      <c r="J89" s="55">
        <v>8</v>
      </c>
      <c r="K89" s="55">
        <v>16</v>
      </c>
    </row>
    <row r="90" spans="4:11">
      <c r="D90" s="53">
        <v>46140</v>
      </c>
      <c r="E90" s="18">
        <v>1598928</v>
      </c>
      <c r="F90" s="18" t="s">
        <v>13</v>
      </c>
      <c r="G90" s="54">
        <v>20421255</v>
      </c>
      <c r="H90" s="18" t="s">
        <v>63</v>
      </c>
      <c r="I90" s="54">
        <v>1</v>
      </c>
      <c r="J90" s="55">
        <v>8</v>
      </c>
      <c r="K90" s="55">
        <v>8</v>
      </c>
    </row>
    <row r="91" spans="4:11">
      <c r="D91" s="53">
        <v>46140</v>
      </c>
      <c r="E91" s="18">
        <v>1598928</v>
      </c>
      <c r="F91" s="18" t="s">
        <v>13</v>
      </c>
      <c r="G91" s="54">
        <v>20420065</v>
      </c>
      <c r="H91" s="18" t="s">
        <v>76</v>
      </c>
      <c r="I91" s="54">
        <v>1</v>
      </c>
      <c r="J91" s="55">
        <v>16.5</v>
      </c>
      <c r="K91" s="55">
        <v>16.5</v>
      </c>
    </row>
    <row r="92" spans="4:11">
      <c r="D92" s="53">
        <v>46140</v>
      </c>
      <c r="E92" s="18">
        <v>1598928</v>
      </c>
      <c r="F92" s="18" t="s">
        <v>13</v>
      </c>
      <c r="G92" s="54">
        <v>20418998</v>
      </c>
      <c r="H92" s="18" t="s">
        <v>42</v>
      </c>
      <c r="I92" s="54">
        <v>1</v>
      </c>
      <c r="J92" s="55">
        <v>8</v>
      </c>
      <c r="K92" s="55">
        <v>8</v>
      </c>
    </row>
    <row r="93" spans="4:11">
      <c r="D93" s="53">
        <v>46140</v>
      </c>
      <c r="E93" s="18">
        <v>1598928</v>
      </c>
      <c r="F93" s="18" t="s">
        <v>13</v>
      </c>
      <c r="G93" s="54">
        <v>20421263</v>
      </c>
      <c r="H93" s="18" t="s">
        <v>65</v>
      </c>
      <c r="I93" s="54">
        <v>1</v>
      </c>
      <c r="J93" s="55">
        <v>8</v>
      </c>
      <c r="K93" s="55">
        <v>8</v>
      </c>
    </row>
    <row r="94" customFormat="1" spans="4:11">
      <c r="D94" s="53">
        <v>46140</v>
      </c>
      <c r="E94" s="18">
        <v>1598928</v>
      </c>
      <c r="F94" s="18" t="s">
        <v>13</v>
      </c>
      <c r="G94" s="54">
        <v>20420403</v>
      </c>
      <c r="H94" s="18" t="s">
        <v>59</v>
      </c>
      <c r="I94" s="54">
        <v>1</v>
      </c>
      <c r="J94" s="55">
        <v>8</v>
      </c>
      <c r="K94" s="55">
        <f>J94*I94</f>
        <v>8</v>
      </c>
    </row>
    <row r="95" spans="4:11">
      <c r="D95" s="53">
        <v>46140</v>
      </c>
      <c r="E95" s="18">
        <v>1598928</v>
      </c>
      <c r="F95" s="18" t="s">
        <v>13</v>
      </c>
      <c r="G95" s="54">
        <v>20420137</v>
      </c>
      <c r="H95" s="18" t="s">
        <v>51</v>
      </c>
      <c r="I95" s="54">
        <v>1</v>
      </c>
      <c r="J95" s="55">
        <v>8</v>
      </c>
      <c r="K95" s="55">
        <v>8</v>
      </c>
    </row>
    <row r="96" spans="4:11">
      <c r="D96" s="53">
        <v>46140</v>
      </c>
      <c r="E96" s="18">
        <v>1598928</v>
      </c>
      <c r="F96" s="18" t="s">
        <v>13</v>
      </c>
      <c r="G96" s="54">
        <v>20418997</v>
      </c>
      <c r="H96" s="18" t="s">
        <v>46</v>
      </c>
      <c r="I96" s="54">
        <v>2</v>
      </c>
      <c r="J96" s="55">
        <v>8</v>
      </c>
      <c r="K96" s="55">
        <v>16</v>
      </c>
    </row>
    <row r="97" spans="4:11">
      <c r="D97" s="53">
        <v>46140</v>
      </c>
      <c r="E97" s="18">
        <v>1598928</v>
      </c>
      <c r="F97" s="18" t="s">
        <v>13</v>
      </c>
      <c r="G97" s="54">
        <v>20418993</v>
      </c>
      <c r="H97" s="18" t="s">
        <v>53</v>
      </c>
      <c r="I97" s="54">
        <v>1</v>
      </c>
      <c r="J97" s="55">
        <v>8</v>
      </c>
      <c r="K97" s="55">
        <v>8</v>
      </c>
    </row>
    <row r="98" spans="4:11">
      <c r="D98" s="53">
        <v>46140</v>
      </c>
      <c r="E98" s="18">
        <v>1598928</v>
      </c>
      <c r="F98" s="18" t="s">
        <v>13</v>
      </c>
      <c r="G98" s="54">
        <v>20419030</v>
      </c>
      <c r="H98" s="18" t="s">
        <v>16</v>
      </c>
      <c r="I98" s="54">
        <v>3</v>
      </c>
      <c r="J98" s="55">
        <v>8</v>
      </c>
      <c r="K98" s="55">
        <v>24</v>
      </c>
    </row>
    <row r="99" spans="4:11">
      <c r="D99" s="53">
        <v>46140</v>
      </c>
      <c r="E99" s="18">
        <v>1598928</v>
      </c>
      <c r="F99" s="18" t="s">
        <v>13</v>
      </c>
      <c r="G99" s="54">
        <v>20418996</v>
      </c>
      <c r="H99" s="18" t="s">
        <v>54</v>
      </c>
      <c r="I99" s="54">
        <v>3</v>
      </c>
      <c r="J99" s="55">
        <v>8</v>
      </c>
      <c r="K99" s="55">
        <v>24</v>
      </c>
    </row>
    <row r="100" spans="4:11">
      <c r="D100" s="53">
        <v>46140</v>
      </c>
      <c r="E100" s="18">
        <v>1598928</v>
      </c>
      <c r="F100" s="18" t="s">
        <v>13</v>
      </c>
      <c r="G100" s="54">
        <v>20421258</v>
      </c>
      <c r="H100" s="18" t="s">
        <v>66</v>
      </c>
      <c r="I100" s="54">
        <v>1</v>
      </c>
      <c r="J100" s="55">
        <v>8</v>
      </c>
      <c r="K100" s="55">
        <v>8</v>
      </c>
    </row>
    <row r="101" spans="4:11">
      <c r="D101" s="53">
        <v>46140</v>
      </c>
      <c r="E101" s="18">
        <v>1598928</v>
      </c>
      <c r="F101" s="18" t="s">
        <v>13</v>
      </c>
      <c r="G101" s="54">
        <v>20418995</v>
      </c>
      <c r="H101" s="18" t="s">
        <v>61</v>
      </c>
      <c r="I101" s="54">
        <v>4</v>
      </c>
      <c r="J101" s="55">
        <v>8</v>
      </c>
      <c r="K101" s="55">
        <v>32</v>
      </c>
    </row>
    <row r="102" spans="4:11">
      <c r="D102" s="53">
        <v>46141</v>
      </c>
      <c r="E102" s="18">
        <v>1599014</v>
      </c>
      <c r="F102" s="18" t="s">
        <v>13</v>
      </c>
      <c r="G102" s="54">
        <v>20420066</v>
      </c>
      <c r="H102" s="18" t="s">
        <v>52</v>
      </c>
      <c r="I102" s="54">
        <v>1</v>
      </c>
      <c r="J102" s="55">
        <v>16.5</v>
      </c>
      <c r="K102" s="55">
        <v>16.5</v>
      </c>
    </row>
    <row r="103" spans="4:11">
      <c r="D103" s="53">
        <v>46141</v>
      </c>
      <c r="E103" s="18">
        <v>1599014</v>
      </c>
      <c r="F103" s="18" t="s">
        <v>13</v>
      </c>
      <c r="G103" s="54">
        <v>20420075</v>
      </c>
      <c r="H103" s="18" t="s">
        <v>55</v>
      </c>
      <c r="I103" s="54">
        <v>2</v>
      </c>
      <c r="J103" s="55">
        <v>8</v>
      </c>
      <c r="K103" s="55">
        <v>16</v>
      </c>
    </row>
    <row r="104" spans="4:11">
      <c r="D104" s="53">
        <v>46142</v>
      </c>
      <c r="E104" s="18">
        <v>1599427</v>
      </c>
      <c r="F104" s="18" t="s">
        <v>13</v>
      </c>
      <c r="G104" s="54">
        <v>20423646</v>
      </c>
      <c r="H104" s="18" t="s">
        <v>77</v>
      </c>
      <c r="I104" s="54">
        <v>1</v>
      </c>
      <c r="J104" s="55">
        <v>13.5</v>
      </c>
      <c r="K104" s="55">
        <v>13.5</v>
      </c>
    </row>
    <row r="105" spans="4:11">
      <c r="D105" s="53">
        <v>46142</v>
      </c>
      <c r="E105" s="18">
        <v>1599427</v>
      </c>
      <c r="F105" s="18" t="s">
        <v>13</v>
      </c>
      <c r="G105" s="54">
        <v>20421263</v>
      </c>
      <c r="H105" s="18" t="s">
        <v>65</v>
      </c>
      <c r="I105" s="54">
        <v>2</v>
      </c>
      <c r="J105" s="55">
        <v>8</v>
      </c>
      <c r="K105" s="55">
        <v>16</v>
      </c>
    </row>
    <row r="106" spans="4:11">
      <c r="D106" s="53">
        <v>46142</v>
      </c>
      <c r="E106" s="18">
        <v>1599427</v>
      </c>
      <c r="F106" s="18" t="s">
        <v>13</v>
      </c>
      <c r="G106" s="54">
        <v>20420137</v>
      </c>
      <c r="H106" s="18" t="s">
        <v>51</v>
      </c>
      <c r="I106" s="54">
        <v>1</v>
      </c>
      <c r="J106" s="55">
        <v>8</v>
      </c>
      <c r="K106" s="55">
        <v>8</v>
      </c>
    </row>
    <row r="107" spans="4:11">
      <c r="D107" s="53">
        <v>46142</v>
      </c>
      <c r="E107" s="18">
        <v>1599427</v>
      </c>
      <c r="F107" s="18" t="s">
        <v>13</v>
      </c>
      <c r="G107" s="54">
        <v>20418997</v>
      </c>
      <c r="H107" s="18" t="s">
        <v>46</v>
      </c>
      <c r="I107" s="54">
        <v>1</v>
      </c>
      <c r="J107" s="55">
        <v>8</v>
      </c>
      <c r="K107" s="55">
        <v>8</v>
      </c>
    </row>
    <row r="108" spans="4:11">
      <c r="D108" s="53">
        <v>46142</v>
      </c>
      <c r="E108" s="18">
        <v>1599427</v>
      </c>
      <c r="F108" s="18" t="s">
        <v>13</v>
      </c>
      <c r="G108" s="54">
        <v>20420066</v>
      </c>
      <c r="H108" s="18" t="s">
        <v>52</v>
      </c>
      <c r="I108" s="54">
        <v>1</v>
      </c>
      <c r="J108" s="55">
        <v>16.5</v>
      </c>
      <c r="K108" s="55">
        <v>16.5</v>
      </c>
    </row>
    <row r="109" spans="4:11">
      <c r="D109" s="53">
        <v>46142</v>
      </c>
      <c r="E109" s="18">
        <v>1599427</v>
      </c>
      <c r="F109" s="18" t="s">
        <v>13</v>
      </c>
      <c r="G109" s="54">
        <v>20418996</v>
      </c>
      <c r="H109" s="18" t="s">
        <v>54</v>
      </c>
      <c r="I109" s="54">
        <v>1</v>
      </c>
      <c r="J109" s="55">
        <v>8</v>
      </c>
      <c r="K109" s="55">
        <v>8</v>
      </c>
    </row>
    <row r="110" spans="4:11">
      <c r="D110" s="53">
        <v>46142</v>
      </c>
      <c r="E110" s="18">
        <v>1599427</v>
      </c>
      <c r="F110" s="18" t="s">
        <v>13</v>
      </c>
      <c r="G110" s="54">
        <v>20420075</v>
      </c>
      <c r="H110" s="18" t="s">
        <v>55</v>
      </c>
      <c r="I110" s="54">
        <v>2</v>
      </c>
      <c r="J110" s="55">
        <v>8</v>
      </c>
      <c r="K110" s="55">
        <v>16</v>
      </c>
    </row>
    <row r="111" spans="4:11">
      <c r="D111" s="53">
        <v>46142</v>
      </c>
      <c r="E111" s="18">
        <v>1599427</v>
      </c>
      <c r="F111" s="18" t="s">
        <v>13</v>
      </c>
      <c r="G111" s="54">
        <v>20418995</v>
      </c>
      <c r="H111" s="18" t="s">
        <v>61</v>
      </c>
      <c r="I111" s="54">
        <v>1</v>
      </c>
      <c r="J111" s="55">
        <v>8</v>
      </c>
      <c r="K111" s="55">
        <v>8</v>
      </c>
    </row>
    <row r="112" spans="4:11">
      <c r="D112" s="53">
        <v>46142</v>
      </c>
      <c r="E112" s="18">
        <v>1599427</v>
      </c>
      <c r="F112" s="18" t="s">
        <v>13</v>
      </c>
      <c r="G112" s="54">
        <v>20421956</v>
      </c>
      <c r="H112" s="18" t="s">
        <v>73</v>
      </c>
      <c r="I112" s="54">
        <v>1</v>
      </c>
      <c r="J112" s="55">
        <v>8</v>
      </c>
      <c r="K112" s="55">
        <v>8</v>
      </c>
    </row>
    <row r="113" ht="0.05" customHeight="1"/>
  </sheetData>
  <autoFilter xmlns:etc="http://www.wps.cn/officeDocument/2017/etCustomData" ref="A7:K112" etc:filterBottomFollowUsedRange="0">
    <extLst/>
  </autoFilter>
  <mergeCells count="5">
    <mergeCell ref="D8:H8"/>
    <mergeCell ref="C7:C112"/>
    <mergeCell ref="B4:H5"/>
    <mergeCell ref="A7:B1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16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78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13</v>
      </c>
      <c r="J8" s="52"/>
      <c r="K8" s="52">
        <v>472</v>
      </c>
    </row>
    <row r="9" spans="1:11">
      <c r="D9" s="53">
        <v>46126</v>
      </c>
      <c r="E9" s="18">
        <v>1594679</v>
      </c>
      <c r="F9" s="18" t="s">
        <v>44</v>
      </c>
      <c r="G9" s="54">
        <v>20421423</v>
      </c>
      <c r="H9" s="18" t="s">
        <v>79</v>
      </c>
      <c r="I9" s="54">
        <v>1</v>
      </c>
      <c r="J9" s="55">
        <v>44</v>
      </c>
      <c r="K9" s="55">
        <v>44</v>
      </c>
    </row>
    <row r="10" spans="1:11">
      <c r="D10" s="53">
        <v>46126</v>
      </c>
      <c r="E10" s="18">
        <v>1594679</v>
      </c>
      <c r="F10" s="18" t="s">
        <v>44</v>
      </c>
      <c r="G10" s="54">
        <v>20421422</v>
      </c>
      <c r="H10" s="18" t="s">
        <v>80</v>
      </c>
      <c r="I10" s="54">
        <v>2</v>
      </c>
      <c r="J10" s="55">
        <v>28</v>
      </c>
      <c r="K10" s="55">
        <v>56</v>
      </c>
    </row>
    <row r="11" spans="1:11">
      <c r="D11" s="53">
        <v>46128</v>
      </c>
      <c r="E11" s="18">
        <v>1595541</v>
      </c>
      <c r="F11" s="18" t="s">
        <v>44</v>
      </c>
      <c r="G11" s="54">
        <v>20421423</v>
      </c>
      <c r="H11" s="18" t="s">
        <v>79</v>
      </c>
      <c r="I11" s="54">
        <v>2</v>
      </c>
      <c r="J11" s="55">
        <v>44</v>
      </c>
      <c r="K11" s="55">
        <v>88</v>
      </c>
    </row>
    <row r="12" spans="1:11">
      <c r="D12" s="53">
        <v>46136</v>
      </c>
      <c r="E12" s="18">
        <v>1597754</v>
      </c>
      <c r="F12" s="18" t="s">
        <v>44</v>
      </c>
      <c r="G12" s="54">
        <v>20421423</v>
      </c>
      <c r="H12" s="18" t="s">
        <v>79</v>
      </c>
      <c r="I12" s="54">
        <v>2</v>
      </c>
      <c r="J12" s="55">
        <v>44</v>
      </c>
      <c r="K12" s="55">
        <v>88</v>
      </c>
    </row>
    <row r="13" spans="1:11">
      <c r="D13" s="53">
        <v>46136</v>
      </c>
      <c r="E13" s="18">
        <v>1597754</v>
      </c>
      <c r="F13" s="18" t="s">
        <v>44</v>
      </c>
      <c r="G13" s="54">
        <v>20421422</v>
      </c>
      <c r="H13" s="18" t="s">
        <v>80</v>
      </c>
      <c r="I13" s="54">
        <v>2</v>
      </c>
      <c r="J13" s="55">
        <v>28</v>
      </c>
      <c r="K13" s="55">
        <v>56</v>
      </c>
    </row>
    <row r="14" spans="1:11">
      <c r="D14" s="53">
        <v>46139</v>
      </c>
      <c r="E14" s="18">
        <v>1598475</v>
      </c>
      <c r="F14" s="18" t="s">
        <v>13</v>
      </c>
      <c r="G14" s="54">
        <v>20420600</v>
      </c>
      <c r="H14" s="18" t="s">
        <v>81</v>
      </c>
      <c r="I14" s="54">
        <v>1</v>
      </c>
      <c r="J14" s="55">
        <v>8</v>
      </c>
      <c r="K14" s="55">
        <v>8</v>
      </c>
    </row>
    <row r="15" spans="1:11">
      <c r="D15" s="53">
        <v>46140</v>
      </c>
      <c r="E15" s="18">
        <v>1598663</v>
      </c>
      <c r="F15" s="18" t="s">
        <v>44</v>
      </c>
      <c r="G15" s="54">
        <v>20421423</v>
      </c>
      <c r="H15" s="18" t="s">
        <v>79</v>
      </c>
      <c r="I15" s="54">
        <v>1</v>
      </c>
      <c r="J15" s="55">
        <v>44</v>
      </c>
      <c r="K15" s="55">
        <v>44</v>
      </c>
    </row>
    <row r="16" spans="1:11">
      <c r="D16" s="53">
        <v>46142</v>
      </c>
      <c r="E16" s="18">
        <v>1599486</v>
      </c>
      <c r="F16" s="18" t="s">
        <v>44</v>
      </c>
      <c r="G16" s="54">
        <v>20421423</v>
      </c>
      <c r="H16" s="18" t="s">
        <v>79</v>
      </c>
      <c r="I16" s="54">
        <v>2</v>
      </c>
      <c r="J16" s="55">
        <v>44</v>
      </c>
      <c r="K16" s="55">
        <v>88</v>
      </c>
    </row>
  </sheetData>
  <autoFilter xmlns:etc="http://www.wps.cn/officeDocument/2017/etCustomData" ref="A7:K16" etc:filterBottomFollowUsedRange="0">
    <extLst/>
  </autoFilter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82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520</v>
      </c>
      <c r="J8" s="52"/>
      <c r="K8" s="52">
        <v>18858</v>
      </c>
    </row>
    <row r="9" spans="1:11">
      <c r="D9" s="53">
        <v>46113</v>
      </c>
      <c r="E9" s="18">
        <v>1591158</v>
      </c>
      <c r="F9" s="18" t="s">
        <v>83</v>
      </c>
      <c r="G9" s="54">
        <v>20418553</v>
      </c>
      <c r="H9" s="18" t="s">
        <v>84</v>
      </c>
      <c r="I9" s="54">
        <v>3</v>
      </c>
      <c r="J9" s="55">
        <v>115.5</v>
      </c>
      <c r="K9" s="55">
        <v>346.5</v>
      </c>
    </row>
    <row r="10" spans="1:11">
      <c r="D10" s="53">
        <v>46113</v>
      </c>
      <c r="E10" s="18">
        <v>1591158</v>
      </c>
      <c r="F10" s="18" t="s">
        <v>83</v>
      </c>
      <c r="G10" s="54">
        <v>20418567</v>
      </c>
      <c r="H10" s="18" t="s">
        <v>85</v>
      </c>
      <c r="I10" s="54">
        <v>2</v>
      </c>
      <c r="J10" s="55">
        <v>330</v>
      </c>
      <c r="K10" s="55">
        <v>660</v>
      </c>
    </row>
    <row r="11" spans="1:11">
      <c r="D11" s="53">
        <v>46113</v>
      </c>
      <c r="E11" s="18">
        <v>1591158</v>
      </c>
      <c r="F11" s="18" t="s">
        <v>13</v>
      </c>
      <c r="G11" s="54">
        <v>20419705</v>
      </c>
      <c r="H11" s="18" t="s">
        <v>86</v>
      </c>
      <c r="I11" s="54">
        <v>1</v>
      </c>
      <c r="J11" s="55">
        <v>11</v>
      </c>
      <c r="K11" s="55">
        <v>11</v>
      </c>
    </row>
    <row r="12" spans="1:11">
      <c r="D12" s="53">
        <v>46113</v>
      </c>
      <c r="E12" s="18">
        <v>1591158</v>
      </c>
      <c r="F12" s="18" t="s">
        <v>13</v>
      </c>
      <c r="G12" s="54">
        <v>20419711</v>
      </c>
      <c r="H12" s="18" t="s">
        <v>87</v>
      </c>
      <c r="I12" s="54">
        <v>1</v>
      </c>
      <c r="J12" s="55">
        <v>16.5</v>
      </c>
      <c r="K12" s="55">
        <v>16.5</v>
      </c>
    </row>
    <row r="13" spans="1:11">
      <c r="D13" s="53">
        <v>46113</v>
      </c>
      <c r="E13" s="18">
        <v>1591158</v>
      </c>
      <c r="F13" s="18" t="s">
        <v>13</v>
      </c>
      <c r="G13" s="54">
        <v>20419701</v>
      </c>
      <c r="H13" s="18" t="s">
        <v>88</v>
      </c>
      <c r="I13" s="54">
        <v>1</v>
      </c>
      <c r="J13" s="55">
        <v>13.5</v>
      </c>
      <c r="K13" s="55">
        <v>13.5</v>
      </c>
    </row>
    <row r="14" spans="1:11">
      <c r="D14" s="53">
        <v>46113</v>
      </c>
      <c r="E14" s="18">
        <v>1591158</v>
      </c>
      <c r="F14" s="18" t="s">
        <v>13</v>
      </c>
      <c r="G14" s="54">
        <v>20419713</v>
      </c>
      <c r="H14" s="18" t="s">
        <v>89</v>
      </c>
      <c r="I14" s="54">
        <v>1</v>
      </c>
      <c r="J14" s="55">
        <v>13.5</v>
      </c>
      <c r="K14" s="55">
        <v>13.5</v>
      </c>
    </row>
    <row r="15" spans="1:11">
      <c r="D15" s="53">
        <v>46113</v>
      </c>
      <c r="E15" s="18">
        <v>1591158</v>
      </c>
      <c r="F15" s="18" t="s">
        <v>13</v>
      </c>
      <c r="G15" s="54">
        <v>20419052</v>
      </c>
      <c r="H15" s="18" t="s">
        <v>90</v>
      </c>
      <c r="I15" s="54">
        <v>12</v>
      </c>
      <c r="J15" s="55">
        <v>13</v>
      </c>
      <c r="K15" s="55">
        <v>156</v>
      </c>
    </row>
    <row r="16" spans="1:11">
      <c r="D16" s="53">
        <v>46113</v>
      </c>
      <c r="E16" s="18">
        <v>1591158</v>
      </c>
      <c r="F16" s="18" t="s">
        <v>13</v>
      </c>
      <c r="G16" s="54">
        <v>20419698</v>
      </c>
      <c r="H16" s="18" t="s">
        <v>91</v>
      </c>
      <c r="I16" s="54">
        <v>1</v>
      </c>
      <c r="J16" s="55">
        <v>16.5</v>
      </c>
      <c r="K16" s="55">
        <v>16.5</v>
      </c>
    </row>
    <row r="17" spans="4:11">
      <c r="D17" s="53">
        <v>46113</v>
      </c>
      <c r="E17" s="18">
        <v>1591158</v>
      </c>
      <c r="F17" s="18" t="s">
        <v>13</v>
      </c>
      <c r="G17" s="54">
        <v>20419699</v>
      </c>
      <c r="H17" s="18" t="s">
        <v>92</v>
      </c>
      <c r="I17" s="54">
        <v>1</v>
      </c>
      <c r="J17" s="55">
        <v>11</v>
      </c>
      <c r="K17" s="55">
        <v>11</v>
      </c>
    </row>
    <row r="18" spans="4:11">
      <c r="D18" s="53">
        <v>46113</v>
      </c>
      <c r="E18" s="18">
        <v>1591158</v>
      </c>
      <c r="F18" s="18" t="s">
        <v>13</v>
      </c>
      <c r="G18" s="54">
        <v>20419697</v>
      </c>
      <c r="H18" s="18" t="s">
        <v>93</v>
      </c>
      <c r="I18" s="54">
        <v>1</v>
      </c>
      <c r="J18" s="55">
        <v>22</v>
      </c>
      <c r="K18" s="55">
        <v>22</v>
      </c>
    </row>
    <row r="19" spans="4:11">
      <c r="D19" s="53">
        <v>46113</v>
      </c>
      <c r="E19" s="18">
        <v>1591158</v>
      </c>
      <c r="F19" s="18" t="s">
        <v>94</v>
      </c>
      <c r="G19" s="54">
        <v>20419726</v>
      </c>
      <c r="H19" s="18" t="s">
        <v>95</v>
      </c>
      <c r="I19" s="54">
        <v>1</v>
      </c>
      <c r="J19" s="55">
        <v>38.5</v>
      </c>
      <c r="K19" s="55">
        <v>38.5</v>
      </c>
    </row>
    <row r="20" customFormat="1" spans="4:11">
      <c r="D20" s="53">
        <v>46113</v>
      </c>
      <c r="E20" s="18">
        <v>1591158</v>
      </c>
      <c r="F20" s="18" t="s">
        <v>94</v>
      </c>
      <c r="G20" s="54">
        <v>20419700</v>
      </c>
      <c r="H20" s="18" t="s">
        <v>96</v>
      </c>
      <c r="I20" s="54">
        <v>3</v>
      </c>
      <c r="J20" s="55">
        <v>16.5</v>
      </c>
      <c r="K20" s="55">
        <f>J20*I20</f>
        <v>49.5</v>
      </c>
    </row>
    <row r="21" spans="4:11">
      <c r="D21" s="53">
        <v>46113</v>
      </c>
      <c r="E21" s="18">
        <v>1591158</v>
      </c>
      <c r="F21" s="18" t="s">
        <v>94</v>
      </c>
      <c r="G21" s="54">
        <v>20419037</v>
      </c>
      <c r="H21" s="18" t="s">
        <v>97</v>
      </c>
      <c r="I21" s="54">
        <v>4</v>
      </c>
      <c r="J21" s="55">
        <v>16.5</v>
      </c>
      <c r="K21" s="55">
        <v>66</v>
      </c>
    </row>
    <row r="22" spans="4:11">
      <c r="D22" s="53">
        <v>46113</v>
      </c>
      <c r="E22" s="18">
        <v>1591158</v>
      </c>
      <c r="F22" s="18" t="s">
        <v>94</v>
      </c>
      <c r="G22" s="54">
        <v>20419725</v>
      </c>
      <c r="H22" s="18" t="s">
        <v>98</v>
      </c>
      <c r="I22" s="54">
        <v>1</v>
      </c>
      <c r="J22" s="55">
        <v>16.5</v>
      </c>
      <c r="K22" s="55">
        <v>16.5</v>
      </c>
    </row>
    <row r="23" spans="4:11">
      <c r="D23" s="53">
        <v>46113</v>
      </c>
      <c r="E23" s="18">
        <v>1591158</v>
      </c>
      <c r="F23" s="18" t="s">
        <v>94</v>
      </c>
      <c r="G23" s="54">
        <v>20419721</v>
      </c>
      <c r="H23" s="18" t="s">
        <v>99</v>
      </c>
      <c r="I23" s="54">
        <v>1</v>
      </c>
      <c r="J23" s="55">
        <v>16.5</v>
      </c>
      <c r="K23" s="55">
        <v>16.5</v>
      </c>
    </row>
    <row r="24" spans="4:11">
      <c r="D24" s="53">
        <v>46113</v>
      </c>
      <c r="E24" s="18">
        <v>1591158</v>
      </c>
      <c r="F24" s="18" t="s">
        <v>94</v>
      </c>
      <c r="G24" s="54">
        <v>20419702</v>
      </c>
      <c r="H24" s="18" t="s">
        <v>100</v>
      </c>
      <c r="I24" s="54">
        <v>1</v>
      </c>
      <c r="J24" s="55">
        <v>55</v>
      </c>
      <c r="K24" s="55">
        <v>55</v>
      </c>
    </row>
    <row r="25" spans="4:11">
      <c r="D25" s="53">
        <v>46113</v>
      </c>
      <c r="E25" s="18">
        <v>1591158</v>
      </c>
      <c r="F25" s="18" t="s">
        <v>94</v>
      </c>
      <c r="G25" s="54">
        <v>20419715</v>
      </c>
      <c r="H25" s="18" t="s">
        <v>101</v>
      </c>
      <c r="I25" s="54">
        <v>1</v>
      </c>
      <c r="J25" s="55">
        <v>16.5</v>
      </c>
      <c r="K25" s="55">
        <v>16.5</v>
      </c>
    </row>
    <row r="26" spans="4:11">
      <c r="D26" s="53">
        <v>46114</v>
      </c>
      <c r="E26" s="18">
        <v>1591302</v>
      </c>
      <c r="F26" s="18" t="s">
        <v>44</v>
      </c>
      <c r="G26" s="54">
        <v>20418544</v>
      </c>
      <c r="H26" s="18" t="s">
        <v>102</v>
      </c>
      <c r="I26" s="54">
        <v>1</v>
      </c>
      <c r="J26" s="55">
        <v>35</v>
      </c>
      <c r="K26" s="55">
        <v>35</v>
      </c>
    </row>
    <row r="27" spans="4:11">
      <c r="D27" s="53">
        <v>46115</v>
      </c>
      <c r="E27" s="18">
        <v>1591915</v>
      </c>
      <c r="F27" s="18" t="s">
        <v>83</v>
      </c>
      <c r="G27" s="54">
        <v>20419759</v>
      </c>
      <c r="H27" s="18" t="s">
        <v>103</v>
      </c>
      <c r="I27" s="54">
        <v>1</v>
      </c>
      <c r="J27" s="55">
        <v>275</v>
      </c>
      <c r="K27" s="55">
        <v>275</v>
      </c>
    </row>
    <row r="28" spans="4:11">
      <c r="D28" s="53">
        <v>46115</v>
      </c>
      <c r="E28" s="18">
        <v>1591915</v>
      </c>
      <c r="F28" s="18" t="s">
        <v>83</v>
      </c>
      <c r="G28" s="54">
        <v>20418553</v>
      </c>
      <c r="H28" s="18" t="s">
        <v>84</v>
      </c>
      <c r="I28" s="54">
        <v>1</v>
      </c>
      <c r="J28" s="55">
        <v>115.5</v>
      </c>
      <c r="K28" s="55">
        <v>115.5</v>
      </c>
    </row>
    <row r="29" spans="4:11">
      <c r="D29" s="53">
        <v>46115</v>
      </c>
      <c r="E29" s="18">
        <v>1591915</v>
      </c>
      <c r="F29" s="18" t="s">
        <v>83</v>
      </c>
      <c r="G29" s="54">
        <v>20418559</v>
      </c>
      <c r="H29" s="18" t="s">
        <v>104</v>
      </c>
      <c r="I29" s="54">
        <v>1</v>
      </c>
      <c r="J29" s="55">
        <v>115.5</v>
      </c>
      <c r="K29" s="55">
        <v>115.5</v>
      </c>
    </row>
    <row r="30" spans="4:11">
      <c r="D30" s="53">
        <v>46115</v>
      </c>
      <c r="E30" s="18">
        <v>1591915</v>
      </c>
      <c r="F30" s="18" t="s">
        <v>83</v>
      </c>
      <c r="G30" s="54">
        <v>20418555</v>
      </c>
      <c r="H30" s="18" t="s">
        <v>105</v>
      </c>
      <c r="I30" s="54">
        <v>1</v>
      </c>
      <c r="J30" s="55">
        <v>170.5</v>
      </c>
      <c r="K30" s="55">
        <v>170.5</v>
      </c>
    </row>
    <row r="31" spans="4:11">
      <c r="D31" s="53">
        <v>46115</v>
      </c>
      <c r="E31" s="18">
        <v>1591915</v>
      </c>
      <c r="F31" s="18" t="s">
        <v>13</v>
      </c>
      <c r="G31" s="54">
        <v>20420104</v>
      </c>
      <c r="H31" s="18" t="s">
        <v>106</v>
      </c>
      <c r="I31" s="54">
        <v>1</v>
      </c>
      <c r="J31" s="55">
        <v>22</v>
      </c>
      <c r="K31" s="55">
        <v>22</v>
      </c>
    </row>
    <row r="32" spans="4:11">
      <c r="D32" s="53">
        <v>46115</v>
      </c>
      <c r="E32" s="18">
        <v>1591915</v>
      </c>
      <c r="F32" s="18" t="s">
        <v>13</v>
      </c>
      <c r="G32" s="54">
        <v>20420109</v>
      </c>
      <c r="H32" s="18" t="s">
        <v>107</v>
      </c>
      <c r="I32" s="54">
        <v>1</v>
      </c>
      <c r="J32" s="55">
        <v>8</v>
      </c>
      <c r="K32" s="55">
        <v>8</v>
      </c>
    </row>
    <row r="33" spans="4:11">
      <c r="D33" s="53">
        <v>46115</v>
      </c>
      <c r="E33" s="18">
        <v>1591915</v>
      </c>
      <c r="F33" s="18" t="s">
        <v>13</v>
      </c>
      <c r="G33" s="54">
        <v>20420069</v>
      </c>
      <c r="H33" s="18" t="s">
        <v>108</v>
      </c>
      <c r="I33" s="54">
        <v>1</v>
      </c>
      <c r="J33" s="55">
        <v>8</v>
      </c>
      <c r="K33" s="55">
        <v>8</v>
      </c>
    </row>
    <row r="34" spans="4:11">
      <c r="D34" s="53">
        <v>46115</v>
      </c>
      <c r="E34" s="18">
        <v>1591915</v>
      </c>
      <c r="F34" s="18" t="s">
        <v>13</v>
      </c>
      <c r="G34" s="54">
        <v>20420071</v>
      </c>
      <c r="H34" s="18" t="s">
        <v>109</v>
      </c>
      <c r="I34" s="54">
        <v>1</v>
      </c>
      <c r="J34" s="55">
        <v>8</v>
      </c>
      <c r="K34" s="55">
        <v>8</v>
      </c>
    </row>
    <row r="35" spans="4:11">
      <c r="D35" s="53">
        <v>46115</v>
      </c>
      <c r="E35" s="18">
        <v>1591915</v>
      </c>
      <c r="F35" s="18" t="s">
        <v>13</v>
      </c>
      <c r="G35" s="54">
        <v>20419052</v>
      </c>
      <c r="H35" s="18" t="s">
        <v>90</v>
      </c>
      <c r="I35" s="54">
        <v>6</v>
      </c>
      <c r="J35" s="55">
        <v>13</v>
      </c>
      <c r="K35" s="55">
        <v>78</v>
      </c>
    </row>
    <row r="36" spans="4:11">
      <c r="D36" s="53">
        <v>46115</v>
      </c>
      <c r="E36" s="18">
        <v>1591915</v>
      </c>
      <c r="F36" s="18" t="s">
        <v>13</v>
      </c>
      <c r="G36" s="54">
        <v>20420111</v>
      </c>
      <c r="H36" s="18" t="s">
        <v>110</v>
      </c>
      <c r="I36" s="54">
        <v>1</v>
      </c>
      <c r="J36" s="55">
        <v>13.5</v>
      </c>
      <c r="K36" s="55">
        <v>13.5</v>
      </c>
    </row>
    <row r="37" spans="4:11">
      <c r="D37" s="53">
        <v>46115</v>
      </c>
      <c r="E37" s="18">
        <v>1591915</v>
      </c>
      <c r="F37" s="18" t="s">
        <v>13</v>
      </c>
      <c r="G37" s="54">
        <v>20420108</v>
      </c>
      <c r="H37" s="18" t="s">
        <v>111</v>
      </c>
      <c r="I37" s="54">
        <v>1</v>
      </c>
      <c r="J37" s="55">
        <v>22</v>
      </c>
      <c r="K37" s="55">
        <f>J37*I37</f>
        <v>22</v>
      </c>
    </row>
    <row r="38" spans="4:11">
      <c r="D38" s="53">
        <v>46115</v>
      </c>
      <c r="E38" s="18">
        <v>1591915</v>
      </c>
      <c r="F38" s="18" t="s">
        <v>13</v>
      </c>
      <c r="G38" s="54">
        <v>20419699</v>
      </c>
      <c r="H38" s="18" t="s">
        <v>92</v>
      </c>
      <c r="I38" s="54">
        <v>3</v>
      </c>
      <c r="J38" s="55">
        <v>11</v>
      </c>
      <c r="K38" s="55">
        <v>33</v>
      </c>
    </row>
    <row r="39" spans="4:11">
      <c r="D39" s="53">
        <v>46115</v>
      </c>
      <c r="E39" s="18">
        <v>1591915</v>
      </c>
      <c r="F39" s="18" t="s">
        <v>13</v>
      </c>
      <c r="G39" s="54">
        <v>20420110</v>
      </c>
      <c r="H39" s="18" t="s">
        <v>112</v>
      </c>
      <c r="I39" s="54">
        <v>1</v>
      </c>
      <c r="J39" s="55">
        <v>16.5</v>
      </c>
      <c r="K39" s="55">
        <v>16.5</v>
      </c>
    </row>
    <row r="40" spans="4:11">
      <c r="D40" s="53">
        <v>46115</v>
      </c>
      <c r="E40" s="18">
        <v>1591915</v>
      </c>
      <c r="F40" s="18" t="s">
        <v>24</v>
      </c>
      <c r="G40" s="54">
        <v>20419758</v>
      </c>
      <c r="H40" s="18" t="s">
        <v>113</v>
      </c>
      <c r="I40" s="54">
        <v>1</v>
      </c>
      <c r="J40" s="55">
        <v>82.5</v>
      </c>
      <c r="K40" s="55">
        <v>82.5</v>
      </c>
    </row>
    <row r="41" spans="4:11">
      <c r="D41" s="53">
        <v>46115</v>
      </c>
      <c r="E41" s="18">
        <v>1591915</v>
      </c>
      <c r="F41" s="18" t="s">
        <v>94</v>
      </c>
      <c r="G41" s="54">
        <v>20419700</v>
      </c>
      <c r="H41" s="18" t="s">
        <v>96</v>
      </c>
      <c r="I41" s="54">
        <v>2</v>
      </c>
      <c r="J41" s="55">
        <v>16.5</v>
      </c>
      <c r="K41" s="55">
        <v>33</v>
      </c>
    </row>
    <row r="42" spans="4:11">
      <c r="D42" s="53">
        <v>46115</v>
      </c>
      <c r="E42" s="18">
        <v>1591915</v>
      </c>
      <c r="F42" s="18" t="s">
        <v>94</v>
      </c>
      <c r="G42" s="54">
        <v>20419037</v>
      </c>
      <c r="H42" s="18" t="s">
        <v>114</v>
      </c>
      <c r="I42" s="54">
        <v>2</v>
      </c>
      <c r="J42" s="55">
        <v>16.5</v>
      </c>
      <c r="K42" s="55">
        <v>33</v>
      </c>
    </row>
    <row r="43" customFormat="1" spans="4:11">
      <c r="D43" s="53">
        <v>46115</v>
      </c>
      <c r="E43" s="18">
        <v>1591915</v>
      </c>
      <c r="F43" s="18" t="s">
        <v>94</v>
      </c>
      <c r="G43" s="54">
        <v>20420068</v>
      </c>
      <c r="H43" s="18" t="s">
        <v>115</v>
      </c>
      <c r="I43" s="54">
        <v>1</v>
      </c>
      <c r="J43" s="55">
        <v>16.5</v>
      </c>
      <c r="K43" s="55">
        <f>J43*I43</f>
        <v>16.5</v>
      </c>
    </row>
    <row r="44" spans="4:11">
      <c r="D44" s="53">
        <v>46115</v>
      </c>
      <c r="E44" s="18">
        <v>1591915</v>
      </c>
      <c r="F44" s="18" t="s">
        <v>94</v>
      </c>
      <c r="G44" s="54">
        <v>20419725</v>
      </c>
      <c r="H44" s="18" t="s">
        <v>98</v>
      </c>
      <c r="I44" s="54">
        <v>2</v>
      </c>
      <c r="J44" s="55">
        <v>16.5</v>
      </c>
      <c r="K44" s="55">
        <v>33</v>
      </c>
    </row>
    <row r="45" spans="4:11">
      <c r="D45" s="53">
        <v>46115</v>
      </c>
      <c r="E45" s="18">
        <v>1591915</v>
      </c>
      <c r="F45" s="18" t="s">
        <v>94</v>
      </c>
      <c r="G45" s="54">
        <v>20419702</v>
      </c>
      <c r="H45" s="18" t="s">
        <v>100</v>
      </c>
      <c r="I45" s="54">
        <v>1</v>
      </c>
      <c r="J45" s="55">
        <v>55</v>
      </c>
      <c r="K45" s="55">
        <v>55</v>
      </c>
    </row>
    <row r="46" spans="4:11">
      <c r="D46" s="53">
        <v>46115</v>
      </c>
      <c r="E46" s="18">
        <v>1591915</v>
      </c>
      <c r="F46" s="18" t="s">
        <v>94</v>
      </c>
      <c r="G46" s="54">
        <v>20419715</v>
      </c>
      <c r="H46" s="18" t="s">
        <v>101</v>
      </c>
      <c r="I46" s="54">
        <v>1</v>
      </c>
      <c r="J46" s="55">
        <v>16.5</v>
      </c>
      <c r="K46" s="55">
        <v>16.5</v>
      </c>
    </row>
    <row r="47" spans="4:11">
      <c r="D47" s="53">
        <v>46116</v>
      </c>
      <c r="E47" s="18">
        <v>1592087</v>
      </c>
      <c r="F47" s="18" t="s">
        <v>44</v>
      </c>
      <c r="G47" s="54">
        <v>20418538</v>
      </c>
      <c r="H47" s="18" t="s">
        <v>116</v>
      </c>
      <c r="I47" s="54">
        <v>1</v>
      </c>
      <c r="J47" s="55">
        <v>28</v>
      </c>
      <c r="K47" s="55">
        <v>28</v>
      </c>
    </row>
    <row r="48" spans="4:11">
      <c r="D48" s="53">
        <v>46116</v>
      </c>
      <c r="E48" s="18">
        <v>1592087</v>
      </c>
      <c r="F48" s="18" t="s">
        <v>44</v>
      </c>
      <c r="G48" s="54">
        <v>20418545</v>
      </c>
      <c r="H48" s="18" t="s">
        <v>117</v>
      </c>
      <c r="I48" s="54">
        <v>1</v>
      </c>
      <c r="J48" s="55">
        <v>35</v>
      </c>
      <c r="K48" s="55">
        <v>35</v>
      </c>
    </row>
    <row r="49" spans="4:11">
      <c r="D49" s="53">
        <v>46116</v>
      </c>
      <c r="E49" s="18">
        <v>1592087</v>
      </c>
      <c r="F49" s="18" t="s">
        <v>44</v>
      </c>
      <c r="G49" s="54">
        <v>20418558</v>
      </c>
      <c r="H49" s="18" t="s">
        <v>118</v>
      </c>
      <c r="I49" s="54">
        <v>1</v>
      </c>
      <c r="J49" s="55">
        <v>22</v>
      </c>
      <c r="K49" s="55">
        <v>22</v>
      </c>
    </row>
    <row r="50" spans="4:11">
      <c r="D50" s="53">
        <v>46116</v>
      </c>
      <c r="E50" s="18">
        <v>1592087</v>
      </c>
      <c r="F50" s="18" t="s">
        <v>44</v>
      </c>
      <c r="G50" s="54">
        <v>20418552</v>
      </c>
      <c r="H50" s="18" t="s">
        <v>119</v>
      </c>
      <c r="I50" s="54">
        <v>1</v>
      </c>
      <c r="J50" s="55">
        <v>28</v>
      </c>
      <c r="K50" s="55">
        <v>28</v>
      </c>
    </row>
    <row r="51" spans="4:11">
      <c r="D51" s="53">
        <v>46116</v>
      </c>
      <c r="E51" s="18">
        <v>1592087</v>
      </c>
      <c r="F51" s="18" t="s">
        <v>44</v>
      </c>
      <c r="G51" s="54">
        <v>20418537</v>
      </c>
      <c r="H51" s="18" t="s">
        <v>120</v>
      </c>
      <c r="I51" s="54">
        <v>1</v>
      </c>
      <c r="J51" s="55">
        <v>28</v>
      </c>
      <c r="K51" s="55">
        <v>28</v>
      </c>
    </row>
    <row r="52" spans="4:11">
      <c r="D52" s="53">
        <v>46116</v>
      </c>
      <c r="E52" s="18">
        <v>1592087</v>
      </c>
      <c r="F52" s="18" t="s">
        <v>44</v>
      </c>
      <c r="G52" s="54">
        <v>20418539</v>
      </c>
      <c r="H52" s="18" t="s">
        <v>121</v>
      </c>
      <c r="I52" s="54">
        <v>1</v>
      </c>
      <c r="J52" s="55">
        <v>28</v>
      </c>
      <c r="K52" s="55">
        <v>28</v>
      </c>
    </row>
    <row r="53" customFormat="1" spans="4:11">
      <c r="D53" s="53">
        <v>46116</v>
      </c>
      <c r="E53" s="18">
        <v>1592087</v>
      </c>
      <c r="F53" s="18" t="s">
        <v>122</v>
      </c>
      <c r="G53" s="54">
        <v>20420067</v>
      </c>
      <c r="H53" s="18" t="s">
        <v>123</v>
      </c>
      <c r="I53" s="54">
        <v>1</v>
      </c>
      <c r="J53" s="55">
        <v>28</v>
      </c>
      <c r="K53" s="55">
        <f>J53*I53</f>
        <v>28</v>
      </c>
    </row>
    <row r="54" spans="4:11">
      <c r="D54" s="53">
        <v>46116</v>
      </c>
      <c r="E54" s="18">
        <v>1592186</v>
      </c>
      <c r="F54" s="18" t="s">
        <v>83</v>
      </c>
      <c r="G54" s="54">
        <v>20418553</v>
      </c>
      <c r="H54" s="18" t="s">
        <v>84</v>
      </c>
      <c r="I54" s="54">
        <v>1</v>
      </c>
      <c r="J54" s="55">
        <v>115.5</v>
      </c>
      <c r="K54" s="55">
        <v>115.5</v>
      </c>
    </row>
    <row r="55" spans="4:11">
      <c r="D55" s="53">
        <v>46116</v>
      </c>
      <c r="E55" s="18">
        <v>1592186</v>
      </c>
      <c r="F55" s="18" t="s">
        <v>83</v>
      </c>
      <c r="G55" s="54">
        <v>20418559</v>
      </c>
      <c r="H55" s="18" t="s">
        <v>104</v>
      </c>
      <c r="I55" s="54">
        <v>1</v>
      </c>
      <c r="J55" s="55">
        <v>115.5</v>
      </c>
      <c r="K55" s="55">
        <v>115.5</v>
      </c>
    </row>
    <row r="56" spans="4:11">
      <c r="D56" s="53">
        <v>46116</v>
      </c>
      <c r="E56" s="18">
        <v>1592186</v>
      </c>
      <c r="F56" s="18" t="s">
        <v>83</v>
      </c>
      <c r="G56" s="54">
        <v>20418574</v>
      </c>
      <c r="H56" s="18" t="s">
        <v>124</v>
      </c>
      <c r="I56" s="54">
        <v>1</v>
      </c>
      <c r="J56" s="55">
        <v>159.5</v>
      </c>
      <c r="K56" s="55">
        <v>159.5</v>
      </c>
    </row>
    <row r="57" spans="4:11">
      <c r="D57" s="53">
        <v>46116</v>
      </c>
      <c r="E57" s="18">
        <v>1592186</v>
      </c>
      <c r="F57" s="18" t="s">
        <v>83</v>
      </c>
      <c r="G57" s="54">
        <v>20418528</v>
      </c>
      <c r="H57" s="18" t="s">
        <v>125</v>
      </c>
      <c r="I57" s="54">
        <v>1</v>
      </c>
      <c r="J57" s="55">
        <v>242</v>
      </c>
      <c r="K57" s="55">
        <v>242</v>
      </c>
    </row>
    <row r="58" spans="4:11">
      <c r="D58" s="53">
        <v>46116</v>
      </c>
      <c r="E58" s="18">
        <v>1592186</v>
      </c>
      <c r="F58" s="18" t="s">
        <v>13</v>
      </c>
      <c r="G58" s="54">
        <v>20420069</v>
      </c>
      <c r="H58" s="18" t="s">
        <v>108</v>
      </c>
      <c r="I58" s="54">
        <v>1</v>
      </c>
      <c r="J58" s="55">
        <v>8</v>
      </c>
      <c r="K58" s="55">
        <v>8</v>
      </c>
    </row>
    <row r="59" spans="4:11">
      <c r="D59" s="53">
        <v>46116</v>
      </c>
      <c r="E59" s="18">
        <v>1592186</v>
      </c>
      <c r="F59" s="18" t="s">
        <v>13</v>
      </c>
      <c r="G59" s="54">
        <v>20419711</v>
      </c>
      <c r="H59" s="18" t="s">
        <v>87</v>
      </c>
      <c r="I59" s="54">
        <v>1</v>
      </c>
      <c r="J59" s="55">
        <v>16.5</v>
      </c>
      <c r="K59" s="55">
        <v>16.5</v>
      </c>
    </row>
    <row r="60" spans="4:11">
      <c r="D60" s="53">
        <v>46116</v>
      </c>
      <c r="E60" s="18">
        <v>1592186</v>
      </c>
      <c r="F60" s="18" t="s">
        <v>13</v>
      </c>
      <c r="G60" s="54">
        <v>20419701</v>
      </c>
      <c r="H60" s="18" t="s">
        <v>88</v>
      </c>
      <c r="I60" s="54">
        <v>1</v>
      </c>
      <c r="J60" s="55">
        <v>13.5</v>
      </c>
      <c r="K60" s="55">
        <v>13.5</v>
      </c>
    </row>
    <row r="61" spans="4:11">
      <c r="D61" s="53">
        <v>46116</v>
      </c>
      <c r="E61" s="18">
        <v>1592186</v>
      </c>
      <c r="F61" s="18" t="s">
        <v>13</v>
      </c>
      <c r="G61" s="54">
        <v>20420189</v>
      </c>
      <c r="H61" s="18" t="s">
        <v>126</v>
      </c>
      <c r="I61" s="54">
        <v>1</v>
      </c>
      <c r="J61" s="55">
        <v>13</v>
      </c>
      <c r="K61" s="55">
        <v>13</v>
      </c>
    </row>
    <row r="62" spans="4:11">
      <c r="D62" s="53">
        <v>46116</v>
      </c>
      <c r="E62" s="18">
        <v>1592186</v>
      </c>
      <c r="F62" s="18" t="s">
        <v>13</v>
      </c>
      <c r="G62" s="54">
        <v>20419052</v>
      </c>
      <c r="H62" s="18" t="s">
        <v>90</v>
      </c>
      <c r="I62" s="54">
        <v>6</v>
      </c>
      <c r="J62" s="55">
        <v>13</v>
      </c>
      <c r="K62" s="55">
        <v>78</v>
      </c>
    </row>
    <row r="63" spans="4:11">
      <c r="D63" s="53">
        <v>46116</v>
      </c>
      <c r="E63" s="18">
        <v>1592186</v>
      </c>
      <c r="F63" s="18" t="s">
        <v>13</v>
      </c>
      <c r="G63" s="54">
        <v>20419698</v>
      </c>
      <c r="H63" s="18" t="s">
        <v>91</v>
      </c>
      <c r="I63" s="54">
        <v>1</v>
      </c>
      <c r="J63" s="55">
        <v>16.5</v>
      </c>
      <c r="K63" s="55">
        <v>16.5</v>
      </c>
    </row>
    <row r="64" spans="4:11">
      <c r="D64" s="53">
        <v>46116</v>
      </c>
      <c r="E64" s="18">
        <v>1592186</v>
      </c>
      <c r="F64" s="18" t="s">
        <v>13</v>
      </c>
      <c r="G64" s="54">
        <v>20419699</v>
      </c>
      <c r="H64" s="18" t="s">
        <v>92</v>
      </c>
      <c r="I64" s="54">
        <v>1</v>
      </c>
      <c r="J64" s="55">
        <v>11</v>
      </c>
      <c r="K64" s="55">
        <v>11</v>
      </c>
    </row>
    <row r="65" spans="4:11">
      <c r="D65" s="53">
        <v>46116</v>
      </c>
      <c r="E65" s="18">
        <v>1592186</v>
      </c>
      <c r="F65" s="18" t="s">
        <v>94</v>
      </c>
      <c r="G65" s="54">
        <v>20419700</v>
      </c>
      <c r="H65" s="18" t="s">
        <v>96</v>
      </c>
      <c r="I65" s="54">
        <v>1</v>
      </c>
      <c r="J65" s="55">
        <v>16.5</v>
      </c>
      <c r="K65" s="55">
        <v>16.5</v>
      </c>
    </row>
    <row r="66" spans="4:11">
      <c r="D66" s="53">
        <v>46116</v>
      </c>
      <c r="E66" s="18">
        <v>1592186</v>
      </c>
      <c r="F66" s="18" t="s">
        <v>94</v>
      </c>
      <c r="G66" s="54">
        <v>20419037</v>
      </c>
      <c r="H66" s="18" t="s">
        <v>114</v>
      </c>
      <c r="I66" s="54">
        <v>3</v>
      </c>
      <c r="J66" s="55">
        <v>16.5</v>
      </c>
      <c r="K66" s="55">
        <v>49.5</v>
      </c>
    </row>
    <row r="67" spans="4:11">
      <c r="D67" s="53">
        <v>46116</v>
      </c>
      <c r="E67" s="18">
        <v>1592186</v>
      </c>
      <c r="F67" s="18" t="s">
        <v>94</v>
      </c>
      <c r="G67" s="54">
        <v>20419702</v>
      </c>
      <c r="H67" s="18" t="s">
        <v>100</v>
      </c>
      <c r="I67" s="54">
        <v>1</v>
      </c>
      <c r="J67" s="55">
        <v>55</v>
      </c>
      <c r="K67" s="55">
        <v>55</v>
      </c>
    </row>
    <row r="68" spans="4:11">
      <c r="D68" s="53">
        <v>46116</v>
      </c>
      <c r="E68" s="18">
        <v>1592186</v>
      </c>
      <c r="F68" s="18" t="s">
        <v>94</v>
      </c>
      <c r="G68" s="54">
        <v>20419715</v>
      </c>
      <c r="H68" s="18" t="s">
        <v>101</v>
      </c>
      <c r="I68" s="54">
        <v>1</v>
      </c>
      <c r="J68" s="55">
        <v>16.5</v>
      </c>
      <c r="K68" s="55">
        <v>16.5</v>
      </c>
    </row>
    <row r="69" spans="4:11">
      <c r="D69" s="53">
        <v>46116</v>
      </c>
      <c r="E69" s="18">
        <v>1592198</v>
      </c>
      <c r="F69" s="18" t="s">
        <v>44</v>
      </c>
      <c r="G69" s="54">
        <v>20418569</v>
      </c>
      <c r="H69" s="18" t="s">
        <v>127</v>
      </c>
      <c r="I69" s="54">
        <v>1</v>
      </c>
      <c r="J69" s="55">
        <v>88</v>
      </c>
      <c r="K69" s="55">
        <v>88</v>
      </c>
    </row>
    <row r="70" spans="4:11">
      <c r="D70" s="53">
        <v>46116</v>
      </c>
      <c r="E70" s="18">
        <v>1592198</v>
      </c>
      <c r="F70" s="18" t="s">
        <v>44</v>
      </c>
      <c r="G70" s="54">
        <v>20418538</v>
      </c>
      <c r="H70" s="18" t="s">
        <v>116</v>
      </c>
      <c r="I70" s="54">
        <v>2</v>
      </c>
      <c r="J70" s="55">
        <v>28</v>
      </c>
      <c r="K70" s="55">
        <v>56</v>
      </c>
    </row>
    <row r="71" spans="4:11">
      <c r="D71" s="53">
        <v>46116</v>
      </c>
      <c r="E71" s="18">
        <v>1592198</v>
      </c>
      <c r="F71" s="18" t="s">
        <v>44</v>
      </c>
      <c r="G71" s="54">
        <v>20418545</v>
      </c>
      <c r="H71" s="18" t="s">
        <v>117</v>
      </c>
      <c r="I71" s="54">
        <v>2</v>
      </c>
      <c r="J71" s="55">
        <v>35</v>
      </c>
      <c r="K71" s="55">
        <v>70</v>
      </c>
    </row>
    <row r="72" spans="4:11">
      <c r="D72" s="53">
        <v>46116</v>
      </c>
      <c r="E72" s="18">
        <v>1592198</v>
      </c>
      <c r="F72" s="18" t="s">
        <v>44</v>
      </c>
      <c r="G72" s="54">
        <v>20418558</v>
      </c>
      <c r="H72" s="18" t="s">
        <v>118</v>
      </c>
      <c r="I72" s="54">
        <v>1</v>
      </c>
      <c r="J72" s="55">
        <v>22</v>
      </c>
      <c r="K72" s="55">
        <v>22</v>
      </c>
    </row>
    <row r="73" spans="4:11">
      <c r="D73" s="53">
        <v>46116</v>
      </c>
      <c r="E73" s="18">
        <v>1592198</v>
      </c>
      <c r="F73" s="18" t="s">
        <v>44</v>
      </c>
      <c r="G73" s="54">
        <v>20418552</v>
      </c>
      <c r="H73" s="18" t="s">
        <v>119</v>
      </c>
      <c r="I73" s="54">
        <v>3</v>
      </c>
      <c r="J73" s="55">
        <v>28</v>
      </c>
      <c r="K73" s="55">
        <v>84</v>
      </c>
    </row>
    <row r="74" spans="4:11">
      <c r="D74" s="53">
        <v>46116</v>
      </c>
      <c r="E74" s="18">
        <v>1592198</v>
      </c>
      <c r="F74" s="18" t="s">
        <v>44</v>
      </c>
      <c r="G74" s="54">
        <v>20418544</v>
      </c>
      <c r="H74" s="18" t="s">
        <v>102</v>
      </c>
      <c r="I74" s="54">
        <v>1</v>
      </c>
      <c r="J74" s="55">
        <v>35</v>
      </c>
      <c r="K74" s="55">
        <v>35</v>
      </c>
    </row>
    <row r="75" spans="4:11">
      <c r="D75" s="53">
        <v>46116</v>
      </c>
      <c r="E75" s="18">
        <v>1592198</v>
      </c>
      <c r="F75" s="18" t="s">
        <v>44</v>
      </c>
      <c r="G75" s="54">
        <v>20418537</v>
      </c>
      <c r="H75" s="18" t="s">
        <v>120</v>
      </c>
      <c r="I75" s="54">
        <v>2</v>
      </c>
      <c r="J75" s="55">
        <v>28</v>
      </c>
      <c r="K75" s="55">
        <v>56</v>
      </c>
    </row>
    <row r="76" spans="4:11">
      <c r="D76" s="53">
        <v>46116</v>
      </c>
      <c r="E76" s="18">
        <v>1592198</v>
      </c>
      <c r="F76" s="18" t="s">
        <v>44</v>
      </c>
      <c r="G76" s="54">
        <v>20418539</v>
      </c>
      <c r="H76" s="18" t="s">
        <v>121</v>
      </c>
      <c r="I76" s="54">
        <v>2</v>
      </c>
      <c r="J76" s="55">
        <v>28</v>
      </c>
      <c r="K76" s="55">
        <v>56</v>
      </c>
    </row>
    <row r="77" spans="4:11">
      <c r="D77" s="53">
        <v>46116</v>
      </c>
      <c r="E77" s="18">
        <v>1592198</v>
      </c>
      <c r="F77" s="18" t="s">
        <v>44</v>
      </c>
      <c r="G77" s="54">
        <v>20418561</v>
      </c>
      <c r="H77" s="18" t="s">
        <v>128</v>
      </c>
      <c r="I77" s="54">
        <v>1</v>
      </c>
      <c r="J77" s="55">
        <v>25</v>
      </c>
      <c r="K77" s="55">
        <v>25</v>
      </c>
    </row>
    <row r="78" spans="4:11">
      <c r="D78" s="53">
        <v>46116</v>
      </c>
      <c r="E78" s="18">
        <v>1592198</v>
      </c>
      <c r="F78" s="18" t="s">
        <v>122</v>
      </c>
      <c r="G78" s="54">
        <v>20420203</v>
      </c>
      <c r="H78" s="18" t="s">
        <v>129</v>
      </c>
      <c r="I78" s="54">
        <v>2</v>
      </c>
      <c r="J78" s="55">
        <v>28</v>
      </c>
      <c r="K78" s="55">
        <v>56</v>
      </c>
    </row>
    <row r="79" spans="4:11">
      <c r="D79" s="53">
        <v>46116</v>
      </c>
      <c r="E79" s="18">
        <v>1592198</v>
      </c>
      <c r="F79" s="18" t="s">
        <v>122</v>
      </c>
      <c r="G79" s="54">
        <v>20420202</v>
      </c>
      <c r="H79" s="18" t="s">
        <v>130</v>
      </c>
      <c r="I79" s="54">
        <v>1</v>
      </c>
      <c r="J79" s="55">
        <v>28</v>
      </c>
      <c r="K79" s="55">
        <v>28</v>
      </c>
    </row>
    <row r="80" spans="4:11">
      <c r="D80" s="53">
        <v>46119</v>
      </c>
      <c r="E80" s="18">
        <v>1592570</v>
      </c>
      <c r="F80" s="18" t="s">
        <v>83</v>
      </c>
      <c r="G80" s="54">
        <v>20418553</v>
      </c>
      <c r="H80" s="18" t="s">
        <v>84</v>
      </c>
      <c r="I80" s="54">
        <v>1</v>
      </c>
      <c r="J80" s="55">
        <v>115.5</v>
      </c>
      <c r="K80" s="55">
        <v>115.5</v>
      </c>
    </row>
    <row r="81" spans="4:11">
      <c r="D81" s="53">
        <v>46119</v>
      </c>
      <c r="E81" s="18">
        <v>1592570</v>
      </c>
      <c r="F81" s="18" t="s">
        <v>83</v>
      </c>
      <c r="G81" s="54">
        <v>20418568</v>
      </c>
      <c r="H81" s="18" t="s">
        <v>131</v>
      </c>
      <c r="I81" s="54">
        <v>1</v>
      </c>
      <c r="J81" s="55">
        <v>132</v>
      </c>
      <c r="K81" s="55">
        <v>132</v>
      </c>
    </row>
    <row r="82" spans="4:11">
      <c r="D82" s="53">
        <v>46119</v>
      </c>
      <c r="E82" s="18">
        <v>1592570</v>
      </c>
      <c r="F82" s="18" t="s">
        <v>13</v>
      </c>
      <c r="G82" s="54">
        <v>20420415</v>
      </c>
      <c r="H82" s="18" t="s">
        <v>132</v>
      </c>
      <c r="I82" s="54">
        <v>1</v>
      </c>
      <c r="J82" s="55">
        <v>8</v>
      </c>
      <c r="K82" s="55">
        <v>8</v>
      </c>
    </row>
    <row r="83" spans="4:11">
      <c r="D83" s="53">
        <v>46119</v>
      </c>
      <c r="E83" s="18">
        <v>1592570</v>
      </c>
      <c r="F83" s="18" t="s">
        <v>13</v>
      </c>
      <c r="G83" s="54">
        <v>20420412</v>
      </c>
      <c r="H83" s="18" t="s">
        <v>133</v>
      </c>
      <c r="I83" s="54">
        <v>1</v>
      </c>
      <c r="J83" s="55">
        <v>8</v>
      </c>
      <c r="K83" s="55">
        <v>8</v>
      </c>
    </row>
    <row r="84" spans="4:11">
      <c r="D84" s="53">
        <v>46119</v>
      </c>
      <c r="E84" s="18">
        <v>1592570</v>
      </c>
      <c r="F84" s="18" t="s">
        <v>13</v>
      </c>
      <c r="G84" s="54">
        <v>20420424</v>
      </c>
      <c r="H84" s="18" t="s">
        <v>134</v>
      </c>
      <c r="I84" s="54">
        <v>1</v>
      </c>
      <c r="J84" s="55">
        <v>13.5</v>
      </c>
      <c r="K84" s="55">
        <v>13.5</v>
      </c>
    </row>
    <row r="85" spans="4:11">
      <c r="D85" s="53">
        <v>46119</v>
      </c>
      <c r="E85" s="18">
        <v>1592570</v>
      </c>
      <c r="F85" s="18" t="s">
        <v>13</v>
      </c>
      <c r="G85" s="54">
        <v>20420416</v>
      </c>
      <c r="H85" s="18" t="s">
        <v>135</v>
      </c>
      <c r="I85" s="54">
        <v>1</v>
      </c>
      <c r="J85" s="55">
        <v>16.5</v>
      </c>
      <c r="K85" s="55">
        <v>16.5</v>
      </c>
    </row>
    <row r="86" spans="4:11">
      <c r="D86" s="53">
        <v>46119</v>
      </c>
      <c r="E86" s="18">
        <v>1592570</v>
      </c>
      <c r="F86" s="18" t="s">
        <v>13</v>
      </c>
      <c r="G86" s="54">
        <v>20420431</v>
      </c>
      <c r="H86" s="18" t="s">
        <v>136</v>
      </c>
      <c r="I86" s="54">
        <v>1</v>
      </c>
      <c r="J86" s="55">
        <v>16.5</v>
      </c>
      <c r="K86" s="55">
        <v>16.5</v>
      </c>
    </row>
    <row r="87" spans="4:11">
      <c r="D87" s="53">
        <v>46119</v>
      </c>
      <c r="E87" s="18">
        <v>1592570</v>
      </c>
      <c r="F87" s="18" t="s">
        <v>13</v>
      </c>
      <c r="G87" s="54">
        <v>20419015</v>
      </c>
      <c r="H87" s="18" t="s">
        <v>20</v>
      </c>
      <c r="I87" s="54">
        <v>1</v>
      </c>
      <c r="J87" s="55">
        <v>11</v>
      </c>
      <c r="K87" s="55">
        <v>11</v>
      </c>
    </row>
    <row r="88" spans="4:11">
      <c r="D88" s="53">
        <v>46119</v>
      </c>
      <c r="E88" s="18">
        <v>1592570</v>
      </c>
      <c r="F88" s="18" t="s">
        <v>13</v>
      </c>
      <c r="G88" s="54">
        <v>20420413</v>
      </c>
      <c r="H88" s="18" t="s">
        <v>137</v>
      </c>
      <c r="I88" s="54">
        <v>1</v>
      </c>
      <c r="J88" s="55">
        <v>8</v>
      </c>
      <c r="K88" s="55">
        <v>8</v>
      </c>
    </row>
    <row r="89" spans="4:11">
      <c r="D89" s="53">
        <v>46119</v>
      </c>
      <c r="E89" s="18">
        <v>1592570</v>
      </c>
      <c r="F89" s="18" t="s">
        <v>13</v>
      </c>
      <c r="G89" s="54">
        <v>20419019</v>
      </c>
      <c r="H89" s="18" t="s">
        <v>29</v>
      </c>
      <c r="I89" s="54">
        <v>3</v>
      </c>
      <c r="J89" s="55">
        <v>8</v>
      </c>
      <c r="K89" s="55">
        <v>24</v>
      </c>
    </row>
    <row r="90" spans="4:11">
      <c r="D90" s="53">
        <v>46119</v>
      </c>
      <c r="E90" s="18">
        <v>1592570</v>
      </c>
      <c r="F90" s="18" t="s">
        <v>13</v>
      </c>
      <c r="G90" s="54">
        <v>20420422</v>
      </c>
      <c r="H90" s="18" t="s">
        <v>138</v>
      </c>
      <c r="I90" s="54">
        <v>1</v>
      </c>
      <c r="J90" s="55">
        <v>13</v>
      </c>
      <c r="K90" s="55">
        <v>13</v>
      </c>
    </row>
    <row r="91" spans="4:11">
      <c r="D91" s="53">
        <v>46119</v>
      </c>
      <c r="E91" s="18">
        <v>1592570</v>
      </c>
      <c r="F91" s="18" t="s">
        <v>13</v>
      </c>
      <c r="G91" s="54">
        <v>20419711</v>
      </c>
      <c r="H91" s="18" t="s">
        <v>87</v>
      </c>
      <c r="I91" s="54">
        <v>1</v>
      </c>
      <c r="J91" s="55">
        <v>16.5</v>
      </c>
      <c r="K91" s="55">
        <v>16.5</v>
      </c>
    </row>
    <row r="92" spans="4:11">
      <c r="D92" s="53">
        <v>46119</v>
      </c>
      <c r="E92" s="18">
        <v>1592570</v>
      </c>
      <c r="F92" s="18" t="s">
        <v>13</v>
      </c>
      <c r="G92" s="54">
        <v>20420433</v>
      </c>
      <c r="H92" s="18" t="s">
        <v>139</v>
      </c>
      <c r="I92" s="54">
        <v>1</v>
      </c>
      <c r="J92" s="55">
        <v>27.5</v>
      </c>
      <c r="K92" s="55">
        <v>27.5</v>
      </c>
    </row>
    <row r="93" spans="4:11">
      <c r="D93" s="53">
        <v>46119</v>
      </c>
      <c r="E93" s="18">
        <v>1592570</v>
      </c>
      <c r="F93" s="18" t="s">
        <v>13</v>
      </c>
      <c r="G93" s="54">
        <v>20420418</v>
      </c>
      <c r="H93" s="18" t="s">
        <v>140</v>
      </c>
      <c r="I93" s="54">
        <v>1</v>
      </c>
      <c r="J93" s="55">
        <v>13.5</v>
      </c>
      <c r="K93" s="55">
        <v>13.5</v>
      </c>
    </row>
    <row r="94" spans="4:11">
      <c r="D94" s="53">
        <v>46119</v>
      </c>
      <c r="E94" s="18">
        <v>1592570</v>
      </c>
      <c r="F94" s="18" t="s">
        <v>13</v>
      </c>
      <c r="G94" s="54">
        <v>20420434</v>
      </c>
      <c r="H94" s="18" t="s">
        <v>141</v>
      </c>
      <c r="I94" s="54">
        <v>1</v>
      </c>
      <c r="J94" s="55">
        <v>16.5</v>
      </c>
      <c r="K94" s="55">
        <v>16.5</v>
      </c>
    </row>
    <row r="95" spans="4:11">
      <c r="D95" s="53">
        <v>46119</v>
      </c>
      <c r="E95" s="18">
        <v>1592570</v>
      </c>
      <c r="F95" s="18" t="s">
        <v>13</v>
      </c>
      <c r="G95" s="54">
        <v>20420189</v>
      </c>
      <c r="H95" s="18" t="s">
        <v>126</v>
      </c>
      <c r="I95" s="54">
        <v>4</v>
      </c>
      <c r="J95" s="55">
        <v>13</v>
      </c>
      <c r="K95" s="55">
        <v>52</v>
      </c>
    </row>
    <row r="96" spans="4:11">
      <c r="D96" s="53">
        <v>46119</v>
      </c>
      <c r="E96" s="18">
        <v>1592570</v>
      </c>
      <c r="F96" s="18" t="s">
        <v>13</v>
      </c>
      <c r="G96" s="54">
        <v>20420414</v>
      </c>
      <c r="H96" s="18" t="s">
        <v>142</v>
      </c>
      <c r="I96" s="54">
        <v>1</v>
      </c>
      <c r="J96" s="55">
        <v>13.5</v>
      </c>
      <c r="K96" s="55">
        <v>13.5</v>
      </c>
    </row>
    <row r="97" spans="4:11">
      <c r="D97" s="53">
        <v>46119</v>
      </c>
      <c r="E97" s="18">
        <v>1592570</v>
      </c>
      <c r="F97" s="18" t="s">
        <v>13</v>
      </c>
      <c r="G97" s="54">
        <v>20420429</v>
      </c>
      <c r="H97" s="18" t="s">
        <v>143</v>
      </c>
      <c r="I97" s="54">
        <v>1</v>
      </c>
      <c r="J97" s="55">
        <v>22</v>
      </c>
      <c r="K97" s="55">
        <v>22</v>
      </c>
    </row>
    <row r="98" spans="4:11">
      <c r="D98" s="53">
        <v>46119</v>
      </c>
      <c r="E98" s="18">
        <v>1592570</v>
      </c>
      <c r="F98" s="18" t="s">
        <v>13</v>
      </c>
      <c r="G98" s="54">
        <v>20420201</v>
      </c>
      <c r="H98" s="18" t="s">
        <v>23</v>
      </c>
      <c r="I98" s="54">
        <v>1</v>
      </c>
      <c r="J98" s="55">
        <v>8</v>
      </c>
      <c r="K98" s="55">
        <v>8</v>
      </c>
    </row>
    <row r="99" spans="4:11">
      <c r="D99" s="53">
        <v>46119</v>
      </c>
      <c r="E99" s="18">
        <v>1592570</v>
      </c>
      <c r="F99" s="18" t="s">
        <v>13</v>
      </c>
      <c r="G99" s="54">
        <v>20420425</v>
      </c>
      <c r="H99" s="18" t="s">
        <v>144</v>
      </c>
      <c r="I99" s="54">
        <v>2</v>
      </c>
      <c r="J99" s="55">
        <v>33</v>
      </c>
      <c r="K99" s="55">
        <v>66</v>
      </c>
    </row>
    <row r="100" spans="4:11">
      <c r="D100" s="53">
        <v>46119</v>
      </c>
      <c r="E100" s="18">
        <v>1592570</v>
      </c>
      <c r="F100" s="18" t="s">
        <v>13</v>
      </c>
      <c r="G100" s="54">
        <v>20420408</v>
      </c>
      <c r="H100" s="18" t="s">
        <v>145</v>
      </c>
      <c r="I100" s="54">
        <v>1</v>
      </c>
      <c r="J100" s="55">
        <v>11</v>
      </c>
      <c r="K100" s="55">
        <v>11</v>
      </c>
    </row>
    <row r="101" spans="4:11">
      <c r="D101" s="53">
        <v>46119</v>
      </c>
      <c r="E101" s="18">
        <v>1592570</v>
      </c>
      <c r="F101" s="18" t="s">
        <v>13</v>
      </c>
      <c r="G101" s="54">
        <v>20420421</v>
      </c>
      <c r="H101" s="18" t="s">
        <v>146</v>
      </c>
      <c r="I101" s="54">
        <v>1</v>
      </c>
      <c r="J101" s="55">
        <v>8</v>
      </c>
      <c r="K101" s="55">
        <v>8</v>
      </c>
    </row>
    <row r="102" spans="4:11">
      <c r="D102" s="53">
        <v>46119</v>
      </c>
      <c r="E102" s="18">
        <v>1592570</v>
      </c>
      <c r="F102" s="18" t="s">
        <v>13</v>
      </c>
      <c r="G102" s="54">
        <v>20420427</v>
      </c>
      <c r="H102" s="18" t="s">
        <v>147</v>
      </c>
      <c r="I102" s="54">
        <v>1</v>
      </c>
      <c r="J102" s="55">
        <v>8</v>
      </c>
      <c r="K102" s="55">
        <v>8</v>
      </c>
    </row>
    <row r="103" spans="4:11">
      <c r="D103" s="53">
        <v>46119</v>
      </c>
      <c r="E103" s="18">
        <v>1592570</v>
      </c>
      <c r="F103" s="18" t="s">
        <v>94</v>
      </c>
      <c r="G103" s="54">
        <v>20420419</v>
      </c>
      <c r="H103" s="18" t="s">
        <v>148</v>
      </c>
      <c r="I103" s="54">
        <v>2</v>
      </c>
      <c r="J103" s="55">
        <v>16.5</v>
      </c>
      <c r="K103" s="55">
        <v>33</v>
      </c>
    </row>
    <row r="104" spans="4:11">
      <c r="D104" s="53">
        <v>46119</v>
      </c>
      <c r="E104" s="18">
        <v>1592570</v>
      </c>
      <c r="F104" s="18" t="s">
        <v>94</v>
      </c>
      <c r="G104" s="54">
        <v>20420417</v>
      </c>
      <c r="H104" s="18" t="s">
        <v>149</v>
      </c>
      <c r="I104" s="54">
        <v>1</v>
      </c>
      <c r="J104" s="55">
        <v>16.5</v>
      </c>
      <c r="K104" s="55">
        <v>16.5</v>
      </c>
    </row>
    <row r="105" spans="4:11">
      <c r="D105" s="53">
        <v>46119</v>
      </c>
      <c r="E105" s="18">
        <v>1592570</v>
      </c>
      <c r="F105" s="18" t="s">
        <v>94</v>
      </c>
      <c r="G105" s="54">
        <v>20419037</v>
      </c>
      <c r="H105" s="18" t="s">
        <v>114</v>
      </c>
      <c r="I105" s="54">
        <v>1</v>
      </c>
      <c r="J105" s="55">
        <v>16.5</v>
      </c>
      <c r="K105" s="55">
        <v>16.5</v>
      </c>
    </row>
    <row r="106" spans="4:11">
      <c r="D106" s="53">
        <v>46119</v>
      </c>
      <c r="E106" s="18">
        <v>1592570</v>
      </c>
      <c r="F106" s="18" t="s">
        <v>94</v>
      </c>
      <c r="G106" s="54">
        <v>20420411</v>
      </c>
      <c r="H106" s="18" t="s">
        <v>150</v>
      </c>
      <c r="I106" s="54">
        <v>1</v>
      </c>
      <c r="J106" s="55">
        <v>16.5</v>
      </c>
      <c r="K106" s="55">
        <v>16.5</v>
      </c>
    </row>
    <row r="107" spans="4:11">
      <c r="D107" s="53">
        <v>46119</v>
      </c>
      <c r="E107" s="18">
        <v>1592570</v>
      </c>
      <c r="F107" s="18" t="s">
        <v>94</v>
      </c>
      <c r="G107" s="54">
        <v>20420432</v>
      </c>
      <c r="H107" s="18" t="s">
        <v>151</v>
      </c>
      <c r="I107" s="54">
        <v>1</v>
      </c>
      <c r="J107" s="55">
        <v>16.5</v>
      </c>
      <c r="K107" s="55">
        <v>16.5</v>
      </c>
    </row>
    <row r="108" spans="4:11">
      <c r="D108" s="53">
        <v>46119</v>
      </c>
      <c r="E108" s="18">
        <v>1592570</v>
      </c>
      <c r="F108" s="18" t="s">
        <v>94</v>
      </c>
      <c r="G108" s="54">
        <v>20420407</v>
      </c>
      <c r="H108" s="18" t="s">
        <v>152</v>
      </c>
      <c r="I108" s="54">
        <v>1</v>
      </c>
      <c r="J108" s="55">
        <v>33</v>
      </c>
      <c r="K108" s="55">
        <v>33</v>
      </c>
    </row>
    <row r="109" spans="4:11">
      <c r="D109" s="53">
        <v>46119</v>
      </c>
      <c r="E109" s="18">
        <v>1592570</v>
      </c>
      <c r="F109" s="18" t="s">
        <v>94</v>
      </c>
      <c r="G109" s="54">
        <v>20420420</v>
      </c>
      <c r="H109" s="18" t="s">
        <v>153</v>
      </c>
      <c r="I109" s="54">
        <v>1</v>
      </c>
      <c r="J109" s="55">
        <v>16.5</v>
      </c>
      <c r="K109" s="55">
        <v>16.5</v>
      </c>
    </row>
    <row r="110" spans="4:11">
      <c r="D110" s="53">
        <v>46119</v>
      </c>
      <c r="E110" s="18">
        <v>1592570</v>
      </c>
      <c r="F110" s="18" t="s">
        <v>94</v>
      </c>
      <c r="G110" s="54">
        <v>20420410</v>
      </c>
      <c r="H110" s="18" t="s">
        <v>154</v>
      </c>
      <c r="I110" s="54">
        <v>2</v>
      </c>
      <c r="J110" s="55">
        <v>16.5</v>
      </c>
      <c r="K110" s="55">
        <v>33</v>
      </c>
    </row>
    <row r="111" spans="4:11">
      <c r="D111" s="53">
        <v>46119</v>
      </c>
      <c r="E111" s="18">
        <v>1592570</v>
      </c>
      <c r="F111" s="18" t="s">
        <v>94</v>
      </c>
      <c r="G111" s="54">
        <v>20420423</v>
      </c>
      <c r="H111" s="18" t="s">
        <v>155</v>
      </c>
      <c r="I111" s="54">
        <v>1</v>
      </c>
      <c r="J111" s="55">
        <v>16.5</v>
      </c>
      <c r="K111" s="55">
        <v>16.5</v>
      </c>
    </row>
    <row r="112" spans="4:11">
      <c r="D112" s="53">
        <v>46119</v>
      </c>
      <c r="E112" s="18">
        <v>1592570</v>
      </c>
      <c r="F112" s="18" t="s">
        <v>94</v>
      </c>
      <c r="G112" s="54">
        <v>20420426</v>
      </c>
      <c r="H112" s="18" t="s">
        <v>156</v>
      </c>
      <c r="I112" s="54">
        <v>1</v>
      </c>
      <c r="J112" s="55">
        <v>22</v>
      </c>
      <c r="K112" s="55">
        <v>22</v>
      </c>
    </row>
    <row r="113" spans="4:11">
      <c r="D113" s="53">
        <v>46119</v>
      </c>
      <c r="E113" s="18">
        <v>1592570</v>
      </c>
      <c r="F113" s="18" t="s">
        <v>94</v>
      </c>
      <c r="G113" s="54">
        <v>20420428</v>
      </c>
      <c r="H113" s="18" t="s">
        <v>157</v>
      </c>
      <c r="I113" s="54">
        <v>1</v>
      </c>
      <c r="J113" s="55">
        <v>16.5</v>
      </c>
      <c r="K113" s="55">
        <v>16.5</v>
      </c>
    </row>
    <row r="114" spans="4:11">
      <c r="D114" s="53">
        <v>46119</v>
      </c>
      <c r="E114" s="18">
        <v>1592570</v>
      </c>
      <c r="F114" s="18" t="s">
        <v>94</v>
      </c>
      <c r="G114" s="54">
        <v>20420409</v>
      </c>
      <c r="H114" s="18" t="s">
        <v>158</v>
      </c>
      <c r="I114" s="54">
        <v>1</v>
      </c>
      <c r="J114" s="55">
        <v>16.5</v>
      </c>
      <c r="K114" s="55">
        <v>16.5</v>
      </c>
    </row>
    <row r="115" spans="4:11">
      <c r="D115" s="53">
        <v>46119</v>
      </c>
      <c r="E115" s="18">
        <v>1592570</v>
      </c>
      <c r="F115" s="18" t="s">
        <v>94</v>
      </c>
      <c r="G115" s="54">
        <v>20420430</v>
      </c>
      <c r="H115" s="18" t="s">
        <v>159</v>
      </c>
      <c r="I115" s="54">
        <v>1</v>
      </c>
      <c r="J115" s="55">
        <v>22</v>
      </c>
      <c r="K115" s="55">
        <v>22</v>
      </c>
    </row>
    <row r="116" spans="4:11">
      <c r="D116" s="53">
        <v>46120</v>
      </c>
      <c r="E116" s="18">
        <v>1592697</v>
      </c>
      <c r="F116" s="18" t="s">
        <v>13</v>
      </c>
      <c r="G116" s="54">
        <v>20419052</v>
      </c>
      <c r="H116" s="18" t="s">
        <v>90</v>
      </c>
      <c r="I116" s="54">
        <v>2</v>
      </c>
      <c r="J116" s="55">
        <v>13</v>
      </c>
      <c r="K116" s="55">
        <v>26</v>
      </c>
    </row>
    <row r="117" spans="4:11">
      <c r="D117" s="53">
        <v>46120</v>
      </c>
      <c r="E117" s="18">
        <v>1592726</v>
      </c>
      <c r="F117" s="18" t="s">
        <v>44</v>
      </c>
      <c r="G117" s="54">
        <v>20420446</v>
      </c>
      <c r="H117" s="18" t="s">
        <v>160</v>
      </c>
      <c r="I117" s="54">
        <v>1</v>
      </c>
      <c r="J117" s="55">
        <v>25</v>
      </c>
      <c r="K117" s="55">
        <v>25</v>
      </c>
    </row>
    <row r="118" spans="4:11">
      <c r="D118" s="53">
        <v>46120</v>
      </c>
      <c r="E118" s="18">
        <v>1592726</v>
      </c>
      <c r="F118" s="18" t="s">
        <v>44</v>
      </c>
      <c r="G118" s="54">
        <v>20420447</v>
      </c>
      <c r="H118" s="18" t="s">
        <v>161</v>
      </c>
      <c r="I118" s="54">
        <v>1</v>
      </c>
      <c r="J118" s="55">
        <v>25</v>
      </c>
      <c r="K118" s="55">
        <v>25</v>
      </c>
    </row>
    <row r="119" spans="4:11">
      <c r="D119" s="53">
        <v>46120</v>
      </c>
      <c r="E119" s="18">
        <v>1592726</v>
      </c>
      <c r="F119" s="18" t="s">
        <v>44</v>
      </c>
      <c r="G119" s="54">
        <v>20420452</v>
      </c>
      <c r="H119" s="18" t="s">
        <v>162</v>
      </c>
      <c r="I119" s="54">
        <v>1</v>
      </c>
      <c r="J119" s="55">
        <v>88</v>
      </c>
      <c r="K119" s="55">
        <v>88</v>
      </c>
    </row>
    <row r="120" spans="4:11">
      <c r="D120" s="53">
        <v>46120</v>
      </c>
      <c r="E120" s="18">
        <v>1592726</v>
      </c>
      <c r="F120" s="18" t="s">
        <v>44</v>
      </c>
      <c r="G120" s="54">
        <v>20420448</v>
      </c>
      <c r="H120" s="18" t="s">
        <v>163</v>
      </c>
      <c r="I120" s="54">
        <v>1</v>
      </c>
      <c r="J120" s="55">
        <v>44</v>
      </c>
      <c r="K120" s="55">
        <v>44</v>
      </c>
    </row>
    <row r="121" spans="4:11">
      <c r="D121" s="53">
        <v>46120</v>
      </c>
      <c r="E121" s="18">
        <v>1592726</v>
      </c>
      <c r="F121" s="18" t="s">
        <v>44</v>
      </c>
      <c r="G121" s="54">
        <v>20420449</v>
      </c>
      <c r="H121" s="18" t="s">
        <v>164</v>
      </c>
      <c r="I121" s="54">
        <v>1</v>
      </c>
      <c r="J121" s="55">
        <v>44</v>
      </c>
      <c r="K121" s="55">
        <v>44</v>
      </c>
    </row>
    <row r="122" spans="4:11">
      <c r="D122" s="53">
        <v>46120</v>
      </c>
      <c r="E122" s="18">
        <v>1592726</v>
      </c>
      <c r="F122" s="18" t="s">
        <v>44</v>
      </c>
      <c r="G122" s="54">
        <v>20418549</v>
      </c>
      <c r="H122" s="18" t="s">
        <v>165</v>
      </c>
      <c r="I122" s="54">
        <v>2</v>
      </c>
      <c r="J122" s="55">
        <v>28</v>
      </c>
      <c r="K122" s="55">
        <v>56</v>
      </c>
    </row>
    <row r="123" spans="4:11">
      <c r="D123" s="53">
        <v>46120</v>
      </c>
      <c r="E123" s="18">
        <v>1592726</v>
      </c>
      <c r="F123" s="18" t="s">
        <v>44</v>
      </c>
      <c r="G123" s="54">
        <v>20420445</v>
      </c>
      <c r="H123" s="18" t="s">
        <v>166</v>
      </c>
      <c r="I123" s="54">
        <v>1</v>
      </c>
      <c r="J123" s="55">
        <v>35</v>
      </c>
      <c r="K123" s="55">
        <v>35</v>
      </c>
    </row>
    <row r="124" spans="4:11">
      <c r="D124" s="53">
        <v>46120</v>
      </c>
      <c r="E124" s="18">
        <v>1592726</v>
      </c>
      <c r="F124" s="18" t="s">
        <v>44</v>
      </c>
      <c r="G124" s="54">
        <v>20420453</v>
      </c>
      <c r="H124" s="18" t="s">
        <v>167</v>
      </c>
      <c r="I124" s="54">
        <v>3</v>
      </c>
      <c r="J124" s="55">
        <v>28</v>
      </c>
      <c r="K124" s="55">
        <v>84</v>
      </c>
    </row>
    <row r="125" spans="4:11">
      <c r="D125" s="53">
        <v>46120</v>
      </c>
      <c r="E125" s="18">
        <v>1592726</v>
      </c>
      <c r="F125" s="18" t="s">
        <v>44</v>
      </c>
      <c r="G125" s="54">
        <v>20418538</v>
      </c>
      <c r="H125" s="18" t="s">
        <v>116</v>
      </c>
      <c r="I125" s="54">
        <v>1</v>
      </c>
      <c r="J125" s="55">
        <v>28</v>
      </c>
      <c r="K125" s="55">
        <v>28</v>
      </c>
    </row>
    <row r="126" spans="4:11">
      <c r="D126" s="53">
        <v>46120</v>
      </c>
      <c r="E126" s="18">
        <v>1592726</v>
      </c>
      <c r="F126" s="18" t="s">
        <v>44</v>
      </c>
      <c r="G126" s="54">
        <v>20420443</v>
      </c>
      <c r="H126" s="18" t="s">
        <v>168</v>
      </c>
      <c r="I126" s="54">
        <v>4</v>
      </c>
      <c r="J126" s="55">
        <v>22</v>
      </c>
      <c r="K126" s="55">
        <v>88</v>
      </c>
    </row>
    <row r="127" spans="4:11">
      <c r="D127" s="53">
        <v>46120</v>
      </c>
      <c r="E127" s="18">
        <v>1592726</v>
      </c>
      <c r="F127" s="18" t="s">
        <v>44</v>
      </c>
      <c r="G127" s="54">
        <v>20418545</v>
      </c>
      <c r="H127" s="18" t="s">
        <v>117</v>
      </c>
      <c r="I127" s="54">
        <v>1</v>
      </c>
      <c r="J127" s="55">
        <v>35</v>
      </c>
      <c r="K127" s="55">
        <v>35</v>
      </c>
    </row>
    <row r="128" spans="4:11">
      <c r="D128" s="53">
        <v>46120</v>
      </c>
      <c r="E128" s="18">
        <v>1592726</v>
      </c>
      <c r="F128" s="18" t="s">
        <v>44</v>
      </c>
      <c r="G128" s="54">
        <v>20418552</v>
      </c>
      <c r="H128" s="18" t="s">
        <v>119</v>
      </c>
      <c r="I128" s="54">
        <v>1</v>
      </c>
      <c r="J128" s="55">
        <v>28</v>
      </c>
      <c r="K128" s="55">
        <v>28</v>
      </c>
    </row>
    <row r="129" spans="4:11">
      <c r="D129" s="53">
        <v>46120</v>
      </c>
      <c r="E129" s="18">
        <v>1592726</v>
      </c>
      <c r="F129" s="18" t="s">
        <v>44</v>
      </c>
      <c r="G129" s="54">
        <v>20418548</v>
      </c>
      <c r="H129" s="18" t="s">
        <v>169</v>
      </c>
      <c r="I129" s="54">
        <v>1</v>
      </c>
      <c r="J129" s="55">
        <v>28</v>
      </c>
      <c r="K129" s="55">
        <v>28</v>
      </c>
    </row>
    <row r="130" spans="4:11">
      <c r="D130" s="53">
        <v>46120</v>
      </c>
      <c r="E130" s="18">
        <v>1592726</v>
      </c>
      <c r="F130" s="18" t="s">
        <v>44</v>
      </c>
      <c r="G130" s="54">
        <v>20420444</v>
      </c>
      <c r="H130" s="18" t="s">
        <v>170</v>
      </c>
      <c r="I130" s="54">
        <v>2</v>
      </c>
      <c r="J130" s="55">
        <v>35</v>
      </c>
      <c r="K130" s="55">
        <v>70</v>
      </c>
    </row>
    <row r="131" spans="4:11">
      <c r="D131" s="53">
        <v>46120</v>
      </c>
      <c r="E131" s="18">
        <v>1592726</v>
      </c>
      <c r="F131" s="18" t="s">
        <v>44</v>
      </c>
      <c r="G131" s="54">
        <v>20418537</v>
      </c>
      <c r="H131" s="18" t="s">
        <v>120</v>
      </c>
      <c r="I131" s="54">
        <v>1</v>
      </c>
      <c r="J131" s="55">
        <v>28</v>
      </c>
      <c r="K131" s="55">
        <v>28</v>
      </c>
    </row>
    <row r="132" spans="4:11">
      <c r="D132" s="53">
        <v>46120</v>
      </c>
      <c r="E132" s="18">
        <v>1592726</v>
      </c>
      <c r="F132" s="18" t="s">
        <v>44</v>
      </c>
      <c r="G132" s="54">
        <v>20418539</v>
      </c>
      <c r="H132" s="18" t="s">
        <v>121</v>
      </c>
      <c r="I132" s="54">
        <v>1</v>
      </c>
      <c r="J132" s="55">
        <v>28</v>
      </c>
      <c r="K132" s="55">
        <v>28</v>
      </c>
    </row>
    <row r="133" spans="4:11">
      <c r="D133" s="53">
        <v>46120</v>
      </c>
      <c r="E133" s="18">
        <v>1592726</v>
      </c>
      <c r="F133" s="18" t="s">
        <v>44</v>
      </c>
      <c r="G133" s="54">
        <v>20420454</v>
      </c>
      <c r="H133" s="18" t="s">
        <v>171</v>
      </c>
      <c r="I133" s="54">
        <v>1</v>
      </c>
      <c r="J133" s="55">
        <v>35</v>
      </c>
      <c r="K133" s="55">
        <v>35</v>
      </c>
    </row>
    <row r="134" spans="4:11">
      <c r="D134" s="53">
        <v>46120</v>
      </c>
      <c r="E134" s="18">
        <v>1592726</v>
      </c>
      <c r="F134" s="18" t="s">
        <v>44</v>
      </c>
      <c r="G134" s="54">
        <v>20420451</v>
      </c>
      <c r="H134" s="18" t="s">
        <v>172</v>
      </c>
      <c r="I134" s="54">
        <v>1</v>
      </c>
      <c r="J134" s="55">
        <v>231</v>
      </c>
      <c r="K134" s="55">
        <v>231</v>
      </c>
    </row>
    <row r="135" spans="4:11">
      <c r="D135" s="53">
        <v>46120</v>
      </c>
      <c r="E135" s="18">
        <v>1592726</v>
      </c>
      <c r="F135" s="18" t="s">
        <v>44</v>
      </c>
      <c r="G135" s="54">
        <v>20420450</v>
      </c>
      <c r="H135" s="18" t="s">
        <v>173</v>
      </c>
      <c r="I135" s="54">
        <v>1</v>
      </c>
      <c r="J135" s="55">
        <v>300</v>
      </c>
      <c r="K135" s="55">
        <v>300</v>
      </c>
    </row>
    <row r="136" spans="4:11">
      <c r="D136" s="53">
        <v>46120</v>
      </c>
      <c r="E136" s="18">
        <v>1592726</v>
      </c>
      <c r="F136" s="18" t="s">
        <v>122</v>
      </c>
      <c r="G136" s="54">
        <v>20420067</v>
      </c>
      <c r="H136" s="18" t="s">
        <v>123</v>
      </c>
      <c r="I136" s="54">
        <v>1</v>
      </c>
      <c r="J136" s="55">
        <v>28</v>
      </c>
      <c r="K136" s="55">
        <v>28</v>
      </c>
    </row>
    <row r="137" spans="4:11">
      <c r="D137" s="53">
        <v>46120</v>
      </c>
      <c r="E137" s="18">
        <v>1592938</v>
      </c>
      <c r="F137" s="18" t="s">
        <v>83</v>
      </c>
      <c r="G137" s="54">
        <v>20418555</v>
      </c>
      <c r="H137" s="18" t="s">
        <v>105</v>
      </c>
      <c r="I137" s="54">
        <v>1</v>
      </c>
      <c r="J137" s="55">
        <v>170.5</v>
      </c>
      <c r="K137" s="55">
        <v>170.5</v>
      </c>
    </row>
    <row r="138" spans="4:11">
      <c r="D138" s="53">
        <v>46120</v>
      </c>
      <c r="E138" s="18">
        <v>1592938</v>
      </c>
      <c r="F138" s="18" t="s">
        <v>83</v>
      </c>
      <c r="G138" s="54">
        <v>20418528</v>
      </c>
      <c r="H138" s="18" t="s">
        <v>125</v>
      </c>
      <c r="I138" s="54">
        <v>1</v>
      </c>
      <c r="J138" s="55">
        <v>242</v>
      </c>
      <c r="K138" s="55">
        <v>242</v>
      </c>
    </row>
    <row r="139" spans="4:11">
      <c r="D139" s="53">
        <v>46120</v>
      </c>
      <c r="E139" s="18">
        <v>1592938</v>
      </c>
      <c r="F139" s="18" t="s">
        <v>13</v>
      </c>
      <c r="G139" s="54">
        <v>20420069</v>
      </c>
      <c r="H139" s="18" t="s">
        <v>108</v>
      </c>
      <c r="I139" s="54">
        <v>1</v>
      </c>
      <c r="J139" s="55">
        <v>8</v>
      </c>
      <c r="K139" s="55">
        <v>8</v>
      </c>
    </row>
    <row r="140" spans="4:11">
      <c r="D140" s="53">
        <v>46120</v>
      </c>
      <c r="E140" s="18">
        <v>1592938</v>
      </c>
      <c r="F140" s="18" t="s">
        <v>13</v>
      </c>
      <c r="G140" s="54">
        <v>20419052</v>
      </c>
      <c r="H140" s="18" t="s">
        <v>90</v>
      </c>
      <c r="I140" s="54">
        <v>2</v>
      </c>
      <c r="J140" s="55">
        <v>13</v>
      </c>
      <c r="K140" s="55">
        <v>26</v>
      </c>
    </row>
    <row r="141" spans="4:11">
      <c r="D141" s="53">
        <v>46120</v>
      </c>
      <c r="E141" s="18">
        <v>1592938</v>
      </c>
      <c r="F141" s="18" t="s">
        <v>13</v>
      </c>
      <c r="G141" s="54">
        <v>20419699</v>
      </c>
      <c r="H141" s="18" t="s">
        <v>92</v>
      </c>
      <c r="I141" s="54">
        <v>1</v>
      </c>
      <c r="J141" s="55">
        <v>11</v>
      </c>
      <c r="K141" s="55">
        <v>11</v>
      </c>
    </row>
    <row r="142" spans="4:11">
      <c r="D142" s="53">
        <v>46120</v>
      </c>
      <c r="E142" s="18">
        <v>1592938</v>
      </c>
      <c r="F142" s="18" t="s">
        <v>94</v>
      </c>
      <c r="G142" s="54">
        <v>20419726</v>
      </c>
      <c r="H142" s="18" t="s">
        <v>95</v>
      </c>
      <c r="I142" s="54">
        <v>1</v>
      </c>
      <c r="J142" s="55">
        <v>38.5</v>
      </c>
      <c r="K142" s="55">
        <v>38.5</v>
      </c>
    </row>
    <row r="143" spans="4:11">
      <c r="D143" s="53">
        <v>46120</v>
      </c>
      <c r="E143" s="18">
        <v>1592938</v>
      </c>
      <c r="F143" s="18" t="s">
        <v>94</v>
      </c>
      <c r="G143" s="54">
        <v>20419700</v>
      </c>
      <c r="H143" s="18" t="s">
        <v>96</v>
      </c>
      <c r="I143" s="54">
        <v>1</v>
      </c>
      <c r="J143" s="55">
        <v>16.5</v>
      </c>
      <c r="K143" s="55">
        <v>16.5</v>
      </c>
    </row>
    <row r="144" spans="4:11">
      <c r="D144" s="53">
        <v>46120</v>
      </c>
      <c r="E144" s="18">
        <v>1592938</v>
      </c>
      <c r="F144" s="18" t="s">
        <v>94</v>
      </c>
      <c r="G144" s="54">
        <v>20419037</v>
      </c>
      <c r="H144" s="18" t="s">
        <v>114</v>
      </c>
      <c r="I144" s="54">
        <v>2</v>
      </c>
      <c r="J144" s="55">
        <v>16.5</v>
      </c>
      <c r="K144" s="55">
        <v>33</v>
      </c>
    </row>
    <row r="145" spans="4:11">
      <c r="D145" s="53">
        <v>46120</v>
      </c>
      <c r="E145" s="18">
        <v>1592938</v>
      </c>
      <c r="F145" s="18" t="s">
        <v>94</v>
      </c>
      <c r="G145" s="54">
        <v>20419715</v>
      </c>
      <c r="H145" s="18" t="s">
        <v>101</v>
      </c>
      <c r="I145" s="54">
        <v>1</v>
      </c>
      <c r="J145" s="55">
        <v>16.5</v>
      </c>
      <c r="K145" s="55">
        <v>16.5</v>
      </c>
    </row>
    <row r="146" spans="4:11">
      <c r="D146" s="53">
        <v>46121</v>
      </c>
      <c r="E146" s="18">
        <v>1593356</v>
      </c>
      <c r="F146" s="18" t="s">
        <v>83</v>
      </c>
      <c r="G146" s="54">
        <v>20418576</v>
      </c>
      <c r="H146" s="18" t="s">
        <v>174</v>
      </c>
      <c r="I146" s="54">
        <v>1</v>
      </c>
      <c r="J146" s="55">
        <v>154</v>
      </c>
      <c r="K146" s="55">
        <v>154</v>
      </c>
    </row>
    <row r="147" spans="4:11">
      <c r="D147" s="53">
        <v>46121</v>
      </c>
      <c r="E147" s="18">
        <v>1593356</v>
      </c>
      <c r="F147" s="18" t="s">
        <v>13</v>
      </c>
      <c r="G147" s="54">
        <v>20420433</v>
      </c>
      <c r="H147" s="18" t="s">
        <v>139</v>
      </c>
      <c r="I147" s="54">
        <v>1</v>
      </c>
      <c r="J147" s="55">
        <v>27.5</v>
      </c>
      <c r="K147" s="55">
        <v>27.5</v>
      </c>
    </row>
    <row r="148" spans="4:11">
      <c r="D148" s="53">
        <v>46121</v>
      </c>
      <c r="E148" s="18">
        <v>1593356</v>
      </c>
      <c r="F148" s="18" t="s">
        <v>13</v>
      </c>
      <c r="G148" s="54">
        <v>20419052</v>
      </c>
      <c r="H148" s="18" t="s">
        <v>90</v>
      </c>
      <c r="I148" s="54">
        <v>2</v>
      </c>
      <c r="J148" s="55">
        <v>13</v>
      </c>
      <c r="K148" s="55">
        <v>26</v>
      </c>
    </row>
    <row r="149" spans="4:11">
      <c r="D149" s="53">
        <v>46121</v>
      </c>
      <c r="E149" s="18">
        <v>1593356</v>
      </c>
      <c r="F149" s="18" t="s">
        <v>94</v>
      </c>
      <c r="G149" s="54">
        <v>20419037</v>
      </c>
      <c r="H149" s="18" t="s">
        <v>114</v>
      </c>
      <c r="I149" s="54">
        <v>1</v>
      </c>
      <c r="J149" s="55">
        <v>16.5</v>
      </c>
      <c r="K149" s="55">
        <v>16.5</v>
      </c>
    </row>
    <row r="150" spans="4:11">
      <c r="D150" s="53">
        <v>46122</v>
      </c>
      <c r="E150" s="18">
        <v>1593538</v>
      </c>
      <c r="F150" s="18" t="s">
        <v>44</v>
      </c>
      <c r="G150" s="54">
        <v>20418569</v>
      </c>
      <c r="H150" s="18" t="s">
        <v>127</v>
      </c>
      <c r="I150" s="54">
        <v>1</v>
      </c>
      <c r="J150" s="55">
        <v>88</v>
      </c>
      <c r="K150" s="55">
        <v>88</v>
      </c>
    </row>
    <row r="151" spans="4:11">
      <c r="D151" s="53">
        <v>46122</v>
      </c>
      <c r="E151" s="18">
        <v>1593538</v>
      </c>
      <c r="F151" s="18" t="s">
        <v>44</v>
      </c>
      <c r="G151" s="54">
        <v>20418544</v>
      </c>
      <c r="H151" s="18" t="s">
        <v>102</v>
      </c>
      <c r="I151" s="54">
        <v>1</v>
      </c>
      <c r="J151" s="55">
        <v>35</v>
      </c>
      <c r="K151" s="55">
        <v>35</v>
      </c>
    </row>
    <row r="152" spans="4:11">
      <c r="D152" s="53">
        <v>46122</v>
      </c>
      <c r="E152" s="18">
        <v>1593538</v>
      </c>
      <c r="F152" s="18" t="s">
        <v>44</v>
      </c>
      <c r="G152" s="54">
        <v>20420454</v>
      </c>
      <c r="H152" s="18" t="s">
        <v>175</v>
      </c>
      <c r="I152" s="54">
        <v>1</v>
      </c>
      <c r="J152" s="55">
        <v>28</v>
      </c>
      <c r="K152" s="55">
        <v>28</v>
      </c>
    </row>
    <row r="153" spans="4:11">
      <c r="D153" s="53">
        <v>46122</v>
      </c>
      <c r="E153" s="18">
        <v>1593538</v>
      </c>
      <c r="F153" s="18" t="s">
        <v>122</v>
      </c>
      <c r="G153" s="54">
        <v>20418563</v>
      </c>
      <c r="H153" s="18" t="s">
        <v>176</v>
      </c>
      <c r="I153" s="54">
        <v>1</v>
      </c>
      <c r="J153" s="55">
        <v>28</v>
      </c>
      <c r="K153" s="55">
        <v>28</v>
      </c>
    </row>
    <row r="154" spans="4:11">
      <c r="D154" s="53">
        <v>46122</v>
      </c>
      <c r="E154" s="18">
        <v>1593759</v>
      </c>
      <c r="F154" s="18" t="s">
        <v>83</v>
      </c>
      <c r="G154" s="54">
        <v>20418568</v>
      </c>
      <c r="H154" s="18" t="s">
        <v>131</v>
      </c>
      <c r="I154" s="54">
        <v>1</v>
      </c>
      <c r="J154" s="55">
        <v>132</v>
      </c>
      <c r="K154" s="55">
        <v>132</v>
      </c>
    </row>
    <row r="155" spans="4:11">
      <c r="D155" s="53">
        <v>46122</v>
      </c>
      <c r="E155" s="18">
        <v>1593759</v>
      </c>
      <c r="F155" s="18" t="s">
        <v>83</v>
      </c>
      <c r="G155" s="54">
        <v>20418525</v>
      </c>
      <c r="H155" s="18" t="s">
        <v>177</v>
      </c>
      <c r="I155" s="54">
        <v>1</v>
      </c>
      <c r="J155" s="55">
        <v>313.5</v>
      </c>
      <c r="K155" s="55">
        <v>313.5</v>
      </c>
    </row>
    <row r="156" spans="4:11">
      <c r="D156" s="53">
        <v>46122</v>
      </c>
      <c r="E156" s="18">
        <v>1593759</v>
      </c>
      <c r="F156" s="18" t="s">
        <v>83</v>
      </c>
      <c r="G156" s="54">
        <v>20418528</v>
      </c>
      <c r="H156" s="18" t="s">
        <v>125</v>
      </c>
      <c r="I156" s="54">
        <v>1</v>
      </c>
      <c r="J156" s="55">
        <v>242</v>
      </c>
      <c r="K156" s="55">
        <v>242</v>
      </c>
    </row>
    <row r="157" spans="4:11">
      <c r="D157" s="53">
        <v>46122</v>
      </c>
      <c r="E157" s="18">
        <v>1593759</v>
      </c>
      <c r="F157" s="18" t="s">
        <v>13</v>
      </c>
      <c r="G157" s="54">
        <v>20420416</v>
      </c>
      <c r="H157" s="18" t="s">
        <v>135</v>
      </c>
      <c r="I157" s="54">
        <v>1</v>
      </c>
      <c r="J157" s="55">
        <v>16.5</v>
      </c>
      <c r="K157" s="55">
        <v>16.5</v>
      </c>
    </row>
    <row r="158" spans="4:11">
      <c r="D158" s="53">
        <v>46122</v>
      </c>
      <c r="E158" s="18">
        <v>1593759</v>
      </c>
      <c r="F158" s="18" t="s">
        <v>13</v>
      </c>
      <c r="G158" s="54">
        <v>20419052</v>
      </c>
      <c r="H158" s="18" t="s">
        <v>90</v>
      </c>
      <c r="I158" s="54">
        <v>4</v>
      </c>
      <c r="J158" s="55">
        <v>13</v>
      </c>
      <c r="K158" s="55">
        <v>52</v>
      </c>
    </row>
    <row r="159" spans="4:11">
      <c r="D159" s="53">
        <v>46122</v>
      </c>
      <c r="E159" s="18">
        <v>1593759</v>
      </c>
      <c r="F159" s="18" t="s">
        <v>94</v>
      </c>
      <c r="G159" s="54">
        <v>20419037</v>
      </c>
      <c r="H159" s="18" t="s">
        <v>114</v>
      </c>
      <c r="I159" s="54">
        <v>1</v>
      </c>
      <c r="J159" s="55">
        <v>16.5</v>
      </c>
      <c r="K159" s="55">
        <v>16.5</v>
      </c>
    </row>
    <row r="160" spans="4:11">
      <c r="D160" s="53">
        <v>46122</v>
      </c>
      <c r="E160" s="18">
        <v>1593759</v>
      </c>
      <c r="F160" s="18" t="s">
        <v>94</v>
      </c>
      <c r="G160" s="54">
        <v>20419715</v>
      </c>
      <c r="H160" s="18" t="s">
        <v>101</v>
      </c>
      <c r="I160" s="54">
        <v>2</v>
      </c>
      <c r="J160" s="55">
        <v>16.5</v>
      </c>
      <c r="K160" s="55">
        <v>33</v>
      </c>
    </row>
    <row r="161" spans="4:11">
      <c r="D161" s="53">
        <v>46125</v>
      </c>
      <c r="E161" s="18">
        <v>1594327</v>
      </c>
      <c r="F161" s="18" t="s">
        <v>83</v>
      </c>
      <c r="G161" s="54">
        <v>20418555</v>
      </c>
      <c r="H161" s="18" t="s">
        <v>105</v>
      </c>
      <c r="I161" s="54">
        <v>1</v>
      </c>
      <c r="J161" s="55">
        <v>170.5</v>
      </c>
      <c r="K161" s="55">
        <v>170.5</v>
      </c>
    </row>
    <row r="162" spans="4:11">
      <c r="D162" s="53">
        <v>46125</v>
      </c>
      <c r="E162" s="18">
        <v>1594327</v>
      </c>
      <c r="F162" s="18" t="s">
        <v>83</v>
      </c>
      <c r="G162" s="54">
        <v>20418526</v>
      </c>
      <c r="H162" s="18" t="s">
        <v>178</v>
      </c>
      <c r="I162" s="54">
        <v>1</v>
      </c>
      <c r="J162" s="55">
        <v>214.5</v>
      </c>
      <c r="K162" s="55">
        <v>214.5</v>
      </c>
    </row>
    <row r="163" spans="4:11">
      <c r="D163" s="53">
        <v>46125</v>
      </c>
      <c r="E163" s="18">
        <v>1594327</v>
      </c>
      <c r="F163" s="18" t="s">
        <v>13</v>
      </c>
      <c r="G163" s="54">
        <v>20421308</v>
      </c>
      <c r="H163" s="18" t="s">
        <v>179</v>
      </c>
      <c r="I163" s="54">
        <v>1</v>
      </c>
      <c r="J163" s="55">
        <v>8</v>
      </c>
      <c r="K163" s="55">
        <v>8</v>
      </c>
    </row>
    <row r="164" spans="4:11">
      <c r="D164" s="53">
        <v>46125</v>
      </c>
      <c r="E164" s="18">
        <v>1594327</v>
      </c>
      <c r="F164" s="18" t="s">
        <v>13</v>
      </c>
      <c r="G164" s="54">
        <v>20420069</v>
      </c>
      <c r="H164" s="18" t="s">
        <v>108</v>
      </c>
      <c r="I164" s="54">
        <v>1</v>
      </c>
      <c r="J164" s="55">
        <v>8</v>
      </c>
      <c r="K164" s="55">
        <v>8</v>
      </c>
    </row>
    <row r="165" spans="4:11">
      <c r="D165" s="53">
        <v>46125</v>
      </c>
      <c r="E165" s="18">
        <v>1594327</v>
      </c>
      <c r="F165" s="18" t="s">
        <v>13</v>
      </c>
      <c r="G165" s="54">
        <v>20419019</v>
      </c>
      <c r="H165" s="18" t="s">
        <v>29</v>
      </c>
      <c r="I165" s="54">
        <v>1</v>
      </c>
      <c r="J165" s="55">
        <v>8</v>
      </c>
      <c r="K165" s="55">
        <v>8</v>
      </c>
    </row>
    <row r="166" spans="4:11">
      <c r="D166" s="53">
        <v>46125</v>
      </c>
      <c r="E166" s="18">
        <v>1594327</v>
      </c>
      <c r="F166" s="18" t="s">
        <v>13</v>
      </c>
      <c r="G166" s="54">
        <v>20420108</v>
      </c>
      <c r="H166" s="18" t="s">
        <v>111</v>
      </c>
      <c r="I166" s="54">
        <v>1</v>
      </c>
      <c r="J166" s="55">
        <v>22</v>
      </c>
      <c r="K166" s="55">
        <f>J166*I166</f>
        <v>22</v>
      </c>
    </row>
    <row r="167" spans="4:11">
      <c r="D167" s="53">
        <v>46125</v>
      </c>
      <c r="E167" s="18">
        <v>1594327</v>
      </c>
      <c r="F167" s="18" t="s">
        <v>13</v>
      </c>
      <c r="G167" s="54">
        <v>20419698</v>
      </c>
      <c r="H167" s="18" t="s">
        <v>91</v>
      </c>
      <c r="I167" s="54">
        <v>1</v>
      </c>
      <c r="J167" s="55">
        <v>16.5</v>
      </c>
      <c r="K167" s="55">
        <v>16.5</v>
      </c>
    </row>
    <row r="168" spans="4:11">
      <c r="D168" s="53">
        <v>46125</v>
      </c>
      <c r="E168" s="18">
        <v>1594327</v>
      </c>
      <c r="F168" s="18" t="s">
        <v>13</v>
      </c>
      <c r="G168" s="54">
        <v>20419699</v>
      </c>
      <c r="H168" s="18" t="s">
        <v>92</v>
      </c>
      <c r="I168" s="54">
        <v>2</v>
      </c>
      <c r="J168" s="55">
        <v>11</v>
      </c>
      <c r="K168" s="55">
        <v>22</v>
      </c>
    </row>
    <row r="169" spans="4:11">
      <c r="D169" s="53">
        <v>46125</v>
      </c>
      <c r="E169" s="18">
        <v>1594327</v>
      </c>
      <c r="F169" s="18" t="s">
        <v>94</v>
      </c>
      <c r="G169" s="54">
        <v>20419700</v>
      </c>
      <c r="H169" s="18" t="s">
        <v>96</v>
      </c>
      <c r="I169" s="54">
        <v>2</v>
      </c>
      <c r="J169" s="55">
        <v>16.5</v>
      </c>
      <c r="K169" s="55">
        <v>33</v>
      </c>
    </row>
    <row r="170" spans="4:11">
      <c r="D170" s="53">
        <v>46125</v>
      </c>
      <c r="E170" s="18">
        <v>1594327</v>
      </c>
      <c r="F170" s="18" t="s">
        <v>94</v>
      </c>
      <c r="G170" s="54">
        <v>20419037</v>
      </c>
      <c r="H170" s="18" t="s">
        <v>114</v>
      </c>
      <c r="I170" s="54">
        <v>2</v>
      </c>
      <c r="J170" s="55">
        <v>16.5</v>
      </c>
      <c r="K170" s="55">
        <v>33</v>
      </c>
    </row>
    <row r="171" spans="4:11">
      <c r="D171" s="53">
        <v>46125</v>
      </c>
      <c r="E171" s="18">
        <v>1594327</v>
      </c>
      <c r="F171" s="18" t="s">
        <v>94</v>
      </c>
      <c r="G171" s="54">
        <v>20419721</v>
      </c>
      <c r="H171" s="18" t="s">
        <v>180</v>
      </c>
      <c r="I171" s="54">
        <v>1</v>
      </c>
      <c r="J171" s="55">
        <v>16.5</v>
      </c>
      <c r="K171" s="55">
        <v>16.5</v>
      </c>
    </row>
    <row r="172" spans="4:11">
      <c r="D172" s="53">
        <v>46125</v>
      </c>
      <c r="E172" s="18">
        <v>1594327</v>
      </c>
      <c r="F172" s="18" t="s">
        <v>94</v>
      </c>
      <c r="G172" s="54">
        <v>20419715</v>
      </c>
      <c r="H172" s="18" t="s">
        <v>101</v>
      </c>
      <c r="I172" s="54">
        <v>1</v>
      </c>
      <c r="J172" s="55">
        <v>16.5</v>
      </c>
      <c r="K172" s="55">
        <v>16.5</v>
      </c>
    </row>
    <row r="173" spans="4:11">
      <c r="D173" s="53">
        <v>46125</v>
      </c>
      <c r="E173" s="18">
        <v>1594327</v>
      </c>
      <c r="F173" s="18" t="s">
        <v>31</v>
      </c>
      <c r="G173" s="54">
        <v>20421201</v>
      </c>
      <c r="H173" s="18" t="s">
        <v>181</v>
      </c>
      <c r="I173" s="54">
        <v>8</v>
      </c>
      <c r="J173" s="55">
        <v>2.5</v>
      </c>
      <c r="K173" s="55">
        <f>J173*I173</f>
        <v>20</v>
      </c>
    </row>
    <row r="174" spans="4:11">
      <c r="D174" s="53">
        <v>46125</v>
      </c>
      <c r="E174" s="18">
        <v>1594327</v>
      </c>
      <c r="F174" s="18" t="s">
        <v>31</v>
      </c>
      <c r="G174" s="54">
        <v>20421209</v>
      </c>
      <c r="H174" s="18" t="s">
        <v>182</v>
      </c>
      <c r="I174" s="54">
        <v>4</v>
      </c>
      <c r="J174" s="55">
        <v>2.5</v>
      </c>
      <c r="K174" s="55">
        <v>10</v>
      </c>
    </row>
    <row r="175" spans="4:11">
      <c r="D175" s="53">
        <v>46126</v>
      </c>
      <c r="E175" s="18">
        <v>1594721</v>
      </c>
      <c r="F175" s="18" t="s">
        <v>83</v>
      </c>
      <c r="G175" s="54">
        <v>20418553</v>
      </c>
      <c r="H175" s="18" t="s">
        <v>84</v>
      </c>
      <c r="I175" s="54">
        <v>1</v>
      </c>
      <c r="J175" s="55">
        <v>115.5</v>
      </c>
      <c r="K175" s="55">
        <v>115.5</v>
      </c>
    </row>
    <row r="176" spans="4:11">
      <c r="D176" s="53">
        <v>46126</v>
      </c>
      <c r="E176" s="18">
        <v>1594721</v>
      </c>
      <c r="F176" s="18" t="s">
        <v>83</v>
      </c>
      <c r="G176" s="54">
        <v>20418559</v>
      </c>
      <c r="H176" s="18" t="s">
        <v>104</v>
      </c>
      <c r="I176" s="54">
        <v>2</v>
      </c>
      <c r="J176" s="55">
        <v>115.5</v>
      </c>
      <c r="K176" s="55">
        <v>231</v>
      </c>
    </row>
    <row r="177" spans="4:11">
      <c r="D177" s="53">
        <v>46126</v>
      </c>
      <c r="E177" s="18">
        <v>1594721</v>
      </c>
      <c r="F177" s="18" t="s">
        <v>83</v>
      </c>
      <c r="G177" s="54">
        <v>20418575</v>
      </c>
      <c r="H177" s="18" t="s">
        <v>183</v>
      </c>
      <c r="I177" s="54">
        <v>1</v>
      </c>
      <c r="J177" s="55">
        <v>60.5</v>
      </c>
      <c r="K177" s="55">
        <v>60.5</v>
      </c>
    </row>
    <row r="178" spans="4:11">
      <c r="D178" s="53">
        <v>46126</v>
      </c>
      <c r="E178" s="18">
        <v>1594721</v>
      </c>
      <c r="F178" s="18" t="s">
        <v>13</v>
      </c>
      <c r="G178" s="54">
        <v>20418998</v>
      </c>
      <c r="H178" s="18" t="s">
        <v>42</v>
      </c>
      <c r="I178" s="54">
        <v>1</v>
      </c>
      <c r="J178" s="55">
        <v>8</v>
      </c>
      <c r="K178" s="55">
        <v>8</v>
      </c>
    </row>
    <row r="179" spans="4:11">
      <c r="D179" s="53">
        <v>46126</v>
      </c>
      <c r="E179" s="18">
        <v>1594721</v>
      </c>
      <c r="F179" s="18" t="s">
        <v>13</v>
      </c>
      <c r="G179" s="54">
        <v>20421463</v>
      </c>
      <c r="H179" s="18" t="s">
        <v>184</v>
      </c>
      <c r="I179" s="54">
        <v>1</v>
      </c>
      <c r="J179" s="55">
        <v>13.5</v>
      </c>
      <c r="K179" s="55">
        <v>13.5</v>
      </c>
    </row>
    <row r="180" spans="4:11">
      <c r="D180" s="53">
        <v>46126</v>
      </c>
      <c r="E180" s="18">
        <v>1594721</v>
      </c>
      <c r="F180" s="18" t="s">
        <v>13</v>
      </c>
      <c r="G180" s="54">
        <v>20418997</v>
      </c>
      <c r="H180" s="18" t="s">
        <v>46</v>
      </c>
      <c r="I180" s="54">
        <v>1</v>
      </c>
      <c r="J180" s="55">
        <v>8</v>
      </c>
      <c r="K180" s="55">
        <v>8</v>
      </c>
    </row>
    <row r="181" spans="4:11">
      <c r="D181" s="53">
        <v>46126</v>
      </c>
      <c r="E181" s="18">
        <v>1594721</v>
      </c>
      <c r="F181" s="18" t="s">
        <v>13</v>
      </c>
      <c r="G181" s="54">
        <v>20421464</v>
      </c>
      <c r="H181" s="18" t="s">
        <v>185</v>
      </c>
      <c r="I181" s="54">
        <v>1</v>
      </c>
      <c r="J181" s="55">
        <v>16.5</v>
      </c>
      <c r="K181" s="55">
        <v>16.5</v>
      </c>
    </row>
    <row r="182" spans="4:11">
      <c r="D182" s="53">
        <v>46126</v>
      </c>
      <c r="E182" s="18">
        <v>1594721</v>
      </c>
      <c r="F182" s="18" t="s">
        <v>13</v>
      </c>
      <c r="G182" s="54">
        <v>20421465</v>
      </c>
      <c r="H182" s="18" t="s">
        <v>186</v>
      </c>
      <c r="I182" s="54">
        <v>1</v>
      </c>
      <c r="J182" s="55">
        <v>8</v>
      </c>
      <c r="K182" s="55">
        <v>8</v>
      </c>
    </row>
    <row r="183" spans="4:11">
      <c r="D183" s="53">
        <v>46126</v>
      </c>
      <c r="E183" s="18">
        <v>1594721</v>
      </c>
      <c r="F183" s="18" t="s">
        <v>13</v>
      </c>
      <c r="G183" s="54">
        <v>20419052</v>
      </c>
      <c r="H183" s="18" t="s">
        <v>90</v>
      </c>
      <c r="I183" s="54">
        <v>1</v>
      </c>
      <c r="J183" s="55">
        <v>13</v>
      </c>
      <c r="K183" s="55">
        <v>13</v>
      </c>
    </row>
    <row r="184" spans="4:11">
      <c r="D184" s="53">
        <v>46126</v>
      </c>
      <c r="E184" s="18">
        <v>1594721</v>
      </c>
      <c r="F184" s="18" t="s">
        <v>94</v>
      </c>
      <c r="G184" s="54">
        <v>20419037</v>
      </c>
      <c r="H184" s="18" t="s">
        <v>114</v>
      </c>
      <c r="I184" s="54">
        <v>1</v>
      </c>
      <c r="J184" s="55">
        <v>16.5</v>
      </c>
      <c r="K184" s="55">
        <v>16.5</v>
      </c>
    </row>
    <row r="185" spans="4:11">
      <c r="D185" s="53">
        <v>46127</v>
      </c>
      <c r="E185" s="18">
        <v>1595086</v>
      </c>
      <c r="F185" s="18" t="s">
        <v>83</v>
      </c>
      <c r="G185" s="54">
        <v>20418553</v>
      </c>
      <c r="H185" s="18" t="s">
        <v>84</v>
      </c>
      <c r="I185" s="54">
        <v>3</v>
      </c>
      <c r="J185" s="55">
        <v>115.5</v>
      </c>
      <c r="K185" s="55">
        <v>346.5</v>
      </c>
    </row>
    <row r="186" spans="4:11">
      <c r="D186" s="53">
        <v>46127</v>
      </c>
      <c r="E186" s="18">
        <v>1595086</v>
      </c>
      <c r="F186" s="18" t="s">
        <v>83</v>
      </c>
      <c r="G186" s="54">
        <v>20418574</v>
      </c>
      <c r="H186" s="18" t="s">
        <v>124</v>
      </c>
      <c r="I186" s="54">
        <v>1</v>
      </c>
      <c r="J186" s="55">
        <v>159.5</v>
      </c>
      <c r="K186" s="55">
        <v>159.5</v>
      </c>
    </row>
    <row r="187" spans="4:11">
      <c r="D187" s="53">
        <v>46127</v>
      </c>
      <c r="E187" s="18">
        <v>1595086</v>
      </c>
      <c r="F187" s="18" t="s">
        <v>83</v>
      </c>
      <c r="G187" s="54">
        <v>20418528</v>
      </c>
      <c r="H187" s="18" t="s">
        <v>125</v>
      </c>
      <c r="I187" s="54">
        <v>1</v>
      </c>
      <c r="J187" s="55">
        <v>242</v>
      </c>
      <c r="K187" s="55">
        <v>242</v>
      </c>
    </row>
    <row r="188" spans="4:11">
      <c r="D188" s="53">
        <v>46127</v>
      </c>
      <c r="E188" s="18">
        <v>1595086</v>
      </c>
      <c r="F188" s="18" t="s">
        <v>13</v>
      </c>
      <c r="G188" s="54">
        <v>20421597</v>
      </c>
      <c r="H188" s="18" t="s">
        <v>187</v>
      </c>
      <c r="I188" s="54">
        <v>1</v>
      </c>
      <c r="J188" s="55">
        <v>16.5</v>
      </c>
      <c r="K188" s="55">
        <v>16.5</v>
      </c>
    </row>
    <row r="189" spans="4:11">
      <c r="D189" s="53">
        <v>46127</v>
      </c>
      <c r="E189" s="18">
        <v>1595086</v>
      </c>
      <c r="F189" s="18" t="s">
        <v>13</v>
      </c>
      <c r="G189" s="54">
        <v>20419711</v>
      </c>
      <c r="H189" s="18" t="s">
        <v>87</v>
      </c>
      <c r="I189" s="54">
        <v>2</v>
      </c>
      <c r="J189" s="55">
        <v>16.5</v>
      </c>
      <c r="K189" s="55">
        <v>33</v>
      </c>
    </row>
    <row r="190" spans="4:11">
      <c r="D190" s="53">
        <v>46127</v>
      </c>
      <c r="E190" s="18">
        <v>1595086</v>
      </c>
      <c r="F190" s="18" t="s">
        <v>13</v>
      </c>
      <c r="G190" s="54">
        <v>20421639</v>
      </c>
      <c r="H190" s="18" t="s">
        <v>188</v>
      </c>
      <c r="I190" s="54">
        <v>1</v>
      </c>
      <c r="J190" s="55">
        <v>11</v>
      </c>
      <c r="K190" s="55">
        <v>11</v>
      </c>
    </row>
    <row r="191" spans="4:11">
      <c r="D191" s="53">
        <v>46127</v>
      </c>
      <c r="E191" s="18">
        <v>1595086</v>
      </c>
      <c r="F191" s="18" t="s">
        <v>13</v>
      </c>
      <c r="G191" s="54">
        <v>20421464</v>
      </c>
      <c r="H191" s="18" t="s">
        <v>185</v>
      </c>
      <c r="I191" s="54">
        <v>1</v>
      </c>
      <c r="J191" s="55">
        <v>16.5</v>
      </c>
      <c r="K191" s="55">
        <v>16.5</v>
      </c>
    </row>
    <row r="192" spans="4:11">
      <c r="D192" s="53">
        <v>46127</v>
      </c>
      <c r="E192" s="18">
        <v>1595086</v>
      </c>
      <c r="F192" s="18" t="s">
        <v>13</v>
      </c>
      <c r="G192" s="54">
        <v>20419701</v>
      </c>
      <c r="H192" s="18" t="s">
        <v>88</v>
      </c>
      <c r="I192" s="54">
        <v>1</v>
      </c>
      <c r="J192" s="55">
        <v>13.5</v>
      </c>
      <c r="K192" s="55">
        <v>13.5</v>
      </c>
    </row>
    <row r="193" spans="4:11">
      <c r="D193" s="53">
        <v>46127</v>
      </c>
      <c r="E193" s="18">
        <v>1595086</v>
      </c>
      <c r="F193" s="18" t="s">
        <v>13</v>
      </c>
      <c r="G193" s="54">
        <v>20420189</v>
      </c>
      <c r="H193" s="18" t="s">
        <v>126</v>
      </c>
      <c r="I193" s="54">
        <v>1</v>
      </c>
      <c r="J193" s="55">
        <v>13</v>
      </c>
      <c r="K193" s="55">
        <v>13</v>
      </c>
    </row>
    <row r="194" spans="4:11">
      <c r="D194" s="53">
        <v>46127</v>
      </c>
      <c r="E194" s="18">
        <v>1595086</v>
      </c>
      <c r="F194" s="18" t="s">
        <v>13</v>
      </c>
      <c r="G194" s="54">
        <v>20419698</v>
      </c>
      <c r="H194" s="18" t="s">
        <v>91</v>
      </c>
      <c r="I194" s="54">
        <v>1</v>
      </c>
      <c r="J194" s="55">
        <v>16.5</v>
      </c>
      <c r="K194" s="55">
        <v>16.5</v>
      </c>
    </row>
    <row r="195" spans="4:11">
      <c r="D195" s="53">
        <v>46127</v>
      </c>
      <c r="E195" s="18">
        <v>1595086</v>
      </c>
      <c r="F195" s="18" t="s">
        <v>13</v>
      </c>
      <c r="G195" s="54">
        <v>20419699</v>
      </c>
      <c r="H195" s="18" t="s">
        <v>92</v>
      </c>
      <c r="I195" s="54">
        <v>1</v>
      </c>
      <c r="J195" s="55">
        <v>11</v>
      </c>
      <c r="K195" s="55">
        <v>11</v>
      </c>
    </row>
    <row r="196" spans="4:11">
      <c r="D196" s="53">
        <v>46127</v>
      </c>
      <c r="E196" s="18">
        <v>1595086</v>
      </c>
      <c r="F196" s="18" t="s">
        <v>13</v>
      </c>
      <c r="G196" s="54">
        <v>20421641</v>
      </c>
      <c r="H196" s="18" t="s">
        <v>189</v>
      </c>
      <c r="I196" s="54">
        <v>2</v>
      </c>
      <c r="J196" s="55">
        <v>8</v>
      </c>
      <c r="K196" s="55">
        <v>16</v>
      </c>
    </row>
    <row r="197" spans="4:11">
      <c r="D197" s="53">
        <v>46127</v>
      </c>
      <c r="E197" s="18">
        <v>1595086</v>
      </c>
      <c r="F197" s="18" t="s">
        <v>13</v>
      </c>
      <c r="G197" s="54">
        <v>20419697</v>
      </c>
      <c r="H197" s="18" t="s">
        <v>93</v>
      </c>
      <c r="I197" s="54">
        <v>1</v>
      </c>
      <c r="J197" s="55">
        <v>22</v>
      </c>
      <c r="K197" s="55">
        <v>22</v>
      </c>
    </row>
    <row r="198" spans="4:11">
      <c r="D198" s="53">
        <v>46127</v>
      </c>
      <c r="E198" s="18">
        <v>1595086</v>
      </c>
      <c r="F198" s="18" t="s">
        <v>94</v>
      </c>
      <c r="G198" s="54">
        <v>20419726</v>
      </c>
      <c r="H198" s="18" t="s">
        <v>95</v>
      </c>
      <c r="I198" s="54">
        <v>1</v>
      </c>
      <c r="J198" s="55">
        <v>38.5</v>
      </c>
      <c r="K198" s="55">
        <v>38.5</v>
      </c>
    </row>
    <row r="199" spans="4:11">
      <c r="D199" s="53">
        <v>46127</v>
      </c>
      <c r="E199" s="18">
        <v>1595086</v>
      </c>
      <c r="F199" s="18" t="s">
        <v>94</v>
      </c>
      <c r="G199" s="54">
        <v>20419700</v>
      </c>
      <c r="H199" s="18" t="s">
        <v>96</v>
      </c>
      <c r="I199" s="54">
        <v>1</v>
      </c>
      <c r="J199" s="55">
        <v>16.5</v>
      </c>
      <c r="K199" s="55">
        <v>16.5</v>
      </c>
    </row>
    <row r="200" spans="4:11">
      <c r="D200" s="53">
        <v>46127</v>
      </c>
      <c r="E200" s="18">
        <v>1595086</v>
      </c>
      <c r="F200" s="18" t="s">
        <v>94</v>
      </c>
      <c r="G200" s="54">
        <v>20419037</v>
      </c>
      <c r="H200" s="18" t="s">
        <v>114</v>
      </c>
      <c r="I200" s="54">
        <v>2</v>
      </c>
      <c r="J200" s="55">
        <v>16.5</v>
      </c>
      <c r="K200" s="55">
        <v>33</v>
      </c>
    </row>
    <row r="201" spans="4:11">
      <c r="D201" s="53">
        <v>46127</v>
      </c>
      <c r="E201" s="18">
        <v>1595086</v>
      </c>
      <c r="F201" s="18" t="s">
        <v>94</v>
      </c>
      <c r="G201" s="54">
        <v>20419715</v>
      </c>
      <c r="H201" s="18" t="s">
        <v>101</v>
      </c>
      <c r="I201" s="54">
        <v>1</v>
      </c>
      <c r="J201" s="55">
        <v>16.5</v>
      </c>
      <c r="K201" s="55">
        <v>16.5</v>
      </c>
    </row>
    <row r="202" spans="4:11">
      <c r="D202" s="53">
        <v>46127</v>
      </c>
      <c r="E202" s="18">
        <v>1595226</v>
      </c>
      <c r="F202" s="18" t="s">
        <v>31</v>
      </c>
      <c r="G202" s="54">
        <v>20421201</v>
      </c>
      <c r="H202" s="18" t="s">
        <v>181</v>
      </c>
      <c r="I202" s="54">
        <v>1</v>
      </c>
      <c r="J202" s="55">
        <v>2.5</v>
      </c>
      <c r="K202" s="55">
        <f>J202*I202</f>
        <v>2.5</v>
      </c>
    </row>
    <row r="203" spans="4:11">
      <c r="D203" s="53">
        <v>46127</v>
      </c>
      <c r="E203" s="18">
        <v>1595226</v>
      </c>
      <c r="F203" s="18" t="s">
        <v>31</v>
      </c>
      <c r="G203" s="54">
        <v>20421209</v>
      </c>
      <c r="H203" s="18" t="s">
        <v>182</v>
      </c>
      <c r="I203" s="54">
        <v>2</v>
      </c>
      <c r="J203" s="55">
        <v>2.5</v>
      </c>
      <c r="K203" s="55">
        <v>5</v>
      </c>
    </row>
    <row r="204" spans="4:11">
      <c r="D204" s="53">
        <v>46127</v>
      </c>
      <c r="E204" s="18">
        <v>1595244</v>
      </c>
      <c r="F204" s="18" t="s">
        <v>44</v>
      </c>
      <c r="G204" s="54">
        <v>20418560</v>
      </c>
      <c r="H204" s="18" t="s">
        <v>190</v>
      </c>
      <c r="I204" s="54">
        <v>1</v>
      </c>
      <c r="J204" s="55">
        <v>25</v>
      </c>
      <c r="K204" s="55">
        <v>25</v>
      </c>
    </row>
    <row r="205" spans="4:11">
      <c r="D205" s="53">
        <v>46127</v>
      </c>
      <c r="E205" s="18">
        <v>1595244</v>
      </c>
      <c r="F205" s="18" t="s">
        <v>44</v>
      </c>
      <c r="G205" s="54">
        <v>20421605</v>
      </c>
      <c r="H205" s="18" t="s">
        <v>191</v>
      </c>
      <c r="I205" s="54">
        <v>1</v>
      </c>
      <c r="J205" s="55">
        <v>22</v>
      </c>
      <c r="K205" s="55">
        <v>22</v>
      </c>
    </row>
    <row r="206" spans="4:11">
      <c r="D206" s="53">
        <v>46127</v>
      </c>
      <c r="E206" s="18">
        <v>1595244</v>
      </c>
      <c r="F206" s="18" t="s">
        <v>44</v>
      </c>
      <c r="G206" s="54">
        <v>20420445</v>
      </c>
      <c r="H206" s="18" t="s">
        <v>166</v>
      </c>
      <c r="I206" s="54">
        <v>1</v>
      </c>
      <c r="J206" s="55">
        <v>35</v>
      </c>
      <c r="K206" s="55">
        <v>35</v>
      </c>
    </row>
    <row r="207" spans="4:11">
      <c r="D207" s="53">
        <v>46127</v>
      </c>
      <c r="E207" s="18">
        <v>1595244</v>
      </c>
      <c r="F207" s="18" t="s">
        <v>44</v>
      </c>
      <c r="G207" s="54">
        <v>20421604</v>
      </c>
      <c r="H207" s="18" t="s">
        <v>192</v>
      </c>
      <c r="I207" s="54">
        <v>1</v>
      </c>
      <c r="J207" s="55">
        <v>22</v>
      </c>
      <c r="K207" s="55">
        <v>22</v>
      </c>
    </row>
    <row r="208" spans="4:11">
      <c r="D208" s="53">
        <v>46127</v>
      </c>
      <c r="E208" s="18">
        <v>1595244</v>
      </c>
      <c r="F208" s="18" t="s">
        <v>44</v>
      </c>
      <c r="G208" s="54">
        <v>20418538</v>
      </c>
      <c r="H208" s="18" t="s">
        <v>116</v>
      </c>
      <c r="I208" s="54">
        <v>1</v>
      </c>
      <c r="J208" s="55">
        <v>28</v>
      </c>
      <c r="K208" s="55">
        <v>28</v>
      </c>
    </row>
    <row r="209" spans="4:11">
      <c r="D209" s="53">
        <v>46127</v>
      </c>
      <c r="E209" s="18">
        <v>1595244</v>
      </c>
      <c r="F209" s="18" t="s">
        <v>44</v>
      </c>
      <c r="G209" s="54">
        <v>20418545</v>
      </c>
      <c r="H209" s="18" t="s">
        <v>117</v>
      </c>
      <c r="I209" s="54">
        <v>2</v>
      </c>
      <c r="J209" s="55">
        <v>35</v>
      </c>
      <c r="K209" s="55">
        <v>70</v>
      </c>
    </row>
    <row r="210" spans="4:11">
      <c r="D210" s="53">
        <v>46127</v>
      </c>
      <c r="E210" s="18">
        <v>1595244</v>
      </c>
      <c r="F210" s="18" t="s">
        <v>44</v>
      </c>
      <c r="G210" s="54">
        <v>20418558</v>
      </c>
      <c r="H210" s="18" t="s">
        <v>118</v>
      </c>
      <c r="I210" s="54">
        <v>1</v>
      </c>
      <c r="J210" s="55">
        <v>22</v>
      </c>
      <c r="K210" s="55">
        <v>22</v>
      </c>
    </row>
    <row r="211" spans="4:11">
      <c r="D211" s="53">
        <v>46127</v>
      </c>
      <c r="E211" s="18">
        <v>1595244</v>
      </c>
      <c r="F211" s="18" t="s">
        <v>44</v>
      </c>
      <c r="G211" s="54">
        <v>20418551</v>
      </c>
      <c r="H211" s="18" t="s">
        <v>193</v>
      </c>
      <c r="I211" s="54">
        <v>1</v>
      </c>
      <c r="J211" s="55">
        <v>28</v>
      </c>
      <c r="K211" s="55">
        <v>28</v>
      </c>
    </row>
    <row r="212" spans="4:11">
      <c r="D212" s="53">
        <v>46127</v>
      </c>
      <c r="E212" s="18">
        <v>1595244</v>
      </c>
      <c r="F212" s="18" t="s">
        <v>44</v>
      </c>
      <c r="G212" s="54">
        <v>20418552</v>
      </c>
      <c r="H212" s="18" t="s">
        <v>119</v>
      </c>
      <c r="I212" s="54">
        <v>2</v>
      </c>
      <c r="J212" s="55">
        <v>28</v>
      </c>
      <c r="K212" s="55">
        <v>56</v>
      </c>
    </row>
    <row r="213" spans="4:11">
      <c r="D213" s="53">
        <v>46127</v>
      </c>
      <c r="E213" s="18">
        <v>1595244</v>
      </c>
      <c r="F213" s="18" t="s">
        <v>44</v>
      </c>
      <c r="G213" s="54">
        <v>20418548</v>
      </c>
      <c r="H213" s="18" t="s">
        <v>169</v>
      </c>
      <c r="I213" s="54">
        <v>1</v>
      </c>
      <c r="J213" s="55">
        <v>28</v>
      </c>
      <c r="K213" s="55">
        <v>28</v>
      </c>
    </row>
    <row r="214" spans="4:11">
      <c r="D214" s="53">
        <v>46127</v>
      </c>
      <c r="E214" s="18">
        <v>1595244</v>
      </c>
      <c r="F214" s="18" t="s">
        <v>44</v>
      </c>
      <c r="G214" s="54">
        <v>20420444</v>
      </c>
      <c r="H214" s="18" t="s">
        <v>170</v>
      </c>
      <c r="I214" s="54">
        <v>1</v>
      </c>
      <c r="J214" s="55">
        <v>35</v>
      </c>
      <c r="K214" s="55">
        <v>35</v>
      </c>
    </row>
    <row r="215" spans="4:11">
      <c r="D215" s="53">
        <v>46127</v>
      </c>
      <c r="E215" s="18">
        <v>1595244</v>
      </c>
      <c r="F215" s="18" t="s">
        <v>44</v>
      </c>
      <c r="G215" s="54">
        <v>20418537</v>
      </c>
      <c r="H215" s="18" t="s">
        <v>120</v>
      </c>
      <c r="I215" s="54">
        <v>1</v>
      </c>
      <c r="J215" s="55">
        <v>28</v>
      </c>
      <c r="K215" s="55">
        <v>28</v>
      </c>
    </row>
    <row r="216" spans="4:11">
      <c r="D216" s="53">
        <v>46127</v>
      </c>
      <c r="E216" s="18">
        <v>1595244</v>
      </c>
      <c r="F216" s="18" t="s">
        <v>44</v>
      </c>
      <c r="G216" s="54">
        <v>20418539</v>
      </c>
      <c r="H216" s="18" t="s">
        <v>121</v>
      </c>
      <c r="I216" s="54">
        <v>1</v>
      </c>
      <c r="J216" s="55">
        <v>28</v>
      </c>
      <c r="K216" s="55">
        <v>28</v>
      </c>
    </row>
    <row r="217" spans="4:11">
      <c r="D217" s="53">
        <v>46127</v>
      </c>
      <c r="E217" s="18">
        <v>1595244</v>
      </c>
      <c r="F217" s="18" t="s">
        <v>44</v>
      </c>
      <c r="G217" s="54">
        <v>20418561</v>
      </c>
      <c r="H217" s="18" t="s">
        <v>128</v>
      </c>
      <c r="I217" s="54">
        <v>1</v>
      </c>
      <c r="J217" s="55">
        <v>25</v>
      </c>
      <c r="K217" s="55">
        <v>25</v>
      </c>
    </row>
    <row r="218" spans="4:11">
      <c r="D218" s="53">
        <v>46127</v>
      </c>
      <c r="E218" s="18">
        <v>1595244</v>
      </c>
      <c r="F218" s="18" t="s">
        <v>44</v>
      </c>
      <c r="G218" s="54">
        <v>20421602</v>
      </c>
      <c r="H218" s="18" t="s">
        <v>194</v>
      </c>
      <c r="I218" s="54">
        <v>1</v>
      </c>
      <c r="J218" s="55">
        <v>66</v>
      </c>
      <c r="K218" s="55">
        <v>66</v>
      </c>
    </row>
    <row r="219" spans="4:11">
      <c r="D219" s="53">
        <v>46127</v>
      </c>
      <c r="E219" s="18">
        <v>1595244</v>
      </c>
      <c r="F219" s="18" t="s">
        <v>122</v>
      </c>
      <c r="G219" s="54">
        <v>20420203</v>
      </c>
      <c r="H219" s="18" t="s">
        <v>129</v>
      </c>
      <c r="I219" s="54">
        <v>2</v>
      </c>
      <c r="J219" s="55">
        <v>28</v>
      </c>
      <c r="K219" s="55">
        <v>56</v>
      </c>
    </row>
    <row r="220" spans="4:11">
      <c r="D220" s="53">
        <v>46128</v>
      </c>
      <c r="E220" s="18">
        <v>1595442</v>
      </c>
      <c r="F220" s="18" t="s">
        <v>83</v>
      </c>
      <c r="G220" s="54">
        <v>20418568</v>
      </c>
      <c r="H220" s="18" t="s">
        <v>131</v>
      </c>
      <c r="I220" s="54">
        <v>1</v>
      </c>
      <c r="J220" s="55">
        <v>132</v>
      </c>
      <c r="K220" s="55">
        <v>132</v>
      </c>
    </row>
    <row r="221" spans="4:11">
      <c r="D221" s="53">
        <v>46128</v>
      </c>
      <c r="E221" s="18">
        <v>1595442</v>
      </c>
      <c r="F221" s="18" t="s">
        <v>83</v>
      </c>
      <c r="G221" s="54">
        <v>20418526</v>
      </c>
      <c r="H221" s="18" t="s">
        <v>178</v>
      </c>
      <c r="I221" s="54">
        <v>1</v>
      </c>
      <c r="J221" s="55">
        <v>214.5</v>
      </c>
      <c r="K221" s="55">
        <v>214.5</v>
      </c>
    </row>
    <row r="222" spans="4:11">
      <c r="D222" s="53">
        <v>46128</v>
      </c>
      <c r="E222" s="18">
        <v>1595442</v>
      </c>
      <c r="F222" s="18" t="s">
        <v>31</v>
      </c>
      <c r="G222" s="54">
        <v>20421201</v>
      </c>
      <c r="H222" s="18" t="s">
        <v>181</v>
      </c>
      <c r="I222" s="54">
        <v>4</v>
      </c>
      <c r="J222" s="55">
        <v>2.5</v>
      </c>
      <c r="K222" s="55">
        <f>J222*I222</f>
        <v>10</v>
      </c>
    </row>
    <row r="223" spans="4:11">
      <c r="D223" s="53">
        <v>46128</v>
      </c>
      <c r="E223" s="18">
        <v>1595514</v>
      </c>
      <c r="F223" s="18" t="s">
        <v>83</v>
      </c>
      <c r="G223" s="54">
        <v>20418525</v>
      </c>
      <c r="H223" s="18" t="s">
        <v>177</v>
      </c>
      <c r="I223" s="54">
        <v>1</v>
      </c>
      <c r="J223" s="55">
        <v>313.5</v>
      </c>
      <c r="K223" s="55">
        <v>313.5</v>
      </c>
    </row>
    <row r="224" spans="4:11">
      <c r="D224" s="53">
        <v>46128</v>
      </c>
      <c r="E224" s="18">
        <v>1595514</v>
      </c>
      <c r="F224" s="18" t="s">
        <v>13</v>
      </c>
      <c r="G224" s="54">
        <v>20420104</v>
      </c>
      <c r="H224" s="18" t="s">
        <v>195</v>
      </c>
      <c r="I224" s="54">
        <v>1</v>
      </c>
      <c r="J224" s="55">
        <v>16.5</v>
      </c>
      <c r="K224" s="55">
        <v>16.5</v>
      </c>
    </row>
    <row r="225" spans="4:11">
      <c r="D225" s="53">
        <v>46128</v>
      </c>
      <c r="E225" s="18">
        <v>1595514</v>
      </c>
      <c r="F225" s="18" t="s">
        <v>13</v>
      </c>
      <c r="G225" s="54">
        <v>20421776</v>
      </c>
      <c r="H225" s="18" t="s">
        <v>196</v>
      </c>
      <c r="I225" s="54">
        <v>1</v>
      </c>
      <c r="J225" s="55">
        <v>8</v>
      </c>
      <c r="K225" s="55">
        <v>8</v>
      </c>
    </row>
    <row r="226" spans="4:11">
      <c r="D226" s="53">
        <v>46128</v>
      </c>
      <c r="E226" s="18">
        <v>1595514</v>
      </c>
      <c r="F226" s="18" t="s">
        <v>13</v>
      </c>
      <c r="G226" s="54">
        <v>20418997</v>
      </c>
      <c r="H226" s="18" t="s">
        <v>46</v>
      </c>
      <c r="I226" s="54">
        <v>1</v>
      </c>
      <c r="J226" s="55">
        <v>8</v>
      </c>
      <c r="K226" s="55">
        <v>8</v>
      </c>
    </row>
    <row r="227" spans="4:11">
      <c r="D227" s="53">
        <v>46128</v>
      </c>
      <c r="E227" s="18">
        <v>1595514</v>
      </c>
      <c r="F227" s="18" t="s">
        <v>13</v>
      </c>
      <c r="G227" s="54">
        <v>20421775</v>
      </c>
      <c r="H227" s="18" t="s">
        <v>197</v>
      </c>
      <c r="I227" s="54">
        <v>1</v>
      </c>
      <c r="J227" s="55">
        <v>8</v>
      </c>
      <c r="K227" s="55">
        <v>8</v>
      </c>
    </row>
    <row r="228" spans="4:11">
      <c r="D228" s="53">
        <v>46128</v>
      </c>
      <c r="E228" s="18">
        <v>1595514</v>
      </c>
      <c r="F228" s="18" t="s">
        <v>13</v>
      </c>
      <c r="G228" s="54">
        <v>20420201</v>
      </c>
      <c r="H228" s="18" t="s">
        <v>23</v>
      </c>
      <c r="I228" s="54">
        <v>1</v>
      </c>
      <c r="J228" s="55">
        <v>8</v>
      </c>
      <c r="K228" s="55">
        <v>8</v>
      </c>
    </row>
    <row r="229" spans="4:11">
      <c r="D229" s="53">
        <v>46128</v>
      </c>
      <c r="E229" s="18">
        <v>1595514</v>
      </c>
      <c r="F229" s="18" t="s">
        <v>13</v>
      </c>
      <c r="G229" s="54">
        <v>20419699</v>
      </c>
      <c r="H229" s="18" t="s">
        <v>92</v>
      </c>
      <c r="I229" s="54">
        <v>1</v>
      </c>
      <c r="J229" s="55">
        <v>11</v>
      </c>
      <c r="K229" s="55">
        <v>11</v>
      </c>
    </row>
    <row r="230" spans="4:11">
      <c r="D230" s="53">
        <v>46128</v>
      </c>
      <c r="E230" s="18">
        <v>1595514</v>
      </c>
      <c r="F230" s="18" t="s">
        <v>24</v>
      </c>
      <c r="G230" s="54">
        <v>20419758</v>
      </c>
      <c r="H230" s="18" t="s">
        <v>113</v>
      </c>
      <c r="I230" s="54">
        <v>1</v>
      </c>
      <c r="J230" s="55">
        <v>82.5</v>
      </c>
      <c r="K230" s="55">
        <v>82.5</v>
      </c>
    </row>
    <row r="231" spans="4:11">
      <c r="D231" s="53">
        <v>46128</v>
      </c>
      <c r="E231" s="18">
        <v>1595514</v>
      </c>
      <c r="F231" s="18" t="s">
        <v>94</v>
      </c>
      <c r="G231" s="54">
        <v>20419037</v>
      </c>
      <c r="H231" s="18" t="s">
        <v>114</v>
      </c>
      <c r="I231" s="54">
        <v>2</v>
      </c>
      <c r="J231" s="55">
        <v>16.5</v>
      </c>
      <c r="K231" s="55">
        <v>33</v>
      </c>
    </row>
    <row r="232" spans="4:11">
      <c r="D232" s="53">
        <v>46128</v>
      </c>
      <c r="E232" s="18">
        <v>1595514</v>
      </c>
      <c r="F232" s="18" t="s">
        <v>94</v>
      </c>
      <c r="G232" s="54">
        <v>20419725</v>
      </c>
      <c r="H232" s="18" t="s">
        <v>98</v>
      </c>
      <c r="I232" s="54">
        <v>1</v>
      </c>
      <c r="J232" s="55">
        <v>16.5</v>
      </c>
      <c r="K232" s="55">
        <v>16.5</v>
      </c>
    </row>
    <row r="233" spans="4:11">
      <c r="D233" s="53">
        <v>46128</v>
      </c>
      <c r="E233" s="18">
        <v>1595514</v>
      </c>
      <c r="F233" s="18" t="s">
        <v>94</v>
      </c>
      <c r="G233" s="54">
        <v>20420432</v>
      </c>
      <c r="H233" s="18" t="s">
        <v>151</v>
      </c>
      <c r="I233" s="54">
        <v>1</v>
      </c>
      <c r="J233" s="55">
        <v>16.5</v>
      </c>
      <c r="K233" s="55">
        <v>16.5</v>
      </c>
    </row>
    <row r="234" spans="4:11">
      <c r="D234" s="53">
        <v>46129</v>
      </c>
      <c r="E234" s="18">
        <v>1595895</v>
      </c>
      <c r="F234" s="18" t="s">
        <v>83</v>
      </c>
      <c r="G234" s="54">
        <v>20418567</v>
      </c>
      <c r="H234" s="18" t="s">
        <v>85</v>
      </c>
      <c r="I234" s="54">
        <v>1</v>
      </c>
      <c r="J234" s="55">
        <v>330</v>
      </c>
      <c r="K234" s="55">
        <v>330</v>
      </c>
    </row>
    <row r="235" spans="4:11">
      <c r="D235" s="53">
        <v>46129</v>
      </c>
      <c r="E235" s="18">
        <v>1595895</v>
      </c>
      <c r="F235" s="18" t="s">
        <v>94</v>
      </c>
      <c r="G235" s="54">
        <v>20419037</v>
      </c>
      <c r="H235" s="18" t="s">
        <v>114</v>
      </c>
      <c r="I235" s="54">
        <v>1</v>
      </c>
      <c r="J235" s="55">
        <v>16.5</v>
      </c>
      <c r="K235" s="55">
        <v>16.5</v>
      </c>
    </row>
    <row r="236" spans="4:11">
      <c r="D236" s="53">
        <v>46130</v>
      </c>
      <c r="E236" s="18">
        <v>1596029</v>
      </c>
      <c r="F236" s="18" t="s">
        <v>44</v>
      </c>
      <c r="G236" s="54">
        <v>20418549</v>
      </c>
      <c r="H236" s="18" t="s">
        <v>165</v>
      </c>
      <c r="I236" s="54">
        <v>1</v>
      </c>
      <c r="J236" s="55">
        <v>28</v>
      </c>
      <c r="K236" s="55">
        <v>28</v>
      </c>
    </row>
    <row r="237" spans="4:11">
      <c r="D237" s="53">
        <v>46130</v>
      </c>
      <c r="E237" s="18">
        <v>1596029</v>
      </c>
      <c r="F237" s="18" t="s">
        <v>44</v>
      </c>
      <c r="G237" s="54">
        <v>20418560</v>
      </c>
      <c r="H237" s="18" t="s">
        <v>190</v>
      </c>
      <c r="I237" s="54">
        <v>1</v>
      </c>
      <c r="J237" s="55">
        <v>25</v>
      </c>
      <c r="K237" s="55">
        <v>25</v>
      </c>
    </row>
    <row r="238" spans="4:11">
      <c r="D238" s="53">
        <v>46130</v>
      </c>
      <c r="E238" s="18">
        <v>1596029</v>
      </c>
      <c r="F238" s="18" t="s">
        <v>44</v>
      </c>
      <c r="G238" s="54">
        <v>20418545</v>
      </c>
      <c r="H238" s="18" t="s">
        <v>117</v>
      </c>
      <c r="I238" s="54">
        <v>1</v>
      </c>
      <c r="J238" s="55">
        <v>35</v>
      </c>
      <c r="K238" s="55">
        <v>35</v>
      </c>
    </row>
    <row r="239" spans="4:11">
      <c r="D239" s="53">
        <v>46130</v>
      </c>
      <c r="E239" s="18">
        <v>1596029</v>
      </c>
      <c r="F239" s="18" t="s">
        <v>44</v>
      </c>
      <c r="G239" s="54">
        <v>20418558</v>
      </c>
      <c r="H239" s="18" t="s">
        <v>118</v>
      </c>
      <c r="I239" s="54">
        <v>1</v>
      </c>
      <c r="J239" s="55">
        <v>22</v>
      </c>
      <c r="K239" s="55">
        <v>22</v>
      </c>
    </row>
    <row r="240" spans="4:11">
      <c r="D240" s="53">
        <v>46130</v>
      </c>
      <c r="E240" s="18">
        <v>1596029</v>
      </c>
      <c r="F240" s="18" t="s">
        <v>44</v>
      </c>
      <c r="G240" s="54">
        <v>20418552</v>
      </c>
      <c r="H240" s="18" t="s">
        <v>119</v>
      </c>
      <c r="I240" s="54">
        <v>2</v>
      </c>
      <c r="J240" s="55">
        <v>28</v>
      </c>
      <c r="K240" s="55">
        <v>56</v>
      </c>
    </row>
    <row r="241" spans="4:11">
      <c r="D241" s="53">
        <v>46130</v>
      </c>
      <c r="E241" s="18">
        <v>1596029</v>
      </c>
      <c r="F241" s="18" t="s">
        <v>44</v>
      </c>
      <c r="G241" s="54">
        <v>20418537</v>
      </c>
      <c r="H241" s="18" t="s">
        <v>120</v>
      </c>
      <c r="I241" s="54">
        <v>1</v>
      </c>
      <c r="J241" s="55">
        <v>28</v>
      </c>
      <c r="K241" s="55">
        <v>28</v>
      </c>
    </row>
    <row r="242" spans="4:11">
      <c r="D242" s="53">
        <v>46130</v>
      </c>
      <c r="E242" s="18">
        <v>1596029</v>
      </c>
      <c r="F242" s="18" t="s">
        <v>44</v>
      </c>
      <c r="G242" s="54">
        <v>20418539</v>
      </c>
      <c r="H242" s="18" t="s">
        <v>121</v>
      </c>
      <c r="I242" s="54">
        <v>1</v>
      </c>
      <c r="J242" s="55">
        <v>28</v>
      </c>
      <c r="K242" s="55">
        <v>28</v>
      </c>
    </row>
    <row r="243" spans="4:11">
      <c r="D243" s="53">
        <v>46130</v>
      </c>
      <c r="E243" s="18">
        <v>1596029</v>
      </c>
      <c r="F243" s="18" t="s">
        <v>44</v>
      </c>
      <c r="G243" s="54">
        <v>20421602</v>
      </c>
      <c r="H243" s="18" t="s">
        <v>194</v>
      </c>
      <c r="I243" s="54">
        <v>1</v>
      </c>
      <c r="J243" s="55">
        <v>66</v>
      </c>
      <c r="K243" s="55">
        <v>66</v>
      </c>
    </row>
    <row r="244" spans="4:11">
      <c r="D244" s="53">
        <v>46130</v>
      </c>
      <c r="E244" s="18">
        <v>1596029</v>
      </c>
      <c r="F244" s="18" t="s">
        <v>122</v>
      </c>
      <c r="G244" s="54">
        <v>20420067</v>
      </c>
      <c r="H244" s="18" t="s">
        <v>123</v>
      </c>
      <c r="I244" s="54">
        <v>1</v>
      </c>
      <c r="J244" s="55">
        <v>28</v>
      </c>
      <c r="K244" s="55">
        <v>28</v>
      </c>
    </row>
    <row r="245" spans="4:11">
      <c r="D245" s="53">
        <v>46132</v>
      </c>
      <c r="E245" s="18">
        <v>1596456</v>
      </c>
      <c r="F245" s="18" t="s">
        <v>83</v>
      </c>
      <c r="G245" s="54">
        <v>20418559</v>
      </c>
      <c r="H245" s="18" t="s">
        <v>104</v>
      </c>
      <c r="I245" s="54">
        <v>2</v>
      </c>
      <c r="J245" s="55">
        <v>115.5</v>
      </c>
      <c r="K245" s="55">
        <v>231</v>
      </c>
    </row>
    <row r="246" spans="4:11">
      <c r="D246" s="53">
        <v>46132</v>
      </c>
      <c r="E246" s="18">
        <v>1596456</v>
      </c>
      <c r="F246" s="18" t="s">
        <v>83</v>
      </c>
      <c r="G246" s="54">
        <v>20418555</v>
      </c>
      <c r="H246" s="18" t="s">
        <v>105</v>
      </c>
      <c r="I246" s="54">
        <v>1</v>
      </c>
      <c r="J246" s="55">
        <v>170.5</v>
      </c>
      <c r="K246" s="55">
        <v>170.5</v>
      </c>
    </row>
    <row r="247" spans="4:11">
      <c r="D247" s="53">
        <v>46132</v>
      </c>
      <c r="E247" s="18">
        <v>1596456</v>
      </c>
      <c r="F247" s="18" t="s">
        <v>83</v>
      </c>
      <c r="G247" s="54">
        <v>20418525</v>
      </c>
      <c r="H247" s="18" t="s">
        <v>177</v>
      </c>
      <c r="I247" s="54">
        <v>1</v>
      </c>
      <c r="J247" s="55">
        <v>313.5</v>
      </c>
      <c r="K247" s="55">
        <v>313.5</v>
      </c>
    </row>
    <row r="248" spans="4:11">
      <c r="D248" s="53">
        <v>46132</v>
      </c>
      <c r="E248" s="18">
        <v>1596456</v>
      </c>
      <c r="F248" s="18" t="s">
        <v>83</v>
      </c>
      <c r="G248" s="54">
        <v>20418528</v>
      </c>
      <c r="H248" s="18" t="s">
        <v>125</v>
      </c>
      <c r="I248" s="54">
        <v>1</v>
      </c>
      <c r="J248" s="55">
        <v>242</v>
      </c>
      <c r="K248" s="55">
        <v>242</v>
      </c>
    </row>
    <row r="249" spans="4:11">
      <c r="D249" s="53">
        <v>46132</v>
      </c>
      <c r="E249" s="18">
        <v>1596456</v>
      </c>
      <c r="F249" s="18" t="s">
        <v>13</v>
      </c>
      <c r="G249" s="54">
        <v>20420069</v>
      </c>
      <c r="H249" s="18" t="s">
        <v>108</v>
      </c>
      <c r="I249" s="54">
        <v>1</v>
      </c>
      <c r="J249" s="55">
        <v>8</v>
      </c>
      <c r="K249" s="55">
        <v>8</v>
      </c>
    </row>
    <row r="250" spans="4:11">
      <c r="D250" s="53">
        <v>46132</v>
      </c>
      <c r="E250" s="18">
        <v>1596456</v>
      </c>
      <c r="F250" s="18" t="s">
        <v>13</v>
      </c>
      <c r="G250" s="54">
        <v>20419713</v>
      </c>
      <c r="H250" s="18" t="s">
        <v>89</v>
      </c>
      <c r="I250" s="54">
        <v>1</v>
      </c>
      <c r="J250" s="55">
        <v>13.5</v>
      </c>
      <c r="K250" s="55">
        <v>13.5</v>
      </c>
    </row>
    <row r="251" spans="4:11">
      <c r="D251" s="53">
        <v>46132</v>
      </c>
      <c r="E251" s="18">
        <v>1596456</v>
      </c>
      <c r="F251" s="18" t="s">
        <v>13</v>
      </c>
      <c r="G251" s="54">
        <v>20420189</v>
      </c>
      <c r="H251" s="18" t="s">
        <v>126</v>
      </c>
      <c r="I251" s="54">
        <v>1</v>
      </c>
      <c r="J251" s="55">
        <v>13</v>
      </c>
      <c r="K251" s="55">
        <v>13</v>
      </c>
    </row>
    <row r="252" spans="4:11">
      <c r="D252" s="53">
        <v>46132</v>
      </c>
      <c r="E252" s="18">
        <v>1596456</v>
      </c>
      <c r="F252" s="18" t="s">
        <v>13</v>
      </c>
      <c r="G252" s="54">
        <v>20419699</v>
      </c>
      <c r="H252" s="18" t="s">
        <v>92</v>
      </c>
      <c r="I252" s="54">
        <v>1</v>
      </c>
      <c r="J252" s="55">
        <v>11</v>
      </c>
      <c r="K252" s="55">
        <v>11</v>
      </c>
    </row>
    <row r="253" spans="4:11">
      <c r="D253" s="53">
        <v>46132</v>
      </c>
      <c r="E253" s="18">
        <v>1596456</v>
      </c>
      <c r="F253" s="18" t="s">
        <v>94</v>
      </c>
      <c r="G253" s="54">
        <v>20419700</v>
      </c>
      <c r="H253" s="18" t="s">
        <v>96</v>
      </c>
      <c r="I253" s="54">
        <v>2</v>
      </c>
      <c r="J253" s="55">
        <v>16.5</v>
      </c>
      <c r="K253" s="55">
        <v>33</v>
      </c>
    </row>
    <row r="254" spans="4:11">
      <c r="D254" s="53">
        <v>46132</v>
      </c>
      <c r="E254" s="18">
        <v>1596456</v>
      </c>
      <c r="F254" s="18" t="s">
        <v>94</v>
      </c>
      <c r="G254" s="54">
        <v>20419037</v>
      </c>
      <c r="H254" s="18" t="s">
        <v>114</v>
      </c>
      <c r="I254" s="54">
        <v>3</v>
      </c>
      <c r="J254" s="55">
        <v>16.5</v>
      </c>
      <c r="K254" s="55">
        <v>49.5</v>
      </c>
    </row>
    <row r="255" spans="4:11">
      <c r="D255" s="53">
        <v>46132</v>
      </c>
      <c r="E255" s="18">
        <v>1596456</v>
      </c>
      <c r="F255" s="18" t="s">
        <v>94</v>
      </c>
      <c r="G255" s="54">
        <v>20419725</v>
      </c>
      <c r="H255" s="18" t="s">
        <v>98</v>
      </c>
      <c r="I255" s="54">
        <v>1</v>
      </c>
      <c r="J255" s="55">
        <v>16.5</v>
      </c>
      <c r="K255" s="55">
        <v>16.5</v>
      </c>
    </row>
    <row r="256" spans="4:11">
      <c r="D256" s="53">
        <v>46132</v>
      </c>
      <c r="E256" s="18">
        <v>1596456</v>
      </c>
      <c r="F256" s="18" t="s">
        <v>94</v>
      </c>
      <c r="G256" s="54">
        <v>20419721</v>
      </c>
      <c r="H256" s="18" t="s">
        <v>180</v>
      </c>
      <c r="I256" s="54">
        <v>1</v>
      </c>
      <c r="J256" s="55">
        <v>16.5</v>
      </c>
      <c r="K256" s="55">
        <v>16.5</v>
      </c>
    </row>
    <row r="257" spans="4:11">
      <c r="D257" s="53">
        <v>46132</v>
      </c>
      <c r="E257" s="18">
        <v>1596456</v>
      </c>
      <c r="F257" s="18" t="s">
        <v>94</v>
      </c>
      <c r="G257" s="54">
        <v>20419715</v>
      </c>
      <c r="H257" s="18" t="s">
        <v>101</v>
      </c>
      <c r="I257" s="54">
        <v>1</v>
      </c>
      <c r="J257" s="55">
        <v>16.5</v>
      </c>
      <c r="K257" s="55">
        <v>16.5</v>
      </c>
    </row>
    <row r="258" spans="4:11">
      <c r="D258" s="53">
        <v>46132</v>
      </c>
      <c r="E258" s="18">
        <v>1596484</v>
      </c>
      <c r="F258" s="18" t="s">
        <v>44</v>
      </c>
      <c r="G258" s="54">
        <v>20420445</v>
      </c>
      <c r="H258" s="18" t="s">
        <v>166</v>
      </c>
      <c r="I258" s="54">
        <v>1</v>
      </c>
      <c r="J258" s="55">
        <v>35</v>
      </c>
      <c r="K258" s="55">
        <v>35</v>
      </c>
    </row>
    <row r="259" spans="4:11">
      <c r="D259" s="53">
        <v>46132</v>
      </c>
      <c r="E259" s="18">
        <v>1596484</v>
      </c>
      <c r="F259" s="18" t="s">
        <v>44</v>
      </c>
      <c r="G259" s="54">
        <v>20421604</v>
      </c>
      <c r="H259" s="18" t="s">
        <v>192</v>
      </c>
      <c r="I259" s="54">
        <v>1</v>
      </c>
      <c r="J259" s="55">
        <v>22</v>
      </c>
      <c r="K259" s="55">
        <v>22</v>
      </c>
    </row>
    <row r="260" spans="4:11">
      <c r="D260" s="53">
        <v>46132</v>
      </c>
      <c r="E260" s="18">
        <v>1596484</v>
      </c>
      <c r="F260" s="18" t="s">
        <v>44</v>
      </c>
      <c r="G260" s="54">
        <v>20418545</v>
      </c>
      <c r="H260" s="18" t="s">
        <v>117</v>
      </c>
      <c r="I260" s="54">
        <v>2</v>
      </c>
      <c r="J260" s="55">
        <v>35</v>
      </c>
      <c r="K260" s="55">
        <v>70</v>
      </c>
    </row>
    <row r="261" spans="4:11">
      <c r="D261" s="53">
        <v>46132</v>
      </c>
      <c r="E261" s="18">
        <v>1596484</v>
      </c>
      <c r="F261" s="18" t="s">
        <v>44</v>
      </c>
      <c r="G261" s="54">
        <v>20418552</v>
      </c>
      <c r="H261" s="18" t="s">
        <v>119</v>
      </c>
      <c r="I261" s="54">
        <v>2</v>
      </c>
      <c r="J261" s="55">
        <v>28</v>
      </c>
      <c r="K261" s="55">
        <v>56</v>
      </c>
    </row>
    <row r="262" spans="4:11">
      <c r="D262" s="53">
        <v>46132</v>
      </c>
      <c r="E262" s="18">
        <v>1596484</v>
      </c>
      <c r="F262" s="18" t="s">
        <v>44</v>
      </c>
      <c r="G262" s="54">
        <v>20418548</v>
      </c>
      <c r="H262" s="18" t="s">
        <v>169</v>
      </c>
      <c r="I262" s="54">
        <v>1</v>
      </c>
      <c r="J262" s="55">
        <v>28</v>
      </c>
      <c r="K262" s="55">
        <v>28</v>
      </c>
    </row>
    <row r="263" spans="4:11">
      <c r="D263" s="53">
        <v>46132</v>
      </c>
      <c r="E263" s="18">
        <v>1596484</v>
      </c>
      <c r="F263" s="18" t="s">
        <v>44</v>
      </c>
      <c r="G263" s="54">
        <v>20420444</v>
      </c>
      <c r="H263" s="18" t="s">
        <v>170</v>
      </c>
      <c r="I263" s="54">
        <v>1</v>
      </c>
      <c r="J263" s="55">
        <v>35</v>
      </c>
      <c r="K263" s="55">
        <v>35</v>
      </c>
    </row>
    <row r="264" spans="4:11">
      <c r="D264" s="53">
        <v>46132</v>
      </c>
      <c r="E264" s="18">
        <v>1596484</v>
      </c>
      <c r="F264" s="18" t="s">
        <v>44</v>
      </c>
      <c r="G264" s="54">
        <v>20418561</v>
      </c>
      <c r="H264" s="18" t="s">
        <v>128</v>
      </c>
      <c r="I264" s="54">
        <v>2</v>
      </c>
      <c r="J264" s="55">
        <v>25</v>
      </c>
      <c r="K264" s="55">
        <v>50</v>
      </c>
    </row>
    <row r="265" spans="4:11">
      <c r="D265" s="53">
        <v>46132</v>
      </c>
      <c r="E265" s="18">
        <v>1596484</v>
      </c>
      <c r="F265" s="18" t="s">
        <v>44</v>
      </c>
      <c r="G265" s="54">
        <v>20421602</v>
      </c>
      <c r="H265" s="18" t="s">
        <v>194</v>
      </c>
      <c r="I265" s="54">
        <v>2</v>
      </c>
      <c r="J265" s="55">
        <v>66</v>
      </c>
      <c r="K265" s="55">
        <v>132</v>
      </c>
    </row>
    <row r="266" spans="4:11">
      <c r="D266" s="53">
        <v>46132</v>
      </c>
      <c r="E266" s="18">
        <v>1596484</v>
      </c>
      <c r="F266" s="18" t="s">
        <v>122</v>
      </c>
      <c r="G266" s="54">
        <v>20420203</v>
      </c>
      <c r="H266" s="18" t="s">
        <v>129</v>
      </c>
      <c r="I266" s="54">
        <v>1</v>
      </c>
      <c r="J266" s="55">
        <v>28</v>
      </c>
      <c r="K266" s="55">
        <v>28</v>
      </c>
    </row>
    <row r="267" spans="4:11">
      <c r="D267" s="53">
        <v>46132</v>
      </c>
      <c r="E267" s="18">
        <v>1596484</v>
      </c>
      <c r="F267" s="18" t="s">
        <v>122</v>
      </c>
      <c r="G267" s="54">
        <v>20420067</v>
      </c>
      <c r="H267" s="18" t="s">
        <v>123</v>
      </c>
      <c r="I267" s="54">
        <v>1</v>
      </c>
      <c r="J267" s="55">
        <v>28</v>
      </c>
      <c r="K267" s="55">
        <v>28</v>
      </c>
    </row>
    <row r="268" spans="4:11">
      <c r="D268" s="53">
        <v>46134</v>
      </c>
      <c r="E268" s="18">
        <v>1597172</v>
      </c>
      <c r="F268" s="18" t="s">
        <v>44</v>
      </c>
      <c r="G268" s="54">
        <v>20418552</v>
      </c>
      <c r="H268" s="18" t="s">
        <v>198</v>
      </c>
      <c r="I268" s="54">
        <v>2</v>
      </c>
      <c r="J268" s="55">
        <v>28</v>
      </c>
      <c r="K268" s="55">
        <v>56</v>
      </c>
    </row>
    <row r="269" spans="4:11">
      <c r="D269" s="53">
        <v>46134</v>
      </c>
      <c r="E269" s="18">
        <v>1597172</v>
      </c>
      <c r="F269" s="18" t="s">
        <v>44</v>
      </c>
      <c r="G269" s="54">
        <v>20418545</v>
      </c>
      <c r="H269" s="18" t="s">
        <v>199</v>
      </c>
      <c r="I269" s="54">
        <v>1</v>
      </c>
      <c r="J269" s="55">
        <v>35</v>
      </c>
      <c r="K269" s="55">
        <v>35</v>
      </c>
    </row>
    <row r="270" spans="4:11">
      <c r="D270" s="53">
        <v>46134</v>
      </c>
      <c r="E270" s="18">
        <v>1597172</v>
      </c>
      <c r="F270" s="18" t="s">
        <v>44</v>
      </c>
      <c r="G270" s="54">
        <v>20421602</v>
      </c>
      <c r="H270" s="18" t="s">
        <v>194</v>
      </c>
      <c r="I270" s="54">
        <v>1</v>
      </c>
      <c r="J270" s="55">
        <v>66</v>
      </c>
      <c r="K270" s="55">
        <v>66</v>
      </c>
    </row>
    <row r="271" spans="4:11">
      <c r="D271" s="53">
        <v>46134</v>
      </c>
      <c r="E271" s="18">
        <v>1597172</v>
      </c>
      <c r="F271" s="18" t="s">
        <v>122</v>
      </c>
      <c r="G271" s="54">
        <v>20420203</v>
      </c>
      <c r="H271" s="18" t="s">
        <v>129</v>
      </c>
      <c r="I271" s="54">
        <v>1</v>
      </c>
      <c r="J271" s="55">
        <v>28</v>
      </c>
      <c r="K271" s="55">
        <v>28</v>
      </c>
    </row>
    <row r="272" spans="4:11">
      <c r="D272" s="53">
        <v>46134</v>
      </c>
      <c r="E272" s="18">
        <v>1597221</v>
      </c>
      <c r="F272" s="18" t="s">
        <v>83</v>
      </c>
      <c r="G272" s="54">
        <v>20418553</v>
      </c>
      <c r="H272" s="18" t="s">
        <v>84</v>
      </c>
      <c r="I272" s="54">
        <v>2</v>
      </c>
      <c r="J272" s="55">
        <v>115.5</v>
      </c>
      <c r="K272" s="55">
        <v>231</v>
      </c>
    </row>
    <row r="273" spans="4:11">
      <c r="D273" s="53">
        <v>46134</v>
      </c>
      <c r="E273" s="18">
        <v>1597221</v>
      </c>
      <c r="F273" s="18" t="s">
        <v>83</v>
      </c>
      <c r="G273" s="54">
        <v>20418555</v>
      </c>
      <c r="H273" s="18" t="s">
        <v>105</v>
      </c>
      <c r="I273" s="54">
        <v>1</v>
      </c>
      <c r="J273" s="55">
        <v>170.5</v>
      </c>
      <c r="K273" s="55">
        <v>170.5</v>
      </c>
    </row>
    <row r="274" spans="4:11">
      <c r="D274" s="53">
        <v>46134</v>
      </c>
      <c r="E274" s="18">
        <v>1597221</v>
      </c>
      <c r="F274" s="18" t="s">
        <v>13</v>
      </c>
      <c r="G274" s="54">
        <v>20421597</v>
      </c>
      <c r="H274" s="18" t="s">
        <v>187</v>
      </c>
      <c r="I274" s="54">
        <v>1</v>
      </c>
      <c r="J274" s="55">
        <v>16.5</v>
      </c>
      <c r="K274" s="55">
        <v>16.5</v>
      </c>
    </row>
    <row r="275" spans="4:11">
      <c r="D275" s="53">
        <v>46134</v>
      </c>
      <c r="E275" s="18">
        <v>1597221</v>
      </c>
      <c r="F275" s="18" t="s">
        <v>13</v>
      </c>
      <c r="G275" s="54">
        <v>20419711</v>
      </c>
      <c r="H275" s="18" t="s">
        <v>87</v>
      </c>
      <c r="I275" s="54">
        <v>1</v>
      </c>
      <c r="J275" s="55">
        <v>16.5</v>
      </c>
      <c r="K275" s="55">
        <v>16.5</v>
      </c>
    </row>
    <row r="276" spans="4:11">
      <c r="D276" s="53">
        <v>46134</v>
      </c>
      <c r="E276" s="18">
        <v>1597221</v>
      </c>
      <c r="F276" s="18" t="s">
        <v>13</v>
      </c>
      <c r="G276" s="54">
        <v>20420189</v>
      </c>
      <c r="H276" s="18" t="s">
        <v>126</v>
      </c>
      <c r="I276" s="54">
        <v>1</v>
      </c>
      <c r="J276" s="55">
        <v>13</v>
      </c>
      <c r="K276" s="55">
        <v>13</v>
      </c>
    </row>
    <row r="277" spans="4:11">
      <c r="D277" s="53">
        <v>46134</v>
      </c>
      <c r="E277" s="18">
        <v>1597221</v>
      </c>
      <c r="F277" s="18" t="s">
        <v>13</v>
      </c>
      <c r="G277" s="54">
        <v>20419699</v>
      </c>
      <c r="H277" s="18" t="s">
        <v>92</v>
      </c>
      <c r="I277" s="54">
        <v>1</v>
      </c>
      <c r="J277" s="55">
        <v>11</v>
      </c>
      <c r="K277" s="55">
        <v>11</v>
      </c>
    </row>
    <row r="278" spans="4:11">
      <c r="D278" s="53">
        <v>46134</v>
      </c>
      <c r="E278" s="18">
        <v>1597221</v>
      </c>
      <c r="F278" s="18" t="s">
        <v>13</v>
      </c>
      <c r="G278" s="54">
        <v>20421641</v>
      </c>
      <c r="H278" s="18" t="s">
        <v>189</v>
      </c>
      <c r="I278" s="54">
        <v>2</v>
      </c>
      <c r="J278" s="55">
        <v>8</v>
      </c>
      <c r="K278" s="55">
        <v>16</v>
      </c>
    </row>
    <row r="279" spans="4:11">
      <c r="D279" s="53">
        <v>46134</v>
      </c>
      <c r="E279" s="18">
        <v>1597221</v>
      </c>
      <c r="F279" s="18" t="s">
        <v>13</v>
      </c>
      <c r="G279" s="54">
        <v>20419697</v>
      </c>
      <c r="H279" s="18" t="s">
        <v>93</v>
      </c>
      <c r="I279" s="54">
        <v>1</v>
      </c>
      <c r="J279" s="55">
        <v>22</v>
      </c>
      <c r="K279" s="55">
        <v>22</v>
      </c>
    </row>
    <row r="280" spans="4:11">
      <c r="D280" s="53">
        <v>46134</v>
      </c>
      <c r="E280" s="18">
        <v>1597221</v>
      </c>
      <c r="F280" s="18" t="s">
        <v>94</v>
      </c>
      <c r="G280" s="54">
        <v>20419700</v>
      </c>
      <c r="H280" s="18" t="s">
        <v>96</v>
      </c>
      <c r="I280" s="54">
        <v>1</v>
      </c>
      <c r="J280" s="55">
        <v>16.5</v>
      </c>
      <c r="K280" s="55">
        <v>16.5</v>
      </c>
    </row>
    <row r="281" spans="4:11">
      <c r="D281" s="53">
        <v>46134</v>
      </c>
      <c r="E281" s="18">
        <v>1597221</v>
      </c>
      <c r="F281" s="18" t="s">
        <v>94</v>
      </c>
      <c r="G281" s="54">
        <v>20419037</v>
      </c>
      <c r="H281" s="18" t="s">
        <v>114</v>
      </c>
      <c r="I281" s="54">
        <v>2</v>
      </c>
      <c r="J281" s="55">
        <v>16.5</v>
      </c>
      <c r="K281" s="55">
        <v>33</v>
      </c>
    </row>
    <row r="282" spans="4:11">
      <c r="D282" s="53">
        <v>46134</v>
      </c>
      <c r="E282" s="18">
        <v>1597221</v>
      </c>
      <c r="F282" s="18" t="s">
        <v>94</v>
      </c>
      <c r="G282" s="54">
        <v>20422525</v>
      </c>
      <c r="H282" s="18" t="s">
        <v>200</v>
      </c>
      <c r="I282" s="54">
        <v>1</v>
      </c>
      <c r="J282" s="55">
        <v>16.5</v>
      </c>
      <c r="K282" s="55">
        <v>16.5</v>
      </c>
    </row>
    <row r="283" spans="4:11">
      <c r="D283" s="53">
        <v>46134</v>
      </c>
      <c r="E283" s="18">
        <v>1597221</v>
      </c>
      <c r="F283" s="18" t="s">
        <v>94</v>
      </c>
      <c r="G283" s="54">
        <v>20419721</v>
      </c>
      <c r="H283" s="18" t="s">
        <v>180</v>
      </c>
      <c r="I283" s="54">
        <v>1</v>
      </c>
      <c r="J283" s="55">
        <v>16.5</v>
      </c>
      <c r="K283" s="55">
        <v>16.5</v>
      </c>
    </row>
    <row r="284" spans="4:11">
      <c r="D284" s="53">
        <v>46134</v>
      </c>
      <c r="E284" s="18">
        <v>1597221</v>
      </c>
      <c r="F284" s="18" t="s">
        <v>94</v>
      </c>
      <c r="G284" s="54">
        <v>20419702</v>
      </c>
      <c r="H284" s="18" t="s">
        <v>100</v>
      </c>
      <c r="I284" s="54">
        <v>1</v>
      </c>
      <c r="J284" s="55">
        <v>55</v>
      </c>
      <c r="K284" s="55">
        <v>55</v>
      </c>
    </row>
    <row r="285" spans="4:11">
      <c r="D285" s="53">
        <v>46134</v>
      </c>
      <c r="E285" s="18">
        <v>1597221</v>
      </c>
      <c r="F285" s="18" t="s">
        <v>94</v>
      </c>
      <c r="G285" s="54">
        <v>20419715</v>
      </c>
      <c r="H285" s="18" t="s">
        <v>101</v>
      </c>
      <c r="I285" s="54">
        <v>1</v>
      </c>
      <c r="J285" s="55">
        <v>16.5</v>
      </c>
      <c r="K285" s="55">
        <v>16.5</v>
      </c>
    </row>
    <row r="286" spans="4:11">
      <c r="D286" s="53">
        <v>46134</v>
      </c>
      <c r="E286" s="18">
        <v>1597221</v>
      </c>
      <c r="F286" s="18" t="s">
        <v>31</v>
      </c>
      <c r="G286" s="54">
        <v>20422608</v>
      </c>
      <c r="H286" s="18" t="s">
        <v>201</v>
      </c>
      <c r="I286" s="54">
        <v>22</v>
      </c>
      <c r="J286" s="55">
        <v>4</v>
      </c>
      <c r="K286" s="55">
        <f>J286*I286</f>
        <v>88</v>
      </c>
    </row>
    <row r="287" spans="4:11">
      <c r="D287" s="53">
        <v>46136</v>
      </c>
      <c r="E287" s="18">
        <v>1597961</v>
      </c>
      <c r="F287" s="18" t="s">
        <v>83</v>
      </c>
      <c r="G287" s="54">
        <v>20418553</v>
      </c>
      <c r="H287" s="18" t="s">
        <v>84</v>
      </c>
      <c r="I287" s="54">
        <v>1</v>
      </c>
      <c r="J287" s="55">
        <v>115.5</v>
      </c>
      <c r="K287" s="55">
        <v>115.5</v>
      </c>
    </row>
    <row r="288" spans="4:11">
      <c r="D288" s="53">
        <v>46136</v>
      </c>
      <c r="E288" s="18">
        <v>1597961</v>
      </c>
      <c r="F288" s="18" t="s">
        <v>83</v>
      </c>
      <c r="G288" s="54">
        <v>20418559</v>
      </c>
      <c r="H288" s="18" t="s">
        <v>104</v>
      </c>
      <c r="I288" s="54">
        <v>1</v>
      </c>
      <c r="J288" s="55">
        <v>115.5</v>
      </c>
      <c r="K288" s="55">
        <v>115.5</v>
      </c>
    </row>
    <row r="289" spans="4:11">
      <c r="D289" s="53">
        <v>46136</v>
      </c>
      <c r="E289" s="18">
        <v>1597961</v>
      </c>
      <c r="F289" s="18" t="s">
        <v>13</v>
      </c>
      <c r="G289" s="54">
        <v>20420104</v>
      </c>
      <c r="H289" s="18" t="s">
        <v>195</v>
      </c>
      <c r="I289" s="54">
        <v>1</v>
      </c>
      <c r="J289" s="55">
        <v>16.5</v>
      </c>
      <c r="K289" s="55">
        <v>16.5</v>
      </c>
    </row>
    <row r="290" spans="4:11">
      <c r="D290" s="53">
        <v>46136</v>
      </c>
      <c r="E290" s="18">
        <v>1597961</v>
      </c>
      <c r="F290" s="18" t="s">
        <v>13</v>
      </c>
      <c r="G290" s="54">
        <v>20420415</v>
      </c>
      <c r="H290" s="18" t="s">
        <v>202</v>
      </c>
      <c r="I290" s="54">
        <v>1</v>
      </c>
      <c r="J290" s="55">
        <v>22</v>
      </c>
      <c r="K290" s="55">
        <v>22</v>
      </c>
    </row>
    <row r="291" spans="4:11">
      <c r="D291" s="53">
        <v>46136</v>
      </c>
      <c r="E291" s="18">
        <v>1597961</v>
      </c>
      <c r="F291" s="18" t="s">
        <v>13</v>
      </c>
      <c r="G291" s="54">
        <v>20421308</v>
      </c>
      <c r="H291" s="18" t="s">
        <v>179</v>
      </c>
      <c r="I291" s="54">
        <v>1</v>
      </c>
      <c r="J291" s="55">
        <v>8</v>
      </c>
      <c r="K291" s="55">
        <v>8</v>
      </c>
    </row>
    <row r="292" customFormat="1" spans="4:11">
      <c r="D292" s="53">
        <v>46136</v>
      </c>
      <c r="E292" s="18">
        <v>1597961</v>
      </c>
      <c r="F292" s="18" t="s">
        <v>13</v>
      </c>
      <c r="G292" s="54">
        <v>20420412</v>
      </c>
      <c r="H292" s="18" t="s">
        <v>203</v>
      </c>
      <c r="I292" s="54">
        <v>1</v>
      </c>
      <c r="J292" s="55">
        <v>13.5</v>
      </c>
      <c r="K292" s="55">
        <v>13.5</v>
      </c>
    </row>
    <row r="293" spans="4:11">
      <c r="D293" s="53">
        <v>46136</v>
      </c>
      <c r="E293" s="18">
        <v>1597961</v>
      </c>
      <c r="F293" s="18" t="s">
        <v>13</v>
      </c>
      <c r="G293" s="54">
        <v>20422931</v>
      </c>
      <c r="H293" s="18" t="s">
        <v>204</v>
      </c>
      <c r="I293" s="54">
        <v>1</v>
      </c>
      <c r="J293" s="55">
        <v>13</v>
      </c>
      <c r="K293" s="55">
        <v>13</v>
      </c>
    </row>
    <row r="294" spans="4:11">
      <c r="D294" s="53">
        <v>46136</v>
      </c>
      <c r="E294" s="18">
        <v>1597961</v>
      </c>
      <c r="F294" s="18" t="s">
        <v>13</v>
      </c>
      <c r="G294" s="54">
        <v>20422918</v>
      </c>
      <c r="H294" s="18" t="s">
        <v>205</v>
      </c>
      <c r="I294" s="54">
        <v>1</v>
      </c>
      <c r="J294" s="55">
        <v>11</v>
      </c>
      <c r="K294" s="55">
        <v>11</v>
      </c>
    </row>
    <row r="295" spans="4:11">
      <c r="D295" s="53">
        <v>46136</v>
      </c>
      <c r="E295" s="18">
        <v>1597961</v>
      </c>
      <c r="F295" s="18" t="s">
        <v>13</v>
      </c>
      <c r="G295" s="54">
        <v>20419015</v>
      </c>
      <c r="H295" s="18" t="s">
        <v>20</v>
      </c>
      <c r="I295" s="54">
        <v>1</v>
      </c>
      <c r="J295" s="55">
        <v>11</v>
      </c>
      <c r="K295" s="55">
        <v>11</v>
      </c>
    </row>
    <row r="296" spans="4:11">
      <c r="D296" s="53">
        <v>46136</v>
      </c>
      <c r="E296" s="18">
        <v>1597961</v>
      </c>
      <c r="F296" s="18" t="s">
        <v>13</v>
      </c>
      <c r="G296" s="54">
        <v>20420422</v>
      </c>
      <c r="H296" s="18" t="s">
        <v>138</v>
      </c>
      <c r="I296" s="54">
        <v>1</v>
      </c>
      <c r="J296" s="55">
        <v>13</v>
      </c>
      <c r="K296" s="55">
        <v>13</v>
      </c>
    </row>
    <row r="297" spans="4:11">
      <c r="D297" s="53">
        <v>46136</v>
      </c>
      <c r="E297" s="18">
        <v>1597961</v>
      </c>
      <c r="F297" s="18" t="s">
        <v>13</v>
      </c>
      <c r="G297" s="54">
        <v>20422920</v>
      </c>
      <c r="H297" s="18" t="s">
        <v>206</v>
      </c>
      <c r="I297" s="54">
        <v>1</v>
      </c>
      <c r="J297" s="55">
        <v>16.5</v>
      </c>
      <c r="K297" s="55">
        <v>16.5</v>
      </c>
    </row>
    <row r="298" spans="4:11">
      <c r="D298" s="53">
        <v>46136</v>
      </c>
      <c r="E298" s="18">
        <v>1597961</v>
      </c>
      <c r="F298" s="18" t="s">
        <v>13</v>
      </c>
      <c r="G298" s="54">
        <v>20422914</v>
      </c>
      <c r="H298" s="18" t="s">
        <v>207</v>
      </c>
      <c r="I298" s="54">
        <v>1</v>
      </c>
      <c r="J298" s="55">
        <v>13.5</v>
      </c>
      <c r="K298" s="55">
        <v>13.5</v>
      </c>
    </row>
    <row r="299" spans="4:11">
      <c r="D299" s="53">
        <v>46136</v>
      </c>
      <c r="E299" s="18">
        <v>1597961</v>
      </c>
      <c r="F299" s="18" t="s">
        <v>13</v>
      </c>
      <c r="G299" s="54">
        <v>20422916</v>
      </c>
      <c r="H299" s="18" t="s">
        <v>208</v>
      </c>
      <c r="I299" s="54">
        <v>1</v>
      </c>
      <c r="J299" s="55">
        <v>13.5</v>
      </c>
      <c r="K299" s="55">
        <v>13.5</v>
      </c>
    </row>
    <row r="300" spans="4:11">
      <c r="D300" s="53">
        <v>46136</v>
      </c>
      <c r="E300" s="18">
        <v>1597961</v>
      </c>
      <c r="F300" s="18" t="s">
        <v>13</v>
      </c>
      <c r="G300" s="54">
        <v>20422854</v>
      </c>
      <c r="H300" s="18" t="s">
        <v>209</v>
      </c>
      <c r="I300" s="54">
        <v>1</v>
      </c>
      <c r="J300" s="55">
        <v>13.5</v>
      </c>
      <c r="K300" s="55">
        <v>13.5</v>
      </c>
    </row>
    <row r="301" spans="4:11">
      <c r="D301" s="53">
        <v>46136</v>
      </c>
      <c r="E301" s="18">
        <v>1597961</v>
      </c>
      <c r="F301" s="18" t="s">
        <v>13</v>
      </c>
      <c r="G301" s="54">
        <v>20420071</v>
      </c>
      <c r="H301" s="18" t="s">
        <v>210</v>
      </c>
      <c r="I301" s="54">
        <v>1</v>
      </c>
      <c r="J301" s="55">
        <v>22</v>
      </c>
      <c r="K301" s="55">
        <v>22</v>
      </c>
    </row>
    <row r="302" spans="4:11">
      <c r="D302" s="53">
        <v>46136</v>
      </c>
      <c r="E302" s="18">
        <v>1597961</v>
      </c>
      <c r="F302" s="18" t="s">
        <v>13</v>
      </c>
      <c r="G302" s="54">
        <v>20422921</v>
      </c>
      <c r="H302" s="18" t="s">
        <v>211</v>
      </c>
      <c r="I302" s="54">
        <v>1</v>
      </c>
      <c r="J302" s="55">
        <v>11</v>
      </c>
      <c r="K302" s="55">
        <v>11</v>
      </c>
    </row>
    <row r="303" spans="4:11">
      <c r="D303" s="53">
        <v>46136</v>
      </c>
      <c r="E303" s="18">
        <v>1597961</v>
      </c>
      <c r="F303" s="18" t="s">
        <v>13</v>
      </c>
      <c r="G303" s="54">
        <v>20419701</v>
      </c>
      <c r="H303" s="18" t="s">
        <v>88</v>
      </c>
      <c r="I303" s="54">
        <v>2</v>
      </c>
      <c r="J303" s="55">
        <v>13.5</v>
      </c>
      <c r="K303" s="55">
        <v>27</v>
      </c>
    </row>
    <row r="304" spans="4:11">
      <c r="D304" s="53">
        <v>46136</v>
      </c>
      <c r="E304" s="18">
        <v>1597961</v>
      </c>
      <c r="F304" s="18" t="s">
        <v>13</v>
      </c>
      <c r="G304" s="54">
        <v>20422913</v>
      </c>
      <c r="H304" s="18" t="s">
        <v>212</v>
      </c>
      <c r="I304" s="54">
        <v>1</v>
      </c>
      <c r="J304" s="55">
        <v>16.5</v>
      </c>
      <c r="K304" s="55">
        <v>16.5</v>
      </c>
    </row>
    <row r="305" spans="4:11">
      <c r="D305" s="53">
        <v>46136</v>
      </c>
      <c r="E305" s="18">
        <v>1597961</v>
      </c>
      <c r="F305" s="18" t="s">
        <v>13</v>
      </c>
      <c r="G305" s="54">
        <v>20419013</v>
      </c>
      <c r="H305" s="18" t="s">
        <v>22</v>
      </c>
      <c r="I305" s="54">
        <v>1</v>
      </c>
      <c r="J305" s="55">
        <v>11</v>
      </c>
      <c r="K305" s="55">
        <v>11</v>
      </c>
    </row>
    <row r="306" spans="4:11">
      <c r="D306" s="53">
        <v>46136</v>
      </c>
      <c r="E306" s="18">
        <v>1597961</v>
      </c>
      <c r="F306" s="18" t="s">
        <v>13</v>
      </c>
      <c r="G306" s="54">
        <v>20422932</v>
      </c>
      <c r="H306" s="18" t="s">
        <v>213</v>
      </c>
      <c r="I306" s="54">
        <v>2</v>
      </c>
      <c r="J306" s="55">
        <v>13</v>
      </c>
      <c r="K306" s="55">
        <v>26</v>
      </c>
    </row>
    <row r="307" spans="4:11">
      <c r="D307" s="53">
        <v>46136</v>
      </c>
      <c r="E307" s="18">
        <v>1597961</v>
      </c>
      <c r="F307" s="18" t="s">
        <v>13</v>
      </c>
      <c r="G307" s="54">
        <v>20422919</v>
      </c>
      <c r="H307" s="18" t="s">
        <v>214</v>
      </c>
      <c r="I307" s="54">
        <v>1</v>
      </c>
      <c r="J307" s="55">
        <v>8</v>
      </c>
      <c r="K307" s="55">
        <v>8</v>
      </c>
    </row>
    <row r="308" spans="4:11">
      <c r="D308" s="53">
        <v>46136</v>
      </c>
      <c r="E308" s="18">
        <v>1597961</v>
      </c>
      <c r="F308" s="18" t="s">
        <v>13</v>
      </c>
      <c r="G308" s="54">
        <v>20420408</v>
      </c>
      <c r="H308" s="18" t="s">
        <v>145</v>
      </c>
      <c r="I308" s="54">
        <v>10</v>
      </c>
      <c r="J308" s="55">
        <v>11</v>
      </c>
      <c r="K308" s="55">
        <v>110</v>
      </c>
    </row>
    <row r="309" spans="4:11">
      <c r="D309" s="53">
        <v>46136</v>
      </c>
      <c r="E309" s="18">
        <v>1597961</v>
      </c>
      <c r="F309" s="18" t="s">
        <v>13</v>
      </c>
      <c r="G309" s="54">
        <v>20422928</v>
      </c>
      <c r="H309" s="18" t="s">
        <v>215</v>
      </c>
      <c r="I309" s="54">
        <v>1</v>
      </c>
      <c r="J309" s="55">
        <v>13.5</v>
      </c>
      <c r="K309" s="55">
        <v>13.5</v>
      </c>
    </row>
    <row r="310" spans="4:11">
      <c r="D310" s="53">
        <v>46136</v>
      </c>
      <c r="E310" s="18">
        <v>1597961</v>
      </c>
      <c r="F310" s="18" t="s">
        <v>13</v>
      </c>
      <c r="G310" s="54">
        <v>20419698</v>
      </c>
      <c r="H310" s="18" t="s">
        <v>91</v>
      </c>
      <c r="I310" s="54">
        <v>4</v>
      </c>
      <c r="J310" s="55">
        <v>16.5</v>
      </c>
      <c r="K310" s="55">
        <v>66</v>
      </c>
    </row>
    <row r="311" spans="4:11">
      <c r="D311" s="53">
        <v>46136</v>
      </c>
      <c r="E311" s="18">
        <v>1597961</v>
      </c>
      <c r="F311" s="18" t="s">
        <v>13</v>
      </c>
      <c r="G311" s="54">
        <v>20419699</v>
      </c>
      <c r="H311" s="18" t="s">
        <v>92</v>
      </c>
      <c r="I311" s="54">
        <v>1</v>
      </c>
      <c r="J311" s="55">
        <v>11</v>
      </c>
      <c r="K311" s="55">
        <v>11</v>
      </c>
    </row>
    <row r="312" spans="4:11">
      <c r="D312" s="53">
        <v>46136</v>
      </c>
      <c r="E312" s="18">
        <v>1597961</v>
      </c>
      <c r="F312" s="18" t="s">
        <v>13</v>
      </c>
      <c r="G312" s="54">
        <v>20422933</v>
      </c>
      <c r="H312" s="18" t="s">
        <v>216</v>
      </c>
      <c r="I312" s="54">
        <v>1</v>
      </c>
      <c r="J312" s="55">
        <v>8</v>
      </c>
      <c r="K312" s="55">
        <v>8</v>
      </c>
    </row>
    <row r="313" spans="4:11">
      <c r="D313" s="53">
        <v>46136</v>
      </c>
      <c r="E313" s="18">
        <v>1597961</v>
      </c>
      <c r="F313" s="18" t="s">
        <v>13</v>
      </c>
      <c r="G313" s="54">
        <v>20422930</v>
      </c>
      <c r="H313" s="18" t="s">
        <v>217</v>
      </c>
      <c r="I313" s="54">
        <v>1</v>
      </c>
      <c r="J313" s="55">
        <v>8</v>
      </c>
      <c r="K313" s="55">
        <v>8</v>
      </c>
    </row>
    <row r="314" spans="4:11">
      <c r="D314" s="53">
        <v>46136</v>
      </c>
      <c r="E314" s="18">
        <v>1597961</v>
      </c>
      <c r="F314" s="18" t="s">
        <v>13</v>
      </c>
      <c r="G314" s="54">
        <v>20422929</v>
      </c>
      <c r="H314" s="18" t="s">
        <v>218</v>
      </c>
      <c r="I314" s="54">
        <v>1</v>
      </c>
      <c r="J314" s="55">
        <v>8</v>
      </c>
      <c r="K314" s="55">
        <v>8</v>
      </c>
    </row>
    <row r="315" spans="4:11">
      <c r="D315" s="53">
        <v>46136</v>
      </c>
      <c r="E315" s="18">
        <v>1597961</v>
      </c>
      <c r="F315" s="18" t="s">
        <v>13</v>
      </c>
      <c r="G315" s="54">
        <v>20419697</v>
      </c>
      <c r="H315" s="18" t="s">
        <v>93</v>
      </c>
      <c r="I315" s="54">
        <v>1</v>
      </c>
      <c r="J315" s="55">
        <v>22</v>
      </c>
      <c r="K315" s="55">
        <v>22</v>
      </c>
    </row>
    <row r="316" spans="4:11">
      <c r="D316" s="53">
        <v>46136</v>
      </c>
      <c r="E316" s="18">
        <v>1597961</v>
      </c>
      <c r="F316" s="18" t="s">
        <v>13</v>
      </c>
      <c r="G316" s="54">
        <v>20422856</v>
      </c>
      <c r="H316" s="18" t="s">
        <v>219</v>
      </c>
      <c r="I316" s="54">
        <v>3</v>
      </c>
      <c r="J316" s="55">
        <v>16.5</v>
      </c>
      <c r="K316" s="55">
        <v>49.5</v>
      </c>
    </row>
    <row r="317" spans="4:11">
      <c r="D317" s="53">
        <v>46136</v>
      </c>
      <c r="E317" s="18">
        <v>1597961</v>
      </c>
      <c r="F317" s="18" t="s">
        <v>94</v>
      </c>
      <c r="G317" s="54">
        <v>20422855</v>
      </c>
      <c r="H317" s="18" t="s">
        <v>220</v>
      </c>
      <c r="I317" s="54">
        <v>1</v>
      </c>
      <c r="J317" s="55">
        <v>16.5</v>
      </c>
      <c r="K317" s="55">
        <v>16.5</v>
      </c>
    </row>
    <row r="318" spans="4:11">
      <c r="D318" s="53">
        <v>46136</v>
      </c>
      <c r="E318" s="18">
        <v>1597961</v>
      </c>
      <c r="F318" s="18" t="s">
        <v>94</v>
      </c>
      <c r="G318" s="54">
        <v>20419700</v>
      </c>
      <c r="H318" s="18" t="s">
        <v>96</v>
      </c>
      <c r="I318" s="54">
        <v>1</v>
      </c>
      <c r="J318" s="55">
        <v>16.5</v>
      </c>
      <c r="K318" s="55">
        <v>16.5</v>
      </c>
    </row>
    <row r="319" spans="4:11">
      <c r="D319" s="53">
        <v>46136</v>
      </c>
      <c r="E319" s="18">
        <v>1597961</v>
      </c>
      <c r="F319" s="18" t="s">
        <v>94</v>
      </c>
      <c r="G319" s="54">
        <v>20420419</v>
      </c>
      <c r="H319" s="18" t="s">
        <v>148</v>
      </c>
      <c r="I319" s="54">
        <v>1</v>
      </c>
      <c r="J319" s="55">
        <v>16.5</v>
      </c>
      <c r="K319" s="55">
        <v>16.5</v>
      </c>
    </row>
    <row r="320" spans="4:11">
      <c r="D320" s="53">
        <v>46136</v>
      </c>
      <c r="E320" s="18">
        <v>1597961</v>
      </c>
      <c r="F320" s="18" t="s">
        <v>94</v>
      </c>
      <c r="G320" s="54">
        <v>20419037</v>
      </c>
      <c r="H320" s="18" t="s">
        <v>114</v>
      </c>
      <c r="I320" s="54">
        <v>2</v>
      </c>
      <c r="J320" s="55">
        <v>16.5</v>
      </c>
      <c r="K320" s="55">
        <v>33</v>
      </c>
    </row>
    <row r="321" spans="4:11">
      <c r="D321" s="53">
        <v>46136</v>
      </c>
      <c r="E321" s="18">
        <v>1597961</v>
      </c>
      <c r="F321" s="18" t="s">
        <v>94</v>
      </c>
      <c r="G321" s="54">
        <v>20422927</v>
      </c>
      <c r="H321" s="18" t="s">
        <v>221</v>
      </c>
      <c r="I321" s="54">
        <v>1</v>
      </c>
      <c r="J321" s="55">
        <v>33</v>
      </c>
      <c r="K321" s="55">
        <v>33</v>
      </c>
    </row>
    <row r="322" spans="4:11">
      <c r="D322" s="53">
        <v>46136</v>
      </c>
      <c r="E322" s="18">
        <v>1597961</v>
      </c>
      <c r="F322" s="18" t="s">
        <v>94</v>
      </c>
      <c r="G322" s="54">
        <v>20419725</v>
      </c>
      <c r="H322" s="18" t="s">
        <v>98</v>
      </c>
      <c r="I322" s="54">
        <v>1</v>
      </c>
      <c r="J322" s="55">
        <v>16.5</v>
      </c>
      <c r="K322" s="55">
        <v>16.5</v>
      </c>
    </row>
    <row r="323" spans="4:11">
      <c r="D323" s="53">
        <v>46136</v>
      </c>
      <c r="E323" s="18">
        <v>1597961</v>
      </c>
      <c r="F323" s="18" t="s">
        <v>94</v>
      </c>
      <c r="G323" s="54">
        <v>20422915</v>
      </c>
      <c r="H323" s="18" t="s">
        <v>222</v>
      </c>
      <c r="I323" s="54">
        <v>1</v>
      </c>
      <c r="J323" s="55">
        <v>33</v>
      </c>
      <c r="K323" s="55">
        <v>33</v>
      </c>
    </row>
    <row r="324" spans="4:11">
      <c r="D324" s="53">
        <v>46136</v>
      </c>
      <c r="E324" s="18">
        <v>1597961</v>
      </c>
      <c r="F324" s="18" t="s">
        <v>94</v>
      </c>
      <c r="G324" s="54">
        <v>20422926</v>
      </c>
      <c r="H324" s="18" t="s">
        <v>223</v>
      </c>
      <c r="I324" s="54">
        <v>1</v>
      </c>
      <c r="J324" s="55">
        <v>16.5</v>
      </c>
      <c r="K324" s="55">
        <v>16.5</v>
      </c>
    </row>
    <row r="325" spans="4:11">
      <c r="D325" s="53">
        <v>46136</v>
      </c>
      <c r="E325" s="18">
        <v>1597970</v>
      </c>
      <c r="F325" s="18" t="s">
        <v>44</v>
      </c>
      <c r="G325" s="54">
        <v>20420447</v>
      </c>
      <c r="H325" s="18" t="s">
        <v>161</v>
      </c>
      <c r="I325" s="54">
        <v>1</v>
      </c>
      <c r="J325" s="55">
        <v>25</v>
      </c>
      <c r="K325" s="55">
        <v>25</v>
      </c>
    </row>
    <row r="326" spans="4:11">
      <c r="D326" s="53">
        <v>46136</v>
      </c>
      <c r="E326" s="18">
        <v>1597970</v>
      </c>
      <c r="F326" s="18" t="s">
        <v>44</v>
      </c>
      <c r="G326" s="54">
        <v>20422870</v>
      </c>
      <c r="H326" s="18" t="s">
        <v>224</v>
      </c>
      <c r="I326" s="54">
        <v>1</v>
      </c>
      <c r="J326" s="55">
        <v>622</v>
      </c>
      <c r="K326" s="55">
        <v>622</v>
      </c>
    </row>
    <row r="327" spans="4:11">
      <c r="D327" s="53">
        <v>46136</v>
      </c>
      <c r="E327" s="18">
        <v>1597970</v>
      </c>
      <c r="F327" s="18" t="s">
        <v>44</v>
      </c>
      <c r="G327" s="54">
        <v>20421605</v>
      </c>
      <c r="H327" s="18" t="s">
        <v>191</v>
      </c>
      <c r="I327" s="54">
        <v>1</v>
      </c>
      <c r="J327" s="55">
        <v>22</v>
      </c>
      <c r="K327" s="55">
        <v>22</v>
      </c>
    </row>
    <row r="328" spans="4:11">
      <c r="D328" s="53">
        <v>46136</v>
      </c>
      <c r="E328" s="18">
        <v>1597970</v>
      </c>
      <c r="F328" s="18" t="s">
        <v>44</v>
      </c>
      <c r="G328" s="54">
        <v>20420445</v>
      </c>
      <c r="H328" s="18" t="s">
        <v>166</v>
      </c>
      <c r="I328" s="54">
        <v>2</v>
      </c>
      <c r="J328" s="55">
        <v>35</v>
      </c>
      <c r="K328" s="55">
        <v>70</v>
      </c>
    </row>
    <row r="329" spans="4:11">
      <c r="D329" s="53">
        <v>46136</v>
      </c>
      <c r="E329" s="18">
        <v>1597970</v>
      </c>
      <c r="F329" s="18" t="s">
        <v>44</v>
      </c>
      <c r="G329" s="54">
        <v>20422869</v>
      </c>
      <c r="H329" s="18" t="s">
        <v>225</v>
      </c>
      <c r="I329" s="54">
        <v>1</v>
      </c>
      <c r="J329" s="55">
        <v>28</v>
      </c>
      <c r="K329" s="55">
        <v>28</v>
      </c>
    </row>
    <row r="330" spans="4:11">
      <c r="D330" s="53">
        <v>46136</v>
      </c>
      <c r="E330" s="18">
        <v>1597970</v>
      </c>
      <c r="F330" s="18" t="s">
        <v>44</v>
      </c>
      <c r="G330" s="54">
        <v>20421604</v>
      </c>
      <c r="H330" s="18" t="s">
        <v>192</v>
      </c>
      <c r="I330" s="54">
        <v>2</v>
      </c>
      <c r="J330" s="55">
        <v>22</v>
      </c>
      <c r="K330" s="55">
        <v>44</v>
      </c>
    </row>
    <row r="331" spans="4:11">
      <c r="D331" s="53">
        <v>46136</v>
      </c>
      <c r="E331" s="18">
        <v>1597970</v>
      </c>
      <c r="F331" s="18" t="s">
        <v>44</v>
      </c>
      <c r="G331" s="54">
        <v>20420443</v>
      </c>
      <c r="H331" s="18" t="s">
        <v>168</v>
      </c>
      <c r="I331" s="54">
        <v>1</v>
      </c>
      <c r="J331" s="55">
        <v>22</v>
      </c>
      <c r="K331" s="55">
        <v>22</v>
      </c>
    </row>
    <row r="332" spans="4:11">
      <c r="D332" s="53">
        <v>46136</v>
      </c>
      <c r="E332" s="18">
        <v>1597970</v>
      </c>
      <c r="F332" s="18" t="s">
        <v>44</v>
      </c>
      <c r="G332" s="54">
        <v>20418545</v>
      </c>
      <c r="H332" s="18" t="s">
        <v>199</v>
      </c>
      <c r="I332" s="54">
        <v>1</v>
      </c>
      <c r="J332" s="55">
        <v>35</v>
      </c>
      <c r="K332" s="55">
        <v>35</v>
      </c>
    </row>
    <row r="333" spans="4:11">
      <c r="D333" s="53">
        <v>46136</v>
      </c>
      <c r="E333" s="18">
        <v>1597970</v>
      </c>
      <c r="F333" s="18" t="s">
        <v>44</v>
      </c>
      <c r="G333" s="54">
        <v>20422867</v>
      </c>
      <c r="H333" s="18" t="s">
        <v>226</v>
      </c>
      <c r="I333" s="54">
        <v>1</v>
      </c>
      <c r="J333" s="55">
        <v>28</v>
      </c>
      <c r="K333" s="55">
        <v>28</v>
      </c>
    </row>
    <row r="334" spans="4:11">
      <c r="D334" s="53">
        <v>46136</v>
      </c>
      <c r="E334" s="18">
        <v>1597970</v>
      </c>
      <c r="F334" s="18" t="s">
        <v>44</v>
      </c>
      <c r="G334" s="54">
        <v>20418561</v>
      </c>
      <c r="H334" s="18" t="s">
        <v>128</v>
      </c>
      <c r="I334" s="54">
        <v>1</v>
      </c>
      <c r="J334" s="55">
        <v>25</v>
      </c>
      <c r="K334" s="55">
        <v>25</v>
      </c>
    </row>
    <row r="335" spans="4:11">
      <c r="D335" s="53">
        <v>46136</v>
      </c>
      <c r="E335" s="18">
        <v>1597970</v>
      </c>
      <c r="F335" s="18" t="s">
        <v>44</v>
      </c>
      <c r="G335" s="54">
        <v>20421602</v>
      </c>
      <c r="H335" s="18" t="s">
        <v>194</v>
      </c>
      <c r="I335" s="54">
        <v>1</v>
      </c>
      <c r="J335" s="55">
        <v>66</v>
      </c>
      <c r="K335" s="55">
        <v>66</v>
      </c>
    </row>
    <row r="336" spans="4:11">
      <c r="D336" s="53">
        <v>46136</v>
      </c>
      <c r="E336" s="18">
        <v>1597970</v>
      </c>
      <c r="F336" s="18" t="s">
        <v>122</v>
      </c>
      <c r="G336" s="54">
        <v>20420203</v>
      </c>
      <c r="H336" s="18" t="s">
        <v>129</v>
      </c>
      <c r="I336" s="54">
        <v>1</v>
      </c>
      <c r="J336" s="55">
        <v>28</v>
      </c>
      <c r="K336" s="55">
        <v>28</v>
      </c>
    </row>
    <row r="337" spans="4:11">
      <c r="D337" s="53">
        <v>46139</v>
      </c>
      <c r="E337" s="18">
        <v>1598476</v>
      </c>
      <c r="F337" s="18" t="s">
        <v>83</v>
      </c>
      <c r="G337" s="54">
        <v>20418555</v>
      </c>
      <c r="H337" s="18" t="s">
        <v>105</v>
      </c>
      <c r="I337" s="54">
        <v>1</v>
      </c>
      <c r="J337" s="55">
        <v>170.5</v>
      </c>
      <c r="K337" s="55">
        <v>170.5</v>
      </c>
    </row>
    <row r="338" spans="4:11">
      <c r="D338" s="53">
        <v>46139</v>
      </c>
      <c r="E338" s="18">
        <v>1598476</v>
      </c>
      <c r="F338" s="18" t="s">
        <v>13</v>
      </c>
      <c r="G338" s="54">
        <v>20420069</v>
      </c>
      <c r="H338" s="18" t="s">
        <v>108</v>
      </c>
      <c r="I338" s="54">
        <v>1</v>
      </c>
      <c r="J338" s="55">
        <v>8</v>
      </c>
      <c r="K338" s="55">
        <v>8</v>
      </c>
    </row>
    <row r="339" spans="4:11">
      <c r="D339" s="53">
        <v>46139</v>
      </c>
      <c r="E339" s="18">
        <v>1598476</v>
      </c>
      <c r="F339" s="18" t="s">
        <v>13</v>
      </c>
      <c r="G339" s="54">
        <v>20419711</v>
      </c>
      <c r="H339" s="18" t="s">
        <v>87</v>
      </c>
      <c r="I339" s="54">
        <v>5</v>
      </c>
      <c r="J339" s="55">
        <v>16.5</v>
      </c>
      <c r="K339" s="55">
        <v>82.5</v>
      </c>
    </row>
    <row r="340" spans="4:11">
      <c r="D340" s="53">
        <v>46139</v>
      </c>
      <c r="E340" s="18">
        <v>1598476</v>
      </c>
      <c r="F340" s="18" t="s">
        <v>13</v>
      </c>
      <c r="G340" s="54">
        <v>20419699</v>
      </c>
      <c r="H340" s="18" t="s">
        <v>92</v>
      </c>
      <c r="I340" s="54">
        <v>1</v>
      </c>
      <c r="J340" s="55">
        <v>11</v>
      </c>
      <c r="K340" s="55">
        <v>11</v>
      </c>
    </row>
    <row r="341" spans="4:11">
      <c r="D341" s="53">
        <v>46139</v>
      </c>
      <c r="E341" s="18">
        <v>1598476</v>
      </c>
      <c r="F341" s="18" t="s">
        <v>94</v>
      </c>
      <c r="G341" s="54">
        <v>20419700</v>
      </c>
      <c r="H341" s="18" t="s">
        <v>96</v>
      </c>
      <c r="I341" s="54">
        <v>1</v>
      </c>
      <c r="J341" s="55">
        <v>16.5</v>
      </c>
      <c r="K341" s="55">
        <v>16.5</v>
      </c>
    </row>
    <row r="342" spans="4:11">
      <c r="D342" s="53">
        <v>46139</v>
      </c>
      <c r="E342" s="18">
        <v>1598476</v>
      </c>
      <c r="F342" s="18" t="s">
        <v>94</v>
      </c>
      <c r="G342" s="54">
        <v>20419037</v>
      </c>
      <c r="H342" s="18" t="s">
        <v>114</v>
      </c>
      <c r="I342" s="54">
        <v>1</v>
      </c>
      <c r="J342" s="55">
        <v>16.5</v>
      </c>
      <c r="K342" s="55">
        <v>16.5</v>
      </c>
    </row>
    <row r="343" customFormat="1" spans="4:11">
      <c r="D343" s="53">
        <v>46139</v>
      </c>
      <c r="E343" s="18">
        <v>1598476</v>
      </c>
      <c r="F343" s="18" t="s">
        <v>94</v>
      </c>
      <c r="G343" s="54">
        <v>20420068</v>
      </c>
      <c r="H343" s="18" t="s">
        <v>115</v>
      </c>
      <c r="I343" s="54">
        <v>1</v>
      </c>
      <c r="J343" s="55">
        <v>16.5</v>
      </c>
      <c r="K343" s="55">
        <f>J343*I343</f>
        <v>16.5</v>
      </c>
    </row>
    <row r="344" spans="4:11">
      <c r="D344" s="53">
        <v>46139</v>
      </c>
      <c r="E344" s="18">
        <v>1598476</v>
      </c>
      <c r="F344" s="18" t="s">
        <v>94</v>
      </c>
      <c r="G344" s="54">
        <v>20419721</v>
      </c>
      <c r="H344" s="18" t="s">
        <v>180</v>
      </c>
      <c r="I344" s="54">
        <v>1</v>
      </c>
      <c r="J344" s="55">
        <v>16.5</v>
      </c>
      <c r="K344" s="55">
        <v>16.5</v>
      </c>
    </row>
    <row r="345" spans="4:11">
      <c r="D345" s="53">
        <v>46139</v>
      </c>
      <c r="E345" s="18">
        <v>1598476</v>
      </c>
      <c r="F345" s="18" t="s">
        <v>94</v>
      </c>
      <c r="G345" s="54">
        <v>20419715</v>
      </c>
      <c r="H345" s="18" t="s">
        <v>101</v>
      </c>
      <c r="I345" s="54">
        <v>1</v>
      </c>
      <c r="J345" s="55">
        <v>16.5</v>
      </c>
      <c r="K345" s="55">
        <v>16.5</v>
      </c>
    </row>
    <row r="346" spans="4:11">
      <c r="D346" s="53">
        <v>46140</v>
      </c>
      <c r="E346" s="18">
        <v>1598929</v>
      </c>
      <c r="F346" s="18" t="s">
        <v>83</v>
      </c>
      <c r="G346" s="54">
        <v>20418567</v>
      </c>
      <c r="H346" s="18" t="s">
        <v>85</v>
      </c>
      <c r="I346" s="54">
        <v>1</v>
      </c>
      <c r="J346" s="55">
        <v>330</v>
      </c>
      <c r="K346" s="55">
        <v>330</v>
      </c>
    </row>
    <row r="347" spans="4:11">
      <c r="D347" s="53">
        <v>46140</v>
      </c>
      <c r="E347" s="18">
        <v>1598929</v>
      </c>
      <c r="F347" s="18" t="s">
        <v>83</v>
      </c>
      <c r="G347" s="54">
        <v>20418575</v>
      </c>
      <c r="H347" s="18" t="s">
        <v>183</v>
      </c>
      <c r="I347" s="54">
        <v>1</v>
      </c>
      <c r="J347" s="55">
        <v>60.5</v>
      </c>
      <c r="K347" s="55">
        <v>60.5</v>
      </c>
    </row>
    <row r="348" spans="4:11">
      <c r="D348" s="53">
        <v>46140</v>
      </c>
      <c r="E348" s="18">
        <v>1598929</v>
      </c>
      <c r="F348" s="18" t="s">
        <v>13</v>
      </c>
      <c r="G348" s="54">
        <v>20423392</v>
      </c>
      <c r="H348" s="18" t="s">
        <v>227</v>
      </c>
      <c r="I348" s="54">
        <v>1</v>
      </c>
      <c r="J348" s="55">
        <v>16.5</v>
      </c>
      <c r="K348" s="55">
        <v>16.5</v>
      </c>
    </row>
    <row r="349" spans="4:11">
      <c r="D349" s="53">
        <v>46140</v>
      </c>
      <c r="E349" s="18">
        <v>1598929</v>
      </c>
      <c r="F349" s="18" t="s">
        <v>13</v>
      </c>
      <c r="G349" s="54">
        <v>20419052</v>
      </c>
      <c r="H349" s="18" t="s">
        <v>90</v>
      </c>
      <c r="I349" s="54">
        <v>3</v>
      </c>
      <c r="J349" s="55">
        <v>13</v>
      </c>
      <c r="K349" s="55">
        <v>39</v>
      </c>
    </row>
    <row r="350" spans="4:11">
      <c r="D350" s="53">
        <v>46140</v>
      </c>
      <c r="E350" s="18">
        <v>1598929</v>
      </c>
      <c r="F350" s="18" t="s">
        <v>94</v>
      </c>
      <c r="G350" s="54">
        <v>20419037</v>
      </c>
      <c r="H350" s="18" t="s">
        <v>114</v>
      </c>
      <c r="I350" s="54">
        <v>2</v>
      </c>
      <c r="J350" s="55">
        <v>16.5</v>
      </c>
      <c r="K350" s="55">
        <v>33</v>
      </c>
    </row>
    <row r="351" spans="4:11">
      <c r="D351" s="53">
        <v>46140</v>
      </c>
      <c r="E351" s="18">
        <v>1598950</v>
      </c>
      <c r="F351" s="18" t="s">
        <v>122</v>
      </c>
      <c r="G351" s="54">
        <v>20420067</v>
      </c>
      <c r="H351" s="18" t="s">
        <v>123</v>
      </c>
      <c r="I351" s="54">
        <v>1</v>
      </c>
      <c r="J351" s="55">
        <v>28</v>
      </c>
      <c r="K351" s="55">
        <v>28</v>
      </c>
    </row>
    <row r="352" spans="4:11">
      <c r="D352" s="53">
        <v>46141</v>
      </c>
      <c r="E352" s="18">
        <v>1599320</v>
      </c>
      <c r="F352" s="18" t="s">
        <v>83</v>
      </c>
      <c r="G352" s="54">
        <v>20418553</v>
      </c>
      <c r="H352" s="18" t="s">
        <v>84</v>
      </c>
      <c r="I352" s="54">
        <v>2</v>
      </c>
      <c r="J352" s="55">
        <v>115.5</v>
      </c>
      <c r="K352" s="55">
        <v>231</v>
      </c>
    </row>
    <row r="353" spans="4:11">
      <c r="D353" s="53">
        <v>46141</v>
      </c>
      <c r="E353" s="18">
        <v>1599320</v>
      </c>
      <c r="F353" s="18" t="s">
        <v>13</v>
      </c>
      <c r="G353" s="54">
        <v>20420069</v>
      </c>
      <c r="H353" s="18" t="s">
        <v>108</v>
      </c>
      <c r="I353" s="54">
        <v>2</v>
      </c>
      <c r="J353" s="55">
        <v>8</v>
      </c>
      <c r="K353" s="55">
        <v>16</v>
      </c>
    </row>
    <row r="354" spans="4:11">
      <c r="D354" s="53">
        <v>46141</v>
      </c>
      <c r="E354" s="18">
        <v>1599320</v>
      </c>
      <c r="F354" s="18" t="s">
        <v>13</v>
      </c>
      <c r="G354" s="54">
        <v>20419711</v>
      </c>
      <c r="H354" s="18" t="s">
        <v>87</v>
      </c>
      <c r="I354" s="54">
        <v>3</v>
      </c>
      <c r="J354" s="55">
        <v>16.5</v>
      </c>
      <c r="K354" s="55">
        <v>49.5</v>
      </c>
    </row>
    <row r="355" spans="4:11">
      <c r="D355" s="53">
        <v>46141</v>
      </c>
      <c r="E355" s="18">
        <v>1599320</v>
      </c>
      <c r="F355" s="18" t="s">
        <v>13</v>
      </c>
      <c r="G355" s="54">
        <v>20419052</v>
      </c>
      <c r="H355" s="18" t="s">
        <v>90</v>
      </c>
      <c r="I355" s="54">
        <v>1</v>
      </c>
      <c r="J355" s="55">
        <v>13</v>
      </c>
      <c r="K355" s="55">
        <v>13</v>
      </c>
    </row>
    <row r="356" spans="4:11">
      <c r="D356" s="53">
        <v>46141</v>
      </c>
      <c r="E356" s="18">
        <v>1599320</v>
      </c>
      <c r="F356" s="18" t="s">
        <v>13</v>
      </c>
      <c r="G356" s="54">
        <v>20420108</v>
      </c>
      <c r="H356" s="18" t="s">
        <v>111</v>
      </c>
      <c r="I356" s="54">
        <v>1</v>
      </c>
      <c r="J356" s="55">
        <v>22</v>
      </c>
      <c r="K356" s="55">
        <f>J356*I356</f>
        <v>22</v>
      </c>
    </row>
    <row r="357" spans="4:11">
      <c r="D357" s="53">
        <v>46141</v>
      </c>
      <c r="E357" s="18">
        <v>1599320</v>
      </c>
      <c r="F357" s="18" t="s">
        <v>13</v>
      </c>
      <c r="G357" s="54">
        <v>20419698</v>
      </c>
      <c r="H357" s="18" t="s">
        <v>91</v>
      </c>
      <c r="I357" s="54">
        <v>1</v>
      </c>
      <c r="J357" s="55">
        <v>16.5</v>
      </c>
      <c r="K357" s="55">
        <v>16.5</v>
      </c>
    </row>
    <row r="358" spans="4:11">
      <c r="D358" s="53">
        <v>46141</v>
      </c>
      <c r="E358" s="18">
        <v>1599320</v>
      </c>
      <c r="F358" s="18" t="s">
        <v>13</v>
      </c>
      <c r="G358" s="54">
        <v>20419699</v>
      </c>
      <c r="H358" s="18" t="s">
        <v>92</v>
      </c>
      <c r="I358" s="54">
        <v>2</v>
      </c>
      <c r="J358" s="55">
        <v>11</v>
      </c>
      <c r="K358" s="55">
        <v>22</v>
      </c>
    </row>
    <row r="359" spans="4:11">
      <c r="D359" s="53">
        <v>46141</v>
      </c>
      <c r="E359" s="18">
        <v>1599320</v>
      </c>
      <c r="F359" s="18" t="s">
        <v>94</v>
      </c>
      <c r="G359" s="54">
        <v>20419037</v>
      </c>
      <c r="H359" s="18" t="s">
        <v>114</v>
      </c>
      <c r="I359" s="54">
        <v>2</v>
      </c>
      <c r="J359" s="55">
        <v>16.5</v>
      </c>
      <c r="K359" s="55">
        <v>33</v>
      </c>
    </row>
    <row r="360" spans="4:11">
      <c r="D360" s="53">
        <v>46141</v>
      </c>
      <c r="E360" s="18">
        <v>1599320</v>
      </c>
      <c r="F360" s="18" t="s">
        <v>94</v>
      </c>
      <c r="G360" s="54">
        <v>20419721</v>
      </c>
      <c r="H360" s="18" t="s">
        <v>180</v>
      </c>
      <c r="I360" s="54">
        <v>1</v>
      </c>
      <c r="J360" s="55">
        <v>16.5</v>
      </c>
      <c r="K360" s="55">
        <v>16.5</v>
      </c>
    </row>
    <row r="361" spans="4:11">
      <c r="D361" s="53">
        <v>46141</v>
      </c>
      <c r="E361" s="18">
        <v>1599320</v>
      </c>
      <c r="F361" s="18" t="s">
        <v>94</v>
      </c>
      <c r="G361" s="54">
        <v>20419715</v>
      </c>
      <c r="H361" s="18" t="s">
        <v>101</v>
      </c>
      <c r="I361" s="54">
        <v>1</v>
      </c>
      <c r="J361" s="55">
        <v>16.5</v>
      </c>
      <c r="K361" s="55">
        <v>16.5</v>
      </c>
    </row>
    <row r="362" spans="4:11">
      <c r="D362" s="53">
        <v>46142</v>
      </c>
      <c r="E362" s="18">
        <v>1599558</v>
      </c>
      <c r="F362" s="18" t="s">
        <v>94</v>
      </c>
      <c r="G362" s="54">
        <v>20419700</v>
      </c>
      <c r="H362" s="18" t="s">
        <v>96</v>
      </c>
      <c r="I362" s="54">
        <v>1</v>
      </c>
      <c r="J362" s="55">
        <v>16.5</v>
      </c>
      <c r="K362" s="55">
        <v>16.5</v>
      </c>
    </row>
    <row r="363" spans="4:11">
      <c r="D363" s="53">
        <v>46142</v>
      </c>
      <c r="E363" s="18">
        <v>1599694</v>
      </c>
      <c r="F363" s="18" t="s">
        <v>44</v>
      </c>
      <c r="G363" s="54">
        <v>20418545</v>
      </c>
      <c r="H363" s="18" t="s">
        <v>199</v>
      </c>
      <c r="I363" s="54">
        <v>1</v>
      </c>
      <c r="J363" s="55">
        <v>35</v>
      </c>
      <c r="K363" s="55">
        <v>35</v>
      </c>
    </row>
    <row r="364" spans="4:11">
      <c r="D364" s="53">
        <v>46142</v>
      </c>
      <c r="E364" s="18">
        <v>1599694</v>
      </c>
      <c r="F364" s="18" t="s">
        <v>44</v>
      </c>
      <c r="G364" s="54">
        <v>20422867</v>
      </c>
      <c r="H364" s="18" t="s">
        <v>226</v>
      </c>
      <c r="I364" s="54">
        <v>2</v>
      </c>
      <c r="J364" s="55">
        <v>28</v>
      </c>
      <c r="K364" s="55">
        <v>56</v>
      </c>
    </row>
    <row r="365" spans="4:11">
      <c r="D365" s="53">
        <v>46142</v>
      </c>
      <c r="E365" s="18">
        <v>1599694</v>
      </c>
      <c r="F365" s="18" t="s">
        <v>44</v>
      </c>
      <c r="G365" s="54">
        <v>20421602</v>
      </c>
      <c r="H365" s="18" t="s">
        <v>194</v>
      </c>
      <c r="I365" s="54">
        <v>1</v>
      </c>
      <c r="J365" s="55">
        <v>66</v>
      </c>
      <c r="K365" s="55">
        <v>66</v>
      </c>
    </row>
    <row r="366" spans="4:11">
      <c r="D366" s="53">
        <v>46142</v>
      </c>
      <c r="E366" s="18">
        <v>1599694</v>
      </c>
      <c r="F366" s="18" t="s">
        <v>122</v>
      </c>
      <c r="G366" s="54">
        <v>20420067</v>
      </c>
      <c r="H366" s="18" t="s">
        <v>123</v>
      </c>
      <c r="I366" s="54">
        <v>1</v>
      </c>
      <c r="J366" s="55">
        <v>28</v>
      </c>
      <c r="K366" s="55">
        <v>28</v>
      </c>
    </row>
    <row r="367" spans="4:11">
      <c r="D367" s="53">
        <v>46142</v>
      </c>
      <c r="E367" s="18">
        <v>1599783</v>
      </c>
      <c r="F367" s="18" t="s">
        <v>83</v>
      </c>
      <c r="G367" s="54">
        <v>20418559</v>
      </c>
      <c r="H367" s="18" t="s">
        <v>104</v>
      </c>
      <c r="I367" s="54">
        <v>1</v>
      </c>
      <c r="J367" s="55">
        <v>115.5</v>
      </c>
      <c r="K367" s="55">
        <v>115.5</v>
      </c>
    </row>
    <row r="368" spans="4:11">
      <c r="D368" s="53">
        <v>46142</v>
      </c>
      <c r="E368" s="18">
        <v>1599783</v>
      </c>
      <c r="F368" s="18" t="s">
        <v>94</v>
      </c>
      <c r="G368" s="54">
        <v>20419037</v>
      </c>
      <c r="H368" s="18" t="s">
        <v>114</v>
      </c>
      <c r="I368" s="54">
        <v>1</v>
      </c>
      <c r="J368" s="55">
        <v>16.5</v>
      </c>
      <c r="K368" s="55">
        <v>16.5</v>
      </c>
    </row>
  </sheetData>
  <autoFilter xmlns:etc="http://www.wps.cn/officeDocument/2017/etCustomData" ref="A7:K368" etc:filterBottomFollowUsedRange="0">
    <extLst/>
  </autoFilter>
  <mergeCells count="5">
    <mergeCell ref="D8:H8"/>
    <mergeCell ref="C7:C368"/>
    <mergeCell ref="B4:H5"/>
    <mergeCell ref="C1:H2"/>
    <mergeCell ref="A7:B36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228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5</v>
      </c>
      <c r="J8" s="52"/>
      <c r="K8" s="52">
        <v>40</v>
      </c>
    </row>
    <row r="9" spans="1:11">
      <c r="D9" s="53">
        <v>46122</v>
      </c>
      <c r="E9" s="18">
        <v>1593760</v>
      </c>
      <c r="F9" s="18" t="s">
        <v>13</v>
      </c>
      <c r="G9" s="54">
        <v>20418998</v>
      </c>
      <c r="H9" s="18" t="s">
        <v>42</v>
      </c>
      <c r="I9" s="54">
        <v>2</v>
      </c>
      <c r="J9" s="55">
        <v>8</v>
      </c>
      <c r="K9" s="55">
        <v>16</v>
      </c>
    </row>
    <row r="10" spans="1:11">
      <c r="D10" s="53">
        <v>46128</v>
      </c>
      <c r="E10" s="18">
        <v>1595515</v>
      </c>
      <c r="F10" s="18" t="s">
        <v>13</v>
      </c>
      <c r="G10" s="54">
        <v>20418998</v>
      </c>
      <c r="H10" s="18" t="s">
        <v>42</v>
      </c>
      <c r="I10" s="54">
        <v>1</v>
      </c>
      <c r="J10" s="55">
        <v>8</v>
      </c>
      <c r="K10" s="55">
        <v>8</v>
      </c>
    </row>
    <row r="11" spans="1:11">
      <c r="D11" s="53">
        <v>46139</v>
      </c>
      <c r="E11" s="18">
        <v>1598477</v>
      </c>
      <c r="F11" s="18" t="s">
        <v>13</v>
      </c>
      <c r="G11" s="54">
        <v>20418998</v>
      </c>
      <c r="H11" s="18" t="s">
        <v>42</v>
      </c>
      <c r="I11" s="54">
        <v>1</v>
      </c>
      <c r="J11" s="55">
        <v>8</v>
      </c>
      <c r="K11" s="55">
        <v>8</v>
      </c>
    </row>
    <row r="12" spans="1:11">
      <c r="D12" s="53">
        <v>46141</v>
      </c>
      <c r="E12" s="18">
        <v>1599321</v>
      </c>
      <c r="F12" s="18" t="s">
        <v>13</v>
      </c>
      <c r="G12" s="54">
        <v>20418998</v>
      </c>
      <c r="H12" s="18" t="s">
        <v>42</v>
      </c>
      <c r="I12" s="54">
        <v>1</v>
      </c>
      <c r="J12" s="55">
        <v>8</v>
      </c>
      <c r="K12" s="55">
        <v>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229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12</v>
      </c>
      <c r="J8" s="52"/>
      <c r="K8" s="52">
        <v>510.5</v>
      </c>
    </row>
    <row r="9" spans="1:11">
      <c r="D9" s="53">
        <v>46115</v>
      </c>
      <c r="E9" s="18">
        <v>1591916</v>
      </c>
      <c r="F9" s="18" t="s">
        <v>13</v>
      </c>
      <c r="G9" s="54">
        <v>20419012</v>
      </c>
      <c r="H9" s="18" t="s">
        <v>21</v>
      </c>
      <c r="I9" s="54">
        <v>1</v>
      </c>
      <c r="J9" s="55">
        <v>8</v>
      </c>
      <c r="K9" s="55">
        <v>8</v>
      </c>
    </row>
    <row r="10" spans="1:11">
      <c r="D10" s="53">
        <v>46119</v>
      </c>
      <c r="E10" s="18">
        <v>1592571</v>
      </c>
      <c r="F10" s="18" t="s">
        <v>13</v>
      </c>
      <c r="G10" s="54">
        <v>20418983</v>
      </c>
      <c r="H10" s="18" t="s">
        <v>43</v>
      </c>
      <c r="I10" s="54">
        <v>1</v>
      </c>
      <c r="J10" s="55">
        <v>16.5</v>
      </c>
      <c r="K10" s="55">
        <v>16.5</v>
      </c>
    </row>
    <row r="11" spans="1:11">
      <c r="D11" s="53">
        <v>46119</v>
      </c>
      <c r="E11" s="18">
        <v>1592571</v>
      </c>
      <c r="F11" s="18" t="s">
        <v>13</v>
      </c>
      <c r="G11" s="54">
        <v>20419014</v>
      </c>
      <c r="H11" s="18" t="s">
        <v>18</v>
      </c>
      <c r="I11" s="54">
        <v>1</v>
      </c>
      <c r="J11" s="55">
        <v>8</v>
      </c>
      <c r="K11" s="55">
        <v>8</v>
      </c>
    </row>
    <row r="12" spans="1:11">
      <c r="D12" s="53">
        <v>46119</v>
      </c>
      <c r="E12" s="18">
        <v>1592571</v>
      </c>
      <c r="F12" s="18" t="s">
        <v>24</v>
      </c>
      <c r="G12" s="54">
        <v>20419442</v>
      </c>
      <c r="H12" s="18" t="s">
        <v>230</v>
      </c>
      <c r="I12" s="54">
        <v>1</v>
      </c>
      <c r="J12" s="55">
        <v>126.5</v>
      </c>
      <c r="K12" s="55">
        <v>126.5</v>
      </c>
    </row>
    <row r="13" spans="1:11">
      <c r="D13" s="53">
        <v>46120</v>
      </c>
      <c r="E13" s="18">
        <v>1592939</v>
      </c>
      <c r="F13" s="18" t="s">
        <v>13</v>
      </c>
      <c r="G13" s="54">
        <v>20419012</v>
      </c>
      <c r="H13" s="18" t="s">
        <v>21</v>
      </c>
      <c r="I13" s="54">
        <v>1</v>
      </c>
      <c r="J13" s="55">
        <v>8</v>
      </c>
      <c r="K13" s="55">
        <v>8</v>
      </c>
    </row>
    <row r="14" spans="1:11">
      <c r="D14" s="53">
        <v>46120</v>
      </c>
      <c r="E14" s="18">
        <v>1592939</v>
      </c>
      <c r="F14" s="18" t="s">
        <v>13</v>
      </c>
      <c r="G14" s="54">
        <v>20420600</v>
      </c>
      <c r="H14" s="18" t="s">
        <v>81</v>
      </c>
      <c r="I14" s="54">
        <v>1</v>
      </c>
      <c r="J14" s="55">
        <v>8</v>
      </c>
      <c r="K14" s="55">
        <v>8</v>
      </c>
    </row>
    <row r="15" spans="1:11">
      <c r="D15" s="53">
        <v>46120</v>
      </c>
      <c r="E15" s="18">
        <v>1592950</v>
      </c>
      <c r="F15" s="18" t="s">
        <v>44</v>
      </c>
      <c r="G15" s="54">
        <v>20420602</v>
      </c>
      <c r="H15" s="18" t="s">
        <v>45</v>
      </c>
      <c r="I15" s="54">
        <v>3</v>
      </c>
      <c r="J15" s="55">
        <v>22</v>
      </c>
      <c r="K15" s="55">
        <v>66</v>
      </c>
    </row>
    <row r="16" spans="1:11">
      <c r="D16" s="53">
        <v>46126</v>
      </c>
      <c r="E16" s="18">
        <v>1594722</v>
      </c>
      <c r="F16" s="18" t="s">
        <v>13</v>
      </c>
      <c r="G16" s="54">
        <v>20418983</v>
      </c>
      <c r="H16" s="18" t="s">
        <v>43</v>
      </c>
      <c r="I16" s="54">
        <v>1</v>
      </c>
      <c r="J16" s="55">
        <v>16.5</v>
      </c>
      <c r="K16" s="55">
        <v>16.5</v>
      </c>
    </row>
    <row r="17" spans="4:11">
      <c r="D17" s="53">
        <v>46132</v>
      </c>
      <c r="E17" s="18">
        <v>1596457</v>
      </c>
      <c r="F17" s="18" t="s">
        <v>24</v>
      </c>
      <c r="G17" s="54">
        <v>20419442</v>
      </c>
      <c r="H17" s="18" t="s">
        <v>230</v>
      </c>
      <c r="I17" s="54">
        <v>1</v>
      </c>
      <c r="J17" s="55">
        <v>126.5</v>
      </c>
      <c r="K17" s="55">
        <v>126.5</v>
      </c>
    </row>
    <row r="18" spans="4:11">
      <c r="D18" s="53">
        <v>46140</v>
      </c>
      <c r="E18" s="18">
        <v>1598930</v>
      </c>
      <c r="F18" s="18" t="s">
        <v>24</v>
      </c>
      <c r="G18" s="54">
        <v>20419442</v>
      </c>
      <c r="H18" s="18" t="s">
        <v>230</v>
      </c>
      <c r="I18" s="54">
        <v>1</v>
      </c>
      <c r="J18" s="55">
        <v>126.5</v>
      </c>
      <c r="K18" s="55">
        <v>126.5</v>
      </c>
    </row>
    <row r="19" ht="0.05" customHeight="1"/>
  </sheetData>
  <autoFilter xmlns:etc="http://www.wps.cn/officeDocument/2017/etCustomData" ref="A7:K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L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47" t="s">
        <v>2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8" t="s">
        <v>10</v>
      </c>
      <c r="K7" s="48" t="s">
        <v>11</v>
      </c>
    </row>
    <row r="8" ht="14.25" spans="1:11">
      <c r="D8" s="49" t="s">
        <v>231</v>
      </c>
      <c r="E8" s="50" t="s">
        <v>2</v>
      </c>
      <c r="F8" s="50" t="s">
        <v>2</v>
      </c>
      <c r="G8" s="50" t="s">
        <v>2</v>
      </c>
      <c r="H8" s="50" t="s">
        <v>2</v>
      </c>
      <c r="I8" s="51">
        <v>91</v>
      </c>
      <c r="J8" s="52"/>
      <c r="K8" s="52">
        <v>810</v>
      </c>
    </row>
    <row r="9" spans="1:11">
      <c r="D9" s="53">
        <v>46115</v>
      </c>
      <c r="E9" s="18">
        <v>1591917</v>
      </c>
      <c r="F9" s="18" t="s">
        <v>13</v>
      </c>
      <c r="G9" s="54">
        <v>20419050</v>
      </c>
      <c r="H9" s="18" t="s">
        <v>232</v>
      </c>
      <c r="I9" s="54">
        <v>4</v>
      </c>
      <c r="J9" s="55">
        <v>8</v>
      </c>
      <c r="K9" s="55">
        <v>32</v>
      </c>
    </row>
    <row r="10" spans="1:11">
      <c r="D10" s="53">
        <v>46116</v>
      </c>
      <c r="E10" s="18">
        <v>1592187</v>
      </c>
      <c r="F10" s="18" t="s">
        <v>13</v>
      </c>
      <c r="G10" s="54">
        <v>20419050</v>
      </c>
      <c r="H10" s="18" t="s">
        <v>232</v>
      </c>
      <c r="I10" s="54">
        <v>2</v>
      </c>
      <c r="J10" s="55">
        <v>8</v>
      </c>
      <c r="K10" s="55">
        <v>16</v>
      </c>
    </row>
    <row r="11" spans="1:11">
      <c r="D11" s="53">
        <v>46116</v>
      </c>
      <c r="E11" s="18">
        <v>1592187</v>
      </c>
      <c r="F11" s="18" t="s">
        <v>13</v>
      </c>
      <c r="G11" s="54">
        <v>20419048</v>
      </c>
      <c r="H11" s="18" t="s">
        <v>233</v>
      </c>
      <c r="I11" s="54">
        <v>1</v>
      </c>
      <c r="J11" s="55">
        <v>8</v>
      </c>
      <c r="K11" s="55">
        <v>8</v>
      </c>
    </row>
    <row r="12" spans="1:11">
      <c r="D12" s="53">
        <v>46116</v>
      </c>
      <c r="E12" s="18">
        <v>1592187</v>
      </c>
      <c r="F12" s="18" t="s">
        <v>13</v>
      </c>
      <c r="G12" s="54">
        <v>20419043</v>
      </c>
      <c r="H12" s="18" t="s">
        <v>234</v>
      </c>
      <c r="I12" s="54">
        <v>1</v>
      </c>
      <c r="J12" s="55">
        <v>8</v>
      </c>
      <c r="K12" s="55">
        <v>8</v>
      </c>
    </row>
    <row r="13" spans="1:11">
      <c r="D13" s="53">
        <v>46116</v>
      </c>
      <c r="E13" s="18">
        <v>1592187</v>
      </c>
      <c r="F13" s="18" t="s">
        <v>13</v>
      </c>
      <c r="G13" s="54">
        <v>20420200</v>
      </c>
      <c r="H13" s="18" t="s">
        <v>235</v>
      </c>
      <c r="I13" s="54">
        <v>1</v>
      </c>
      <c r="J13" s="55">
        <v>16.5</v>
      </c>
      <c r="K13" s="55">
        <f>J13*I13</f>
        <v>16.5</v>
      </c>
    </row>
    <row r="14" spans="1:11">
      <c r="D14" s="53">
        <v>46119</v>
      </c>
      <c r="E14" s="18">
        <v>1592572</v>
      </c>
      <c r="F14" s="18" t="s">
        <v>13</v>
      </c>
      <c r="G14" s="54">
        <v>20419050</v>
      </c>
      <c r="H14" s="18" t="s">
        <v>232</v>
      </c>
      <c r="I14" s="54">
        <v>4</v>
      </c>
      <c r="J14" s="55">
        <v>8</v>
      </c>
      <c r="K14" s="55">
        <v>32</v>
      </c>
    </row>
    <row r="15" spans="1:11">
      <c r="D15" s="53">
        <v>46119</v>
      </c>
      <c r="E15" s="18">
        <v>1592572</v>
      </c>
      <c r="F15" s="18" t="s">
        <v>13</v>
      </c>
      <c r="G15" s="54">
        <v>20419048</v>
      </c>
      <c r="H15" s="18" t="s">
        <v>233</v>
      </c>
      <c r="I15" s="54">
        <v>1</v>
      </c>
      <c r="J15" s="55">
        <v>8</v>
      </c>
      <c r="K15" s="55">
        <v>8</v>
      </c>
    </row>
    <row r="16" spans="1:11">
      <c r="D16" s="53">
        <v>46119</v>
      </c>
      <c r="E16" s="18">
        <v>1592572</v>
      </c>
      <c r="F16" s="18" t="s">
        <v>13</v>
      </c>
      <c r="G16" s="54">
        <v>20419043</v>
      </c>
      <c r="H16" s="18" t="s">
        <v>234</v>
      </c>
      <c r="I16" s="54">
        <v>2</v>
      </c>
      <c r="J16" s="55">
        <v>8</v>
      </c>
      <c r="K16" s="55">
        <v>16</v>
      </c>
    </row>
    <row r="17" spans="4:11">
      <c r="D17" s="53">
        <v>46119</v>
      </c>
      <c r="E17" s="18">
        <v>1592572</v>
      </c>
      <c r="F17" s="18" t="s">
        <v>13</v>
      </c>
      <c r="G17" s="54">
        <v>20420200</v>
      </c>
      <c r="H17" s="18" t="s">
        <v>235</v>
      </c>
      <c r="I17" s="54">
        <v>1</v>
      </c>
      <c r="J17" s="55">
        <v>16.5</v>
      </c>
      <c r="K17" s="55">
        <f>J17*I17</f>
        <v>16.5</v>
      </c>
    </row>
    <row r="18" spans="4:11">
      <c r="D18" s="53">
        <v>46121</v>
      </c>
      <c r="E18" s="18">
        <v>1593357</v>
      </c>
      <c r="F18" s="18" t="s">
        <v>13</v>
      </c>
      <c r="G18" s="54">
        <v>20419050</v>
      </c>
      <c r="H18" s="18" t="s">
        <v>232</v>
      </c>
      <c r="I18" s="54">
        <v>3</v>
      </c>
      <c r="J18" s="55">
        <v>8</v>
      </c>
      <c r="K18" s="55">
        <v>24</v>
      </c>
    </row>
    <row r="19" spans="4:11">
      <c r="D19" s="53">
        <v>46121</v>
      </c>
      <c r="E19" s="18">
        <v>1593357</v>
      </c>
      <c r="F19" s="18" t="s">
        <v>13</v>
      </c>
      <c r="G19" s="54">
        <v>20419048</v>
      </c>
      <c r="H19" s="18" t="s">
        <v>233</v>
      </c>
      <c r="I19" s="54">
        <v>2</v>
      </c>
      <c r="J19" s="55">
        <v>8</v>
      </c>
      <c r="K19" s="55">
        <v>16</v>
      </c>
    </row>
    <row r="20" spans="4:11">
      <c r="D20" s="53">
        <v>46121</v>
      </c>
      <c r="E20" s="18">
        <v>1593357</v>
      </c>
      <c r="F20" s="18" t="s">
        <v>13</v>
      </c>
      <c r="G20" s="54">
        <v>20419043</v>
      </c>
      <c r="H20" s="18" t="s">
        <v>234</v>
      </c>
      <c r="I20" s="54">
        <v>1</v>
      </c>
      <c r="J20" s="55">
        <v>8</v>
      </c>
      <c r="K20" s="55">
        <v>8</v>
      </c>
    </row>
    <row r="21" spans="4:11">
      <c r="D21" s="53">
        <v>46121</v>
      </c>
      <c r="E21" s="18">
        <v>1593357</v>
      </c>
      <c r="F21" s="18" t="s">
        <v>13</v>
      </c>
      <c r="G21" s="54">
        <v>20420200</v>
      </c>
      <c r="H21" s="18" t="s">
        <v>235</v>
      </c>
      <c r="I21" s="54">
        <v>1</v>
      </c>
      <c r="J21" s="55">
        <v>16.5</v>
      </c>
      <c r="K21" s="55">
        <f>J21*I21</f>
        <v>16.5</v>
      </c>
    </row>
    <row r="22" spans="4:11">
      <c r="D22" s="53">
        <v>46125</v>
      </c>
      <c r="E22" s="18">
        <v>1594328</v>
      </c>
      <c r="F22" s="18" t="s">
        <v>13</v>
      </c>
      <c r="G22" s="54">
        <v>20419050</v>
      </c>
      <c r="H22" s="18" t="s">
        <v>232</v>
      </c>
      <c r="I22" s="54">
        <v>5</v>
      </c>
      <c r="J22" s="55">
        <v>8</v>
      </c>
      <c r="K22" s="55">
        <v>40</v>
      </c>
    </row>
    <row r="23" spans="4:11">
      <c r="D23" s="53">
        <v>46125</v>
      </c>
      <c r="E23" s="18">
        <v>1594328</v>
      </c>
      <c r="F23" s="18" t="s">
        <v>13</v>
      </c>
      <c r="G23" s="54">
        <v>20419048</v>
      </c>
      <c r="H23" s="18" t="s">
        <v>233</v>
      </c>
      <c r="I23" s="54">
        <v>1</v>
      </c>
      <c r="J23" s="55">
        <v>8</v>
      </c>
      <c r="K23" s="55">
        <v>8</v>
      </c>
    </row>
    <row r="24" spans="4:11">
      <c r="D24" s="53">
        <v>46125</v>
      </c>
      <c r="E24" s="18">
        <v>1594328</v>
      </c>
      <c r="F24" s="18" t="s">
        <v>13</v>
      </c>
      <c r="G24" s="54">
        <v>20420200</v>
      </c>
      <c r="H24" s="18" t="s">
        <v>235</v>
      </c>
      <c r="I24" s="54">
        <v>1</v>
      </c>
      <c r="J24" s="55">
        <v>16.5</v>
      </c>
      <c r="K24" s="55">
        <f>J24*I24</f>
        <v>16.5</v>
      </c>
    </row>
    <row r="25" spans="4:11">
      <c r="D25" s="53">
        <v>46126</v>
      </c>
      <c r="E25" s="18">
        <v>1594723</v>
      </c>
      <c r="F25" s="18" t="s">
        <v>13</v>
      </c>
      <c r="G25" s="54">
        <v>20419050</v>
      </c>
      <c r="H25" s="18" t="s">
        <v>232</v>
      </c>
      <c r="I25" s="54">
        <v>7</v>
      </c>
      <c r="J25" s="55">
        <v>8</v>
      </c>
      <c r="K25" s="55">
        <v>56</v>
      </c>
    </row>
    <row r="26" spans="4:11">
      <c r="D26" s="53">
        <v>46126</v>
      </c>
      <c r="E26" s="18">
        <v>1594723</v>
      </c>
      <c r="F26" s="18" t="s">
        <v>13</v>
      </c>
      <c r="G26" s="54">
        <v>20419048</v>
      </c>
      <c r="H26" s="18" t="s">
        <v>236</v>
      </c>
      <c r="I26" s="54">
        <v>3</v>
      </c>
      <c r="J26" s="55">
        <v>8</v>
      </c>
      <c r="K26" s="55">
        <v>24</v>
      </c>
    </row>
    <row r="27" spans="4:11">
      <c r="D27" s="53">
        <v>46126</v>
      </c>
      <c r="E27" s="18">
        <v>1594723</v>
      </c>
      <c r="F27" s="18" t="s">
        <v>13</v>
      </c>
      <c r="G27" s="54">
        <v>20419043</v>
      </c>
      <c r="H27" s="18" t="s">
        <v>234</v>
      </c>
      <c r="I27" s="54">
        <v>1</v>
      </c>
      <c r="J27" s="55">
        <v>8</v>
      </c>
      <c r="K27" s="55">
        <v>8</v>
      </c>
    </row>
    <row r="28" spans="4:11">
      <c r="D28" s="53">
        <v>46126</v>
      </c>
      <c r="E28" s="18">
        <v>1594723</v>
      </c>
      <c r="F28" s="18" t="s">
        <v>13</v>
      </c>
      <c r="G28" s="54">
        <v>20420200</v>
      </c>
      <c r="H28" s="18" t="s">
        <v>235</v>
      </c>
      <c r="I28" s="54">
        <v>1</v>
      </c>
      <c r="J28" s="55">
        <v>16.5</v>
      </c>
      <c r="K28" s="55">
        <f>J28*I28</f>
        <v>16.5</v>
      </c>
    </row>
    <row r="29" spans="4:11">
      <c r="D29" s="53">
        <v>46126</v>
      </c>
      <c r="E29" s="18">
        <v>1594723</v>
      </c>
      <c r="F29" s="18" t="s">
        <v>13</v>
      </c>
      <c r="G29" s="54">
        <v>20419052</v>
      </c>
      <c r="H29" s="18" t="s">
        <v>90</v>
      </c>
      <c r="I29" s="54">
        <v>1</v>
      </c>
      <c r="J29" s="55">
        <v>13</v>
      </c>
      <c r="K29" s="55">
        <v>13</v>
      </c>
    </row>
    <row r="30" spans="4:11">
      <c r="D30" s="53">
        <v>46127</v>
      </c>
      <c r="E30" s="18">
        <v>1595087</v>
      </c>
      <c r="F30" s="18" t="s">
        <v>13</v>
      </c>
      <c r="G30" s="54">
        <v>20419050</v>
      </c>
      <c r="H30" s="18" t="s">
        <v>232</v>
      </c>
      <c r="I30" s="54">
        <v>2</v>
      </c>
      <c r="J30" s="55">
        <v>8</v>
      </c>
      <c r="K30" s="55">
        <v>16</v>
      </c>
    </row>
    <row r="31" spans="4:11">
      <c r="D31" s="53">
        <v>46128</v>
      </c>
      <c r="E31" s="18">
        <v>1595516</v>
      </c>
      <c r="F31" s="18" t="s">
        <v>13</v>
      </c>
      <c r="G31" s="54">
        <v>20420200</v>
      </c>
      <c r="H31" s="18" t="s">
        <v>235</v>
      </c>
      <c r="I31" s="54">
        <v>1</v>
      </c>
      <c r="J31" s="55">
        <v>16.5</v>
      </c>
      <c r="K31" s="55">
        <f>J31*I31</f>
        <v>16.5</v>
      </c>
    </row>
    <row r="32" customFormat="1" spans="4:11">
      <c r="D32" s="53">
        <v>46128</v>
      </c>
      <c r="E32" s="18">
        <v>1595516</v>
      </c>
      <c r="F32" s="18" t="s">
        <v>237</v>
      </c>
      <c r="G32" s="54">
        <v>20421782</v>
      </c>
      <c r="H32" s="18" t="s">
        <v>238</v>
      </c>
      <c r="I32" s="54">
        <v>3</v>
      </c>
      <c r="J32" s="55">
        <v>4</v>
      </c>
      <c r="K32" s="55">
        <f>J32*I32</f>
        <v>12</v>
      </c>
    </row>
    <row r="33" spans="4:11">
      <c r="D33" s="53">
        <v>46128</v>
      </c>
      <c r="E33" s="18">
        <v>1595516</v>
      </c>
      <c r="F33" s="18" t="s">
        <v>24</v>
      </c>
      <c r="G33" s="54">
        <v>20421664</v>
      </c>
      <c r="H33" s="18" t="s">
        <v>239</v>
      </c>
      <c r="I33" s="54">
        <v>1</v>
      </c>
      <c r="J33" s="55">
        <v>49.5</v>
      </c>
      <c r="K33" s="55">
        <v>49.5</v>
      </c>
    </row>
    <row r="34" customFormat="1" spans="4:11">
      <c r="D34" s="53">
        <v>46128</v>
      </c>
      <c r="E34" s="18">
        <v>1595516</v>
      </c>
      <c r="F34" s="18" t="s">
        <v>31</v>
      </c>
      <c r="G34" s="54">
        <v>20421783</v>
      </c>
      <c r="H34" s="18" t="s">
        <v>240</v>
      </c>
      <c r="I34" s="54">
        <v>1</v>
      </c>
      <c r="J34" s="55">
        <v>4</v>
      </c>
      <c r="K34" s="55">
        <f>J34*I34</f>
        <v>4</v>
      </c>
    </row>
    <row r="35" spans="4:11">
      <c r="D35" s="53">
        <v>46129</v>
      </c>
      <c r="E35" s="18">
        <v>1595896</v>
      </c>
      <c r="F35" s="18" t="s">
        <v>13</v>
      </c>
      <c r="G35" s="54">
        <v>20419050</v>
      </c>
      <c r="H35" s="18" t="s">
        <v>232</v>
      </c>
      <c r="I35" s="54">
        <v>2</v>
      </c>
      <c r="J35" s="55">
        <v>8</v>
      </c>
      <c r="K35" s="55">
        <v>16</v>
      </c>
    </row>
    <row r="36" spans="4:11">
      <c r="D36" s="53">
        <v>46132</v>
      </c>
      <c r="E36" s="18">
        <v>1596458</v>
      </c>
      <c r="F36" s="18" t="s">
        <v>13</v>
      </c>
      <c r="G36" s="54">
        <v>20419050</v>
      </c>
      <c r="H36" s="18" t="s">
        <v>232</v>
      </c>
      <c r="I36" s="54">
        <v>6</v>
      </c>
      <c r="J36" s="55">
        <v>8</v>
      </c>
      <c r="K36" s="55">
        <v>48</v>
      </c>
    </row>
    <row r="37" spans="4:11">
      <c r="D37" s="53">
        <v>46133</v>
      </c>
      <c r="E37" s="18">
        <v>1596809</v>
      </c>
      <c r="F37" s="18" t="s">
        <v>13</v>
      </c>
      <c r="G37" s="54">
        <v>20419050</v>
      </c>
      <c r="H37" s="18" t="s">
        <v>232</v>
      </c>
      <c r="I37" s="54">
        <v>1</v>
      </c>
      <c r="J37" s="55">
        <v>8</v>
      </c>
      <c r="K37" s="55">
        <v>8</v>
      </c>
    </row>
    <row r="38" spans="4:11">
      <c r="D38" s="53">
        <v>46133</v>
      </c>
      <c r="E38" s="18">
        <v>1596809</v>
      </c>
      <c r="F38" s="18" t="s">
        <v>13</v>
      </c>
      <c r="G38" s="54">
        <v>20419048</v>
      </c>
      <c r="H38" s="18" t="s">
        <v>236</v>
      </c>
      <c r="I38" s="54">
        <v>1</v>
      </c>
      <c r="J38" s="55">
        <v>8</v>
      </c>
      <c r="K38" s="55">
        <v>8</v>
      </c>
    </row>
    <row r="39" spans="4:11">
      <c r="D39" s="53">
        <v>46133</v>
      </c>
      <c r="E39" s="18">
        <v>1596809</v>
      </c>
      <c r="F39" s="18" t="s">
        <v>31</v>
      </c>
      <c r="G39" s="54">
        <v>20422335</v>
      </c>
      <c r="H39" s="18" t="s">
        <v>241</v>
      </c>
      <c r="I39" s="54">
        <v>2</v>
      </c>
      <c r="J39" s="55">
        <v>4</v>
      </c>
      <c r="K39" s="55">
        <v>8</v>
      </c>
    </row>
    <row r="40" spans="4:11">
      <c r="D40" s="53">
        <v>46134</v>
      </c>
      <c r="E40" s="18">
        <v>1597222</v>
      </c>
      <c r="F40" s="18" t="s">
        <v>13</v>
      </c>
      <c r="G40" s="54">
        <v>20419050</v>
      </c>
      <c r="H40" s="18" t="s">
        <v>232</v>
      </c>
      <c r="I40" s="54">
        <v>4</v>
      </c>
      <c r="J40" s="55">
        <v>8</v>
      </c>
      <c r="K40" s="55">
        <v>32</v>
      </c>
    </row>
    <row r="41" spans="4:11">
      <c r="D41" s="53">
        <v>46135</v>
      </c>
      <c r="E41" s="18">
        <v>1597596</v>
      </c>
      <c r="F41" s="18" t="s">
        <v>13</v>
      </c>
      <c r="G41" s="54">
        <v>20419050</v>
      </c>
      <c r="H41" s="18" t="s">
        <v>232</v>
      </c>
      <c r="I41" s="54">
        <v>7</v>
      </c>
      <c r="J41" s="55">
        <v>8</v>
      </c>
      <c r="K41" s="55">
        <v>56</v>
      </c>
    </row>
    <row r="42" spans="4:11">
      <c r="D42" s="53">
        <v>46139</v>
      </c>
      <c r="E42" s="18">
        <v>1598478</v>
      </c>
      <c r="F42" s="18" t="s">
        <v>13</v>
      </c>
      <c r="G42" s="54">
        <v>20419050</v>
      </c>
      <c r="H42" s="18" t="s">
        <v>232</v>
      </c>
      <c r="I42" s="54">
        <v>6</v>
      </c>
      <c r="J42" s="55">
        <v>8</v>
      </c>
      <c r="K42" s="55">
        <v>48</v>
      </c>
    </row>
    <row r="43" spans="4:11">
      <c r="D43" s="53">
        <v>46139</v>
      </c>
      <c r="E43" s="18">
        <v>1598478</v>
      </c>
      <c r="F43" s="18" t="s">
        <v>13</v>
      </c>
      <c r="G43" s="54">
        <v>20419048</v>
      </c>
      <c r="H43" s="18" t="s">
        <v>236</v>
      </c>
      <c r="I43" s="54">
        <v>2</v>
      </c>
      <c r="J43" s="55">
        <v>8</v>
      </c>
      <c r="K43" s="55">
        <v>16</v>
      </c>
    </row>
    <row r="44" spans="4:11">
      <c r="D44" s="53">
        <v>46139</v>
      </c>
      <c r="E44" s="18">
        <v>1598478</v>
      </c>
      <c r="F44" s="18" t="s">
        <v>13</v>
      </c>
      <c r="G44" s="54">
        <v>20419043</v>
      </c>
      <c r="H44" s="18" t="s">
        <v>234</v>
      </c>
      <c r="I44" s="54">
        <v>1</v>
      </c>
      <c r="J44" s="55">
        <v>8</v>
      </c>
      <c r="K44" s="55">
        <v>8</v>
      </c>
    </row>
    <row r="45" spans="4:11">
      <c r="D45" s="53">
        <v>46139</v>
      </c>
      <c r="E45" s="18">
        <v>1598478</v>
      </c>
      <c r="F45" s="18" t="s">
        <v>13</v>
      </c>
      <c r="G45" s="54">
        <v>20420200</v>
      </c>
      <c r="H45" s="18" t="s">
        <v>235</v>
      </c>
      <c r="I45" s="54">
        <v>1</v>
      </c>
      <c r="J45" s="55">
        <v>16.5</v>
      </c>
      <c r="K45" s="55">
        <f>J45*I45</f>
        <v>16.5</v>
      </c>
    </row>
    <row r="46" spans="4:11">
      <c r="D46" s="53">
        <v>46140</v>
      </c>
      <c r="E46" s="18">
        <v>1598931</v>
      </c>
      <c r="F46" s="18" t="s">
        <v>13</v>
      </c>
      <c r="G46" s="54">
        <v>20419050</v>
      </c>
      <c r="H46" s="18" t="s">
        <v>232</v>
      </c>
      <c r="I46" s="54">
        <v>6</v>
      </c>
      <c r="J46" s="55">
        <v>8</v>
      </c>
      <c r="K46" s="55">
        <v>48</v>
      </c>
    </row>
    <row r="47" ht="0.05" customHeight="1"/>
  </sheetData>
  <autoFilter xmlns:etc="http://www.wps.cn/officeDocument/2017/etCustomData" ref="A7:K46" etc:filterBottomFollowUsedRange="0">
    <extLst/>
  </autoFilter>
  <mergeCells count="5">
    <mergeCell ref="D8:H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13:03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view="pageBreakPreview" zoomScaleNormal="100" workbookViewId="0">
      <selection activeCell="J8" sqref="J8:J14"/>
    </sheetView>
  </sheetViews>
  <sheetFormatPr defaultColWidth="9" defaultRowHeight="13.5"/>
  <cols>
    <col min="1" max="1" width="0.25" customWidth="1"/>
    <col min="2" max="2" width="9" customWidth="1"/>
    <col min="3" max="3" width="7.75" customWidth="1"/>
    <col min="4" max="4" width="9.4" customWidth="1"/>
    <col min="5" max="5" width="15.4333333333333" customWidth="1"/>
    <col min="6" max="6" width="10.5" customWidth="1"/>
    <col min="7" max="7" width="22.25" customWidth="1"/>
    <col min="8" max="8" width="8.625" customWidth="1"/>
    <col min="9" max="9" width="10.4" customWidth="1"/>
    <col min="10" max="10" width="11.8416666666667" customWidth="1"/>
  </cols>
  <sheetData>
    <row r="1" customFormat="1" spans="1:10">
      <c r="A1" s="1" t="s">
        <v>242</v>
      </c>
    </row>
    <row r="2" ht="23.05" customHeight="1"/>
    <row r="3" customFormat="1" ht="15.2" customHeight="1" spans="1:10">
      <c r="A3" s="2" t="s">
        <v>243</v>
      </c>
    </row>
    <row r="5" customFormat="1" spans="1:10">
      <c r="B5" s="20" t="s">
        <v>4</v>
      </c>
      <c r="C5" s="20" t="s">
        <v>5</v>
      </c>
      <c r="D5" s="20" t="s">
        <v>244</v>
      </c>
      <c r="E5" s="20" t="s">
        <v>6</v>
      </c>
      <c r="F5" s="20" t="s">
        <v>245</v>
      </c>
      <c r="G5" s="20" t="s">
        <v>8</v>
      </c>
      <c r="H5" s="37" t="s">
        <v>246</v>
      </c>
      <c r="I5" s="37" t="s">
        <v>10</v>
      </c>
      <c r="J5" s="37" t="s">
        <v>247</v>
      </c>
    </row>
    <row r="6" customFormat="1" ht="15" spans="1:10">
      <c r="A6" s="4" t="s">
        <v>2</v>
      </c>
      <c r="B6" s="38" t="s">
        <v>248</v>
      </c>
      <c r="C6" s="4" t="s">
        <v>2</v>
      </c>
      <c r="D6" s="4" t="s">
        <v>2</v>
      </c>
      <c r="E6" s="4" t="s">
        <v>2</v>
      </c>
      <c r="F6" s="4" t="s">
        <v>2</v>
      </c>
      <c r="G6" s="38" t="s">
        <v>2</v>
      </c>
      <c r="H6" s="39">
        <v>6</v>
      </c>
      <c r="I6" s="38" t="s">
        <v>2</v>
      </c>
      <c r="J6" s="40">
        <v>1001</v>
      </c>
    </row>
    <row r="7" customFormat="1" ht="14.25" spans="1:10">
      <c r="B7" s="41" t="s">
        <v>3</v>
      </c>
      <c r="C7" s="4" t="s">
        <v>2</v>
      </c>
      <c r="D7" s="4" t="s">
        <v>2</v>
      </c>
      <c r="E7" s="4" t="s">
        <v>2</v>
      </c>
      <c r="F7" s="4" t="s">
        <v>2</v>
      </c>
      <c r="G7" s="9" t="s">
        <v>2</v>
      </c>
      <c r="H7" s="42">
        <v>6</v>
      </c>
      <c r="I7" s="9" t="s">
        <v>2</v>
      </c>
      <c r="J7" s="43">
        <v>1001</v>
      </c>
    </row>
    <row r="8" customFormat="1" ht="24.75" spans="1:10">
      <c r="B8" s="44">
        <v>46113</v>
      </c>
      <c r="C8" s="14">
        <v>1591282</v>
      </c>
      <c r="D8" s="14" t="s">
        <v>249</v>
      </c>
      <c r="E8" s="18" t="s">
        <v>250</v>
      </c>
      <c r="F8" s="14">
        <v>20419765</v>
      </c>
      <c r="G8" s="18" t="s">
        <v>251</v>
      </c>
      <c r="H8" s="45">
        <v>1</v>
      </c>
      <c r="I8" s="46">
        <v>225.5</v>
      </c>
      <c r="J8" s="46">
        <v>225.5</v>
      </c>
    </row>
    <row r="9" customFormat="1" ht="24.75" spans="1:10">
      <c r="B9" s="44">
        <v>46113</v>
      </c>
      <c r="C9" s="14">
        <v>1591282</v>
      </c>
      <c r="D9" s="14" t="s">
        <v>249</v>
      </c>
      <c r="E9" s="18" t="s">
        <v>250</v>
      </c>
      <c r="F9" s="14">
        <v>20419766</v>
      </c>
      <c r="G9" s="18" t="s">
        <v>252</v>
      </c>
      <c r="H9" s="45">
        <v>1</v>
      </c>
      <c r="I9" s="46">
        <v>143</v>
      </c>
      <c r="J9" s="46">
        <v>143</v>
      </c>
    </row>
    <row r="10" customFormat="1" ht="24.75" spans="1:10">
      <c r="B10" s="44">
        <v>46113</v>
      </c>
      <c r="C10" s="14">
        <v>1591282</v>
      </c>
      <c r="D10" s="14" t="s">
        <v>249</v>
      </c>
      <c r="E10" s="18" t="s">
        <v>250</v>
      </c>
      <c r="F10" s="14">
        <v>20419767</v>
      </c>
      <c r="G10" s="18" t="s">
        <v>253</v>
      </c>
      <c r="H10" s="45">
        <v>1</v>
      </c>
      <c r="I10" s="46">
        <v>55</v>
      </c>
      <c r="J10" s="46">
        <v>55</v>
      </c>
    </row>
    <row r="11" customFormat="1" ht="24.75" spans="1:10">
      <c r="B11" s="44">
        <v>46142</v>
      </c>
      <c r="C11" s="14">
        <v>1599482</v>
      </c>
      <c r="D11" s="14" t="s">
        <v>249</v>
      </c>
      <c r="E11" s="18" t="s">
        <v>250</v>
      </c>
      <c r="F11" s="14">
        <v>20423647</v>
      </c>
      <c r="G11" s="18" t="s">
        <v>254</v>
      </c>
      <c r="H11" s="45">
        <v>1</v>
      </c>
      <c r="I11" s="46">
        <v>38.5</v>
      </c>
      <c r="J11" s="46">
        <v>38.5</v>
      </c>
    </row>
    <row r="12" customFormat="1" ht="24.75" spans="1:10">
      <c r="B12" s="44">
        <v>46142</v>
      </c>
      <c r="C12" s="14">
        <v>1599482</v>
      </c>
      <c r="D12" s="14" t="s">
        <v>249</v>
      </c>
      <c r="E12" s="18" t="s">
        <v>250</v>
      </c>
      <c r="F12" s="14">
        <v>20423648</v>
      </c>
      <c r="G12" s="18" t="s">
        <v>255</v>
      </c>
      <c r="H12" s="45">
        <v>1</v>
      </c>
      <c r="I12" s="46">
        <v>242</v>
      </c>
      <c r="J12" s="46">
        <v>242</v>
      </c>
    </row>
    <row r="13" customFormat="1" ht="24.75" spans="1:10">
      <c r="B13" s="44">
        <v>46142</v>
      </c>
      <c r="C13" s="14">
        <v>1599482</v>
      </c>
      <c r="D13" s="14" t="s">
        <v>249</v>
      </c>
      <c r="E13" s="18" t="s">
        <v>250</v>
      </c>
      <c r="F13" s="14">
        <v>20423649</v>
      </c>
      <c r="G13" s="18" t="s">
        <v>256</v>
      </c>
      <c r="H13" s="45">
        <v>1</v>
      </c>
      <c r="I13" s="46">
        <v>297</v>
      </c>
      <c r="J13" s="46">
        <v>297</v>
      </c>
    </row>
  </sheetData>
  <autoFilter xmlns:etc="http://www.wps.cn/officeDocument/2017/etCustomData" ref="A5:J13" etc:filterBottomFollowUsedRange="0">
    <extLst/>
  </autoFilter>
  <mergeCells count="5">
    <mergeCell ref="A3:G3"/>
    <mergeCell ref="B6:F6"/>
    <mergeCell ref="B7:F7"/>
    <mergeCell ref="A7:A13"/>
    <mergeCell ref="A1:G2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"/>
  <sheetViews>
    <sheetView view="pageBreakPreview" zoomScaleNormal="100" workbookViewId="0">
      <selection activeCell="I5" sqref="I5"/>
    </sheetView>
  </sheetViews>
  <sheetFormatPr defaultColWidth="9" defaultRowHeight="13.5"/>
  <cols>
    <col min="1" max="1" width="10" customWidth="1"/>
    <col min="3" max="3" width="15.75" customWidth="1"/>
    <col min="4" max="4" width="10" customWidth="1"/>
    <col min="5" max="5" width="24.875" customWidth="1"/>
    <col min="6" max="6" width="7.75" customWidth="1"/>
    <col min="7" max="7" width="8.875" customWidth="1"/>
    <col min="8" max="8" width="13.375" customWidth="1"/>
    <col min="9" max="9" width="9.375"/>
  </cols>
  <sheetData>
    <row r="1" customFormat="1" ht="40" customHeight="1" spans="1:9">
      <c r="A1" s="21" t="s">
        <v>257</v>
      </c>
      <c r="B1" s="21"/>
      <c r="C1" s="21"/>
      <c r="D1" s="21"/>
      <c r="E1" s="21"/>
      <c r="F1" s="21"/>
      <c r="G1" s="21"/>
      <c r="H1" s="21"/>
    </row>
    <row r="2" customFormat="1" customHeight="1" spans="1:9">
      <c r="A2" s="22" t="s">
        <v>258</v>
      </c>
      <c r="B2" s="22"/>
      <c r="C2" s="22"/>
      <c r="D2" s="22"/>
      <c r="E2" s="22"/>
      <c r="F2" s="22"/>
      <c r="G2" s="22"/>
      <c r="H2" s="22"/>
    </row>
    <row r="3" customFormat="1" customHeight="1" spans="1:9">
      <c r="A3" s="22"/>
      <c r="B3" s="22"/>
      <c r="C3" s="22"/>
      <c r="D3" s="22"/>
      <c r="E3" s="22"/>
      <c r="F3" s="22"/>
      <c r="G3" s="22"/>
      <c r="H3" s="22"/>
    </row>
    <row r="4" customFormat="1" customHeight="1" spans="1:9">
      <c r="A4" s="22"/>
      <c r="B4" s="22"/>
      <c r="C4" s="22"/>
      <c r="D4" s="22"/>
      <c r="E4" s="22"/>
      <c r="F4" s="22"/>
      <c r="G4" s="22"/>
      <c r="H4" s="22"/>
    </row>
    <row r="5" customFormat="1" customHeight="1" spans="1:9">
      <c r="A5" s="23" t="s">
        <v>4</v>
      </c>
      <c r="B5" s="23" t="s">
        <v>5</v>
      </c>
      <c r="C5" s="23" t="s">
        <v>6</v>
      </c>
      <c r="D5" s="23" t="s">
        <v>7</v>
      </c>
      <c r="E5" s="23" t="s">
        <v>8</v>
      </c>
      <c r="F5" s="23" t="s">
        <v>9</v>
      </c>
      <c r="G5" s="23" t="s">
        <v>10</v>
      </c>
      <c r="H5" s="23" t="s">
        <v>11</v>
      </c>
      <c r="I5">
        <f>H15+H28+H37+H50+H62+H70+H84+H95+H113</f>
        <v>7578.5</v>
      </c>
    </row>
    <row r="6" customFormat="1" ht="24.75" spans="1:9">
      <c r="A6" s="24">
        <v>46114</v>
      </c>
      <c r="B6" s="25">
        <v>1591716</v>
      </c>
      <c r="C6" s="26" t="s">
        <v>250</v>
      </c>
      <c r="D6" s="25">
        <v>20419982</v>
      </c>
      <c r="E6" s="26" t="s">
        <v>259</v>
      </c>
      <c r="F6" s="27">
        <v>1</v>
      </c>
      <c r="G6" s="28">
        <v>82.5</v>
      </c>
      <c r="H6" s="28">
        <v>82.5</v>
      </c>
      <c r="I6">
        <f>I5*1.25</f>
        <v>9473.125</v>
      </c>
    </row>
    <row r="7" customFormat="1" ht="24.75" spans="1:9">
      <c r="A7" s="24">
        <v>46114</v>
      </c>
      <c r="B7" s="25">
        <v>1591716</v>
      </c>
      <c r="C7" s="26" t="s">
        <v>250</v>
      </c>
      <c r="D7" s="25">
        <v>20419983</v>
      </c>
      <c r="E7" s="26" t="s">
        <v>260</v>
      </c>
      <c r="F7" s="27">
        <v>1</v>
      </c>
      <c r="G7" s="28">
        <v>93.5</v>
      </c>
      <c r="H7" s="28">
        <v>93.5</v>
      </c>
    </row>
    <row r="8" customFormat="1" ht="24.75" spans="1:9">
      <c r="A8" s="24">
        <v>46114</v>
      </c>
      <c r="B8" s="25">
        <v>1591716</v>
      </c>
      <c r="C8" s="26" t="s">
        <v>250</v>
      </c>
      <c r="D8" s="25">
        <v>20419984</v>
      </c>
      <c r="E8" s="26" t="s">
        <v>261</v>
      </c>
      <c r="F8" s="27">
        <v>1</v>
      </c>
      <c r="G8" s="28">
        <v>346.5</v>
      </c>
      <c r="H8" s="28">
        <v>346.5</v>
      </c>
    </row>
    <row r="9" customFormat="1" ht="24.75" spans="1:9">
      <c r="A9" s="24">
        <v>46114</v>
      </c>
      <c r="B9" s="25">
        <v>1591716</v>
      </c>
      <c r="C9" s="26" t="s">
        <v>250</v>
      </c>
      <c r="D9" s="25">
        <v>20419985</v>
      </c>
      <c r="E9" s="26" t="s">
        <v>262</v>
      </c>
      <c r="F9" s="27">
        <v>1</v>
      </c>
      <c r="G9" s="28">
        <v>137.5</v>
      </c>
      <c r="H9" s="28">
        <v>137.5</v>
      </c>
    </row>
    <row r="10" customFormat="1" ht="24.75" spans="1:9">
      <c r="A10" s="24">
        <v>46114</v>
      </c>
      <c r="B10" s="25">
        <v>1591716</v>
      </c>
      <c r="C10" s="26" t="s">
        <v>250</v>
      </c>
      <c r="D10" s="25">
        <v>20419986</v>
      </c>
      <c r="E10" s="26" t="s">
        <v>263</v>
      </c>
      <c r="F10" s="27">
        <v>1</v>
      </c>
      <c r="G10" s="28">
        <v>93.5</v>
      </c>
      <c r="H10" s="28">
        <v>93.5</v>
      </c>
    </row>
    <row r="11" customFormat="1" ht="24.75" spans="1:9">
      <c r="A11" s="24">
        <v>46114</v>
      </c>
      <c r="B11" s="25">
        <v>1591716</v>
      </c>
      <c r="C11" s="26" t="s">
        <v>250</v>
      </c>
      <c r="D11" s="25">
        <v>20419987</v>
      </c>
      <c r="E11" s="26" t="s">
        <v>264</v>
      </c>
      <c r="F11" s="27">
        <v>1</v>
      </c>
      <c r="G11" s="28">
        <v>22</v>
      </c>
      <c r="H11" s="28">
        <v>22</v>
      </c>
    </row>
    <row r="12" customFormat="1" ht="24.75" spans="1:9">
      <c r="A12" s="24">
        <v>46114</v>
      </c>
      <c r="B12" s="25">
        <v>1591716</v>
      </c>
      <c r="C12" s="26" t="s">
        <v>250</v>
      </c>
      <c r="D12" s="25">
        <v>20419988</v>
      </c>
      <c r="E12" s="26" t="s">
        <v>265</v>
      </c>
      <c r="F12" s="27">
        <v>1</v>
      </c>
      <c r="G12" s="28">
        <v>33</v>
      </c>
      <c r="H12" s="28">
        <v>33</v>
      </c>
    </row>
    <row r="13" customFormat="1" ht="24.75" spans="1:9">
      <c r="A13" s="24">
        <v>46114</v>
      </c>
      <c r="B13" s="25">
        <v>1591716</v>
      </c>
      <c r="C13" s="26" t="s">
        <v>250</v>
      </c>
      <c r="D13" s="25">
        <v>20419990</v>
      </c>
      <c r="E13" s="26" t="s">
        <v>266</v>
      </c>
      <c r="F13" s="27">
        <v>1</v>
      </c>
      <c r="G13" s="28">
        <v>27.5</v>
      </c>
      <c r="H13" s="28">
        <v>27.5</v>
      </c>
    </row>
    <row r="14" customFormat="1" ht="24.75" spans="1:9">
      <c r="A14" s="24">
        <v>46114</v>
      </c>
      <c r="B14" s="25">
        <v>1591716</v>
      </c>
      <c r="C14" s="26" t="s">
        <v>250</v>
      </c>
      <c r="D14" s="25">
        <v>20419981</v>
      </c>
      <c r="E14" s="26" t="s">
        <v>267</v>
      </c>
      <c r="F14" s="27">
        <v>1</v>
      </c>
      <c r="G14" s="28">
        <v>242</v>
      </c>
      <c r="H14" s="28">
        <v>242</v>
      </c>
    </row>
    <row r="15" customFormat="1" spans="1:9">
      <c r="A15" s="32" t="s">
        <v>247</v>
      </c>
      <c r="B15" s="32"/>
      <c r="C15" s="32"/>
      <c r="D15" s="32"/>
      <c r="E15" s="32"/>
      <c r="F15" s="32"/>
      <c r="G15" s="32"/>
      <c r="H15" s="28">
        <f>SUM(H6:H14)</f>
        <v>1078</v>
      </c>
    </row>
    <row r="18" customFormat="1" customHeight="1" spans="1:8">
      <c r="A18" s="22" t="s">
        <v>268</v>
      </c>
      <c r="B18" s="22"/>
      <c r="C18" s="22"/>
      <c r="D18" s="22"/>
      <c r="E18" s="22"/>
      <c r="F18" s="22"/>
      <c r="G18" s="22"/>
      <c r="H18" s="22"/>
    </row>
    <row r="19" customFormat="1" customHeight="1" spans="1:8">
      <c r="A19" s="22"/>
      <c r="B19" s="22"/>
      <c r="C19" s="22"/>
      <c r="D19" s="22"/>
      <c r="E19" s="22"/>
      <c r="F19" s="22"/>
      <c r="G19" s="22"/>
      <c r="H19" s="22"/>
    </row>
    <row r="20" customFormat="1" customHeight="1" spans="1:8">
      <c r="A20" s="22"/>
      <c r="B20" s="22"/>
      <c r="C20" s="22"/>
      <c r="D20" s="22"/>
      <c r="E20" s="22"/>
      <c r="F20" s="22"/>
      <c r="G20" s="22"/>
      <c r="H20" s="22"/>
    </row>
    <row r="21" customFormat="1" customHeight="1" spans="1:8">
      <c r="A21" s="23" t="s">
        <v>4</v>
      </c>
      <c r="B21" s="23" t="s">
        <v>5</v>
      </c>
      <c r="C21" s="23" t="s">
        <v>6</v>
      </c>
      <c r="D21" s="23" t="s">
        <v>7</v>
      </c>
      <c r="E21" s="23" t="s">
        <v>8</v>
      </c>
      <c r="F21" s="23" t="s">
        <v>9</v>
      </c>
      <c r="G21" s="23" t="s">
        <v>10</v>
      </c>
      <c r="H21" s="23" t="s">
        <v>11</v>
      </c>
    </row>
    <row r="22" customFormat="1" ht="24.75" spans="1:8">
      <c r="A22" s="24">
        <v>46118</v>
      </c>
      <c r="B22" s="25">
        <v>1592365</v>
      </c>
      <c r="C22" s="26" t="s">
        <v>250</v>
      </c>
      <c r="D22" s="25">
        <v>20420256</v>
      </c>
      <c r="E22" s="26" t="s">
        <v>269</v>
      </c>
      <c r="F22" s="27">
        <v>1</v>
      </c>
      <c r="G22" s="28">
        <v>88</v>
      </c>
      <c r="H22" s="28">
        <v>88</v>
      </c>
    </row>
    <row r="23" customFormat="1" ht="24.75" spans="1:8">
      <c r="A23" s="24">
        <v>46118</v>
      </c>
      <c r="B23" s="25">
        <v>1592365</v>
      </c>
      <c r="C23" s="26" t="s">
        <v>250</v>
      </c>
      <c r="D23" s="25">
        <v>20420255</v>
      </c>
      <c r="E23" s="26" t="s">
        <v>270</v>
      </c>
      <c r="F23" s="27">
        <v>1</v>
      </c>
      <c r="G23" s="28">
        <v>104.5</v>
      </c>
      <c r="H23" s="28">
        <v>104.5</v>
      </c>
    </row>
    <row r="24" customFormat="1" ht="24.75" spans="1:8">
      <c r="A24" s="24">
        <v>46118</v>
      </c>
      <c r="B24" s="25">
        <v>1592365</v>
      </c>
      <c r="C24" s="26" t="s">
        <v>250</v>
      </c>
      <c r="D24" s="25">
        <v>20420257</v>
      </c>
      <c r="E24" s="26" t="s">
        <v>271</v>
      </c>
      <c r="F24" s="27">
        <v>1</v>
      </c>
      <c r="G24" s="28">
        <v>154</v>
      </c>
      <c r="H24" s="28">
        <v>154</v>
      </c>
    </row>
    <row r="25" customFormat="1" ht="24.75" spans="1:8">
      <c r="A25" s="24">
        <v>46118</v>
      </c>
      <c r="B25" s="25">
        <v>1592365</v>
      </c>
      <c r="C25" s="26" t="s">
        <v>250</v>
      </c>
      <c r="D25" s="25">
        <v>20420258</v>
      </c>
      <c r="E25" s="26" t="s">
        <v>272</v>
      </c>
      <c r="F25" s="27">
        <v>1</v>
      </c>
      <c r="G25" s="28">
        <v>192.5</v>
      </c>
      <c r="H25" s="28">
        <v>192.5</v>
      </c>
    </row>
    <row r="26" customFormat="1" ht="24.75" spans="1:8">
      <c r="A26" s="24">
        <v>46118</v>
      </c>
      <c r="B26" s="25">
        <v>1592365</v>
      </c>
      <c r="C26" s="26" t="s">
        <v>250</v>
      </c>
      <c r="D26" s="25">
        <v>20420259</v>
      </c>
      <c r="E26" s="26" t="s">
        <v>273</v>
      </c>
      <c r="F26" s="27">
        <v>1</v>
      </c>
      <c r="G26" s="28">
        <v>115.5</v>
      </c>
      <c r="H26" s="28">
        <v>115.5</v>
      </c>
    </row>
    <row r="27" customFormat="1" ht="24.75" spans="1:8">
      <c r="A27" s="24">
        <v>46118</v>
      </c>
      <c r="B27" s="25">
        <v>1592365</v>
      </c>
      <c r="C27" s="26" t="s">
        <v>250</v>
      </c>
      <c r="D27" s="25">
        <v>20420260</v>
      </c>
      <c r="E27" s="26" t="s">
        <v>274</v>
      </c>
      <c r="F27" s="27">
        <v>1</v>
      </c>
      <c r="G27" s="28">
        <v>82.5</v>
      </c>
      <c r="H27" s="28">
        <v>82.5</v>
      </c>
    </row>
    <row r="28" customFormat="1" spans="1:8">
      <c r="A28" s="33" t="s">
        <v>247</v>
      </c>
      <c r="B28" s="33"/>
      <c r="C28" s="33"/>
      <c r="D28" s="33"/>
      <c r="E28" s="33"/>
      <c r="F28" s="33"/>
      <c r="G28" s="33"/>
      <c r="H28" s="28">
        <f>SUM(H22:H27)</f>
        <v>737</v>
      </c>
    </row>
    <row r="31" spans="1:8">
      <c r="A31" s="22"/>
      <c r="B31" s="22"/>
      <c r="C31" s="22"/>
      <c r="D31" s="22"/>
      <c r="E31" s="22"/>
      <c r="F31" s="22"/>
      <c r="G31" s="22"/>
      <c r="H31" s="22"/>
    </row>
    <row r="32" spans="1:8">
      <c r="A32" s="22"/>
      <c r="B32" s="22"/>
      <c r="C32" s="22"/>
      <c r="D32" s="22"/>
      <c r="E32" s="22"/>
      <c r="F32" s="22"/>
      <c r="G32" s="22"/>
      <c r="H32" s="22"/>
    </row>
    <row r="33" spans="1:8">
      <c r="A33" s="23" t="s">
        <v>4</v>
      </c>
      <c r="B33" s="23" t="s">
        <v>5</v>
      </c>
      <c r="C33" s="23" t="s">
        <v>6</v>
      </c>
      <c r="D33" s="23" t="s">
        <v>7</v>
      </c>
      <c r="E33" s="23" t="s">
        <v>8</v>
      </c>
      <c r="F33" s="23" t="s">
        <v>9</v>
      </c>
      <c r="G33" s="23" t="s">
        <v>10</v>
      </c>
      <c r="H33" s="23" t="s">
        <v>11</v>
      </c>
    </row>
    <row r="34" ht="24.75" spans="1:8">
      <c r="A34" s="24">
        <v>46121</v>
      </c>
      <c r="B34" s="25">
        <v>1593531</v>
      </c>
      <c r="C34" s="26" t="s">
        <v>250</v>
      </c>
      <c r="D34" s="25">
        <v>20420907</v>
      </c>
      <c r="E34" s="26" t="s">
        <v>275</v>
      </c>
      <c r="F34" s="27">
        <v>1</v>
      </c>
      <c r="G34" s="28">
        <v>110</v>
      </c>
      <c r="H34" s="28">
        <v>110</v>
      </c>
    </row>
    <row r="35" ht="24.75" spans="1:8">
      <c r="A35" s="24">
        <v>46121</v>
      </c>
      <c r="B35" s="25">
        <v>1593531</v>
      </c>
      <c r="C35" s="26" t="s">
        <v>250</v>
      </c>
      <c r="D35" s="25">
        <v>20420908</v>
      </c>
      <c r="E35" s="26" t="s">
        <v>276</v>
      </c>
      <c r="F35" s="27">
        <v>1</v>
      </c>
      <c r="G35" s="28">
        <v>412.5</v>
      </c>
      <c r="H35" s="28">
        <v>412.5</v>
      </c>
    </row>
    <row r="36" ht="24.75" spans="1:8">
      <c r="A36" s="24">
        <v>46121</v>
      </c>
      <c r="B36" s="25">
        <v>1593531</v>
      </c>
      <c r="C36" s="26" t="s">
        <v>250</v>
      </c>
      <c r="D36" s="25">
        <v>20420906</v>
      </c>
      <c r="E36" s="26" t="s">
        <v>277</v>
      </c>
      <c r="F36" s="27">
        <v>1</v>
      </c>
      <c r="G36" s="28">
        <v>27.5</v>
      </c>
      <c r="H36" s="28">
        <v>27.5</v>
      </c>
    </row>
    <row r="37" spans="1:8">
      <c r="A37" s="33" t="s">
        <v>247</v>
      </c>
      <c r="B37" s="33"/>
      <c r="C37" s="33"/>
      <c r="D37" s="33"/>
      <c r="E37" s="33"/>
      <c r="F37" s="33"/>
      <c r="G37" s="33"/>
      <c r="H37" s="28">
        <f>SUM(H34:H36)</f>
        <v>550</v>
      </c>
    </row>
    <row r="40" spans="1:8">
      <c r="A40" s="22" t="s">
        <v>278</v>
      </c>
      <c r="B40" s="22"/>
      <c r="C40" s="22"/>
      <c r="D40" s="22"/>
      <c r="E40" s="22"/>
      <c r="F40" s="22"/>
      <c r="G40" s="22"/>
      <c r="H40" s="22"/>
    </row>
    <row r="41" spans="1:8">
      <c r="A41" s="22"/>
      <c r="B41" s="22"/>
      <c r="C41" s="22"/>
      <c r="D41" s="22"/>
      <c r="E41" s="22"/>
      <c r="F41" s="22"/>
      <c r="G41" s="22"/>
      <c r="H41" s="22"/>
    </row>
    <row r="42" spans="1:8">
      <c r="A42" s="22"/>
      <c r="B42" s="22"/>
      <c r="C42" s="22"/>
      <c r="D42" s="22"/>
      <c r="E42" s="22"/>
      <c r="F42" s="22"/>
      <c r="G42" s="22"/>
      <c r="H42" s="22"/>
    </row>
    <row r="43" spans="1:8">
      <c r="A43" s="23" t="s">
        <v>4</v>
      </c>
      <c r="B43" s="23" t="s">
        <v>5</v>
      </c>
      <c r="C43" s="23" t="s">
        <v>6</v>
      </c>
      <c r="D43" s="23" t="s">
        <v>7</v>
      </c>
      <c r="E43" s="23" t="s">
        <v>8</v>
      </c>
      <c r="F43" s="23" t="s">
        <v>9</v>
      </c>
      <c r="G43" s="23" t="s">
        <v>10</v>
      </c>
      <c r="H43" s="23" t="s">
        <v>11</v>
      </c>
    </row>
    <row r="44" ht="24.75" spans="1:8">
      <c r="A44" s="24">
        <v>46124</v>
      </c>
      <c r="B44" s="25">
        <v>1594113</v>
      </c>
      <c r="C44" s="26" t="s">
        <v>250</v>
      </c>
      <c r="D44" s="25">
        <v>20421129</v>
      </c>
      <c r="E44" s="26" t="s">
        <v>279</v>
      </c>
      <c r="F44" s="27">
        <v>1</v>
      </c>
      <c r="G44" s="28">
        <v>88</v>
      </c>
      <c r="H44" s="28">
        <v>88</v>
      </c>
    </row>
    <row r="45" ht="24.75" spans="1:8">
      <c r="A45" s="24">
        <v>46124</v>
      </c>
      <c r="B45" s="25">
        <v>1594113</v>
      </c>
      <c r="C45" s="26" t="s">
        <v>250</v>
      </c>
      <c r="D45" s="25">
        <v>20421130</v>
      </c>
      <c r="E45" s="26" t="s">
        <v>280</v>
      </c>
      <c r="F45" s="27">
        <v>1</v>
      </c>
      <c r="G45" s="28">
        <v>104.5</v>
      </c>
      <c r="H45" s="28">
        <v>104.5</v>
      </c>
    </row>
    <row r="46" ht="24.75" spans="1:8">
      <c r="A46" s="24">
        <v>46124</v>
      </c>
      <c r="B46" s="25">
        <v>1594113</v>
      </c>
      <c r="C46" s="26" t="s">
        <v>250</v>
      </c>
      <c r="D46" s="25">
        <v>20421131</v>
      </c>
      <c r="E46" s="26" t="s">
        <v>281</v>
      </c>
      <c r="F46" s="27">
        <v>1</v>
      </c>
      <c r="G46" s="28">
        <v>154</v>
      </c>
      <c r="H46" s="28">
        <v>154</v>
      </c>
    </row>
    <row r="47" ht="24.75" spans="1:8">
      <c r="A47" s="24">
        <v>46124</v>
      </c>
      <c r="B47" s="25">
        <v>1594113</v>
      </c>
      <c r="C47" s="26" t="s">
        <v>250</v>
      </c>
      <c r="D47" s="25">
        <v>20421132</v>
      </c>
      <c r="E47" s="26" t="s">
        <v>282</v>
      </c>
      <c r="F47" s="27">
        <v>1</v>
      </c>
      <c r="G47" s="28">
        <v>115.5</v>
      </c>
      <c r="H47" s="28">
        <v>115.5</v>
      </c>
    </row>
    <row r="48" ht="24.75" spans="1:8">
      <c r="A48" s="24">
        <v>46124</v>
      </c>
      <c r="B48" s="25">
        <v>1594113</v>
      </c>
      <c r="C48" s="26" t="s">
        <v>250</v>
      </c>
      <c r="D48" s="25">
        <v>20421133</v>
      </c>
      <c r="E48" s="26" t="s">
        <v>283</v>
      </c>
      <c r="F48" s="27">
        <v>1</v>
      </c>
      <c r="G48" s="28">
        <v>198</v>
      </c>
      <c r="H48" s="28">
        <v>198</v>
      </c>
    </row>
    <row r="49" ht="24.75" spans="1:8">
      <c r="A49" s="24">
        <v>46124</v>
      </c>
      <c r="B49" s="25">
        <v>1594113</v>
      </c>
      <c r="C49" s="26" t="s">
        <v>250</v>
      </c>
      <c r="D49" s="25">
        <v>20421134</v>
      </c>
      <c r="E49" s="26" t="s">
        <v>284</v>
      </c>
      <c r="F49" s="27">
        <v>1</v>
      </c>
      <c r="G49" s="28">
        <v>77</v>
      </c>
      <c r="H49" s="28">
        <v>77</v>
      </c>
    </row>
    <row r="50" spans="1:8">
      <c r="A50" s="33" t="s">
        <v>247</v>
      </c>
      <c r="B50" s="33"/>
      <c r="C50" s="33"/>
      <c r="D50" s="33"/>
      <c r="E50" s="33"/>
      <c r="F50" s="33"/>
      <c r="G50" s="33"/>
      <c r="H50" s="28">
        <f>SUM(H44:H49)</f>
        <v>737</v>
      </c>
    </row>
    <row r="52" spans="1:8">
      <c r="A52" s="22" t="s">
        <v>285</v>
      </c>
      <c r="B52" s="22"/>
      <c r="C52" s="22"/>
      <c r="D52" s="22"/>
      <c r="E52" s="22"/>
      <c r="F52" s="22"/>
      <c r="G52" s="22"/>
      <c r="H52" s="22"/>
    </row>
    <row r="53" spans="1:8">
      <c r="A53" s="22"/>
      <c r="B53" s="22"/>
      <c r="C53" s="22"/>
      <c r="D53" s="22"/>
      <c r="E53" s="22"/>
      <c r="F53" s="22"/>
      <c r="G53" s="22"/>
      <c r="H53" s="22"/>
    </row>
    <row r="54" spans="1:8">
      <c r="A54" s="22"/>
      <c r="B54" s="22"/>
      <c r="C54" s="22"/>
      <c r="D54" s="22"/>
      <c r="E54" s="22"/>
      <c r="F54" s="22"/>
      <c r="G54" s="22"/>
      <c r="H54" s="22"/>
    </row>
    <row r="55" spans="1:8">
      <c r="A55" s="23" t="s">
        <v>4</v>
      </c>
      <c r="B55" s="23" t="s">
        <v>5</v>
      </c>
      <c r="C55" s="23" t="s">
        <v>6</v>
      </c>
      <c r="D55" s="23" t="s">
        <v>7</v>
      </c>
      <c r="E55" s="23" t="s">
        <v>8</v>
      </c>
      <c r="F55" s="23" t="s">
        <v>9</v>
      </c>
      <c r="G55" s="23" t="s">
        <v>10</v>
      </c>
      <c r="H55" s="23" t="s">
        <v>11</v>
      </c>
    </row>
    <row r="56" ht="24.75" spans="1:8">
      <c r="A56" s="24">
        <v>46128</v>
      </c>
      <c r="B56" s="25">
        <v>1595689</v>
      </c>
      <c r="C56" s="26" t="s">
        <v>250</v>
      </c>
      <c r="D56" s="25">
        <v>20421845</v>
      </c>
      <c r="E56" s="26" t="s">
        <v>286</v>
      </c>
      <c r="F56" s="27">
        <v>1</v>
      </c>
      <c r="G56" s="28">
        <v>181.5</v>
      </c>
      <c r="H56" s="28">
        <v>181.5</v>
      </c>
    </row>
    <row r="57" ht="24.75" spans="1:8">
      <c r="A57" s="24">
        <v>46128</v>
      </c>
      <c r="B57" s="25">
        <v>1595689</v>
      </c>
      <c r="C57" s="26" t="s">
        <v>250</v>
      </c>
      <c r="D57" s="25">
        <v>20421846</v>
      </c>
      <c r="E57" s="26" t="s">
        <v>287</v>
      </c>
      <c r="F57" s="27">
        <v>1</v>
      </c>
      <c r="G57" s="28">
        <v>154</v>
      </c>
      <c r="H57" s="28">
        <v>154</v>
      </c>
    </row>
    <row r="58" ht="24.75" spans="1:8">
      <c r="A58" s="24">
        <v>46128</v>
      </c>
      <c r="B58" s="25">
        <v>1595689</v>
      </c>
      <c r="C58" s="26" t="s">
        <v>250</v>
      </c>
      <c r="D58" s="25">
        <v>20421847</v>
      </c>
      <c r="E58" s="26" t="s">
        <v>288</v>
      </c>
      <c r="F58" s="27">
        <v>1</v>
      </c>
      <c r="G58" s="28">
        <v>121</v>
      </c>
      <c r="H58" s="28">
        <v>121</v>
      </c>
    </row>
    <row r="59" ht="24.75" spans="1:8">
      <c r="A59" s="24">
        <v>46128</v>
      </c>
      <c r="B59" s="25">
        <v>1595689</v>
      </c>
      <c r="C59" s="26" t="s">
        <v>250</v>
      </c>
      <c r="D59" s="25">
        <v>20421848</v>
      </c>
      <c r="E59" s="26" t="s">
        <v>289</v>
      </c>
      <c r="F59" s="27">
        <v>1</v>
      </c>
      <c r="G59" s="28">
        <v>121</v>
      </c>
      <c r="H59" s="28">
        <v>121</v>
      </c>
    </row>
    <row r="60" ht="24.75" spans="1:8">
      <c r="A60" s="24">
        <v>46128</v>
      </c>
      <c r="B60" s="25">
        <v>1595689</v>
      </c>
      <c r="C60" s="26" t="s">
        <v>250</v>
      </c>
      <c r="D60" s="25">
        <v>20421849</v>
      </c>
      <c r="E60" s="26" t="s">
        <v>290</v>
      </c>
      <c r="F60" s="27">
        <v>1</v>
      </c>
      <c r="G60" s="28">
        <v>104.5</v>
      </c>
      <c r="H60" s="28">
        <v>104.5</v>
      </c>
    </row>
    <row r="61" ht="24.75" spans="1:8">
      <c r="A61" s="24">
        <v>46128</v>
      </c>
      <c r="B61" s="25">
        <v>1595689</v>
      </c>
      <c r="C61" s="26" t="s">
        <v>250</v>
      </c>
      <c r="D61" s="25">
        <v>20421850</v>
      </c>
      <c r="E61" s="26" t="s">
        <v>291</v>
      </c>
      <c r="F61" s="27">
        <v>1</v>
      </c>
      <c r="G61" s="28">
        <v>55</v>
      </c>
      <c r="H61" s="28">
        <v>55</v>
      </c>
    </row>
    <row r="62" spans="1:8">
      <c r="A62" s="34" t="s">
        <v>247</v>
      </c>
      <c r="B62" s="34"/>
      <c r="C62" s="34"/>
      <c r="D62" s="34"/>
      <c r="E62" s="34"/>
      <c r="F62" s="34"/>
      <c r="G62" s="34"/>
      <c r="H62" s="28">
        <f>SUM(H56:H61)</f>
        <v>737</v>
      </c>
    </row>
    <row r="64" spans="1:8">
      <c r="A64" s="22" t="s">
        <v>292</v>
      </c>
      <c r="B64" s="22"/>
      <c r="C64" s="22"/>
      <c r="D64" s="22"/>
      <c r="E64" s="22"/>
      <c r="F64" s="22"/>
      <c r="G64" s="22"/>
      <c r="H64" s="22"/>
    </row>
    <row r="65" spans="1:8">
      <c r="A65" s="22"/>
      <c r="B65" s="22"/>
      <c r="C65" s="22"/>
      <c r="D65" s="22"/>
      <c r="E65" s="22"/>
      <c r="F65" s="22"/>
      <c r="G65" s="22"/>
      <c r="H65" s="22"/>
    </row>
    <row r="66" spans="1:8">
      <c r="A66" s="22"/>
      <c r="B66" s="22"/>
      <c r="C66" s="22"/>
      <c r="D66" s="22"/>
      <c r="E66" s="22"/>
      <c r="F66" s="22"/>
      <c r="G66" s="22"/>
      <c r="H66" s="22"/>
    </row>
    <row r="67" spans="1:8">
      <c r="A67" s="22"/>
      <c r="B67" s="22"/>
      <c r="C67" s="22"/>
      <c r="D67" s="22"/>
      <c r="E67" s="22"/>
      <c r="F67" s="22"/>
      <c r="G67" s="22"/>
      <c r="H67" s="22"/>
    </row>
    <row r="68" spans="1:8">
      <c r="A68" s="23" t="s">
        <v>4</v>
      </c>
      <c r="B68" s="23" t="s">
        <v>5</v>
      </c>
      <c r="C68" s="23" t="s">
        <v>6</v>
      </c>
      <c r="D68" s="23" t="s">
        <v>7</v>
      </c>
      <c r="E68" s="23" t="s">
        <v>8</v>
      </c>
      <c r="F68" s="23" t="s">
        <v>9</v>
      </c>
      <c r="G68" s="23" t="s">
        <v>10</v>
      </c>
      <c r="H68" s="23" t="s">
        <v>11</v>
      </c>
    </row>
    <row r="69" ht="24.75" spans="1:8">
      <c r="A69" s="24">
        <v>46129</v>
      </c>
      <c r="B69" s="25">
        <v>1595817</v>
      </c>
      <c r="C69" s="26" t="s">
        <v>293</v>
      </c>
      <c r="D69" s="25">
        <v>20421941</v>
      </c>
      <c r="E69" s="26" t="s">
        <v>294</v>
      </c>
      <c r="F69" s="27">
        <v>1</v>
      </c>
      <c r="G69" s="28">
        <v>442</v>
      </c>
      <c r="H69" s="28">
        <v>442</v>
      </c>
    </row>
    <row r="70" spans="1:8">
      <c r="A70" s="34" t="s">
        <v>247</v>
      </c>
      <c r="B70" s="34"/>
      <c r="C70" s="34"/>
      <c r="D70" s="34"/>
      <c r="E70" s="34"/>
      <c r="F70" s="34"/>
      <c r="G70" s="34"/>
      <c r="H70" s="28">
        <f>SUM(H69:H69)</f>
        <v>442</v>
      </c>
    </row>
    <row r="74" spans="1:8">
      <c r="A74" s="22" t="s">
        <v>295</v>
      </c>
      <c r="B74" s="22"/>
      <c r="C74" s="22"/>
      <c r="D74" s="22"/>
      <c r="E74" s="22"/>
      <c r="F74" s="22"/>
      <c r="G74" s="22"/>
      <c r="H74" s="22"/>
    </row>
    <row r="75" spans="1:8">
      <c r="A75" s="22"/>
      <c r="B75" s="22"/>
      <c r="C75" s="22"/>
      <c r="D75" s="22"/>
      <c r="E75" s="22"/>
      <c r="F75" s="22"/>
      <c r="G75" s="22"/>
      <c r="H75" s="22"/>
    </row>
    <row r="76" spans="1:8">
      <c r="A76" s="22"/>
      <c r="B76" s="22"/>
      <c r="C76" s="22"/>
      <c r="D76" s="22"/>
      <c r="E76" s="22"/>
      <c r="F76" s="22"/>
      <c r="G76" s="22"/>
      <c r="H76" s="22"/>
    </row>
    <row r="77" spans="1:8">
      <c r="A77" s="23" t="s">
        <v>4</v>
      </c>
      <c r="B77" s="23" t="s">
        <v>5</v>
      </c>
      <c r="C77" s="23" t="s">
        <v>6</v>
      </c>
      <c r="D77" s="23" t="s">
        <v>7</v>
      </c>
      <c r="E77" s="23" t="s">
        <v>8</v>
      </c>
      <c r="F77" s="23" t="s">
        <v>9</v>
      </c>
      <c r="G77" s="23" t="s">
        <v>10</v>
      </c>
      <c r="H77" s="23" t="s">
        <v>11</v>
      </c>
    </row>
    <row r="78" ht="24.75" spans="1:8">
      <c r="A78" s="24">
        <v>46132</v>
      </c>
      <c r="B78" s="25">
        <v>1596609</v>
      </c>
      <c r="C78" s="26" t="s">
        <v>250</v>
      </c>
      <c r="D78" s="25">
        <v>20422214</v>
      </c>
      <c r="E78" s="26" t="s">
        <v>296</v>
      </c>
      <c r="F78" s="27">
        <v>1</v>
      </c>
      <c r="G78" s="28">
        <v>154</v>
      </c>
      <c r="H78" s="28">
        <v>154</v>
      </c>
    </row>
    <row r="79" ht="24.75" spans="1:8">
      <c r="A79" s="24">
        <v>46132</v>
      </c>
      <c r="B79" s="25">
        <v>1596609</v>
      </c>
      <c r="C79" s="26" t="s">
        <v>250</v>
      </c>
      <c r="D79" s="25">
        <v>20422215</v>
      </c>
      <c r="E79" s="26" t="s">
        <v>297</v>
      </c>
      <c r="F79" s="27">
        <v>1</v>
      </c>
      <c r="G79" s="28">
        <v>88</v>
      </c>
      <c r="H79" s="28">
        <v>88</v>
      </c>
    </row>
    <row r="80" ht="24.75" spans="1:8">
      <c r="A80" s="24">
        <v>46132</v>
      </c>
      <c r="B80" s="25">
        <v>1596609</v>
      </c>
      <c r="C80" s="26" t="s">
        <v>250</v>
      </c>
      <c r="D80" s="25">
        <v>20422217</v>
      </c>
      <c r="E80" s="26" t="s">
        <v>298</v>
      </c>
      <c r="F80" s="27">
        <v>1</v>
      </c>
      <c r="G80" s="28">
        <v>121</v>
      </c>
      <c r="H80" s="28">
        <v>121</v>
      </c>
    </row>
    <row r="81" ht="24.75" spans="1:8">
      <c r="A81" s="24">
        <v>46132</v>
      </c>
      <c r="B81" s="25">
        <v>1596609</v>
      </c>
      <c r="C81" s="26" t="s">
        <v>250</v>
      </c>
      <c r="D81" s="25">
        <v>20422219</v>
      </c>
      <c r="E81" s="26" t="s">
        <v>299</v>
      </c>
      <c r="F81" s="27">
        <v>1</v>
      </c>
      <c r="G81" s="28">
        <v>55</v>
      </c>
      <c r="H81" s="28">
        <v>55</v>
      </c>
    </row>
    <row r="82" ht="24.75" spans="1:8">
      <c r="A82" s="24">
        <v>46132</v>
      </c>
      <c r="B82" s="25">
        <v>1596609</v>
      </c>
      <c r="C82" s="26" t="s">
        <v>250</v>
      </c>
      <c r="D82" s="25">
        <v>20422216</v>
      </c>
      <c r="E82" s="26" t="s">
        <v>300</v>
      </c>
      <c r="F82" s="27">
        <v>1</v>
      </c>
      <c r="G82" s="28">
        <v>104.5</v>
      </c>
      <c r="H82" s="28">
        <v>104.5</v>
      </c>
    </row>
    <row r="83" ht="24.75" spans="1:8">
      <c r="A83" s="24">
        <v>46132</v>
      </c>
      <c r="B83" s="25">
        <v>1596609</v>
      </c>
      <c r="C83" s="26" t="s">
        <v>250</v>
      </c>
      <c r="D83" s="25">
        <v>20422218</v>
      </c>
      <c r="E83" s="26" t="s">
        <v>301</v>
      </c>
      <c r="F83" s="27">
        <v>1</v>
      </c>
      <c r="G83" s="28">
        <v>214.5</v>
      </c>
      <c r="H83" s="28">
        <v>214.5</v>
      </c>
    </row>
    <row r="84" spans="1:8">
      <c r="A84" s="33" t="s">
        <v>247</v>
      </c>
      <c r="B84" s="33"/>
      <c r="C84" s="33"/>
      <c r="D84" s="33"/>
      <c r="E84" s="33"/>
      <c r="F84" s="33"/>
      <c r="G84" s="33"/>
      <c r="H84" s="28">
        <f>SUM(H78:H83)</f>
        <v>737</v>
      </c>
    </row>
    <row r="87" spans="1:8">
      <c r="A87" s="22" t="s">
        <v>302</v>
      </c>
      <c r="B87" s="22"/>
      <c r="C87" s="22"/>
      <c r="D87" s="22"/>
      <c r="E87" s="22"/>
      <c r="F87" s="22"/>
      <c r="G87" s="22"/>
      <c r="H87" s="22"/>
    </row>
    <row r="88" spans="1:8">
      <c r="A88" s="22"/>
      <c r="B88" s="22"/>
      <c r="C88" s="22"/>
      <c r="D88" s="22"/>
      <c r="E88" s="22"/>
      <c r="F88" s="22"/>
      <c r="G88" s="22"/>
      <c r="H88" s="22"/>
    </row>
    <row r="89" spans="1:8">
      <c r="A89" s="22"/>
      <c r="B89" s="22"/>
      <c r="C89" s="22"/>
      <c r="D89" s="22"/>
      <c r="E89" s="22"/>
      <c r="F89" s="22"/>
      <c r="G89" s="22"/>
      <c r="H89" s="22"/>
    </row>
    <row r="90" spans="1:8">
      <c r="A90" s="23" t="s">
        <v>4</v>
      </c>
      <c r="B90" s="23" t="s">
        <v>5</v>
      </c>
      <c r="C90" s="23" t="s">
        <v>6</v>
      </c>
      <c r="D90" s="23" t="s">
        <v>7</v>
      </c>
      <c r="E90" s="23" t="s">
        <v>8</v>
      </c>
      <c r="F90" s="23" t="s">
        <v>9</v>
      </c>
      <c r="G90" s="23" t="s">
        <v>10</v>
      </c>
      <c r="H90" s="23" t="s">
        <v>11</v>
      </c>
    </row>
    <row r="91" ht="24.75" spans="1:8">
      <c r="A91" s="24">
        <v>46133</v>
      </c>
      <c r="B91" s="25">
        <v>1596979</v>
      </c>
      <c r="C91" s="26" t="s">
        <v>293</v>
      </c>
      <c r="D91" s="25">
        <v>20422429</v>
      </c>
      <c r="E91" s="26" t="s">
        <v>303</v>
      </c>
      <c r="F91" s="27">
        <v>1</v>
      </c>
      <c r="G91" s="28">
        <v>425.5</v>
      </c>
      <c r="H91" s="28">
        <v>425.5</v>
      </c>
    </row>
    <row r="92" ht="24.75" spans="1:8">
      <c r="A92" s="24">
        <v>46133</v>
      </c>
      <c r="B92" s="25">
        <v>1596979</v>
      </c>
      <c r="C92" s="26" t="s">
        <v>250</v>
      </c>
      <c r="D92" s="25">
        <v>20422431</v>
      </c>
      <c r="E92" s="26" t="s">
        <v>304</v>
      </c>
      <c r="F92" s="27">
        <v>1</v>
      </c>
      <c r="G92" s="28">
        <v>143</v>
      </c>
      <c r="H92" s="28">
        <v>143</v>
      </c>
    </row>
    <row r="93" ht="24.75" spans="1:8">
      <c r="A93" s="24">
        <v>46133</v>
      </c>
      <c r="B93" s="25">
        <v>1596979</v>
      </c>
      <c r="C93" s="26" t="s">
        <v>293</v>
      </c>
      <c r="D93" s="25">
        <v>20422432</v>
      </c>
      <c r="E93" s="26" t="s">
        <v>305</v>
      </c>
      <c r="F93" s="27">
        <v>1</v>
      </c>
      <c r="G93" s="28">
        <v>132.5</v>
      </c>
      <c r="H93" s="28">
        <v>132.5</v>
      </c>
    </row>
    <row r="94" ht="24.75" spans="1:8">
      <c r="A94" s="24">
        <v>46133</v>
      </c>
      <c r="B94" s="25">
        <v>1596979</v>
      </c>
      <c r="C94" s="26" t="s">
        <v>293</v>
      </c>
      <c r="D94" s="25">
        <v>20422430</v>
      </c>
      <c r="E94" s="26" t="s">
        <v>306</v>
      </c>
      <c r="F94" s="27">
        <v>1</v>
      </c>
      <c r="G94" s="28">
        <v>138</v>
      </c>
      <c r="H94" s="28">
        <v>138</v>
      </c>
    </row>
    <row r="95" spans="1:8">
      <c r="A95" s="33" t="s">
        <v>247</v>
      </c>
      <c r="B95" s="33"/>
      <c r="C95" s="33"/>
      <c r="D95" s="33"/>
      <c r="E95" s="33"/>
      <c r="F95" s="33"/>
      <c r="G95" s="33"/>
      <c r="H95" s="28">
        <f>SUM(H91:H94)</f>
        <v>839</v>
      </c>
    </row>
    <row r="96" spans="1:8">
      <c r="A96" s="35"/>
      <c r="B96" s="35"/>
      <c r="C96" s="35"/>
      <c r="D96" s="35"/>
      <c r="E96" s="35"/>
      <c r="F96" s="35"/>
      <c r="G96" s="35"/>
      <c r="H96" s="36"/>
    </row>
    <row r="97" spans="1:9">
      <c r="A97" s="22" t="s">
        <v>307</v>
      </c>
      <c r="B97" s="22"/>
      <c r="C97" s="22"/>
      <c r="D97" s="22"/>
      <c r="E97" s="22"/>
      <c r="F97" s="22"/>
      <c r="G97" s="22"/>
      <c r="H97" s="22"/>
    </row>
    <row r="98" spans="1:9">
      <c r="A98" s="22"/>
      <c r="B98" s="22"/>
      <c r="C98" s="22"/>
      <c r="D98" s="22"/>
      <c r="E98" s="22"/>
      <c r="F98" s="22"/>
      <c r="G98" s="22"/>
      <c r="H98" s="22"/>
    </row>
    <row r="99" spans="1:9">
      <c r="A99" s="22"/>
      <c r="B99" s="22"/>
      <c r="C99" s="22"/>
      <c r="D99" s="22"/>
      <c r="E99" s="22"/>
      <c r="F99" s="22"/>
      <c r="G99" s="22"/>
      <c r="H99" s="22"/>
    </row>
    <row r="100" spans="1:9">
      <c r="A100" s="23" t="s">
        <v>4</v>
      </c>
      <c r="B100" s="23" t="s">
        <v>5</v>
      </c>
      <c r="C100" s="23" t="s">
        <v>6</v>
      </c>
      <c r="D100" s="23" t="s">
        <v>7</v>
      </c>
      <c r="E100" s="23" t="s">
        <v>8</v>
      </c>
      <c r="F100" s="23" t="s">
        <v>9</v>
      </c>
      <c r="G100" s="23" t="s">
        <v>10</v>
      </c>
      <c r="H100" s="23" t="s">
        <v>11</v>
      </c>
    </row>
    <row r="101" ht="24.75" spans="1:9">
      <c r="A101" s="24">
        <v>46137</v>
      </c>
      <c r="B101" s="25">
        <v>1598131</v>
      </c>
      <c r="C101" s="26" t="s">
        <v>250</v>
      </c>
      <c r="D101" s="25">
        <v>20422976</v>
      </c>
      <c r="E101" s="26" t="s">
        <v>308</v>
      </c>
      <c r="F101" s="27">
        <v>1</v>
      </c>
      <c r="G101" s="28">
        <v>93.5</v>
      </c>
      <c r="H101" s="28">
        <v>93.5</v>
      </c>
      <c r="I101">
        <f>1721.5*1.25</f>
        <v>2151.875</v>
      </c>
    </row>
    <row r="102" ht="24.75" spans="1:9">
      <c r="A102" s="24">
        <v>46137</v>
      </c>
      <c r="B102" s="25">
        <v>1598131</v>
      </c>
      <c r="C102" s="26" t="s">
        <v>250</v>
      </c>
      <c r="D102" s="25">
        <v>20422977</v>
      </c>
      <c r="E102" s="26" t="s">
        <v>309</v>
      </c>
      <c r="F102" s="27">
        <v>1</v>
      </c>
      <c r="G102" s="28">
        <v>324.5</v>
      </c>
      <c r="H102" s="28">
        <v>324.5</v>
      </c>
    </row>
    <row r="103" ht="24.75" spans="1:9">
      <c r="A103" s="24">
        <v>46137</v>
      </c>
      <c r="B103" s="25">
        <v>1598131</v>
      </c>
      <c r="C103" s="26" t="s">
        <v>250</v>
      </c>
      <c r="D103" s="25">
        <v>20422978</v>
      </c>
      <c r="E103" s="26" t="s">
        <v>310</v>
      </c>
      <c r="F103" s="27">
        <v>1</v>
      </c>
      <c r="G103" s="28">
        <v>93.5</v>
      </c>
      <c r="H103" s="28">
        <v>93.5</v>
      </c>
    </row>
    <row r="104" ht="24.75" spans="1:9">
      <c r="A104" s="24">
        <v>46137</v>
      </c>
      <c r="B104" s="25">
        <v>1598131</v>
      </c>
      <c r="C104" s="26" t="s">
        <v>250</v>
      </c>
      <c r="D104" s="25">
        <v>20422979</v>
      </c>
      <c r="E104" s="26" t="s">
        <v>311</v>
      </c>
      <c r="F104" s="27">
        <v>1</v>
      </c>
      <c r="G104" s="28">
        <v>121</v>
      </c>
      <c r="H104" s="28">
        <v>121</v>
      </c>
    </row>
    <row r="105" ht="24.75" spans="1:9">
      <c r="A105" s="24">
        <v>46137</v>
      </c>
      <c r="B105" s="25">
        <v>1598131</v>
      </c>
      <c r="C105" s="26" t="s">
        <v>250</v>
      </c>
      <c r="D105" s="25">
        <v>20422980</v>
      </c>
      <c r="E105" s="26" t="s">
        <v>312</v>
      </c>
      <c r="F105" s="27">
        <v>1</v>
      </c>
      <c r="G105" s="28">
        <v>11</v>
      </c>
      <c r="H105" s="28">
        <v>11</v>
      </c>
    </row>
    <row r="106" ht="24.75" spans="1:9">
      <c r="A106" s="24">
        <v>46137</v>
      </c>
      <c r="B106" s="25">
        <v>1598220</v>
      </c>
      <c r="C106" s="26" t="s">
        <v>250</v>
      </c>
      <c r="D106" s="25">
        <v>20422991</v>
      </c>
      <c r="E106" s="26" t="s">
        <v>313</v>
      </c>
      <c r="F106" s="27">
        <v>1</v>
      </c>
      <c r="G106" s="28">
        <v>346.5</v>
      </c>
      <c r="H106" s="28">
        <v>346.5</v>
      </c>
    </row>
    <row r="107" ht="24.75" spans="1:9">
      <c r="A107" s="24">
        <v>46137</v>
      </c>
      <c r="B107" s="25">
        <v>1598220</v>
      </c>
      <c r="C107" s="26" t="s">
        <v>250</v>
      </c>
      <c r="D107" s="25">
        <v>20422992</v>
      </c>
      <c r="E107" s="26" t="s">
        <v>314</v>
      </c>
      <c r="F107" s="27">
        <v>1</v>
      </c>
      <c r="G107" s="28">
        <v>137.5</v>
      </c>
      <c r="H107" s="28">
        <v>137.5</v>
      </c>
    </row>
    <row r="108" ht="24.75" spans="1:9">
      <c r="A108" s="24">
        <v>46137</v>
      </c>
      <c r="B108" s="25">
        <v>1598220</v>
      </c>
      <c r="C108" s="26" t="s">
        <v>250</v>
      </c>
      <c r="D108" s="25">
        <v>20422993</v>
      </c>
      <c r="E108" s="26" t="s">
        <v>315</v>
      </c>
      <c r="F108" s="27">
        <v>1</v>
      </c>
      <c r="G108" s="28">
        <v>93.5</v>
      </c>
      <c r="H108" s="28">
        <v>93.5</v>
      </c>
    </row>
    <row r="109" ht="24.75" spans="1:9">
      <c r="A109" s="24">
        <v>46137</v>
      </c>
      <c r="B109" s="25">
        <v>1598220</v>
      </c>
      <c r="C109" s="26" t="s">
        <v>250</v>
      </c>
      <c r="D109" s="25">
        <v>20422994</v>
      </c>
      <c r="E109" s="26" t="s">
        <v>316</v>
      </c>
      <c r="F109" s="27">
        <v>1</v>
      </c>
      <c r="G109" s="28">
        <v>82.5</v>
      </c>
      <c r="H109" s="28">
        <v>82.5</v>
      </c>
    </row>
    <row r="110" ht="24.75" spans="1:9">
      <c r="A110" s="24">
        <v>46137</v>
      </c>
      <c r="B110" s="25">
        <v>1598220</v>
      </c>
      <c r="C110" s="26" t="s">
        <v>250</v>
      </c>
      <c r="D110" s="25">
        <v>20422995</v>
      </c>
      <c r="E110" s="26" t="s">
        <v>317</v>
      </c>
      <c r="F110" s="27">
        <v>1</v>
      </c>
      <c r="G110" s="28">
        <v>115.5</v>
      </c>
      <c r="H110" s="28">
        <v>115.5</v>
      </c>
    </row>
    <row r="111" ht="24.75" spans="1:9">
      <c r="A111" s="24">
        <v>46137</v>
      </c>
      <c r="B111" s="25">
        <v>1598220</v>
      </c>
      <c r="C111" s="26" t="s">
        <v>250</v>
      </c>
      <c r="D111" s="25">
        <v>20422996</v>
      </c>
      <c r="E111" s="26" t="s">
        <v>318</v>
      </c>
      <c r="F111" s="27">
        <v>1</v>
      </c>
      <c r="G111" s="28">
        <v>220</v>
      </c>
      <c r="H111" s="28">
        <v>220</v>
      </c>
    </row>
    <row r="112" ht="24.75" spans="1:9">
      <c r="A112" s="24">
        <v>46137</v>
      </c>
      <c r="B112" s="25">
        <v>1598220</v>
      </c>
      <c r="C112" s="26" t="s">
        <v>250</v>
      </c>
      <c r="D112" s="25">
        <v>20422997</v>
      </c>
      <c r="E112" s="26" t="s">
        <v>319</v>
      </c>
      <c r="F112" s="27">
        <v>1</v>
      </c>
      <c r="G112" s="28">
        <v>82.5</v>
      </c>
      <c r="H112" s="28">
        <v>82.5</v>
      </c>
    </row>
    <row r="113" spans="1:8">
      <c r="A113" s="33" t="s">
        <v>247</v>
      </c>
      <c r="B113" s="33"/>
      <c r="C113" s="33"/>
      <c r="D113" s="33"/>
      <c r="E113" s="33"/>
      <c r="F113" s="33"/>
      <c r="G113" s="33"/>
      <c r="H113" s="28">
        <f>SUM(H101:H112)</f>
        <v>1721.5</v>
      </c>
    </row>
  </sheetData>
  <mergeCells count="19">
    <mergeCell ref="A1:H1"/>
    <mergeCell ref="A15:G15"/>
    <mergeCell ref="A28:G28"/>
    <mergeCell ref="A37:G37"/>
    <mergeCell ref="A50:G50"/>
    <mergeCell ref="A62:G62"/>
    <mergeCell ref="A70:G70"/>
    <mergeCell ref="A84:G84"/>
    <mergeCell ref="A95:G95"/>
    <mergeCell ref="A113:G113"/>
    <mergeCell ref="A2:H4"/>
    <mergeCell ref="A18:H20"/>
    <mergeCell ref="A31:H32"/>
    <mergeCell ref="A40:H42"/>
    <mergeCell ref="A52:H54"/>
    <mergeCell ref="A87:H89"/>
    <mergeCell ref="A97:H99"/>
    <mergeCell ref="A74:H76"/>
    <mergeCell ref="A64:H67"/>
  </mergeCells>
  <pageMargins left="0.25" right="0.25" top="0.75" bottom="0.75" header="0.298611111111111" footer="0.298611111111111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view="pageBreakPreview" zoomScaleNormal="100" workbookViewId="0">
      <selection activeCell="A1" sqref="A1:H1"/>
    </sheetView>
  </sheetViews>
  <sheetFormatPr defaultColWidth="9" defaultRowHeight="13.5" outlineLevelCol="7"/>
  <cols>
    <col min="3" max="3" width="11.875" customWidth="1"/>
    <col min="5" max="5" width="22.125" customWidth="1"/>
    <col min="7" max="7" width="13.75" customWidth="1"/>
    <col min="8" max="8" width="14.25" customWidth="1"/>
  </cols>
  <sheetData>
    <row r="1" customFormat="1" ht="40" customHeight="1" spans="1:8">
      <c r="A1" s="21" t="s">
        <v>257</v>
      </c>
      <c r="B1" s="21"/>
      <c r="C1" s="21"/>
      <c r="D1" s="21"/>
      <c r="E1" s="21"/>
      <c r="F1" s="21"/>
      <c r="G1" s="21"/>
      <c r="H1" s="21"/>
    </row>
    <row r="2" customFormat="1" spans="1:8">
      <c r="A2" s="22" t="s">
        <v>320</v>
      </c>
      <c r="B2" s="22"/>
      <c r="C2" s="22"/>
      <c r="D2" s="22"/>
      <c r="E2" s="22"/>
      <c r="F2" s="22"/>
      <c r="G2" s="22"/>
      <c r="H2" s="22"/>
    </row>
    <row r="3" customFormat="1" spans="1:8">
      <c r="A3" s="22"/>
      <c r="B3" s="22"/>
      <c r="C3" s="22"/>
      <c r="D3" s="22"/>
      <c r="E3" s="22"/>
      <c r="F3" s="22"/>
      <c r="G3" s="22"/>
      <c r="H3" s="22"/>
    </row>
    <row r="4" customFormat="1" spans="1:8">
      <c r="A4" s="22"/>
      <c r="B4" s="22"/>
      <c r="C4" s="22"/>
      <c r="D4" s="22"/>
      <c r="E4" s="22"/>
      <c r="F4" s="22"/>
      <c r="G4" s="22"/>
      <c r="H4" s="22"/>
    </row>
    <row r="5" customFormat="1" spans="1:8">
      <c r="A5" s="23" t="s">
        <v>4</v>
      </c>
      <c r="B5" s="23" t="s">
        <v>5</v>
      </c>
      <c r="C5" s="23" t="s">
        <v>6</v>
      </c>
      <c r="D5" s="23" t="s">
        <v>7</v>
      </c>
      <c r="E5" s="23" t="s">
        <v>8</v>
      </c>
      <c r="F5" s="23" t="s">
        <v>9</v>
      </c>
      <c r="G5" s="23" t="s">
        <v>10</v>
      </c>
      <c r="H5" s="23" t="s">
        <v>11</v>
      </c>
    </row>
    <row r="6" customFormat="1" ht="25.5" spans="1:8">
      <c r="A6" s="24">
        <v>46126</v>
      </c>
      <c r="B6" s="25">
        <v>1594611</v>
      </c>
      <c r="C6" s="26" t="s">
        <v>44</v>
      </c>
      <c r="D6" s="25">
        <v>20418538</v>
      </c>
      <c r="E6" s="26" t="s">
        <v>116</v>
      </c>
      <c r="F6" s="27">
        <v>1</v>
      </c>
      <c r="G6" s="28">
        <v>28</v>
      </c>
      <c r="H6" s="28">
        <v>28</v>
      </c>
    </row>
    <row r="7" customFormat="1" ht="25.5" spans="1:8">
      <c r="A7" s="24">
        <v>46126</v>
      </c>
      <c r="B7" s="25">
        <v>1594611</v>
      </c>
      <c r="C7" s="26" t="s">
        <v>44</v>
      </c>
      <c r="D7" s="25">
        <v>20418545</v>
      </c>
      <c r="E7" s="26" t="s">
        <v>117</v>
      </c>
      <c r="F7" s="27">
        <v>1</v>
      </c>
      <c r="G7" s="28">
        <v>35</v>
      </c>
      <c r="H7" s="28">
        <v>35</v>
      </c>
    </row>
    <row r="8" customFormat="1" ht="25.5" spans="1:8">
      <c r="A8" s="24">
        <v>46126</v>
      </c>
      <c r="B8" s="25">
        <v>1594611</v>
      </c>
      <c r="C8" s="26" t="s">
        <v>44</v>
      </c>
      <c r="D8" s="25">
        <v>20418552</v>
      </c>
      <c r="E8" s="26" t="s">
        <v>119</v>
      </c>
      <c r="F8" s="27">
        <v>2</v>
      </c>
      <c r="G8" s="28">
        <v>28</v>
      </c>
      <c r="H8" s="28">
        <v>56</v>
      </c>
    </row>
    <row r="9" customFormat="1" ht="25.5" spans="1:8">
      <c r="A9" s="24">
        <v>46126</v>
      </c>
      <c r="B9" s="25">
        <v>1594611</v>
      </c>
      <c r="C9" s="26" t="s">
        <v>44</v>
      </c>
      <c r="D9" s="25">
        <v>20418537</v>
      </c>
      <c r="E9" s="26" t="s">
        <v>120</v>
      </c>
      <c r="F9" s="27">
        <v>1</v>
      </c>
      <c r="G9" s="28">
        <v>28</v>
      </c>
      <c r="H9" s="28">
        <v>28</v>
      </c>
    </row>
    <row r="10" customFormat="1" ht="25.5" spans="1:8">
      <c r="A10" s="24">
        <v>46126</v>
      </c>
      <c r="B10" s="25">
        <v>1594611</v>
      </c>
      <c r="C10" s="26" t="s">
        <v>44</v>
      </c>
      <c r="D10" s="25">
        <v>20418539</v>
      </c>
      <c r="E10" s="26" t="s">
        <v>121</v>
      </c>
      <c r="F10" s="27">
        <v>1</v>
      </c>
      <c r="G10" s="28">
        <v>28</v>
      </c>
      <c r="H10" s="28">
        <v>28</v>
      </c>
    </row>
    <row r="11" customFormat="1" ht="25.5" spans="1:8">
      <c r="A11" s="24">
        <v>46126</v>
      </c>
      <c r="B11" s="25">
        <v>1594611</v>
      </c>
      <c r="C11" s="26" t="s">
        <v>122</v>
      </c>
      <c r="D11" s="25">
        <v>20420067</v>
      </c>
      <c r="E11" s="26" t="s">
        <v>123</v>
      </c>
      <c r="F11" s="27">
        <v>2</v>
      </c>
      <c r="G11" s="28">
        <v>28</v>
      </c>
      <c r="H11" s="28">
        <v>56</v>
      </c>
    </row>
    <row r="12" customFormat="1" spans="1:8">
      <c r="A12" s="29" t="s">
        <v>247</v>
      </c>
      <c r="B12" s="30"/>
      <c r="C12" s="30"/>
      <c r="D12" s="30"/>
      <c r="E12" s="30"/>
      <c r="F12" s="30"/>
      <c r="G12" s="31"/>
      <c r="H12" s="28">
        <f>SUM(H6:H11)</f>
        <v>231</v>
      </c>
    </row>
  </sheetData>
  <mergeCells count="3">
    <mergeCell ref="A1:H1"/>
    <mergeCell ref="A12:G12"/>
    <mergeCell ref="A2:H4"/>
  </mergeCells>
  <pageMargins left="0.25" right="0.25" top="0.75" bottom="0.75" header="0.298611111111111" footer="0.298611111111111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view="pageBreakPreview" zoomScaleNormal="100" workbookViewId="0">
      <selection activeCell="H25" sqref="H25"/>
    </sheetView>
  </sheetViews>
  <sheetFormatPr defaultColWidth="9" defaultRowHeight="13.5" outlineLevelCol="7"/>
  <cols>
    <col min="1" max="1" width="1.09166666666667" customWidth="1"/>
    <col min="2" max="2" width="13.7083333333333" customWidth="1"/>
    <col min="3" max="3" width="17.025" customWidth="1"/>
    <col min="4" max="4" width="9" customWidth="1"/>
    <col min="5" max="5" width="16.75" customWidth="1"/>
    <col min="6" max="6" width="11.875" customWidth="1"/>
    <col min="7" max="7" width="17.375" customWidth="1"/>
    <col min="8" max="8" width="14" customWidth="1"/>
    <col min="9" max="9" width="6.625" customWidth="1"/>
  </cols>
  <sheetData>
    <row r="1" customFormat="1" ht="25.5" customHeight="1" spans="1:8">
      <c r="A1" s="1" t="s">
        <v>321</v>
      </c>
    </row>
    <row r="2" ht="2" customHeight="1"/>
    <row r="3" customFormat="1" ht="12.75" customHeight="1" spans="1:8">
      <c r="A3" s="2" t="s">
        <v>322</v>
      </c>
    </row>
    <row r="5" ht="2.05" customHeight="1"/>
    <row r="6" customFormat="1" ht="1.95" customHeight="1" spans="1:8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customFormat="1" ht="15.75" spans="1:8">
      <c r="A7" s="4" t="s">
        <v>2</v>
      </c>
      <c r="B7" s="5" t="s">
        <v>3</v>
      </c>
      <c r="C7" s="4" t="s">
        <v>2</v>
      </c>
      <c r="D7" s="4" t="s">
        <v>2</v>
      </c>
      <c r="E7" s="4" t="s">
        <v>2</v>
      </c>
      <c r="F7" s="4" t="s">
        <v>2</v>
      </c>
      <c r="G7" s="6" t="s">
        <v>2</v>
      </c>
      <c r="H7" s="7">
        <v>-60</v>
      </c>
    </row>
    <row r="8" customFormat="1" spans="1:8">
      <c r="B8" s="8" t="s">
        <v>323</v>
      </c>
      <c r="C8" s="8" t="s">
        <v>324</v>
      </c>
      <c r="D8" s="8" t="s">
        <v>325</v>
      </c>
      <c r="E8" s="8" t="s">
        <v>326</v>
      </c>
      <c r="F8" s="8" t="s">
        <v>7</v>
      </c>
      <c r="G8" s="8" t="s">
        <v>327</v>
      </c>
      <c r="H8" s="8" t="s">
        <v>328</v>
      </c>
    </row>
    <row r="9" customFormat="1" ht="14.25" spans="1:8">
      <c r="B9" s="9" t="s">
        <v>82</v>
      </c>
      <c r="C9" s="4" t="s">
        <v>2</v>
      </c>
      <c r="D9" s="4" t="s">
        <v>2</v>
      </c>
      <c r="E9" s="4" t="s">
        <v>2</v>
      </c>
      <c r="F9" s="4" t="s">
        <v>2</v>
      </c>
      <c r="G9" s="8" t="s">
        <v>2</v>
      </c>
      <c r="H9" s="10">
        <v>-52</v>
      </c>
    </row>
    <row r="10" customFormat="1" spans="1:8">
      <c r="B10" s="11" t="s">
        <v>329</v>
      </c>
      <c r="C10" s="4" t="s">
        <v>2</v>
      </c>
      <c r="D10" s="4" t="s">
        <v>2</v>
      </c>
      <c r="E10" s="4" t="s">
        <v>2</v>
      </c>
      <c r="F10" s="4" t="s">
        <v>2</v>
      </c>
      <c r="G10" s="12" t="s">
        <v>2</v>
      </c>
      <c r="H10" s="13">
        <v>-52</v>
      </c>
    </row>
    <row r="11" customFormat="1" spans="1:8">
      <c r="B11" s="14">
        <v>3006148191</v>
      </c>
      <c r="C11" s="15">
        <v>46150.6533034375</v>
      </c>
      <c r="D11" s="16" t="s">
        <v>330</v>
      </c>
      <c r="E11" s="17">
        <v>46139.6801197917</v>
      </c>
      <c r="F11" s="18">
        <v>20419711</v>
      </c>
      <c r="G11" s="18" t="s">
        <v>87</v>
      </c>
      <c r="H11" s="19">
        <v>-16.5</v>
      </c>
    </row>
    <row r="12" customFormat="1" spans="1:8">
      <c r="B12" s="14">
        <v>3006148193</v>
      </c>
      <c r="C12" s="15">
        <v>46150.6530566319</v>
      </c>
      <c r="D12" s="16" t="s">
        <v>330</v>
      </c>
      <c r="E12" s="17">
        <v>46139.6801239236</v>
      </c>
      <c r="F12" s="18">
        <v>20419711</v>
      </c>
      <c r="G12" s="18" t="s">
        <v>87</v>
      </c>
      <c r="H12" s="19">
        <v>-16.5</v>
      </c>
    </row>
    <row r="13" customFormat="1" spans="1:8">
      <c r="B13" s="14">
        <v>3006148222</v>
      </c>
      <c r="C13" s="15">
        <v>46150.6525951736</v>
      </c>
      <c r="D13" s="16" t="s">
        <v>330</v>
      </c>
      <c r="E13" s="17">
        <v>46139.6801179051</v>
      </c>
      <c r="F13" s="18">
        <v>20420069</v>
      </c>
      <c r="G13" s="18" t="s">
        <v>108</v>
      </c>
      <c r="H13" s="19">
        <v>-8</v>
      </c>
    </row>
    <row r="14" customFormat="1" spans="1:8">
      <c r="B14" s="14">
        <v>3006148226</v>
      </c>
      <c r="C14" s="15">
        <v>46150.6528334144</v>
      </c>
      <c r="D14" s="16" t="s">
        <v>330</v>
      </c>
      <c r="E14" s="17">
        <v>46139.6801260764</v>
      </c>
      <c r="F14" s="18">
        <v>20419699</v>
      </c>
      <c r="G14" s="18" t="s">
        <v>92</v>
      </c>
      <c r="H14" s="19">
        <v>-11</v>
      </c>
    </row>
    <row r="15" customFormat="1" spans="1:8">
      <c r="B15" s="8" t="s">
        <v>323</v>
      </c>
      <c r="C15" s="8" t="s">
        <v>324</v>
      </c>
      <c r="D15" s="8" t="s">
        <v>325</v>
      </c>
      <c r="E15" s="8" t="s">
        <v>326</v>
      </c>
      <c r="F15" s="8" t="s">
        <v>7</v>
      </c>
      <c r="G15" s="8" t="s">
        <v>327</v>
      </c>
      <c r="H15" s="8" t="s">
        <v>328</v>
      </c>
    </row>
    <row r="16" customFormat="1" ht="14.25" spans="1:8">
      <c r="B16" s="9" t="s">
        <v>228</v>
      </c>
      <c r="C16" s="4" t="s">
        <v>2</v>
      </c>
      <c r="D16" s="4" t="s">
        <v>2</v>
      </c>
      <c r="E16" s="4" t="s">
        <v>2</v>
      </c>
      <c r="F16" s="4" t="s">
        <v>2</v>
      </c>
      <c r="G16" s="8" t="s">
        <v>2</v>
      </c>
      <c r="H16" s="10">
        <v>-8</v>
      </c>
    </row>
    <row r="17" customFormat="1" spans="2:8">
      <c r="B17" s="11" t="s">
        <v>329</v>
      </c>
      <c r="C17" s="4" t="s">
        <v>2</v>
      </c>
      <c r="D17" s="4" t="s">
        <v>2</v>
      </c>
      <c r="E17" s="4" t="s">
        <v>2</v>
      </c>
      <c r="F17" s="4" t="s">
        <v>2</v>
      </c>
      <c r="G17" s="12" t="s">
        <v>2</v>
      </c>
      <c r="H17" s="13">
        <v>-8</v>
      </c>
    </row>
    <row r="18" customFormat="1" spans="2:8">
      <c r="B18" s="14">
        <v>3006148151</v>
      </c>
      <c r="C18" s="15">
        <v>46150.6522103356</v>
      </c>
      <c r="D18" s="16" t="s">
        <v>330</v>
      </c>
      <c r="E18" s="17">
        <v>46139.6801299421</v>
      </c>
      <c r="F18" s="18">
        <v>20418998</v>
      </c>
      <c r="G18" s="18" t="s">
        <v>42</v>
      </c>
      <c r="H18" s="19">
        <v>-8</v>
      </c>
    </row>
    <row r="19" customFormat="1" spans="2:8">
      <c r="B19" s="20" t="s">
        <v>2</v>
      </c>
      <c r="C19" s="20" t="s">
        <v>2</v>
      </c>
      <c r="D19" s="20" t="s">
        <v>2</v>
      </c>
      <c r="E19" s="20" t="s">
        <v>2</v>
      </c>
      <c r="F19" s="20" t="s">
        <v>2</v>
      </c>
      <c r="G19" s="20" t="s">
        <v>2</v>
      </c>
      <c r="H19" s="20" t="s">
        <v>2</v>
      </c>
    </row>
    <row r="20" ht="0.05" customHeight="1"/>
    <row r="21" ht="11.6" customHeight="1"/>
  </sheetData>
  <mergeCells count="8">
    <mergeCell ref="A1:G1"/>
    <mergeCell ref="B7:F7"/>
    <mergeCell ref="B9:F9"/>
    <mergeCell ref="B10:F10"/>
    <mergeCell ref="B16:F16"/>
    <mergeCell ref="B17:F17"/>
    <mergeCell ref="A8:A18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耳鼻喉</vt:lpstr>
      <vt:lpstr>妇科</vt:lpstr>
      <vt:lpstr>急诊</vt:lpstr>
      <vt:lpstr>口腔科</vt:lpstr>
      <vt:lpstr>内科</vt:lpstr>
      <vt:lpstr>手术室</vt:lpstr>
      <vt:lpstr>透析科</vt:lpstr>
      <vt:lpstr>外科</vt:lpstr>
      <vt:lpstr>眼科</vt:lpstr>
      <vt:lpstr>外来器械</vt:lpstr>
      <vt:lpstr>外来器械加急</vt:lpstr>
      <vt:lpstr>加急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2026-05-08T05:03:00Z</dcterms:created>
  <dcterms:modified xsi:type="dcterms:W3CDTF">2026-05-12T08:40:07Z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9DDD45100EB94C5EA864C027190AFEA1_13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