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40" windowHeight="11655"/>
  </bookViews>
  <sheets>
    <sheet name="DeliveryNoteSummaryWithPackingM" sheetId="1" r:id="rId1"/>
  </sheets>
  <definedNames>
    <definedName name="_xlnm._FilterDatabase" localSheetId="0" hidden="1">DeliveryNoteSummaryWithPackingM!$A$12:$J$100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<sst xmlns="http://schemas.openxmlformats.org/spreadsheetml/2006/main" count="414" uniqueCount="79">
  <si>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</si>
  <si>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</si>
  <si>
    <t/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</si>
  <si>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</si>
  <si>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</si>
  <si>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</si>
  <si>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</si>
  <si>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</si>
  <si>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</si>
  <si>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</si>
  <si>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</si>
  <si>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</si>
  <si>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电机厂医院</t>
  </si>
  <si>
    <t>妇产科</t>
  </si>
  <si>
    <t>单包装包</t>
  </si>
  <si>
    <t>无菌缸-1/Z2530</t>
  </si>
  <si>
    <t>额外包</t>
  </si>
  <si>
    <t>额外包(纸塑袋)</t>
  </si>
  <si>
    <t>止血钳-1/Z1029</t>
  </si>
  <si>
    <t>额外包(无纺布)</t>
  </si>
  <si>
    <t>取环包-6/W6050</t>
  </si>
  <si>
    <t>取环器-1/Z1535</t>
  </si>
  <si>
    <t>7号吸头-1/Z7534</t>
  </si>
  <si>
    <t>剪刀-1/Z1029</t>
  </si>
  <si>
    <t>扩棒-1/Z7530</t>
  </si>
  <si>
    <t>人流包-9件/W6050</t>
  </si>
  <si>
    <t>上环包-4/W6050</t>
  </si>
  <si>
    <t>急诊科</t>
  </si>
  <si>
    <t>器械包</t>
  </si>
  <si>
    <t>静脉切开包</t>
  </si>
  <si>
    <t>气管切开包</t>
  </si>
  <si>
    <t>开口器-1/Z1026</t>
  </si>
  <si>
    <t>舌钳子-1/Z1526</t>
  </si>
  <si>
    <t>手术室</t>
  </si>
  <si>
    <t>咬骨钳-1/(双)Z1526</t>
  </si>
  <si>
    <t>持物钳罐-2/W6050</t>
  </si>
  <si>
    <t>腹腔镜器械-9件/W6050</t>
  </si>
  <si>
    <t>额外包(低温等离子)</t>
  </si>
  <si>
    <t>穿刺器10.5-1/Z1026</t>
  </si>
  <si>
    <t>穿刺器5.5-1/Z1026</t>
  </si>
  <si>
    <t>电凝棒-1/z7550</t>
  </si>
  <si>
    <t>电凝钩 1 电极线 1/z2060</t>
  </si>
  <si>
    <t>剪刀（低温）-1/Z2060</t>
  </si>
  <si>
    <t>镜头-1/Z2060</t>
  </si>
  <si>
    <t>气腹管-1/z3040</t>
  </si>
  <si>
    <t>施夹钳-1/Z2060</t>
  </si>
  <si>
    <t>弯分离钳-1/Z2060</t>
  </si>
  <si>
    <t>胃抓钳-1/Z2060</t>
  </si>
  <si>
    <t>转换器-1/Z7520</t>
  </si>
  <si>
    <t>阑尾包</t>
  </si>
  <si>
    <t>门诊包</t>
  </si>
  <si>
    <t>剥离质-1/Z7534</t>
  </si>
  <si>
    <t>梅花-1/Z1035</t>
  </si>
  <si>
    <t>梅花一套-6/Z1026</t>
  </si>
  <si>
    <t>双极钳  双极线-2件/z2060</t>
  </si>
  <si>
    <t>甲状腺</t>
  </si>
  <si>
    <t>蚊式包</t>
  </si>
  <si>
    <t>S拉钩-1/Z1535</t>
  </si>
  <si>
    <t>针盒-1(带针)/W6050</t>
  </si>
  <si>
    <t>胃肠包</t>
  </si>
  <si>
    <t>胃肠特殊包</t>
  </si>
  <si>
    <t>小门诊包</t>
  </si>
  <si>
    <t>手刷-5/Z3032</t>
  </si>
  <si>
    <t>骨剪-1/W6050</t>
  </si>
  <si>
    <t>外科</t>
  </si>
  <si>
    <t>止血钳-1剪刀-1/Z1526</t>
  </si>
  <si>
    <t>器械包(ZSD)</t>
  </si>
  <si>
    <t>缝合包</t>
  </si>
  <si>
    <t>无菌缸-5/W9050</t>
  </si>
  <si>
    <t>刀柄1持针器1剪刀1止血钳1/W6050</t>
  </si>
  <si>
    <t>止血钳-2剪刀-1/Z1526</t>
  </si>
  <si>
    <t>止血钳-3/Z1526</t>
  </si>
  <si>
    <t>止血钳1持针器1钩镊1刀柄1/W6050</t>
  </si>
  <si>
    <t>止血钳-5/Z1526</t>
  </si>
  <si>
    <t>无菌缸-4/W9050</t>
  </si>
  <si>
    <t>剪刀-1止血钳-2/Z1530</t>
  </si>
  <si>
    <t>止血钳-2/Z1526</t>
  </si>
  <si>
    <t>敷料包</t>
  </si>
  <si>
    <t>纱条（棉布）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</si>
</sst>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24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0" fillId="4" borderId="0" xfId="49" applyFont="1" applyFill="1" applyBorder="1"/>
    <xf numFmtId="177" fontId="3" fillId="4" borderId="2" xfId="49" applyNumberFormat="1" applyFont="1" applyFill="1" applyBorder="1" applyAlignment="1">
      <alignment vertical="top" wrapText="1" readingOrder="1"/>
    </xf>
    <xf numFmtId="0" fontId="0" fillId="4" borderId="3" xfId="49" applyNumberFormat="1" applyFont="1" applyFill="1" applyBorder="1" applyAlignment="1">
      <alignment vertical="top" wrapText="1"/>
    </xf>
    <xf numFmtId="0" fontId="3" fillId="4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center" vertical="top" wrapText="1" readingOrder="1"/>
    </xf>
    <xf numFmtId="176" fontId="3" fillId="4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114300</xdr:colOff>
      <xdr:row>1</xdr:row>
      <xdr:rowOff>38100</xdr:rowOff>
    </xdr:from>
    <xdr:to>
      <xdr:col>9</xdr:col>
      <xdr:colOff>624260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532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showGridLines="0" tabSelected="1" topLeftCell="C1" workbookViewId="0">
      <pane ySplit="6" topLeftCell="A7" activePane="bottomLeft" state="frozen"/>
      <selection/>
      <selection pane="bottomLeft" activeCell="L12" sqref="L12:L20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0.375" customWidth="1"/>
    <col min="5" max="5" width="14.95" customWidth="1"/>
    <col min="6" max="6" width="9.36666666666667" customWidth="1"/>
    <col min="7" max="7" width="21.125" customWidth="1"/>
    <col min="8" max="8" width="5.75" customWidth="1"/>
    <col min="9" max="9" width="10.6333333333333" customWidth="1"/>
    <col min="10" max="10" width="12" customWidth="1"/>
  </cols>
  <sheetData>
    <row r="1" spans="1:12">
      <c r="B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05" customHeight="1"/>
    <row r="7" ht="4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11" ht="3.6" customHeight="1"/>
    <row r="12" spans="1:12">
      <c r="A12" s="4" t="s">
        <v>3</v>
      </c>
      <c r="B12" s="5" t="s">
        <v>2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L12">
        <v>1045</v>
      </c>
    </row>
    <row r="13" ht="15" spans="1:12">
      <c r="A13" s="6" t="s">
        <v>12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8">
        <v>119</v>
      </c>
      <c r="I13" s="9"/>
      <c r="J13" s="9">
        <v>4447.5</v>
      </c>
      <c r="L13">
        <v>995.5</v>
      </c>
    </row>
    <row r="14" ht="14.25" spans="1:12">
      <c r="A14" s="10" t="s">
        <v>13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11">
        <v>13</v>
      </c>
      <c r="I14" s="12"/>
      <c r="J14" s="12">
        <v>278.5</v>
      </c>
      <c r="L14">
        <v>628.5</v>
      </c>
    </row>
    <row r="15" spans="1:12">
      <c r="A15" s="13">
        <v>46178</v>
      </c>
      <c r="B15" s="5" t="s">
        <v>2</v>
      </c>
      <c r="C15" s="14">
        <v>1609673</v>
      </c>
      <c r="D15" s="14" t="s">
        <v>14</v>
      </c>
      <c r="E15" s="14" t="s">
        <v>14</v>
      </c>
      <c r="F15" s="4">
        <v>20006140</v>
      </c>
      <c r="G15" s="14" t="s">
        <v>15</v>
      </c>
      <c r="H15" s="4">
        <v>1</v>
      </c>
      <c r="I15" s="15">
        <v>16</v>
      </c>
      <c r="J15" s="15">
        <v>16</v>
      </c>
      <c r="L15">
        <v>381</v>
      </c>
    </row>
    <row r="16" spans="1:12">
      <c r="A16" s="13">
        <v>46178</v>
      </c>
      <c r="B16" s="5" t="s">
        <v>2</v>
      </c>
      <c r="C16" s="14">
        <v>1609673</v>
      </c>
      <c r="D16" s="14" t="s">
        <v>16</v>
      </c>
      <c r="E16" s="14" t="s">
        <v>17</v>
      </c>
      <c r="F16" s="4">
        <v>20012950</v>
      </c>
      <c r="G16" s="14" t="s">
        <v>18</v>
      </c>
      <c r="H16" s="4">
        <v>1</v>
      </c>
      <c r="I16" s="15">
        <v>8</v>
      </c>
      <c r="J16" s="15">
        <v>8</v>
      </c>
      <c r="L16">
        <v>0</v>
      </c>
    </row>
    <row r="17" spans="1:12">
      <c r="A17" s="13">
        <v>46178</v>
      </c>
      <c r="B17" s="5" t="s">
        <v>2</v>
      </c>
      <c r="C17" s="14">
        <v>1609673</v>
      </c>
      <c r="D17" s="14" t="s">
        <v>16</v>
      </c>
      <c r="E17" s="14" t="s">
        <v>19</v>
      </c>
      <c r="F17" s="4">
        <v>20311377</v>
      </c>
      <c r="G17" s="14" t="s">
        <v>20</v>
      </c>
      <c r="H17" s="4">
        <v>1</v>
      </c>
      <c r="I17" s="15">
        <v>33</v>
      </c>
      <c r="J17" s="15">
        <v>33</v>
      </c>
      <c r="L17">
        <v>2.5</v>
      </c>
    </row>
    <row r="18" spans="1:12">
      <c r="A18" s="13">
        <v>46188</v>
      </c>
      <c r="B18" s="5" t="s">
        <v>2</v>
      </c>
      <c r="C18" s="14">
        <v>1612286</v>
      </c>
      <c r="D18" s="14" t="s">
        <v>16</v>
      </c>
      <c r="E18" s="14" t="s">
        <v>19</v>
      </c>
      <c r="F18" s="4">
        <v>20311377</v>
      </c>
      <c r="G18" s="14" t="s">
        <v>20</v>
      </c>
      <c r="H18" s="4">
        <v>2</v>
      </c>
      <c r="I18" s="15">
        <v>33</v>
      </c>
      <c r="J18" s="15">
        <v>66</v>
      </c>
      <c r="L18">
        <v>32</v>
      </c>
    </row>
    <row r="19" spans="1:12">
      <c r="A19" s="13">
        <v>46188</v>
      </c>
      <c r="B19" s="5" t="s">
        <v>2</v>
      </c>
      <c r="C19" s="14">
        <v>1612354</v>
      </c>
      <c r="D19" s="14" t="s">
        <v>16</v>
      </c>
      <c r="E19" s="14" t="s">
        <v>17</v>
      </c>
      <c r="F19" s="4">
        <v>20006138</v>
      </c>
      <c r="G19" s="14" t="s">
        <v>21</v>
      </c>
      <c r="H19" s="4">
        <v>1</v>
      </c>
      <c r="I19" s="15">
        <v>11</v>
      </c>
      <c r="J19" s="15">
        <v>11</v>
      </c>
      <c r="L19">
        <v>373</v>
      </c>
    </row>
    <row r="20" spans="1:12">
      <c r="A20" s="13">
        <v>46197</v>
      </c>
      <c r="B20" s="5" t="s">
        <v>2</v>
      </c>
      <c r="C20" s="14">
        <v>1614789</v>
      </c>
      <c r="D20" s="14" t="s">
        <v>16</v>
      </c>
      <c r="E20" s="14" t="s">
        <v>17</v>
      </c>
      <c r="F20" s="4">
        <v>20312028</v>
      </c>
      <c r="G20" s="14" t="s">
        <v>22</v>
      </c>
      <c r="H20" s="4">
        <v>1</v>
      </c>
      <c r="I20" s="15">
        <v>8</v>
      </c>
      <c r="J20" s="15">
        <v>8</v>
      </c>
      <c r="L20">
        <v>200</v>
      </c>
    </row>
    <row r="21" spans="1:12">
      <c r="A21" s="13">
        <v>46197</v>
      </c>
      <c r="B21" s="5" t="s">
        <v>2</v>
      </c>
      <c r="C21" s="14">
        <v>1614789</v>
      </c>
      <c r="D21" s="14" t="s">
        <v>16</v>
      </c>
      <c r="E21" s="14" t="s">
        <v>17</v>
      </c>
      <c r="F21" s="4">
        <v>20006202</v>
      </c>
      <c r="G21" s="14" t="s">
        <v>23</v>
      </c>
      <c r="H21" s="4">
        <v>1</v>
      </c>
      <c r="I21" s="15">
        <v>8</v>
      </c>
      <c r="J21" s="15">
        <v>8</v>
      </c>
    </row>
    <row r="22" spans="1:12">
      <c r="A22" s="13">
        <v>46197</v>
      </c>
      <c r="B22" s="5" t="s">
        <v>2</v>
      </c>
      <c r="C22" s="14">
        <v>1614789</v>
      </c>
      <c r="D22" s="14" t="s">
        <v>16</v>
      </c>
      <c r="E22" s="14" t="s">
        <v>17</v>
      </c>
      <c r="F22" s="4">
        <v>20014787</v>
      </c>
      <c r="G22" s="14" t="s">
        <v>24</v>
      </c>
      <c r="H22" s="4">
        <v>1</v>
      </c>
      <c r="I22" s="15">
        <v>8</v>
      </c>
      <c r="J22" s="15">
        <v>8</v>
      </c>
    </row>
    <row r="23" spans="1:12">
      <c r="A23" s="13">
        <v>46197</v>
      </c>
      <c r="B23" s="5" t="s">
        <v>2</v>
      </c>
      <c r="C23" s="14">
        <v>1614789</v>
      </c>
      <c r="D23" s="14" t="s">
        <v>16</v>
      </c>
      <c r="E23" s="14" t="s">
        <v>19</v>
      </c>
      <c r="F23" s="4">
        <v>20311377</v>
      </c>
      <c r="G23" s="14" t="s">
        <v>20</v>
      </c>
      <c r="H23" s="4">
        <v>1</v>
      </c>
      <c r="I23" s="15">
        <v>33</v>
      </c>
      <c r="J23" s="15">
        <v>33</v>
      </c>
    </row>
    <row r="24" spans="1:12">
      <c r="A24" s="13">
        <v>46197</v>
      </c>
      <c r="B24" s="5" t="s">
        <v>2</v>
      </c>
      <c r="C24" s="14">
        <v>1614789</v>
      </c>
      <c r="D24" s="14" t="s">
        <v>16</v>
      </c>
      <c r="E24" s="14" t="s">
        <v>19</v>
      </c>
      <c r="F24" s="4">
        <v>20012085</v>
      </c>
      <c r="G24" s="14" t="s">
        <v>25</v>
      </c>
      <c r="H24" s="4">
        <v>1</v>
      </c>
      <c r="I24" s="15">
        <v>49.5</v>
      </c>
      <c r="J24" s="15">
        <v>49.5</v>
      </c>
    </row>
    <row r="25" spans="1:12">
      <c r="A25" s="13">
        <v>46197</v>
      </c>
      <c r="B25" s="5" t="s">
        <v>2</v>
      </c>
      <c r="C25" s="14">
        <v>1614789</v>
      </c>
      <c r="D25" s="14" t="s">
        <v>16</v>
      </c>
      <c r="E25" s="14" t="s">
        <v>19</v>
      </c>
      <c r="F25" s="4">
        <v>20006182</v>
      </c>
      <c r="G25" s="14" t="s">
        <v>26</v>
      </c>
      <c r="H25" s="4">
        <v>1</v>
      </c>
      <c r="I25" s="15">
        <v>22</v>
      </c>
      <c r="J25" s="15">
        <v>22</v>
      </c>
    </row>
    <row r="26" spans="1:12">
      <c r="A26" s="13">
        <v>46197</v>
      </c>
      <c r="B26" s="5" t="s">
        <v>2</v>
      </c>
      <c r="C26" s="14">
        <v>1614820</v>
      </c>
      <c r="D26" s="14" t="s">
        <v>14</v>
      </c>
      <c r="E26" s="14" t="s">
        <v>14</v>
      </c>
      <c r="F26" s="4">
        <v>20006140</v>
      </c>
      <c r="G26" s="14" t="s">
        <v>15</v>
      </c>
      <c r="H26" s="4">
        <v>1</v>
      </c>
      <c r="I26" s="15">
        <v>16</v>
      </c>
      <c r="J26" s="15">
        <v>16</v>
      </c>
    </row>
    <row r="27" spans="1:12">
      <c r="A27" s="16" t="s">
        <v>2</v>
      </c>
      <c r="C27" s="16" t="s">
        <v>2</v>
      </c>
      <c r="D27" s="16" t="s">
        <v>2</v>
      </c>
      <c r="E27" s="16" t="s">
        <v>2</v>
      </c>
      <c r="F27" s="17" t="s">
        <v>2</v>
      </c>
      <c r="G27" s="16" t="s">
        <v>2</v>
      </c>
      <c r="H27" s="16" t="s">
        <v>2</v>
      </c>
      <c r="I27" s="16" t="s">
        <v>2</v>
      </c>
      <c r="J27" s="16" t="s">
        <v>2</v>
      </c>
    </row>
    <row r="28" ht="14.25" spans="1:12">
      <c r="A28" s="10" t="s">
        <v>27</v>
      </c>
      <c r="B28" s="7" t="s">
        <v>2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11">
        <v>4</v>
      </c>
      <c r="I28" s="12"/>
      <c r="J28" s="12">
        <v>123.5</v>
      </c>
    </row>
    <row r="29" spans="1:12">
      <c r="A29" s="13">
        <v>46183</v>
      </c>
      <c r="B29" s="5" t="s">
        <v>2</v>
      </c>
      <c r="C29" s="14">
        <v>1611047</v>
      </c>
      <c r="D29" s="14" t="s">
        <v>28</v>
      </c>
      <c r="E29" s="14" t="s">
        <v>28</v>
      </c>
      <c r="F29" s="4">
        <v>20007236</v>
      </c>
      <c r="G29" s="14" t="s">
        <v>29</v>
      </c>
      <c r="H29" s="4">
        <v>1</v>
      </c>
      <c r="I29" s="15">
        <v>33</v>
      </c>
      <c r="J29" s="15">
        <v>33</v>
      </c>
      <c r="K29">
        <v>1490.5</v>
      </c>
    </row>
    <row r="30" spans="1:12">
      <c r="A30" s="13">
        <v>46183</v>
      </c>
      <c r="B30" s="5" t="s">
        <v>2</v>
      </c>
      <c r="C30" s="14">
        <v>1611047</v>
      </c>
      <c r="D30" s="14" t="s">
        <v>28</v>
      </c>
      <c r="E30" s="14" t="s">
        <v>28</v>
      </c>
      <c r="F30" s="4">
        <v>20007238</v>
      </c>
      <c r="G30" s="14" t="s">
        <v>30</v>
      </c>
      <c r="H30" s="4">
        <v>1</v>
      </c>
      <c r="I30" s="15">
        <v>71.5</v>
      </c>
      <c r="J30" s="15">
        <v>71.5</v>
      </c>
      <c r="K30" s="18">
        <f>K29/5.5</f>
        <v>271</v>
      </c>
    </row>
    <row r="31" spans="1:12">
      <c r="A31" s="13">
        <v>46184</v>
      </c>
      <c r="B31" s="5" t="s">
        <v>2</v>
      </c>
      <c r="C31" s="14">
        <v>1611193</v>
      </c>
      <c r="D31" s="14" t="s">
        <v>16</v>
      </c>
      <c r="E31" s="14" t="s">
        <v>17</v>
      </c>
      <c r="F31" s="4">
        <v>20005089</v>
      </c>
      <c r="G31" s="14" t="s">
        <v>31</v>
      </c>
      <c r="H31" s="4">
        <v>1</v>
      </c>
      <c r="I31" s="15">
        <v>8</v>
      </c>
      <c r="J31" s="15">
        <v>8</v>
      </c>
    </row>
    <row r="32" spans="1:12">
      <c r="A32" s="13">
        <v>46184</v>
      </c>
      <c r="B32" s="5" t="s">
        <v>2</v>
      </c>
      <c r="C32" s="14">
        <v>1611193</v>
      </c>
      <c r="D32" s="14" t="s">
        <v>16</v>
      </c>
      <c r="E32" s="14" t="s">
        <v>17</v>
      </c>
      <c r="F32" s="4">
        <v>20005090</v>
      </c>
      <c r="G32" s="14" t="s">
        <v>32</v>
      </c>
      <c r="H32" s="4">
        <v>1</v>
      </c>
      <c r="I32" s="15">
        <v>11</v>
      </c>
      <c r="J32" s="15">
        <v>11</v>
      </c>
    </row>
    <row r="33" spans="1:10">
      <c r="A33" s="16" t="s">
        <v>2</v>
      </c>
      <c r="C33" s="16" t="s">
        <v>2</v>
      </c>
      <c r="D33" s="16" t="s">
        <v>2</v>
      </c>
      <c r="E33" s="16" t="s">
        <v>2</v>
      </c>
      <c r="F33" s="17" t="s">
        <v>2</v>
      </c>
      <c r="G33" s="16" t="s">
        <v>2</v>
      </c>
      <c r="H33" s="16" t="s">
        <v>2</v>
      </c>
      <c r="I33" s="16" t="s">
        <v>2</v>
      </c>
      <c r="J33" s="16" t="s">
        <v>2</v>
      </c>
    </row>
    <row r="34" ht="14.25" spans="1:10">
      <c r="A34" s="10" t="s">
        <v>33</v>
      </c>
      <c r="B34" s="7" t="s">
        <v>2</v>
      </c>
      <c r="C34" s="7" t="s">
        <v>2</v>
      </c>
      <c r="D34" s="7" t="s">
        <v>2</v>
      </c>
      <c r="E34" s="7" t="s">
        <v>2</v>
      </c>
      <c r="F34" s="7" t="s">
        <v>2</v>
      </c>
      <c r="G34" s="7" t="s">
        <v>2</v>
      </c>
      <c r="H34" s="11">
        <v>47</v>
      </c>
      <c r="I34" s="12"/>
      <c r="J34" s="12">
        <v>2294</v>
      </c>
    </row>
    <row r="35" spans="1:10">
      <c r="A35" s="19">
        <v>46171</v>
      </c>
      <c r="B35" s="20" t="s">
        <v>2</v>
      </c>
      <c r="C35" s="21">
        <v>1607612</v>
      </c>
      <c r="D35" s="21" t="s">
        <v>16</v>
      </c>
      <c r="E35" s="21" t="s">
        <v>17</v>
      </c>
      <c r="F35" s="22">
        <v>20014282</v>
      </c>
      <c r="G35" s="21" t="s">
        <v>34</v>
      </c>
      <c r="H35" s="22">
        <v>1</v>
      </c>
      <c r="I35" s="23">
        <v>16.5</v>
      </c>
      <c r="J35" s="23">
        <v>16.5</v>
      </c>
    </row>
    <row r="36" spans="1:10">
      <c r="A36" s="19">
        <v>46171</v>
      </c>
      <c r="B36" s="20" t="s">
        <v>2</v>
      </c>
      <c r="C36" s="21">
        <v>1607612</v>
      </c>
      <c r="D36" s="21" t="s">
        <v>16</v>
      </c>
      <c r="E36" s="21" t="s">
        <v>19</v>
      </c>
      <c r="F36" s="22">
        <v>20006482</v>
      </c>
      <c r="G36" s="21" t="s">
        <v>35</v>
      </c>
      <c r="H36" s="22">
        <v>1</v>
      </c>
      <c r="I36" s="23">
        <v>16.5</v>
      </c>
      <c r="J36" s="23">
        <v>16.5</v>
      </c>
    </row>
    <row r="37" spans="1:10">
      <c r="A37" s="19">
        <v>46171</v>
      </c>
      <c r="B37" s="20" t="s">
        <v>2</v>
      </c>
      <c r="C37" s="21">
        <v>1607612</v>
      </c>
      <c r="D37" s="21" t="s">
        <v>16</v>
      </c>
      <c r="E37" s="21" t="s">
        <v>19</v>
      </c>
      <c r="F37" s="22">
        <v>20400567</v>
      </c>
      <c r="G37" s="21" t="s">
        <v>36</v>
      </c>
      <c r="H37" s="22">
        <v>1</v>
      </c>
      <c r="I37" s="23">
        <v>49.5</v>
      </c>
      <c r="J37" s="23">
        <v>49.5</v>
      </c>
    </row>
    <row r="38" spans="1:10">
      <c r="A38" s="19">
        <v>46172</v>
      </c>
      <c r="B38" s="20" t="s">
        <v>2</v>
      </c>
      <c r="C38" s="21">
        <v>1607797</v>
      </c>
      <c r="D38" s="21" t="s">
        <v>16</v>
      </c>
      <c r="E38" s="21" t="s">
        <v>37</v>
      </c>
      <c r="F38" s="22">
        <v>20396305</v>
      </c>
      <c r="G38" s="21" t="s">
        <v>38</v>
      </c>
      <c r="H38" s="22">
        <v>2</v>
      </c>
      <c r="I38" s="23">
        <v>22</v>
      </c>
      <c r="J38" s="23">
        <v>44</v>
      </c>
    </row>
    <row r="39" spans="1:10">
      <c r="A39" s="19">
        <v>46172</v>
      </c>
      <c r="B39" s="20" t="s">
        <v>2</v>
      </c>
      <c r="C39" s="21">
        <v>1607797</v>
      </c>
      <c r="D39" s="21" t="s">
        <v>16</v>
      </c>
      <c r="E39" s="21" t="s">
        <v>37</v>
      </c>
      <c r="F39" s="22">
        <v>20396304</v>
      </c>
      <c r="G39" s="21" t="s">
        <v>39</v>
      </c>
      <c r="H39" s="22">
        <v>1</v>
      </c>
      <c r="I39" s="23">
        <v>22</v>
      </c>
      <c r="J39" s="23">
        <v>22</v>
      </c>
    </row>
    <row r="40" spans="1:10">
      <c r="A40" s="19">
        <v>46172</v>
      </c>
      <c r="B40" s="20" t="s">
        <v>2</v>
      </c>
      <c r="C40" s="21">
        <v>1607797</v>
      </c>
      <c r="D40" s="21" t="s">
        <v>16</v>
      </c>
      <c r="E40" s="21" t="s">
        <v>37</v>
      </c>
      <c r="F40" s="22">
        <v>20383282</v>
      </c>
      <c r="G40" s="21" t="s">
        <v>40</v>
      </c>
      <c r="H40" s="22">
        <v>1</v>
      </c>
      <c r="I40" s="23">
        <v>22</v>
      </c>
      <c r="J40" s="23">
        <v>22</v>
      </c>
    </row>
    <row r="41" spans="1:10">
      <c r="A41" s="19">
        <v>46172</v>
      </c>
      <c r="B41" s="20" t="s">
        <v>2</v>
      </c>
      <c r="C41" s="21">
        <v>1607797</v>
      </c>
      <c r="D41" s="21" t="s">
        <v>16</v>
      </c>
      <c r="E41" s="21" t="s">
        <v>37</v>
      </c>
      <c r="F41" s="22">
        <v>20421635</v>
      </c>
      <c r="G41" s="21" t="s">
        <v>41</v>
      </c>
      <c r="H41" s="22">
        <v>1</v>
      </c>
      <c r="I41" s="23">
        <v>44</v>
      </c>
      <c r="J41" s="23">
        <v>44</v>
      </c>
    </row>
    <row r="42" spans="1:10">
      <c r="A42" s="19">
        <v>46172</v>
      </c>
      <c r="B42" s="20" t="s">
        <v>2</v>
      </c>
      <c r="C42" s="21">
        <v>1607797</v>
      </c>
      <c r="D42" s="21" t="s">
        <v>16</v>
      </c>
      <c r="E42" s="21" t="s">
        <v>37</v>
      </c>
      <c r="F42" s="22">
        <v>20383288</v>
      </c>
      <c r="G42" s="21" t="s">
        <v>42</v>
      </c>
      <c r="H42" s="22">
        <v>1</v>
      </c>
      <c r="I42" s="23">
        <v>28</v>
      </c>
      <c r="J42" s="23">
        <v>28</v>
      </c>
    </row>
    <row r="43" spans="1:10">
      <c r="A43" s="19">
        <v>46172</v>
      </c>
      <c r="B43" s="20" t="s">
        <v>2</v>
      </c>
      <c r="C43" s="21">
        <v>1607797</v>
      </c>
      <c r="D43" s="21" t="s">
        <v>16</v>
      </c>
      <c r="E43" s="21" t="s">
        <v>37</v>
      </c>
      <c r="F43" s="22">
        <v>20004918</v>
      </c>
      <c r="G43" s="21" t="s">
        <v>43</v>
      </c>
      <c r="H43" s="22">
        <v>1</v>
      </c>
      <c r="I43" s="23">
        <v>28</v>
      </c>
      <c r="J43" s="23">
        <v>28</v>
      </c>
    </row>
    <row r="44" spans="1:10">
      <c r="A44" s="19">
        <v>46172</v>
      </c>
      <c r="B44" s="20" t="s">
        <v>2</v>
      </c>
      <c r="C44" s="21">
        <v>1607797</v>
      </c>
      <c r="D44" s="21" t="s">
        <v>16</v>
      </c>
      <c r="E44" s="21" t="s">
        <v>37</v>
      </c>
      <c r="F44" s="22">
        <v>20356923</v>
      </c>
      <c r="G44" s="21" t="s">
        <v>44</v>
      </c>
      <c r="H44" s="22">
        <v>1</v>
      </c>
      <c r="I44" s="23">
        <v>35</v>
      </c>
      <c r="J44" s="23">
        <v>35</v>
      </c>
    </row>
    <row r="45" spans="1:10">
      <c r="A45" s="19">
        <v>46172</v>
      </c>
      <c r="B45" s="20" t="s">
        <v>2</v>
      </c>
      <c r="C45" s="21">
        <v>1607797</v>
      </c>
      <c r="D45" s="21" t="s">
        <v>16</v>
      </c>
      <c r="E45" s="21" t="s">
        <v>37</v>
      </c>
      <c r="F45" s="22">
        <v>20383290</v>
      </c>
      <c r="G45" s="21" t="s">
        <v>45</v>
      </c>
      <c r="H45" s="22">
        <v>1</v>
      </c>
      <c r="I45" s="23">
        <v>28</v>
      </c>
      <c r="J45" s="23">
        <v>28</v>
      </c>
    </row>
    <row r="46" spans="1:10">
      <c r="A46" s="19">
        <v>46172</v>
      </c>
      <c r="B46" s="20" t="s">
        <v>2</v>
      </c>
      <c r="C46" s="21">
        <v>1607797</v>
      </c>
      <c r="D46" s="21" t="s">
        <v>16</v>
      </c>
      <c r="E46" s="21" t="s">
        <v>37</v>
      </c>
      <c r="F46" s="22">
        <v>20383291</v>
      </c>
      <c r="G46" s="21" t="s">
        <v>46</v>
      </c>
      <c r="H46" s="22">
        <v>1</v>
      </c>
      <c r="I46" s="23">
        <v>28</v>
      </c>
      <c r="J46" s="23">
        <v>28</v>
      </c>
    </row>
    <row r="47" spans="1:10">
      <c r="A47" s="19">
        <v>46172</v>
      </c>
      <c r="B47" s="20" t="s">
        <v>2</v>
      </c>
      <c r="C47" s="21">
        <v>1607797</v>
      </c>
      <c r="D47" s="21" t="s">
        <v>16</v>
      </c>
      <c r="E47" s="21" t="s">
        <v>37</v>
      </c>
      <c r="F47" s="22">
        <v>20386402</v>
      </c>
      <c r="G47" s="21" t="s">
        <v>47</v>
      </c>
      <c r="H47" s="22">
        <v>1</v>
      </c>
      <c r="I47" s="23">
        <v>28</v>
      </c>
      <c r="J47" s="23">
        <v>28</v>
      </c>
    </row>
    <row r="48" spans="1:10">
      <c r="A48" s="19">
        <v>46172</v>
      </c>
      <c r="B48" s="20" t="s">
        <v>2</v>
      </c>
      <c r="C48" s="21">
        <v>1607797</v>
      </c>
      <c r="D48" s="21" t="s">
        <v>16</v>
      </c>
      <c r="E48" s="21" t="s">
        <v>37</v>
      </c>
      <c r="F48" s="22">
        <v>20387791</v>
      </c>
      <c r="G48" s="21" t="s">
        <v>48</v>
      </c>
      <c r="H48" s="22">
        <v>1</v>
      </c>
      <c r="I48" s="23">
        <v>22</v>
      </c>
      <c r="J48" s="23">
        <v>22</v>
      </c>
    </row>
    <row r="49" spans="1:11">
      <c r="A49" s="19">
        <v>46178</v>
      </c>
      <c r="B49" s="20" t="s">
        <v>2</v>
      </c>
      <c r="C49" s="21">
        <v>1609674</v>
      </c>
      <c r="D49" s="21" t="s">
        <v>28</v>
      </c>
      <c r="E49" s="21" t="s">
        <v>28</v>
      </c>
      <c r="F49" s="22">
        <v>20006102</v>
      </c>
      <c r="G49" s="21" t="s">
        <v>49</v>
      </c>
      <c r="H49" s="22">
        <v>1</v>
      </c>
      <c r="I49" s="23">
        <v>159.5</v>
      </c>
      <c r="J49" s="23">
        <v>159.5</v>
      </c>
      <c r="K49">
        <v>1540</v>
      </c>
    </row>
    <row r="50" spans="1:11">
      <c r="A50" s="19">
        <v>46178</v>
      </c>
      <c r="B50" s="20" t="s">
        <v>2</v>
      </c>
      <c r="C50" s="21">
        <v>1609674</v>
      </c>
      <c r="D50" s="21" t="s">
        <v>28</v>
      </c>
      <c r="E50" s="21" t="s">
        <v>28</v>
      </c>
      <c r="F50" s="22">
        <v>20006104</v>
      </c>
      <c r="G50" s="21" t="s">
        <v>50</v>
      </c>
      <c r="H50" s="22">
        <v>1</v>
      </c>
      <c r="I50" s="23">
        <v>137.5</v>
      </c>
      <c r="J50" s="23">
        <v>137.5</v>
      </c>
      <c r="K50" s="18">
        <f>K49/5.5</f>
        <v>280</v>
      </c>
    </row>
    <row r="51" spans="1:11">
      <c r="A51" s="19">
        <v>46178</v>
      </c>
      <c r="B51" s="20" t="s">
        <v>2</v>
      </c>
      <c r="C51" s="21">
        <v>1609674</v>
      </c>
      <c r="D51" s="21" t="s">
        <v>16</v>
      </c>
      <c r="E51" s="21" t="s">
        <v>17</v>
      </c>
      <c r="F51" s="22">
        <v>20330123</v>
      </c>
      <c r="G51" s="21" t="s">
        <v>51</v>
      </c>
      <c r="H51" s="22">
        <v>1</v>
      </c>
      <c r="I51" s="23">
        <v>8</v>
      </c>
      <c r="J51" s="23">
        <v>8</v>
      </c>
    </row>
    <row r="52" spans="1:11">
      <c r="A52" s="19">
        <v>46178</v>
      </c>
      <c r="B52" s="20" t="s">
        <v>2</v>
      </c>
      <c r="C52" s="21">
        <v>1609674</v>
      </c>
      <c r="D52" s="21" t="s">
        <v>16</v>
      </c>
      <c r="E52" s="21" t="s">
        <v>17</v>
      </c>
      <c r="F52" s="22">
        <v>20300267</v>
      </c>
      <c r="G52" s="21" t="s">
        <v>52</v>
      </c>
      <c r="H52" s="22">
        <v>2</v>
      </c>
      <c r="I52" s="23">
        <v>8</v>
      </c>
      <c r="J52" s="23">
        <v>16</v>
      </c>
    </row>
    <row r="53" spans="1:11">
      <c r="A53" s="19">
        <v>46178</v>
      </c>
      <c r="B53" s="20" t="s">
        <v>2</v>
      </c>
      <c r="C53" s="21">
        <v>1609674</v>
      </c>
      <c r="D53" s="21" t="s">
        <v>16</v>
      </c>
      <c r="E53" s="21" t="s">
        <v>17</v>
      </c>
      <c r="F53" s="22">
        <v>20313613</v>
      </c>
      <c r="G53" s="21" t="s">
        <v>53</v>
      </c>
      <c r="H53" s="22">
        <v>1</v>
      </c>
      <c r="I53" s="23">
        <v>33</v>
      </c>
      <c r="J53" s="23">
        <v>33</v>
      </c>
    </row>
    <row r="54" spans="1:11">
      <c r="A54" s="19">
        <v>46178</v>
      </c>
      <c r="B54" s="20" t="s">
        <v>2</v>
      </c>
      <c r="C54" s="21">
        <v>1609674</v>
      </c>
      <c r="D54" s="21" t="s">
        <v>16</v>
      </c>
      <c r="E54" s="21" t="s">
        <v>19</v>
      </c>
      <c r="F54" s="22">
        <v>20006482</v>
      </c>
      <c r="G54" s="21" t="s">
        <v>35</v>
      </c>
      <c r="H54" s="22">
        <v>2</v>
      </c>
      <c r="I54" s="23">
        <v>16.5</v>
      </c>
      <c r="J54" s="23">
        <v>33</v>
      </c>
    </row>
    <row r="55" spans="1:11">
      <c r="A55" s="19">
        <v>46182</v>
      </c>
      <c r="B55" s="20" t="s">
        <v>2</v>
      </c>
      <c r="C55" s="21">
        <v>1610456</v>
      </c>
      <c r="D55" s="21" t="s">
        <v>16</v>
      </c>
      <c r="E55" s="21" t="s">
        <v>37</v>
      </c>
      <c r="F55" s="22">
        <v>20383281</v>
      </c>
      <c r="G55" s="21" t="s">
        <v>54</v>
      </c>
      <c r="H55" s="22">
        <v>1</v>
      </c>
      <c r="I55" s="23">
        <v>44</v>
      </c>
      <c r="J55" s="23">
        <v>44</v>
      </c>
    </row>
    <row r="56" spans="1:11">
      <c r="A56" s="19">
        <v>46183</v>
      </c>
      <c r="B56" s="20" t="s">
        <v>2</v>
      </c>
      <c r="C56" s="21">
        <v>1611048</v>
      </c>
      <c r="D56" s="21" t="s">
        <v>28</v>
      </c>
      <c r="E56" s="21" t="s">
        <v>28</v>
      </c>
      <c r="F56" s="22">
        <v>20006106</v>
      </c>
      <c r="G56" s="21" t="s">
        <v>55</v>
      </c>
      <c r="H56" s="22">
        <v>1</v>
      </c>
      <c r="I56" s="23">
        <v>192.5</v>
      </c>
      <c r="J56" s="23">
        <v>192.5</v>
      </c>
      <c r="K56">
        <f>270/15</f>
        <v>18</v>
      </c>
    </row>
    <row r="57" spans="1:11">
      <c r="A57" s="19">
        <v>46183</v>
      </c>
      <c r="B57" s="20" t="s">
        <v>2</v>
      </c>
      <c r="C57" s="21">
        <v>1611048</v>
      </c>
      <c r="D57" s="21" t="s">
        <v>28</v>
      </c>
      <c r="E57" s="21" t="s">
        <v>28</v>
      </c>
      <c r="F57" s="22">
        <v>20006102</v>
      </c>
      <c r="G57" s="21" t="s">
        <v>49</v>
      </c>
      <c r="H57" s="22">
        <v>2</v>
      </c>
      <c r="I57" s="23">
        <v>159.5</v>
      </c>
      <c r="J57" s="23">
        <v>319</v>
      </c>
      <c r="K57" s="18">
        <f>K56*10+10</f>
        <v>190</v>
      </c>
    </row>
    <row r="58" spans="1:11">
      <c r="A58" s="19">
        <v>46183</v>
      </c>
      <c r="B58" s="20" t="s">
        <v>2</v>
      </c>
      <c r="C58" s="21">
        <v>1611048</v>
      </c>
      <c r="D58" s="21" t="s">
        <v>28</v>
      </c>
      <c r="E58" s="21" t="s">
        <v>28</v>
      </c>
      <c r="F58" s="22">
        <v>20006112</v>
      </c>
      <c r="G58" s="21" t="s">
        <v>56</v>
      </c>
      <c r="H58" s="22">
        <v>1</v>
      </c>
      <c r="I58" s="23">
        <v>104.5</v>
      </c>
      <c r="J58" s="23">
        <v>104.5</v>
      </c>
      <c r="K58" s="18">
        <f>K57*5.5</f>
        <v>1045</v>
      </c>
    </row>
    <row r="59" spans="1:11">
      <c r="A59" s="19">
        <v>46183</v>
      </c>
      <c r="B59" s="20" t="s">
        <v>2</v>
      </c>
      <c r="C59" s="21">
        <v>1611048</v>
      </c>
      <c r="D59" s="21" t="s">
        <v>16</v>
      </c>
      <c r="E59" s="21" t="s">
        <v>17</v>
      </c>
      <c r="F59" s="22">
        <v>20009712</v>
      </c>
      <c r="G59" s="21" t="s">
        <v>57</v>
      </c>
      <c r="H59" s="22">
        <v>2</v>
      </c>
      <c r="I59" s="23">
        <v>11</v>
      </c>
      <c r="J59" s="23">
        <v>22</v>
      </c>
    </row>
    <row r="60" spans="1:11">
      <c r="A60" s="19">
        <v>46183</v>
      </c>
      <c r="B60" s="20" t="s">
        <v>2</v>
      </c>
      <c r="C60" s="21">
        <v>1611048</v>
      </c>
      <c r="D60" s="21" t="s">
        <v>16</v>
      </c>
      <c r="E60" s="21" t="s">
        <v>19</v>
      </c>
      <c r="F60" s="22">
        <v>20006482</v>
      </c>
      <c r="G60" s="21" t="s">
        <v>35</v>
      </c>
      <c r="H60" s="22">
        <v>3</v>
      </c>
      <c r="I60" s="23">
        <v>16.5</v>
      </c>
      <c r="J60" s="23">
        <v>49.5</v>
      </c>
    </row>
    <row r="61" spans="1:11">
      <c r="A61" s="19">
        <v>46183</v>
      </c>
      <c r="B61" s="20" t="s">
        <v>2</v>
      </c>
      <c r="C61" s="21">
        <v>1611048</v>
      </c>
      <c r="D61" s="21" t="s">
        <v>16</v>
      </c>
      <c r="E61" s="21" t="s">
        <v>19</v>
      </c>
      <c r="F61" s="22">
        <v>20012341</v>
      </c>
      <c r="G61" s="21" t="s">
        <v>58</v>
      </c>
      <c r="H61" s="22">
        <v>1</v>
      </c>
      <c r="I61" s="23">
        <v>16.5</v>
      </c>
      <c r="J61" s="23">
        <v>16.5</v>
      </c>
    </row>
    <row r="62" spans="1:11">
      <c r="A62" s="19">
        <v>46190</v>
      </c>
      <c r="B62" s="20" t="s">
        <v>2</v>
      </c>
      <c r="C62" s="21">
        <v>1613106</v>
      </c>
      <c r="D62" s="21" t="s">
        <v>28</v>
      </c>
      <c r="E62" s="21" t="s">
        <v>28</v>
      </c>
      <c r="F62" s="22">
        <v>20006102</v>
      </c>
      <c r="G62" s="21" t="s">
        <v>49</v>
      </c>
      <c r="H62" s="22">
        <v>2</v>
      </c>
      <c r="I62" s="23">
        <v>159.5</v>
      </c>
      <c r="J62" s="23">
        <v>319</v>
      </c>
    </row>
    <row r="63" spans="1:11">
      <c r="A63" s="19">
        <v>46190</v>
      </c>
      <c r="B63" s="20" t="s">
        <v>2</v>
      </c>
      <c r="C63" s="21">
        <v>1613106</v>
      </c>
      <c r="D63" s="21" t="s">
        <v>28</v>
      </c>
      <c r="E63" s="21" t="s">
        <v>28</v>
      </c>
      <c r="F63" s="22">
        <v>20006103</v>
      </c>
      <c r="G63" s="21" t="s">
        <v>59</v>
      </c>
      <c r="H63" s="22">
        <v>1</v>
      </c>
      <c r="I63" s="23">
        <v>176</v>
      </c>
      <c r="J63" s="23">
        <v>176</v>
      </c>
    </row>
    <row r="64" spans="1:11">
      <c r="A64" s="19">
        <v>46190</v>
      </c>
      <c r="B64" s="20" t="s">
        <v>2</v>
      </c>
      <c r="C64" s="21">
        <v>1613106</v>
      </c>
      <c r="D64" s="21" t="s">
        <v>28</v>
      </c>
      <c r="E64" s="21" t="s">
        <v>28</v>
      </c>
      <c r="F64" s="22">
        <v>20006109</v>
      </c>
      <c r="G64" s="21" t="s">
        <v>60</v>
      </c>
      <c r="H64" s="22">
        <v>1</v>
      </c>
      <c r="I64" s="23">
        <v>60.5</v>
      </c>
      <c r="J64" s="23">
        <v>60.5</v>
      </c>
    </row>
    <row r="65" spans="1:11">
      <c r="A65" s="19">
        <v>46190</v>
      </c>
      <c r="B65" s="20" t="s">
        <v>2</v>
      </c>
      <c r="C65" s="21">
        <v>1613106</v>
      </c>
      <c r="D65" s="21" t="s">
        <v>28</v>
      </c>
      <c r="E65" s="21" t="s">
        <v>28</v>
      </c>
      <c r="F65" s="22">
        <v>20006113</v>
      </c>
      <c r="G65" s="21" t="s">
        <v>61</v>
      </c>
      <c r="H65" s="22">
        <v>1</v>
      </c>
      <c r="I65" s="23">
        <v>71.5</v>
      </c>
      <c r="J65" s="23">
        <v>71.5</v>
      </c>
    </row>
    <row r="66" spans="1:11">
      <c r="A66" s="19">
        <v>46190</v>
      </c>
      <c r="B66" s="20" t="s">
        <v>2</v>
      </c>
      <c r="C66" s="21">
        <v>1613106</v>
      </c>
      <c r="D66" s="21" t="s">
        <v>16</v>
      </c>
      <c r="E66" s="21" t="s">
        <v>17</v>
      </c>
      <c r="F66" s="22">
        <v>20009712</v>
      </c>
      <c r="G66" s="21" t="s">
        <v>57</v>
      </c>
      <c r="H66" s="22">
        <v>1</v>
      </c>
      <c r="I66" s="23">
        <v>11</v>
      </c>
      <c r="J66" s="23">
        <v>11</v>
      </c>
    </row>
    <row r="67" spans="1:11">
      <c r="A67" s="19">
        <v>46190</v>
      </c>
      <c r="B67" s="20" t="s">
        <v>2</v>
      </c>
      <c r="C67" s="21">
        <v>1613106</v>
      </c>
      <c r="D67" s="21" t="s">
        <v>16</v>
      </c>
      <c r="E67" s="21" t="s">
        <v>17</v>
      </c>
      <c r="F67" s="22">
        <v>20330123</v>
      </c>
      <c r="G67" s="21" t="s">
        <v>51</v>
      </c>
      <c r="H67" s="22">
        <v>2</v>
      </c>
      <c r="I67" s="23">
        <v>8</v>
      </c>
      <c r="J67" s="23">
        <v>16</v>
      </c>
    </row>
    <row r="68" spans="1:11">
      <c r="A68" s="19">
        <v>46190</v>
      </c>
      <c r="B68" s="20" t="s">
        <v>2</v>
      </c>
      <c r="C68" s="21">
        <v>1613106</v>
      </c>
      <c r="D68" s="21" t="s">
        <v>16</v>
      </c>
      <c r="E68" s="21" t="s">
        <v>17</v>
      </c>
      <c r="F68" s="22">
        <v>20006880</v>
      </c>
      <c r="G68" s="21" t="s">
        <v>62</v>
      </c>
      <c r="H68" s="22">
        <v>1</v>
      </c>
      <c r="I68" s="23">
        <v>27.5</v>
      </c>
      <c r="J68" s="23">
        <v>27.5</v>
      </c>
    </row>
    <row r="69" spans="1:11">
      <c r="A69" s="19">
        <v>46190</v>
      </c>
      <c r="B69" s="20" t="s">
        <v>2</v>
      </c>
      <c r="C69" s="21">
        <v>1613106</v>
      </c>
      <c r="D69" s="21" t="s">
        <v>16</v>
      </c>
      <c r="E69" s="21" t="s">
        <v>19</v>
      </c>
      <c r="F69" s="22">
        <v>20006482</v>
      </c>
      <c r="G69" s="21" t="s">
        <v>35</v>
      </c>
      <c r="H69" s="22">
        <v>3</v>
      </c>
      <c r="I69" s="23">
        <v>16.5</v>
      </c>
      <c r="J69" s="23">
        <v>49.5</v>
      </c>
    </row>
    <row r="70" spans="1:11">
      <c r="A70" s="19">
        <v>46190</v>
      </c>
      <c r="B70" s="20" t="s">
        <v>2</v>
      </c>
      <c r="C70" s="21">
        <v>1613106</v>
      </c>
      <c r="D70" s="21" t="s">
        <v>16</v>
      </c>
      <c r="E70" s="21" t="s">
        <v>19</v>
      </c>
      <c r="F70" s="22">
        <v>20012197</v>
      </c>
      <c r="G70" s="21" t="s">
        <v>63</v>
      </c>
      <c r="H70" s="22">
        <v>1</v>
      </c>
      <c r="I70" s="23">
        <v>16.5</v>
      </c>
      <c r="J70" s="23">
        <v>16.5</v>
      </c>
    </row>
    <row r="71" spans="1:11">
      <c r="A71" s="16" t="s">
        <v>2</v>
      </c>
      <c r="C71" s="16" t="s">
        <v>2</v>
      </c>
      <c r="D71" s="16" t="s">
        <v>2</v>
      </c>
      <c r="E71" s="16" t="s">
        <v>2</v>
      </c>
      <c r="F71" s="17" t="s">
        <v>2</v>
      </c>
      <c r="G71" s="16" t="s">
        <v>2</v>
      </c>
      <c r="H71" s="16" t="s">
        <v>2</v>
      </c>
      <c r="I71" s="16" t="s">
        <v>2</v>
      </c>
      <c r="J71" s="16" t="s">
        <v>2</v>
      </c>
    </row>
    <row r="72" ht="14.25" spans="1:11">
      <c r="A72" s="10" t="s">
        <v>64</v>
      </c>
      <c r="B72" s="7" t="s">
        <v>2</v>
      </c>
      <c r="C72" s="7" t="s">
        <v>2</v>
      </c>
      <c r="D72" s="7" t="s">
        <v>2</v>
      </c>
      <c r="E72" s="7" t="s">
        <v>2</v>
      </c>
      <c r="F72" s="7" t="s">
        <v>2</v>
      </c>
      <c r="G72" s="7" t="s">
        <v>2</v>
      </c>
      <c r="H72" s="11">
        <v>55</v>
      </c>
      <c r="I72" s="12"/>
      <c r="J72" s="12">
        <v>1751.5</v>
      </c>
    </row>
    <row r="73" spans="1:11">
      <c r="A73" s="13">
        <v>46169</v>
      </c>
      <c r="B73" s="5" t="s">
        <v>2</v>
      </c>
      <c r="C73" s="14">
        <v>1606891</v>
      </c>
      <c r="D73" s="14" t="s">
        <v>16</v>
      </c>
      <c r="E73" s="14" t="s">
        <v>17</v>
      </c>
      <c r="F73" s="4">
        <v>20014137</v>
      </c>
      <c r="G73" s="14" t="s">
        <v>65</v>
      </c>
      <c r="H73" s="4">
        <v>1</v>
      </c>
      <c r="I73" s="15">
        <v>16.5</v>
      </c>
      <c r="J73" s="15">
        <v>16.5</v>
      </c>
    </row>
    <row r="74" spans="1:11">
      <c r="A74" s="13">
        <v>46169</v>
      </c>
      <c r="B74" s="5" t="s">
        <v>2</v>
      </c>
      <c r="C74" s="14">
        <v>1606891</v>
      </c>
      <c r="D74" s="14" t="s">
        <v>28</v>
      </c>
      <c r="E74" s="14" t="s">
        <v>66</v>
      </c>
      <c r="F74" s="4">
        <v>20012823</v>
      </c>
      <c r="G74" s="14" t="s">
        <v>67</v>
      </c>
      <c r="H74" s="4">
        <v>2</v>
      </c>
      <c r="I74" s="15">
        <v>38.5</v>
      </c>
      <c r="J74" s="15">
        <v>77</v>
      </c>
      <c r="K74">
        <f>270/15</f>
        <v>18</v>
      </c>
    </row>
    <row r="75" spans="1:11">
      <c r="A75" s="13">
        <v>46169</v>
      </c>
      <c r="B75" s="5" t="s">
        <v>2</v>
      </c>
      <c r="C75" s="14">
        <v>1606891</v>
      </c>
      <c r="D75" s="14" t="s">
        <v>16</v>
      </c>
      <c r="E75" s="14" t="s">
        <v>19</v>
      </c>
      <c r="F75" s="4">
        <v>20424560</v>
      </c>
      <c r="G75" s="14" t="s">
        <v>68</v>
      </c>
      <c r="H75" s="4">
        <v>2</v>
      </c>
      <c r="I75" s="15">
        <v>27.5</v>
      </c>
      <c r="J75" s="15">
        <v>55</v>
      </c>
    </row>
    <row r="76" spans="1:11">
      <c r="A76" s="13">
        <v>46171</v>
      </c>
      <c r="B76" s="5" t="s">
        <v>2</v>
      </c>
      <c r="C76" s="14">
        <v>1607613</v>
      </c>
      <c r="D76" s="14" t="s">
        <v>28</v>
      </c>
      <c r="E76" s="14" t="s">
        <v>66</v>
      </c>
      <c r="F76" s="4">
        <v>20012823</v>
      </c>
      <c r="G76" s="14" t="s">
        <v>67</v>
      </c>
      <c r="H76" s="4">
        <v>4</v>
      </c>
      <c r="I76" s="15">
        <v>38.5</v>
      </c>
      <c r="J76" s="15">
        <v>154</v>
      </c>
      <c r="K76" s="18">
        <f>K74*10+1</f>
        <v>181</v>
      </c>
    </row>
    <row r="77" ht="25.5" spans="1:11">
      <c r="A77" s="13">
        <v>46174</v>
      </c>
      <c r="B77" s="5" t="s">
        <v>2</v>
      </c>
      <c r="C77" s="14">
        <v>1608175</v>
      </c>
      <c r="D77" s="14" t="s">
        <v>16</v>
      </c>
      <c r="E77" s="14" t="s">
        <v>19</v>
      </c>
      <c r="F77" s="4">
        <v>20334787</v>
      </c>
      <c r="G77" s="14" t="s">
        <v>69</v>
      </c>
      <c r="H77" s="4">
        <v>2</v>
      </c>
      <c r="I77" s="15">
        <v>22</v>
      </c>
      <c r="J77" s="15">
        <v>44</v>
      </c>
    </row>
    <row r="78" spans="1:11">
      <c r="A78" s="13">
        <v>46178</v>
      </c>
      <c r="B78" s="5" t="s">
        <v>2</v>
      </c>
      <c r="C78" s="14">
        <v>1609675</v>
      </c>
      <c r="D78" s="14" t="s">
        <v>16</v>
      </c>
      <c r="E78" s="14" t="s">
        <v>17</v>
      </c>
      <c r="F78" s="4">
        <v>20014137</v>
      </c>
      <c r="G78" s="14" t="s">
        <v>65</v>
      </c>
      <c r="H78" s="4">
        <v>1</v>
      </c>
      <c r="I78" s="15">
        <v>16.5</v>
      </c>
      <c r="J78" s="15">
        <v>16.5</v>
      </c>
    </row>
    <row r="79" spans="1:11">
      <c r="A79" s="13">
        <v>46178</v>
      </c>
      <c r="B79" s="5" t="s">
        <v>2</v>
      </c>
      <c r="C79" s="14">
        <v>1609675</v>
      </c>
      <c r="D79" s="14" t="s">
        <v>16</v>
      </c>
      <c r="E79" s="14" t="s">
        <v>17</v>
      </c>
      <c r="F79" s="4">
        <v>20012825</v>
      </c>
      <c r="G79" s="14" t="s">
        <v>70</v>
      </c>
      <c r="H79" s="4">
        <v>1</v>
      </c>
      <c r="I79" s="15">
        <v>16.5</v>
      </c>
      <c r="J79" s="15">
        <v>16.5</v>
      </c>
    </row>
    <row r="80" spans="1:11">
      <c r="A80" s="13">
        <v>46178</v>
      </c>
      <c r="B80" s="5" t="s">
        <v>2</v>
      </c>
      <c r="C80" s="14">
        <v>1609675</v>
      </c>
      <c r="D80" s="14" t="s">
        <v>28</v>
      </c>
      <c r="E80" s="14" t="s">
        <v>66</v>
      </c>
      <c r="F80" s="4">
        <v>20012823</v>
      </c>
      <c r="G80" s="14" t="s">
        <v>67</v>
      </c>
      <c r="H80" s="4">
        <v>6</v>
      </c>
      <c r="I80" s="15">
        <v>38.5</v>
      </c>
      <c r="J80" s="15">
        <v>231</v>
      </c>
      <c r="K80" s="18">
        <f>K76*5.5</f>
        <v>995.5</v>
      </c>
    </row>
    <row r="81" spans="1:10">
      <c r="A81" s="13">
        <v>46181</v>
      </c>
      <c r="B81" s="5" t="s">
        <v>2</v>
      </c>
      <c r="C81" s="14">
        <v>1610265</v>
      </c>
      <c r="D81" s="14" t="s">
        <v>16</v>
      </c>
      <c r="E81" s="14" t="s">
        <v>17</v>
      </c>
      <c r="F81" s="4">
        <v>20012825</v>
      </c>
      <c r="G81" s="14" t="s">
        <v>70</v>
      </c>
      <c r="H81" s="4">
        <v>1</v>
      </c>
      <c r="I81" s="15">
        <v>16.5</v>
      </c>
      <c r="J81" s="15">
        <v>16.5</v>
      </c>
    </row>
    <row r="82" spans="1:10">
      <c r="A82" s="13">
        <v>46181</v>
      </c>
      <c r="B82" s="5" t="s">
        <v>2</v>
      </c>
      <c r="C82" s="14">
        <v>1610265</v>
      </c>
      <c r="D82" s="14" t="s">
        <v>16</v>
      </c>
      <c r="E82" s="14" t="s">
        <v>17</v>
      </c>
      <c r="F82" s="4">
        <v>20012824</v>
      </c>
      <c r="G82" s="14" t="s">
        <v>71</v>
      </c>
      <c r="H82" s="4">
        <v>1</v>
      </c>
      <c r="I82" s="15">
        <v>16.5</v>
      </c>
      <c r="J82" s="15">
        <v>16.5</v>
      </c>
    </row>
    <row r="83" spans="1:10">
      <c r="A83" s="13">
        <v>46181</v>
      </c>
      <c r="B83" s="5" t="s">
        <v>2</v>
      </c>
      <c r="C83" s="14">
        <v>1610265</v>
      </c>
      <c r="D83" s="14" t="s">
        <v>28</v>
      </c>
      <c r="E83" s="14" t="s">
        <v>66</v>
      </c>
      <c r="F83" s="4">
        <v>20012823</v>
      </c>
      <c r="G83" s="14" t="s">
        <v>67</v>
      </c>
      <c r="H83" s="4">
        <v>3</v>
      </c>
      <c r="I83" s="15">
        <v>38.5</v>
      </c>
      <c r="J83" s="15">
        <v>115.5</v>
      </c>
    </row>
    <row r="84" ht="25.5" spans="1:10">
      <c r="A84" s="13">
        <v>46181</v>
      </c>
      <c r="B84" s="5" t="s">
        <v>2</v>
      </c>
      <c r="C84" s="14">
        <v>1610265</v>
      </c>
      <c r="D84" s="14" t="s">
        <v>16</v>
      </c>
      <c r="E84" s="14" t="s">
        <v>19</v>
      </c>
      <c r="F84" s="4">
        <v>20324763</v>
      </c>
      <c r="G84" s="14" t="s">
        <v>72</v>
      </c>
      <c r="H84" s="4">
        <v>1</v>
      </c>
      <c r="I84" s="15">
        <v>22</v>
      </c>
      <c r="J84" s="15">
        <v>22</v>
      </c>
    </row>
    <row r="85" spans="1:10">
      <c r="A85" s="13">
        <v>46185</v>
      </c>
      <c r="B85" s="5" t="s">
        <v>2</v>
      </c>
      <c r="C85" s="14">
        <v>1611790</v>
      </c>
      <c r="D85" s="14" t="s">
        <v>16</v>
      </c>
      <c r="E85" s="14" t="s">
        <v>17</v>
      </c>
      <c r="F85" s="4">
        <v>20012824</v>
      </c>
      <c r="G85" s="14" t="s">
        <v>73</v>
      </c>
      <c r="H85" s="4">
        <v>1</v>
      </c>
      <c r="I85" s="15">
        <v>27.5</v>
      </c>
      <c r="J85" s="15">
        <v>27.5</v>
      </c>
    </row>
    <row r="86" spans="1:10">
      <c r="A86" s="13">
        <v>46185</v>
      </c>
      <c r="B86" s="5" t="s">
        <v>2</v>
      </c>
      <c r="C86" s="14">
        <v>1611790</v>
      </c>
      <c r="D86" s="14" t="s">
        <v>28</v>
      </c>
      <c r="E86" s="14" t="s">
        <v>66</v>
      </c>
      <c r="F86" s="4">
        <v>20012823</v>
      </c>
      <c r="G86" s="14" t="s">
        <v>67</v>
      </c>
      <c r="H86" s="4">
        <v>2</v>
      </c>
      <c r="I86" s="15">
        <v>38.5</v>
      </c>
      <c r="J86" s="15">
        <v>77</v>
      </c>
    </row>
    <row r="87" spans="1:10">
      <c r="A87" s="13">
        <v>46185</v>
      </c>
      <c r="B87" s="5" t="s">
        <v>2</v>
      </c>
      <c r="C87" s="14">
        <v>1611790</v>
      </c>
      <c r="D87" s="14" t="s">
        <v>16</v>
      </c>
      <c r="E87" s="14" t="s">
        <v>19</v>
      </c>
      <c r="F87" s="4">
        <v>20009220</v>
      </c>
      <c r="G87" s="14" t="s">
        <v>74</v>
      </c>
      <c r="H87" s="4">
        <v>1</v>
      </c>
      <c r="I87" s="15">
        <v>22</v>
      </c>
      <c r="J87" s="15">
        <v>22</v>
      </c>
    </row>
    <row r="88" spans="1:10">
      <c r="A88" s="13">
        <v>46188</v>
      </c>
      <c r="B88" s="5" t="s">
        <v>2</v>
      </c>
      <c r="C88" s="14">
        <v>1612287</v>
      </c>
      <c r="D88" s="14" t="s">
        <v>16</v>
      </c>
      <c r="E88" s="14" t="s">
        <v>17</v>
      </c>
      <c r="F88" s="4">
        <v>20012825</v>
      </c>
      <c r="G88" s="14" t="s">
        <v>70</v>
      </c>
      <c r="H88" s="4">
        <v>1</v>
      </c>
      <c r="I88" s="15">
        <v>16.5</v>
      </c>
      <c r="J88" s="15">
        <v>16.5</v>
      </c>
    </row>
    <row r="89" spans="1:10">
      <c r="A89" s="13">
        <v>46188</v>
      </c>
      <c r="B89" s="5" t="s">
        <v>2</v>
      </c>
      <c r="C89" s="14">
        <v>1612287</v>
      </c>
      <c r="D89" s="14" t="s">
        <v>28</v>
      </c>
      <c r="E89" s="14" t="s">
        <v>66</v>
      </c>
      <c r="F89" s="4">
        <v>20012823</v>
      </c>
      <c r="G89" s="14" t="s">
        <v>67</v>
      </c>
      <c r="H89" s="4">
        <v>5</v>
      </c>
      <c r="I89" s="15">
        <v>38.5</v>
      </c>
      <c r="J89" s="15">
        <v>192.5</v>
      </c>
    </row>
    <row r="90" spans="1:10">
      <c r="A90" s="13">
        <v>46190</v>
      </c>
      <c r="B90" s="5" t="s">
        <v>2</v>
      </c>
      <c r="C90" s="14">
        <v>1613107</v>
      </c>
      <c r="D90" s="14" t="s">
        <v>28</v>
      </c>
      <c r="E90" s="14" t="s">
        <v>66</v>
      </c>
      <c r="F90" s="4">
        <v>20012823</v>
      </c>
      <c r="G90" s="14" t="s">
        <v>67</v>
      </c>
      <c r="H90" s="4">
        <v>4</v>
      </c>
      <c r="I90" s="15">
        <v>38.5</v>
      </c>
      <c r="J90" s="15">
        <v>154</v>
      </c>
    </row>
    <row r="91" spans="1:10">
      <c r="A91" s="13">
        <v>46195</v>
      </c>
      <c r="B91" s="5" t="s">
        <v>2</v>
      </c>
      <c r="C91" s="14">
        <v>1614028</v>
      </c>
      <c r="D91" s="14" t="s">
        <v>16</v>
      </c>
      <c r="E91" s="14" t="s">
        <v>17</v>
      </c>
      <c r="F91" s="4">
        <v>20309568</v>
      </c>
      <c r="G91" s="14" t="s">
        <v>75</v>
      </c>
      <c r="H91" s="4">
        <v>1</v>
      </c>
      <c r="I91" s="15">
        <v>16.5</v>
      </c>
      <c r="J91" s="15">
        <v>16.5</v>
      </c>
    </row>
    <row r="92" spans="1:10">
      <c r="A92" s="13">
        <v>46195</v>
      </c>
      <c r="B92" s="5" t="s">
        <v>2</v>
      </c>
      <c r="C92" s="14">
        <v>1614028</v>
      </c>
      <c r="D92" s="14" t="s">
        <v>16</v>
      </c>
      <c r="E92" s="14" t="s">
        <v>17</v>
      </c>
      <c r="F92" s="4">
        <v>20014137</v>
      </c>
      <c r="G92" s="14" t="s">
        <v>65</v>
      </c>
      <c r="H92" s="4">
        <v>1</v>
      </c>
      <c r="I92" s="15">
        <v>16.5</v>
      </c>
      <c r="J92" s="15">
        <v>16.5</v>
      </c>
    </row>
    <row r="93" spans="1:10">
      <c r="A93" s="13">
        <v>46195</v>
      </c>
      <c r="B93" s="5" t="s">
        <v>2</v>
      </c>
      <c r="C93" s="14">
        <v>1614028</v>
      </c>
      <c r="D93" s="14" t="s">
        <v>16</v>
      </c>
      <c r="E93" s="14" t="s">
        <v>17</v>
      </c>
      <c r="F93" s="4">
        <v>20311024</v>
      </c>
      <c r="G93" s="14" t="s">
        <v>76</v>
      </c>
      <c r="H93" s="4">
        <v>1</v>
      </c>
      <c r="I93" s="15">
        <v>16.5</v>
      </c>
      <c r="J93" s="15">
        <v>16.5</v>
      </c>
    </row>
    <row r="94" spans="1:10">
      <c r="A94" s="13">
        <v>46195</v>
      </c>
      <c r="B94" s="5" t="s">
        <v>2</v>
      </c>
      <c r="C94" s="14">
        <v>1614126</v>
      </c>
      <c r="D94" s="14" t="s">
        <v>28</v>
      </c>
      <c r="E94" s="14" t="s">
        <v>66</v>
      </c>
      <c r="F94" s="4">
        <v>20012823</v>
      </c>
      <c r="G94" s="14" t="s">
        <v>67</v>
      </c>
      <c r="H94" s="4">
        <v>5</v>
      </c>
      <c r="I94" s="15">
        <v>38.5</v>
      </c>
      <c r="J94" s="15">
        <v>192.5</v>
      </c>
    </row>
    <row r="95" spans="1:10">
      <c r="A95" s="13">
        <v>46197</v>
      </c>
      <c r="B95" s="5" t="s">
        <v>2</v>
      </c>
      <c r="C95" s="14">
        <v>1614790</v>
      </c>
      <c r="D95" s="14" t="s">
        <v>16</v>
      </c>
      <c r="E95" s="14" t="s">
        <v>17</v>
      </c>
      <c r="F95" s="4">
        <v>20311024</v>
      </c>
      <c r="G95" s="14" t="s">
        <v>71</v>
      </c>
      <c r="H95" s="4">
        <v>1</v>
      </c>
      <c r="I95" s="15">
        <v>16.5</v>
      </c>
      <c r="J95" s="15">
        <v>16.5</v>
      </c>
    </row>
    <row r="96" spans="1:10">
      <c r="A96" s="13">
        <v>46197</v>
      </c>
      <c r="B96" s="5" t="s">
        <v>2</v>
      </c>
      <c r="C96" s="14">
        <v>1614790</v>
      </c>
      <c r="D96" s="14" t="s">
        <v>77</v>
      </c>
      <c r="E96" s="14" t="s">
        <v>77</v>
      </c>
      <c r="F96" s="4">
        <v>20388872</v>
      </c>
      <c r="G96" s="14" t="s">
        <v>78</v>
      </c>
      <c r="H96" s="4">
        <v>1</v>
      </c>
      <c r="I96" s="15">
        <v>2.5</v>
      </c>
      <c r="J96" s="15">
        <v>2.5</v>
      </c>
    </row>
    <row r="97" spans="1:10">
      <c r="A97" s="13">
        <v>46197</v>
      </c>
      <c r="B97" s="5" t="s">
        <v>2</v>
      </c>
      <c r="C97" s="14">
        <v>1614790</v>
      </c>
      <c r="D97" s="14" t="s">
        <v>28</v>
      </c>
      <c r="E97" s="14" t="s">
        <v>66</v>
      </c>
      <c r="F97" s="4">
        <v>20012823</v>
      </c>
      <c r="G97" s="14" t="s">
        <v>67</v>
      </c>
      <c r="H97" s="4">
        <v>5</v>
      </c>
      <c r="I97" s="15">
        <v>38.5</v>
      </c>
      <c r="J97" s="15">
        <v>192.5</v>
      </c>
    </row>
    <row r="98" spans="1:10">
      <c r="A98" s="13">
        <v>46197</v>
      </c>
      <c r="B98" s="5" t="s">
        <v>2</v>
      </c>
      <c r="C98" s="14">
        <v>1614790</v>
      </c>
      <c r="D98" s="14" t="s">
        <v>16</v>
      </c>
      <c r="E98" s="14" t="s">
        <v>19</v>
      </c>
      <c r="F98" s="4">
        <v>20424560</v>
      </c>
      <c r="G98" s="14" t="s">
        <v>68</v>
      </c>
      <c r="H98" s="4">
        <v>1</v>
      </c>
      <c r="I98" s="15">
        <v>27.5</v>
      </c>
      <c r="J98" s="15">
        <v>27.5</v>
      </c>
    </row>
    <row r="99" spans="1:10">
      <c r="A99" s="16" t="s">
        <v>2</v>
      </c>
      <c r="C99" s="16" t="s">
        <v>2</v>
      </c>
      <c r="D99" s="16" t="s">
        <v>2</v>
      </c>
      <c r="E99" s="16" t="s">
        <v>2</v>
      </c>
      <c r="F99" s="17" t="s">
        <v>2</v>
      </c>
      <c r="G99" s="16" t="s">
        <v>2</v>
      </c>
      <c r="H99" s="16" t="s">
        <v>2</v>
      </c>
      <c r="I99" s="16" t="s">
        <v>2</v>
      </c>
      <c r="J99" s="16" t="s">
        <v>2</v>
      </c>
    </row>
    <row r="100" spans="1:10">
      <c r="A100" s="16" t="s">
        <v>2</v>
      </c>
      <c r="C100" s="16" t="s">
        <v>2</v>
      </c>
      <c r="D100" s="16" t="s">
        <v>2</v>
      </c>
      <c r="E100" s="16" t="s">
        <v>2</v>
      </c>
      <c r="F100" s="17" t="s">
        <v>2</v>
      </c>
      <c r="G100" s="16" t="s">
        <v>2</v>
      </c>
      <c r="H100" s="16" t="s">
        <v>2</v>
      </c>
      <c r="I100" s="16" t="s">
        <v>2</v>
      </c>
      <c r="J100" s="16" t="s">
        <v>2</v>
      </c>
    </row>
    <row r="101" ht="0.05" customHeight="1"/>
    <row r="102" ht="0.9" customHeight="1"/>
  </sheetData>
  <autoFilter xmlns:etc="http://www.wps.cn/officeDocument/2017/etCustomData" ref="A12:J100" etc:filterBottomFollowUsedRange="0">
    <extLst/>
  </autoFilter>
  <mergeCells count="93">
    <mergeCell ref="A12:B12"/>
    <mergeCell ref="A13:G13"/>
    <mergeCell ref="A14:G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G28"/>
    <mergeCell ref="A29:B29"/>
    <mergeCell ref="A30:B30"/>
    <mergeCell ref="A31:B31"/>
    <mergeCell ref="A32:B32"/>
    <mergeCell ref="A33:B33"/>
    <mergeCell ref="A34:G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G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H8:H9"/>
    <mergeCell ref="B1:G2"/>
    <mergeCell ref="B4:G5"/>
    <mergeCell ref="I9:J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&amp;"-,Regular"2026年6月26日 15:31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2026-06-26T07:32:00Z</dcterms:created>
  <dcterms:modified xsi:type="dcterms:W3CDTF">2026-07-01T01:22:20Z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505E21EB5A934930BF1751C961D1BC0B_13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