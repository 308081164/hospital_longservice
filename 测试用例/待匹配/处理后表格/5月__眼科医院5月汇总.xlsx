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50" windowHeight="12255"/>
  </bookViews>
  <sheets>
    <sheet name="黑龙江省眼病防治研究所" sheetId="1" r:id="rId1"/>
    <sheet name="物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<sst xmlns="http://schemas.openxmlformats.org/spreadsheetml/2006/main" count="38" uniqueCount="32">
  <si>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黑龙江省眼病防治所各科室2026年5月灭菌价格汇总</t>
  </si>
  <si>
    <t>科室</t>
  </si>
  <si>
    <t>价格</t>
  </si>
  <si>
    <t>二病区</t>
  </si>
  <si>
    <t>干眼中心</t>
  </si>
  <si>
    <t>中医门诊</t>
  </si>
  <si>
    <t>六病区</t>
  </si>
  <si>
    <t>木介街门诊</t>
  </si>
  <si>
    <t>全飞秒屈光（门诊）</t>
  </si>
  <si>
    <t>全飞秒屈光（手术室）</t>
  </si>
  <si>
    <t>弱视训练</t>
  </si>
  <si>
    <t>三病区</t>
  </si>
  <si>
    <t>视光中心</t>
  </si>
  <si>
    <t>手术室</t>
  </si>
  <si>
    <t>特需门诊</t>
  </si>
  <si>
    <t>物理诊断</t>
  </si>
  <si>
    <t>西门诊处置室</t>
  </si>
  <si>
    <t>一病区</t>
  </si>
  <si>
    <t>物流费</t>
  </si>
  <si>
    <t>费用调整</t>
  </si>
  <si>
    <t>合计</t>
  </si>
  <si>
    <t/>
  </si>
  <si>
    <t>黑龙江省铂康医疗灭菌有限公司
2026年5月31日</t>
  </si>
  <si>
    <t>黑龙江省眼病防治所 2026年5月物流明细汇总</t>
  </si>
  <si>
    <t>序号</t>
  </si>
  <si>
    <t>日期</t>
  </si>
  <si>
    <t>当日次数</t>
  </si>
  <si>
    <t>物流单价（元）</t>
  </si>
  <si>
    <t>合计（元）</t>
  </si>
  <si>
    <t>备注</t>
  </si>
  <si>
    <t>合计：贰仟壹佰元整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</si>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</sst>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  <numFmt numFmtId="178" formatCode="[DBNum2][$RMB]General;[Red][DBNum2][$RMB]General"/>
  </numFmts>
  <fonts count="30">
    <font>
      <sz val="11"/>
      <name val="宋体"/>
      <charset val="134"/>
      <scheme val="minor"/>
    </font>
    <font>
      <sz val="20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/>
  </cellStyleXfs>
  <cellXfs count="22"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31" fontId="4" fillId="2" borderId="0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horizontal="center" vertical="center" wrapText="1" readingOrder="1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7" fillId="0" borderId="2" xfId="49" applyNumberFormat="1" applyFont="1" applyFill="1" applyBorder="1" applyAlignment="1">
      <alignment horizontal="center" vertical="center" wrapText="1" readingOrder="1"/>
    </xf>
    <xf numFmtId="176" fontId="7" fillId="0" borderId="2" xfId="49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horizontal="center" vertical="center" wrapText="1" readingOrder="1"/>
    </xf>
    <xf numFmtId="177" fontId="7" fillId="0" borderId="2" xfId="0" applyNumberFormat="1" applyFont="1" applyFill="1" applyBorder="1" applyAlignment="1">
      <alignment horizontal="center" vertical="center" wrapText="1" readingOrder="1"/>
    </xf>
    <xf numFmtId="176" fontId="7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top" wrapText="1"/>
    </xf>
    <xf numFmtId="178" fontId="7" fillId="0" borderId="2" xfId="0" applyNumberFormat="1" applyFont="1" applyFill="1" applyBorder="1" applyAlignment="1">
      <alignment horizontal="center" vertical="center" wrapText="1" readingOrder="1"/>
    </xf>
    <xf numFmtId="178" fontId="0" fillId="0" borderId="3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horizontal="left" vertical="top" wrapText="1" readingOrder="1"/>
    </xf>
    <xf numFmtId="0" fontId="7" fillId="0" borderId="0" xfId="0" applyNumberFormat="1" applyFont="1" applyFill="1" applyBorder="1" applyAlignment="1">
      <alignment horizontal="right" vertical="top" wrapText="1" readingOrder="1"/>
    </xf>
    <xf numFmtId="0" fontId="9" fillId="0" borderId="0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7"/>
  <sheetViews>
    <sheetView showGridLines="0" tabSelected="1" view="pageBreakPreview" zoomScaleNormal="100" workbookViewId="0">
      <selection activeCell="F7" sqref="F7"/>
    </sheetView>
  </sheetViews>
  <sheetFormatPr defaultColWidth="9" defaultRowHeight="13.5" outlineLevelCol="4"/>
  <cols>
    <col min="1" max="1" width="1.69166666666667" customWidth="1"/>
    <col min="2" max="2" width="31.875" customWidth="1"/>
    <col min="3" max="3" width="14.5" customWidth="1"/>
    <col min="4" max="4" width="31.25" customWidth="1"/>
    <col min="5" max="5" width="13.25" customWidth="1"/>
    <col min="7" max="7" width="9.375"/>
  </cols>
  <sheetData>
    <row r="1" ht="14.95" customHeight="1"/>
    <row r="2" ht="25.5" customHeight="1" spans="2:5">
      <c r="B2" s="9" t="s">
        <v>0</v>
      </c>
    </row>
    <row r="3" ht="30" customHeight="1" spans="2:5">
      <c r="B3" s="10" t="s">
        <v>1</v>
      </c>
      <c r="C3" s="10" t="s">
        <v>2</v>
      </c>
      <c r="D3" s="10" t="s">
        <v>1</v>
      </c>
      <c r="E3" s="10" t="s">
        <v>2</v>
      </c>
    </row>
    <row r="4" ht="30" customHeight="1" spans="2:5">
      <c r="B4" s="11" t="s">
        <v>3</v>
      </c>
      <c r="C4" s="12">
        <v>2478.5</v>
      </c>
      <c r="D4" s="11" t="s">
        <v>4</v>
      </c>
      <c r="E4" s="12">
        <v>7413.5</v>
      </c>
    </row>
    <row r="5" ht="30" customHeight="1" spans="2:5">
      <c r="B5" s="11" t="s">
        <v>5</v>
      </c>
      <c r="C5" s="12">
        <v>558</v>
      </c>
      <c r="D5" s="11" t="s">
        <v>6</v>
      </c>
      <c r="E5" s="12">
        <v>3197.5</v>
      </c>
    </row>
    <row r="6" ht="30" customHeight="1" spans="2:5">
      <c r="B6" s="11" t="s">
        <v>7</v>
      </c>
      <c r="C6" s="12">
        <v>256</v>
      </c>
      <c r="D6" s="11" t="s">
        <v>8</v>
      </c>
      <c r="E6" s="12">
        <v>567</v>
      </c>
    </row>
    <row r="7" ht="30" customHeight="1" spans="2:5">
      <c r="B7" s="11" t="s">
        <v>9</v>
      </c>
      <c r="C7" s="12">
        <v>534.5</v>
      </c>
      <c r="D7" s="11" t="s">
        <v>10</v>
      </c>
      <c r="E7" s="12">
        <v>576</v>
      </c>
    </row>
    <row r="8" ht="30" customHeight="1" spans="2:5">
      <c r="B8" s="11" t="s">
        <v>11</v>
      </c>
      <c r="C8" s="12">
        <v>2414</v>
      </c>
      <c r="D8" s="11" t="s">
        <v>12</v>
      </c>
      <c r="E8" s="12">
        <v>3353</v>
      </c>
    </row>
    <row r="9" ht="30" customHeight="1" spans="2:5">
      <c r="B9" s="11" t="s">
        <v>13</v>
      </c>
      <c r="C9" s="12">
        <v>72802</v>
      </c>
      <c r="D9" s="11" t="s">
        <v>14</v>
      </c>
      <c r="E9" s="12">
        <v>473</v>
      </c>
    </row>
    <row r="10" ht="30" customHeight="1" spans="2:5">
      <c r="B10" s="11" t="s">
        <v>15</v>
      </c>
      <c r="C10" s="12">
        <v>3388</v>
      </c>
      <c r="D10" s="11" t="s">
        <v>16</v>
      </c>
      <c r="E10" s="12">
        <v>908</v>
      </c>
    </row>
    <row r="11" ht="30" customHeight="1" spans="2:5">
      <c r="B11" s="11" t="s">
        <v>17</v>
      </c>
      <c r="C11" s="12">
        <v>2053.5</v>
      </c>
      <c r="D11" s="11" t="s">
        <v>18</v>
      </c>
      <c r="E11" s="12">
        <v>2100</v>
      </c>
    </row>
    <row r="12" ht="30" customHeight="1" spans="2:5">
      <c r="B12" s="13" t="s">
        <v>19</v>
      </c>
      <c r="C12" s="14">
        <v>-15</v>
      </c>
      <c r="D12" s="13"/>
      <c r="E12" s="15"/>
    </row>
    <row r="13" ht="30" customHeight="1" spans="2:5">
      <c r="B13" s="10"/>
      <c r="C13" s="15"/>
      <c r="D13" s="13"/>
      <c r="E13" s="16"/>
    </row>
    <row r="14" ht="30" customHeight="1" spans="2:5">
      <c r="B14" s="10" t="s">
        <v>20</v>
      </c>
      <c r="C14" s="15">
        <f>C4+C5+C6+C7+C8+C9+C10+C11+C12+E10+E11+E9+E8+E7+E6+E5+E4+E12</f>
        <v>103057.5</v>
      </c>
      <c r="D14" s="17">
        <f>C14</f>
        <v>103057.5</v>
      </c>
      <c r="E14" s="18" t="s">
        <v>21</v>
      </c>
    </row>
    <row r="15" ht="30" customHeight="1" spans="2:5">
      <c r="B15" s="19" t="s">
        <v>21</v>
      </c>
      <c r="C15" s="19" t="s">
        <v>21</v>
      </c>
      <c r="D15" s="19" t="s">
        <v>21</v>
      </c>
      <c r="E15" s="19" t="s">
        <v>21</v>
      </c>
    </row>
    <row r="16" ht="27.75" customHeight="1" spans="2:5">
      <c r="B16" s="20" t="s">
        <v>22</v>
      </c>
      <c r="C16" s="21"/>
      <c r="D16" s="21"/>
      <c r="E16" s="21"/>
    </row>
    <row r="17" ht="0.05" customHeight="1"/>
  </sheetData>
  <mergeCells count="3">
    <mergeCell ref="B2:E2"/>
    <mergeCell ref="D14:E14"/>
    <mergeCell ref="B16:E16"/>
  </mergeCells>
  <pageMargins left="0.25" right="0.25" top="0.75" bottom="0.75" header="0.298611111111111" footer="0.298611111111111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view="pageBreakPreview" zoomScaleNormal="100" workbookViewId="0">
      <selection activeCell="J19" sqref="J19"/>
    </sheetView>
  </sheetViews>
  <sheetFormatPr defaultColWidth="9" defaultRowHeight="13.5" outlineLevelCol="5"/>
  <cols>
    <col min="1" max="1" width="9.75" customWidth="1"/>
    <col min="2" max="2" width="22.275" customWidth="1"/>
    <col min="3" max="3" width="11.8833333333333" customWidth="1"/>
    <col min="4" max="4" width="21" customWidth="1"/>
    <col min="5" max="5" width="18.6916666666667" customWidth="1"/>
    <col min="6" max="6" width="17" customWidth="1"/>
  </cols>
  <sheetData>
    <row r="1" customFormat="1" ht="25.5" spans="1:6">
      <c r="A1" s="1" t="s">
        <v>23</v>
      </c>
      <c r="B1" s="1"/>
      <c r="C1" s="1"/>
      <c r="D1" s="1"/>
      <c r="E1" s="1"/>
      <c r="F1" s="1"/>
    </row>
    <row r="2" customFormat="1" ht="20" customHeight="1" spans="1:6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</row>
    <row r="3" customFormat="1" ht="20" customHeight="1" spans="1:6">
      <c r="A3" s="3">
        <v>1</v>
      </c>
      <c r="B3" s="4">
        <v>46143</v>
      </c>
      <c r="C3" s="3">
        <v>2</v>
      </c>
      <c r="D3" s="3">
        <v>50</v>
      </c>
      <c r="E3" s="3">
        <f t="shared" ref="E3:E33" si="0">D3*C3</f>
        <v>100</v>
      </c>
      <c r="F3" s="3"/>
    </row>
    <row r="4" customFormat="1" ht="20" customHeight="1" spans="1:6">
      <c r="A4" s="3">
        <v>2</v>
      </c>
      <c r="B4" s="4">
        <v>46144</v>
      </c>
      <c r="C4" s="3">
        <v>0</v>
      </c>
      <c r="D4" s="3">
        <v>50</v>
      </c>
      <c r="E4" s="3">
        <f t="shared" si="0"/>
        <v>0</v>
      </c>
      <c r="F4" s="3"/>
    </row>
    <row r="5" customFormat="1" ht="20" customHeight="1" spans="1:6">
      <c r="A5" s="3">
        <v>3</v>
      </c>
      <c r="B5" s="4">
        <v>46145</v>
      </c>
      <c r="C5" s="3">
        <v>0</v>
      </c>
      <c r="D5" s="3">
        <v>50</v>
      </c>
      <c r="E5" s="3">
        <f t="shared" si="0"/>
        <v>0</v>
      </c>
      <c r="F5" s="3"/>
    </row>
    <row r="6" customFormat="1" ht="20" customHeight="1" spans="1:6">
      <c r="A6" s="3">
        <v>4</v>
      </c>
      <c r="B6" s="4">
        <v>46146</v>
      </c>
      <c r="C6" s="3">
        <v>2</v>
      </c>
      <c r="D6" s="3">
        <v>50</v>
      </c>
      <c r="E6" s="3">
        <f t="shared" si="0"/>
        <v>100</v>
      </c>
      <c r="F6" s="3"/>
    </row>
    <row r="7" customFormat="1" ht="20" customHeight="1" spans="1:6">
      <c r="A7" s="3">
        <v>5</v>
      </c>
      <c r="B7" s="4">
        <v>46147</v>
      </c>
      <c r="C7" s="3">
        <v>2</v>
      </c>
      <c r="D7" s="3">
        <v>50</v>
      </c>
      <c r="E7" s="3">
        <f t="shared" si="0"/>
        <v>100</v>
      </c>
      <c r="F7" s="3"/>
    </row>
    <row r="8" customFormat="1" ht="20" customHeight="1" spans="1:6">
      <c r="A8" s="3">
        <v>6</v>
      </c>
      <c r="B8" s="4">
        <v>46148</v>
      </c>
      <c r="C8" s="3">
        <v>2</v>
      </c>
      <c r="D8" s="3">
        <v>50</v>
      </c>
      <c r="E8" s="3">
        <f t="shared" si="0"/>
        <v>100</v>
      </c>
      <c r="F8" s="3"/>
    </row>
    <row r="9" customFormat="1" ht="20" customHeight="1" spans="1:6">
      <c r="A9" s="3">
        <v>7</v>
      </c>
      <c r="B9" s="4">
        <v>46149</v>
      </c>
      <c r="C9" s="3">
        <v>2</v>
      </c>
      <c r="D9" s="3">
        <v>50</v>
      </c>
      <c r="E9" s="3">
        <f t="shared" si="0"/>
        <v>100</v>
      </c>
      <c r="F9" s="3"/>
    </row>
    <row r="10" customFormat="1" ht="20" customHeight="1" spans="1:6">
      <c r="A10" s="3">
        <v>8</v>
      </c>
      <c r="B10" s="4">
        <v>46150</v>
      </c>
      <c r="C10" s="3">
        <v>2</v>
      </c>
      <c r="D10" s="3">
        <v>50</v>
      </c>
      <c r="E10" s="3">
        <f t="shared" si="0"/>
        <v>100</v>
      </c>
      <c r="F10" s="3"/>
    </row>
    <row r="11" customFormat="1" ht="20" customHeight="1" spans="1:6">
      <c r="A11" s="3">
        <v>9</v>
      </c>
      <c r="B11" s="4">
        <v>46151</v>
      </c>
      <c r="C11" s="3">
        <v>0</v>
      </c>
      <c r="D11" s="3">
        <v>50</v>
      </c>
      <c r="E11" s="3">
        <f t="shared" si="0"/>
        <v>0</v>
      </c>
      <c r="F11" s="3"/>
    </row>
    <row r="12" customFormat="1" ht="20" customHeight="1" spans="1:6">
      <c r="A12" s="3">
        <v>10</v>
      </c>
      <c r="B12" s="4">
        <v>46152</v>
      </c>
      <c r="C12" s="3">
        <v>0</v>
      </c>
      <c r="D12" s="3">
        <v>50</v>
      </c>
      <c r="E12" s="3">
        <f t="shared" si="0"/>
        <v>0</v>
      </c>
      <c r="F12" s="3"/>
    </row>
    <row r="13" customFormat="1" ht="20" customHeight="1" spans="1:6">
      <c r="A13" s="3">
        <v>11</v>
      </c>
      <c r="B13" s="4">
        <v>46153</v>
      </c>
      <c r="C13" s="3">
        <v>2</v>
      </c>
      <c r="D13" s="3">
        <v>50</v>
      </c>
      <c r="E13" s="3">
        <f t="shared" si="0"/>
        <v>100</v>
      </c>
      <c r="F13" s="3"/>
    </row>
    <row r="14" customFormat="1" ht="20" customHeight="1" spans="1:6">
      <c r="A14" s="3">
        <v>12</v>
      </c>
      <c r="B14" s="4">
        <v>46154</v>
      </c>
      <c r="C14" s="3">
        <v>2</v>
      </c>
      <c r="D14" s="3">
        <v>50</v>
      </c>
      <c r="E14" s="3">
        <f t="shared" si="0"/>
        <v>100</v>
      </c>
      <c r="F14" s="3"/>
    </row>
    <row r="15" customFormat="1" ht="20" customHeight="1" spans="1:6">
      <c r="A15" s="3">
        <v>13</v>
      </c>
      <c r="B15" s="4">
        <v>46155</v>
      </c>
      <c r="C15" s="3">
        <v>2</v>
      </c>
      <c r="D15" s="3">
        <v>50</v>
      </c>
      <c r="E15" s="3">
        <f t="shared" si="0"/>
        <v>100</v>
      </c>
      <c r="F15" s="3"/>
    </row>
    <row r="16" customFormat="1" ht="20" customHeight="1" spans="1:6">
      <c r="A16" s="3">
        <v>14</v>
      </c>
      <c r="B16" s="4">
        <v>46156</v>
      </c>
      <c r="C16" s="3">
        <v>2</v>
      </c>
      <c r="D16" s="3">
        <v>50</v>
      </c>
      <c r="E16" s="3">
        <f t="shared" si="0"/>
        <v>100</v>
      </c>
      <c r="F16" s="3"/>
    </row>
    <row r="17" customFormat="1" ht="20" customHeight="1" spans="1:6">
      <c r="A17" s="3">
        <v>15</v>
      </c>
      <c r="B17" s="4">
        <v>46157</v>
      </c>
      <c r="C17" s="3">
        <v>2</v>
      </c>
      <c r="D17" s="3">
        <v>50</v>
      </c>
      <c r="E17" s="3">
        <f t="shared" si="0"/>
        <v>100</v>
      </c>
      <c r="F17" s="3"/>
    </row>
    <row r="18" customFormat="1" ht="20" customHeight="1" spans="1:6">
      <c r="A18" s="3">
        <v>16</v>
      </c>
      <c r="B18" s="4">
        <v>46158</v>
      </c>
      <c r="C18" s="3">
        <v>0</v>
      </c>
      <c r="D18" s="3">
        <v>50</v>
      </c>
      <c r="E18" s="3">
        <f t="shared" si="0"/>
        <v>0</v>
      </c>
      <c r="F18" s="3"/>
    </row>
    <row r="19" customFormat="1" ht="20" customHeight="1" spans="1:6">
      <c r="A19" s="3">
        <v>17</v>
      </c>
      <c r="B19" s="4">
        <v>46159</v>
      </c>
      <c r="C19" s="3">
        <v>0</v>
      </c>
      <c r="D19" s="3">
        <v>50</v>
      </c>
      <c r="E19" s="3">
        <f t="shared" si="0"/>
        <v>0</v>
      </c>
      <c r="F19" s="3"/>
    </row>
    <row r="20" customFormat="1" ht="20" customHeight="1" spans="1:6">
      <c r="A20" s="3">
        <v>18</v>
      </c>
      <c r="B20" s="4">
        <v>46160</v>
      </c>
      <c r="C20" s="3">
        <v>2</v>
      </c>
      <c r="D20" s="3">
        <v>50</v>
      </c>
      <c r="E20" s="3">
        <f t="shared" si="0"/>
        <v>100</v>
      </c>
      <c r="F20" s="3"/>
    </row>
    <row r="21" customFormat="1" ht="20" customHeight="1" spans="1:6">
      <c r="A21" s="3">
        <v>19</v>
      </c>
      <c r="B21" s="4">
        <v>46161</v>
      </c>
      <c r="C21" s="3">
        <v>2</v>
      </c>
      <c r="D21" s="3">
        <v>50</v>
      </c>
      <c r="E21" s="3">
        <f t="shared" si="0"/>
        <v>100</v>
      </c>
      <c r="F21" s="3"/>
    </row>
    <row r="22" customFormat="1" ht="20" customHeight="1" spans="1:6">
      <c r="A22" s="3">
        <v>20</v>
      </c>
      <c r="B22" s="4">
        <v>46162</v>
      </c>
      <c r="C22" s="3">
        <v>2</v>
      </c>
      <c r="D22" s="3">
        <v>50</v>
      </c>
      <c r="E22" s="3">
        <f t="shared" si="0"/>
        <v>100</v>
      </c>
      <c r="F22" s="3"/>
    </row>
    <row r="23" customFormat="1" ht="20" customHeight="1" spans="1:6">
      <c r="A23" s="3">
        <v>21</v>
      </c>
      <c r="B23" s="4">
        <v>46163</v>
      </c>
      <c r="C23" s="3">
        <v>2</v>
      </c>
      <c r="D23" s="3">
        <v>50</v>
      </c>
      <c r="E23" s="3">
        <f t="shared" si="0"/>
        <v>100</v>
      </c>
      <c r="F23" s="3"/>
    </row>
    <row r="24" customFormat="1" ht="20" customHeight="1" spans="1:6">
      <c r="A24" s="3">
        <v>22</v>
      </c>
      <c r="B24" s="4">
        <v>46164</v>
      </c>
      <c r="C24" s="3">
        <v>2</v>
      </c>
      <c r="D24" s="3">
        <v>50</v>
      </c>
      <c r="E24" s="3">
        <f t="shared" si="0"/>
        <v>100</v>
      </c>
      <c r="F24" s="3"/>
    </row>
    <row r="25" customFormat="1" ht="20" customHeight="1" spans="1:6">
      <c r="A25" s="3">
        <v>23</v>
      </c>
      <c r="B25" s="4">
        <v>46165</v>
      </c>
      <c r="C25" s="3">
        <v>0</v>
      </c>
      <c r="D25" s="3">
        <v>50</v>
      </c>
      <c r="E25" s="3">
        <f t="shared" si="0"/>
        <v>0</v>
      </c>
      <c r="F25" s="3"/>
    </row>
    <row r="26" customFormat="1" ht="20" customHeight="1" spans="1:6">
      <c r="A26" s="3">
        <v>24</v>
      </c>
      <c r="B26" s="4">
        <v>46166</v>
      </c>
      <c r="C26" s="3">
        <v>0</v>
      </c>
      <c r="D26" s="3">
        <v>50</v>
      </c>
      <c r="E26" s="3">
        <f t="shared" si="0"/>
        <v>0</v>
      </c>
      <c r="F26" s="3"/>
    </row>
    <row r="27" customFormat="1" ht="20" customHeight="1" spans="1:6">
      <c r="A27" s="3">
        <v>25</v>
      </c>
      <c r="B27" s="4">
        <v>46167</v>
      </c>
      <c r="C27" s="3">
        <v>2</v>
      </c>
      <c r="D27" s="3">
        <v>50</v>
      </c>
      <c r="E27" s="3">
        <f t="shared" si="0"/>
        <v>100</v>
      </c>
      <c r="F27" s="3"/>
    </row>
    <row r="28" customFormat="1" ht="20" customHeight="1" spans="1:6">
      <c r="A28" s="3">
        <v>26</v>
      </c>
      <c r="B28" s="4">
        <v>46168</v>
      </c>
      <c r="C28" s="3">
        <v>2</v>
      </c>
      <c r="D28" s="3">
        <v>50</v>
      </c>
      <c r="E28" s="3">
        <f t="shared" si="0"/>
        <v>100</v>
      </c>
      <c r="F28" s="3"/>
    </row>
    <row r="29" customFormat="1" ht="20" customHeight="1" spans="1:6">
      <c r="A29" s="3">
        <v>27</v>
      </c>
      <c r="B29" s="4">
        <v>46169</v>
      </c>
      <c r="C29" s="3">
        <v>2</v>
      </c>
      <c r="D29" s="3">
        <v>50</v>
      </c>
      <c r="E29" s="3">
        <f t="shared" si="0"/>
        <v>100</v>
      </c>
      <c r="F29" s="3"/>
    </row>
    <row r="30" customFormat="1" ht="20" customHeight="1" spans="1:6">
      <c r="A30" s="3">
        <v>28</v>
      </c>
      <c r="B30" s="4">
        <v>46170</v>
      </c>
      <c r="C30" s="3">
        <v>2</v>
      </c>
      <c r="D30" s="3">
        <v>50</v>
      </c>
      <c r="E30" s="3">
        <f t="shared" si="0"/>
        <v>100</v>
      </c>
      <c r="F30" s="3"/>
    </row>
    <row r="31" customFormat="1" ht="20" customHeight="1" spans="1:6">
      <c r="A31" s="3">
        <v>29</v>
      </c>
      <c r="B31" s="4">
        <v>46171</v>
      </c>
      <c r="C31" s="3">
        <v>2</v>
      </c>
      <c r="D31" s="3">
        <v>50</v>
      </c>
      <c r="E31" s="3">
        <f t="shared" si="0"/>
        <v>100</v>
      </c>
      <c r="F31" s="3"/>
    </row>
    <row r="32" customFormat="1" ht="20" customHeight="1" spans="1:6">
      <c r="A32" s="3">
        <v>30</v>
      </c>
      <c r="B32" s="4">
        <v>46172</v>
      </c>
      <c r="C32" s="3">
        <v>0</v>
      </c>
      <c r="D32" s="3">
        <v>50</v>
      </c>
      <c r="E32" s="3">
        <f t="shared" si="0"/>
        <v>0</v>
      </c>
      <c r="F32" s="3"/>
    </row>
    <row r="33" customFormat="1" ht="20" customHeight="1" spans="1:6">
      <c r="A33" s="3">
        <v>31</v>
      </c>
      <c r="B33" s="4">
        <v>46173</v>
      </c>
      <c r="C33" s="3">
        <v>0</v>
      </c>
      <c r="D33" s="3">
        <v>50</v>
      </c>
      <c r="E33" s="3">
        <f t="shared" si="0"/>
        <v>0</v>
      </c>
      <c r="F33" s="5"/>
    </row>
    <row r="34" customFormat="1" ht="20" customHeight="1" spans="1:6">
      <c r="A34" s="3" t="s">
        <v>30</v>
      </c>
      <c r="B34" s="3"/>
      <c r="C34" s="3"/>
      <c r="D34" s="3"/>
      <c r="E34" s="3">
        <f>SUM(E3:E33)</f>
        <v>2100</v>
      </c>
      <c r="F34" s="5"/>
    </row>
    <row r="35" customFormat="1" ht="18.75" spans="1:6">
      <c r="A35" s="6" t="s">
        <v>31</v>
      </c>
      <c r="B35" s="6"/>
      <c r="C35" s="6"/>
      <c r="D35" s="6"/>
      <c r="E35" s="6"/>
      <c r="F35" s="6"/>
    </row>
    <row r="36" customFormat="1" ht="15" customHeight="1" spans="1:6">
      <c r="A36" s="7"/>
      <c r="B36" s="8">
        <v>46173</v>
      </c>
      <c r="C36" s="8"/>
      <c r="D36" s="8"/>
      <c r="E36" s="8"/>
      <c r="F36" s="8"/>
    </row>
  </sheetData>
  <mergeCells count="4">
    <mergeCell ref="A1:F1"/>
    <mergeCell ref="A34:D34"/>
    <mergeCell ref="A35:F35"/>
    <mergeCell ref="B36:F36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黑龙江省眼病防治研究所</vt:lpstr>
      <vt:lpstr>物流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2026-05-06T04:45:00Z</dcterms:created>
  <dcterms:modified xsi:type="dcterms:W3CDTF">2026-06-02T05:35:34Z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8EB3A7A11C7C495FB4F88589A75AF52C_13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