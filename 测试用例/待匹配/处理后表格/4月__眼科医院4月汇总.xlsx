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黑龙江省眼病防治研究所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<sst xmlns="http://schemas.openxmlformats.org/spreadsheetml/2006/main" count="30" uniqueCount="24">
  <si>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r>
      <rPr>
        <b/>
        <sz val="14"/>
        <color rgb="FF000000"/>
        <rFont val="宋体"/>
        <charset val="134"/>
      </rPr>
      <t>黑龙江省眼病防治所</t>
    </r>
    <r>
      <rPr>
        <b/>
        <sz val="14"/>
        <color rgb="FF000000"/>
        <rFont val="宋体"/>
        <charset val="134"/>
      </rPr>
      <t>各科室</t>
    </r>
    <r>
      <rPr>
        <b/>
        <sz val="14"/>
        <color rgb="FF000000"/>
        <rFont val="宋体"/>
        <charset val="134"/>
      </rPr>
      <t>2026年4月</t>
    </r>
    <r>
      <rPr>
        <b/>
        <sz val="14"/>
        <color rgb="FF000000"/>
        <rFont val="宋体"/>
        <charset val="134"/>
      </rPr>
      <t>灭菌价格汇总</t>
    </r>
  </si>
  <si>
    <t>科室</t>
  </si>
  <si>
    <t>价格</t>
  </si>
  <si>
    <t>二病区</t>
  </si>
  <si>
    <t>干眼中心</t>
  </si>
  <si>
    <t>中医门诊</t>
  </si>
  <si>
    <t>急诊科</t>
  </si>
  <si>
    <t>六病区</t>
  </si>
  <si>
    <t>木介街门诊</t>
  </si>
  <si>
    <t>全飞秒屈光（门诊）</t>
  </si>
  <si>
    <t>全飞秒屈光（手术室）</t>
  </si>
  <si>
    <t>弱视训练</t>
  </si>
  <si>
    <t>三病区</t>
  </si>
  <si>
    <t>视光中心</t>
  </si>
  <si>
    <t>手术室</t>
  </si>
  <si>
    <t>特需门诊</t>
  </si>
  <si>
    <t>外联办</t>
  </si>
  <si>
    <t>物理诊断</t>
  </si>
  <si>
    <t>西门诊处置室</t>
  </si>
  <si>
    <t>一病区</t>
  </si>
  <si>
    <t>物流费</t>
  </si>
  <si>
    <t>合计</t>
  </si>
  <si>
    <t/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</si>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</sst>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7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sz val="10"/>
      <color rgb="FF000000"/>
      <name val="宋体"/>
      <charset val="134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6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/>
  </cellStyleXfs>
  <cellXfs count="11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center" vertical="center" wrapText="1" readingOrder="1"/>
    </xf>
    <xf numFmtId="0" fontId="2" fillId="0" borderId="1" xfId="0" applyNumberFormat="1" applyFont="1" applyFill="1" applyBorder="1" applyAlignment="1">
      <alignment horizontal="center" vertical="center" wrapText="1" readingOrder="1"/>
    </xf>
    <xf numFmtId="0" fontId="3" fillId="0" borderId="1" xfId="0" applyNumberFormat="1" applyFont="1" applyFill="1" applyBorder="1" applyAlignment="1">
      <alignment horizontal="center" vertical="center" wrapText="1" readingOrder="1"/>
    </xf>
    <xf numFmtId="176" fontId="3" fillId="0" borderId="1" xfId="0" applyNumberFormat="1" applyFont="1" applyFill="1" applyBorder="1" applyAlignment="1">
      <alignment horizontal="center" vertical="center" wrapText="1" readingOrder="1"/>
    </xf>
    <xf numFmtId="0" fontId="0" fillId="0" borderId="2" xfId="0" applyNumberFormat="1" applyFont="1" applyFill="1" applyBorder="1" applyAlignment="1">
      <alignment vertical="top" wrapText="1"/>
    </xf>
    <xf numFmtId="177" fontId="3" fillId="0" borderId="1" xfId="0" applyNumberFormat="1" applyFont="1" applyFill="1" applyBorder="1" applyAlignment="1">
      <alignment horizontal="center" vertical="center" wrapText="1" readingOrder="1"/>
    </xf>
    <xf numFmtId="177" fontId="0" fillId="0" borderId="2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  <xf numFmtId="0" fontId="5" fillId="0" borderId="0" xfId="0" applyFont="1" applyFill="1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7"/>
  <sheetViews>
    <sheetView showGridLines="0" tabSelected="1" view="pageBreakPreview" zoomScaleNormal="100" workbookViewId="0">
      <selection activeCell="G14" sqref="G14"/>
    </sheetView>
  </sheetViews>
  <sheetFormatPr defaultColWidth="9" defaultRowHeight="13.5" outlineLevelCol="4"/>
  <cols>
    <col min="1" max="1" width="1.69166666666667" customWidth="1"/>
    <col min="2" max="2" width="31.875" customWidth="1"/>
    <col min="3" max="3" width="14.5" customWidth="1"/>
    <col min="4" max="4" width="31.25" customWidth="1"/>
    <col min="5" max="5" width="13.25" customWidth="1"/>
  </cols>
  <sheetData>
    <row r="1" ht="14.95" customHeight="1"/>
    <row r="2" ht="25.5" customHeight="1" spans="2:5">
      <c r="B2" s="1" t="s">
        <v>0</v>
      </c>
    </row>
    <row r="3" ht="30" customHeight="1" spans="2:5">
      <c r="B3" s="2" t="s">
        <v>1</v>
      </c>
      <c r="C3" s="2" t="s">
        <v>2</v>
      </c>
      <c r="D3" s="2" t="s">
        <v>1</v>
      </c>
      <c r="E3" s="2" t="s">
        <v>2</v>
      </c>
    </row>
    <row r="4" ht="30" customHeight="1" spans="2:5">
      <c r="B4" s="3" t="s">
        <v>3</v>
      </c>
      <c r="C4" s="4">
        <v>2508</v>
      </c>
      <c r="D4" s="3" t="s">
        <v>4</v>
      </c>
      <c r="E4" s="4">
        <v>8542</v>
      </c>
    </row>
    <row r="5" ht="30" customHeight="1" spans="2:5">
      <c r="B5" s="3" t="s">
        <v>5</v>
      </c>
      <c r="C5" s="4">
        <v>803</v>
      </c>
      <c r="D5" s="3" t="s">
        <v>6</v>
      </c>
      <c r="E5" s="4">
        <v>72</v>
      </c>
    </row>
    <row r="6" ht="30" customHeight="1" spans="2:5">
      <c r="B6" s="3" t="s">
        <v>7</v>
      </c>
      <c r="C6" s="4">
        <v>3037</v>
      </c>
      <c r="D6" s="3" t="s">
        <v>8</v>
      </c>
      <c r="E6" s="4">
        <v>1118.5</v>
      </c>
    </row>
    <row r="7" ht="30" customHeight="1" spans="2:5">
      <c r="B7" s="3" t="s">
        <v>9</v>
      </c>
      <c r="C7" s="4">
        <v>276</v>
      </c>
      <c r="D7" s="3" t="s">
        <v>10</v>
      </c>
      <c r="E7" s="4">
        <v>1465</v>
      </c>
    </row>
    <row r="8" ht="30" customHeight="1" spans="2:5">
      <c r="B8" s="3" t="s">
        <v>11</v>
      </c>
      <c r="C8" s="4">
        <v>448</v>
      </c>
      <c r="D8" s="3" t="s">
        <v>12</v>
      </c>
      <c r="E8" s="4">
        <v>2570</v>
      </c>
    </row>
    <row r="9" ht="30" customHeight="1" spans="2:5">
      <c r="B9" s="3" t="s">
        <v>13</v>
      </c>
      <c r="C9" s="4">
        <v>3855.5</v>
      </c>
      <c r="D9" s="3" t="s">
        <v>14</v>
      </c>
      <c r="E9" s="4">
        <v>86027.5</v>
      </c>
    </row>
    <row r="10" ht="30" customHeight="1" spans="2:5">
      <c r="B10" s="3" t="s">
        <v>15</v>
      </c>
      <c r="C10" s="4">
        <v>392</v>
      </c>
      <c r="D10" s="3" t="s">
        <v>16</v>
      </c>
      <c r="E10" s="4">
        <v>161</v>
      </c>
    </row>
    <row r="11" ht="30" customHeight="1" spans="2:5">
      <c r="B11" s="3" t="s">
        <v>17</v>
      </c>
      <c r="C11" s="4">
        <v>3694</v>
      </c>
      <c r="D11" s="3" t="s">
        <v>18</v>
      </c>
      <c r="E11" s="4">
        <v>563</v>
      </c>
    </row>
    <row r="12" ht="30" customHeight="1" spans="2:5">
      <c r="B12" s="3" t="s">
        <v>19</v>
      </c>
      <c r="C12" s="4">
        <v>2417.5</v>
      </c>
      <c r="D12" s="3" t="s">
        <v>20</v>
      </c>
      <c r="E12" s="4">
        <v>2200</v>
      </c>
    </row>
    <row r="13" ht="30" customHeight="1" spans="2:5">
      <c r="B13" s="2"/>
      <c r="C13" s="4"/>
      <c r="D13" s="3"/>
      <c r="E13" s="5"/>
    </row>
    <row r="14" ht="30" customHeight="1" spans="2:5">
      <c r="B14" s="2" t="s">
        <v>21</v>
      </c>
      <c r="C14" s="4">
        <f>C4+C5+C6+C7+C8+C9+C10+C11+C12+E10+E11+E9+E8+E7+E6+E5+E4+E12</f>
        <v>120150</v>
      </c>
      <c r="D14" s="6">
        <f>C14</f>
        <v>120150</v>
      </c>
      <c r="E14" s="7" t="s">
        <v>22</v>
      </c>
    </row>
    <row r="15" ht="30" customHeight="1" spans="2:5">
      <c r="B15" s="8" t="s">
        <v>22</v>
      </c>
      <c r="C15" s="8" t="s">
        <v>22</v>
      </c>
      <c r="D15" s="8" t="s">
        <v>22</v>
      </c>
      <c r="E15" s="8" t="s">
        <v>22</v>
      </c>
    </row>
    <row r="16" ht="27.75" customHeight="1" spans="2:5">
      <c r="B16" s="9" t="s">
        <v>23</v>
      </c>
      <c r="C16" s="10"/>
      <c r="D16" s="10"/>
      <c r="E16" s="10"/>
    </row>
    <row r="17" ht="0.05" customHeight="1"/>
  </sheetData>
  <mergeCells count="3">
    <mergeCell ref="B2:E2"/>
    <mergeCell ref="D14:E14"/>
    <mergeCell ref="B16:E16"/>
  </mergeCells>
  <pageMargins left="0.25" right="0.25" top="0.75" bottom="0.75" header="0.298611111111111" footer="0.298611111111111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黑龙江省眼病防治研究所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2026-05-06T04:45:12Z</dcterms:created>
  <dcterms:modified xsi:type="dcterms:W3CDTF">2026-05-06T05:06:20Z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2B4F526B0A154F39AAD9EC7EF0D24EBD_13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