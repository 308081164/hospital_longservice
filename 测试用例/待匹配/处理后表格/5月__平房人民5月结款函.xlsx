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445" windowHeight="11805"/>
  </bookViews>
  <sheets>
    <sheet name="平房区人民医院" sheetId="1" r:id="rId1"/>
  </sheets>
  <externalReferences>
    <externalReference r:id="rId2"/>
  </externalReferences>
  <definedNames>
    <definedName name="_xlnm.Print_Titles" localSheetId="0">平房区人民医院!$1:$4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<sst xmlns="http://schemas.openxmlformats.org/spreadsheetml/2006/main" count="40" uniqueCount="16">
  <si>
    <t/>
  </si>
  <si>
    <r>
      <rPr>
        <b/>
        <sz val="14"/>
        <color rgb="FF000000"/>
        <rFont val="宋体"/>
        <charset val="134"/>
      </rPr>
      <t>哈尔滨市平房区人民医院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</si>
  <si>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哈尔滨市平房区人民医院</t>
    </r>
  </si>
  <si>
    <t>从:2026年5月1日  至: 2026年5月31日 灭菌费用总清单如下：</t>
  </si>
  <si>
    <t>序号</t>
  </si>
  <si>
    <t>条目</t>
  </si>
  <si>
    <t>费用</t>
  </si>
  <si>
    <t>备注</t>
  </si>
  <si>
    <t>１</t>
  </si>
  <si>
    <t>灭菌费用</t>
  </si>
  <si>
    <t>物流费用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</si>
  <si>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</si>
  <si>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</si>
  <si>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</si>
  <si>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</si>
  <si>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2026年5月31日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</si>
</sst>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6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5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2" xfId="0" applyNumberFormat="1" applyFont="1" applyFill="1" applyBorder="1" applyAlignment="1">
      <alignment vertical="top" wrapText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2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627120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36719;&#20214;\&#24494;&#20449;&#32842;&#22825;&#35760;&#24405;\xwechat_files\wxid_b46k1zf97jnr22_036b\msg\file\2026-06\&#24179;&#25151;&#20154;&#27665;5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儿科"/>
      <sheetName val="妇病"/>
      <sheetName val="妇科（综合）"/>
      <sheetName val="妇门"/>
      <sheetName val="急诊"/>
      <sheetName val="口腔科"/>
      <sheetName val="内科"/>
      <sheetName val="手术室"/>
      <sheetName val="外科"/>
      <sheetName val="五官科"/>
      <sheetName val="外来器械"/>
      <sheetName val="费用调整"/>
    </sheetNames>
    <sheetDataSet>
      <sheetData sheetId="0">
        <row r="10">
          <cell r="K10">
            <v>64</v>
          </cell>
        </row>
      </sheetData>
      <sheetData sheetId="1">
        <row r="8">
          <cell r="K8">
            <v>998</v>
          </cell>
        </row>
      </sheetData>
      <sheetData sheetId="2">
        <row r="8">
          <cell r="K8">
            <v>122</v>
          </cell>
        </row>
      </sheetData>
      <sheetData sheetId="3">
        <row r="8">
          <cell r="K8">
            <v>2323</v>
          </cell>
        </row>
      </sheetData>
      <sheetData sheetId="4">
        <row r="8">
          <cell r="K8">
            <v>35</v>
          </cell>
        </row>
      </sheetData>
      <sheetData sheetId="5">
        <row r="8">
          <cell r="K8">
            <v>5929</v>
          </cell>
        </row>
      </sheetData>
      <sheetData sheetId="6">
        <row r="8">
          <cell r="K8">
            <v>206</v>
          </cell>
        </row>
      </sheetData>
      <sheetData sheetId="7">
        <row r="8">
          <cell r="K8">
            <v>7511</v>
          </cell>
        </row>
      </sheetData>
      <sheetData sheetId="8">
        <row r="8">
          <cell r="K8">
            <v>4848</v>
          </cell>
        </row>
      </sheetData>
      <sheetData sheetId="9">
        <row r="8">
          <cell r="K8">
            <v>2107</v>
          </cell>
        </row>
      </sheetData>
      <sheetData sheetId="10">
        <row r="13">
          <cell r="I13">
            <v>341</v>
          </cell>
        </row>
        <row r="21">
          <cell r="I21">
            <v>588.5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F12" sqref="F12:G12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24.5" customWidth="1"/>
    <col min="6" max="6" width="14.725" customWidth="1"/>
    <col min="7" max="7" width="22.5" customWidth="1"/>
    <col min="8" max="8" width="24.975" customWidth="1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8" t="s">
        <v>8</v>
      </c>
      <c r="E12" s="6" t="s">
        <v>9</v>
      </c>
      <c r="F12" s="9">
        <f>[1]儿科!$K$10+[1]妇病!$K$8+'[1]妇科（综合）'!$K$8+[1]妇门!$K$8+[1]急诊!$K$8+[1]口腔科!$K$8+[1]内科!$K$8+[1]手术室!$K$8+[1]外科!$K$8+[1]五官科!$K$8+[1]外来器械!$I$13+[1]外来器械!$I$21-132</f>
        <v>24940.5</v>
      </c>
      <c r="G12" s="7" t="s">
        <v>0</v>
      </c>
      <c r="H12" s="8"/>
    </row>
    <row r="13" ht="30" customHeight="1" spans="3:8">
      <c r="D13" s="8">
        <v>3</v>
      </c>
      <c r="E13" s="6" t="s">
        <v>10</v>
      </c>
      <c r="F13" s="9">
        <f>50*14</f>
        <v>700</v>
      </c>
      <c r="G13" s="7" t="s">
        <v>0</v>
      </c>
      <c r="H13" s="8"/>
    </row>
    <row r="14" ht="30" customHeight="1" spans="3:8">
      <c r="D14" s="6" t="s">
        <v>11</v>
      </c>
      <c r="E14" s="7" t="s">
        <v>0</v>
      </c>
      <c r="F14" s="9">
        <f>F12+F13</f>
        <v>25640.5</v>
      </c>
      <c r="G14" s="7" t="s">
        <v>0</v>
      </c>
      <c r="H14" s="6" t="s">
        <v>0</v>
      </c>
    </row>
    <row r="15" ht="30" customHeight="1" spans="3:8">
      <c r="D15" s="6" t="s">
        <v>12</v>
      </c>
      <c r="E15" s="7" t="s">
        <v>0</v>
      </c>
      <c r="F15" s="10">
        <f>F14</f>
        <v>25640.5</v>
      </c>
      <c r="G15" s="11"/>
      <c r="H15" s="6"/>
    </row>
    <row r="16" ht="12" customHeight="1" spans="3:8">
      <c r="D16" s="4" t="s">
        <v>0</v>
      </c>
    </row>
    <row r="17" ht="188.7" customHeight="1" spans="4:8">
      <c r="D17" s="5" t="s">
        <v>13</v>
      </c>
    </row>
    <row r="18" ht="18.75" spans="4:8">
      <c r="D18" s="12" t="s">
        <v>0</v>
      </c>
      <c r="E18" s="12" t="s">
        <v>0</v>
      </c>
      <c r="F18" s="13" t="s">
        <v>14</v>
      </c>
      <c r="H18" s="12" t="s">
        <v>0</v>
      </c>
    </row>
    <row r="19" ht="36" customHeight="1" spans="4:8">
      <c r="D19" s="14" t="s">
        <v>15</v>
      </c>
    </row>
    <row r="20" ht="67.5" customHeight="1"/>
  </sheetData>
  <mergeCells count="17">
    <mergeCell ref="B2:F2"/>
    <mergeCell ref="D6:H6"/>
    <mergeCell ref="D7:H7"/>
    <mergeCell ref="F8:G8"/>
    <mergeCell ref="D9:H9"/>
    <mergeCell ref="F10:G10"/>
    <mergeCell ref="F11:G11"/>
    <mergeCell ref="F12:G12"/>
    <mergeCell ref="F13:G13"/>
    <mergeCell ref="D14:E14"/>
    <mergeCell ref="F14:G14"/>
    <mergeCell ref="D15:E15"/>
    <mergeCell ref="F15:G15"/>
    <mergeCell ref="D16:H16"/>
    <mergeCell ref="D17:H17"/>
    <mergeCell ref="F18:G18"/>
    <mergeCell ref="D19:H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平房区人民医院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2026-01-06T00:45:00Z</dcterms:created>
  <dcterms:modified xsi:type="dcterms:W3CDTF">2026-06-02T01:43:26Z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1E291CFC1DC64DCABF0E192E7EF5340B_13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