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2"/>
  </bookViews>
  <sheets>
    <sheet name="1.21" sheetId="1" r:id="rId1"/>
    <sheet name="1.22" sheetId="2" r:id="rId2"/>
    <sheet name="1.25" sheetId="3" r:id="rId3"/>
    <sheet name="1.26" sheetId="4" r:id="rId4"/>
    <sheet name="1.27" sheetId="5" r:id="rId5"/>
    <sheet name="1.28" sheetId="6" r:id="rId6"/>
    <sheet name="1.21-2.1" sheetId="7" r:id="rId7"/>
    <sheet name="2.2" sheetId="8" r:id="rId8"/>
    <sheet name="2.3" sheetId="9" r:id="rId9"/>
    <sheet name="2.4" sheetId="10" r:id="rId10"/>
    <sheet name="2.5" sheetId="11" r:id="rId11"/>
    <sheet name="2.6" sheetId="12" r:id="rId12"/>
    <sheet name="2.7-2.8" sheetId="13" r:id="rId13"/>
    <sheet name="2.9" sheetId="14" r:id="rId14"/>
    <sheet name="2.12-2.13" sheetId="15" r:id="rId15"/>
    <sheet name="2.14-2.20" sheetId="16" r:id="rId16"/>
  </sheets>
  <definedNames>
    <definedName name="_xlnm._FilterDatabase" localSheetId="2" hidden="1">'1.25'!$A$1:$P$24</definedName>
    <definedName name="_xlnm._FilterDatabase" localSheetId="4" hidden="1">'1.27'!$A$1:$P$18</definedName>
    <definedName name="_xlnm._FilterDatabase" localSheetId="5" hidden="1">'1.28'!$A$1:$P$32</definedName>
    <definedName name="_xlnm._FilterDatabase" localSheetId="6" hidden="1">'1.21-2.1'!$A$1:$P$49</definedName>
    <definedName name="_xlnm._FilterDatabase" localSheetId="10" hidden="1">'2.5'!$A$1:$P$27</definedName>
    <definedName name="_xlnm._FilterDatabase" localSheetId="13" hidden="1">'2.9'!$A$1:$P$22</definedName>
    <definedName name="_xlnm._FilterDatabase" localSheetId="15" hidden="1">'2.14-2.20'!$A$1:$P$26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<sst xmlns="http://schemas.openxmlformats.org/spreadsheetml/2006/main" count="2512" uniqueCount="203">
  <si>
    <t>客户名称</t>
  </si>
  <si>
    <t>运送点名称</t>
  </si>
  <si>
    <t>包名</t>
  </si>
  <si>
    <t>带量器械名称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</si>
  <si>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</si>
  <si>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</si>
  <si>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</si>
  <si>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</si>
  <si>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</si>
  <si>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</si>
  <si>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</si>
  <si>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</si>
  <si>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</si>
  <si>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</si>
  <si>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科室</t>
  </si>
  <si>
    <t>医生</t>
  </si>
  <si>
    <t>国药器械黑龙江科学器材有限公司</t>
  </si>
  <si>
    <t>黑龙江省医院（南岗分院）</t>
  </si>
  <si>
    <t>马书明-股骨颈骨折   1/3</t>
  </si>
  <si>
    <t>半髋</t>
  </si>
  <si>
    <t>器械-器皿</t>
  </si>
  <si>
    <t>自带篮筐</t>
  </si>
  <si>
    <t>南岗骨科</t>
  </si>
  <si>
    <t>曲建波</t>
  </si>
  <si>
    <t>器械</t>
  </si>
  <si>
    <t>外来器械组件</t>
  </si>
  <si>
    <t>马书明-股骨颈骨折   2/3</t>
  </si>
  <si>
    <t>马书明-股骨颈骨折   3/3</t>
  </si>
  <si>
    <t>黑龙江省医院（香坊总院）</t>
  </si>
  <si>
    <t>周瑞发-混合型颈椎病  1/1</t>
  </si>
  <si>
    <t>颈后路</t>
  </si>
  <si>
    <t>神外一</t>
  </si>
  <si>
    <t>孙国章</t>
  </si>
  <si>
    <t xml:space="preserve">植入物-钉 </t>
  </si>
  <si>
    <t xml:space="preserve">植入物-板 </t>
  </si>
  <si>
    <t>黑龙江省耀旭科技有限公司</t>
  </si>
  <si>
    <t>省医院（香坊）</t>
  </si>
  <si>
    <t>赵亭亭-闭合性胫骨平台骨折   1/1</t>
  </si>
  <si>
    <t>取出</t>
  </si>
  <si>
    <t>骨二</t>
  </si>
  <si>
    <t>黄志</t>
  </si>
  <si>
    <t>郭万香-取除骨折内固定装置1/1</t>
  </si>
  <si>
    <t xml:space="preserve">组件-1 </t>
  </si>
  <si>
    <t>齐齐哈尔锋润佳医疗器械有限公司</t>
  </si>
  <si>
    <t>黑龙江省医院（香坊）</t>
  </si>
  <si>
    <t>白文荣-踝关节骨折1/1</t>
  </si>
  <si>
    <t>上肢+2.7器械</t>
  </si>
  <si>
    <t>骨一</t>
  </si>
  <si>
    <t>崔巍</t>
  </si>
  <si>
    <t>上肢+2.8器械</t>
  </si>
  <si>
    <t>上肢+2.9器械</t>
  </si>
  <si>
    <t>上肢+2.10器械</t>
  </si>
  <si>
    <t>申梅芹-指骨骨折  1/1</t>
  </si>
  <si>
    <t>指掌骨</t>
  </si>
  <si>
    <t>康雪峰</t>
  </si>
  <si>
    <t>宫祥龙-胫腓骨干骨折1/1</t>
  </si>
  <si>
    <t>胫骨髓内钉+上肢+2.4器械</t>
  </si>
  <si>
    <t>宫祥龙-胫腓骨干骨折1/5</t>
  </si>
  <si>
    <t>宫祥龙-胫腓骨干骨折2/5</t>
  </si>
  <si>
    <t>宫祥龙-胫腓骨干骨折3/5</t>
  </si>
  <si>
    <t>宫祥龙-胫腓骨干骨折4/5</t>
  </si>
  <si>
    <t>宫祥龙-胫腓骨干骨折5/5</t>
  </si>
  <si>
    <t>张明广-桡骨远端骨折1/1</t>
  </si>
  <si>
    <t>2.4器械</t>
  </si>
  <si>
    <t>王春明-胫骨平台骨折1/2</t>
  </si>
  <si>
    <t>上肢</t>
  </si>
  <si>
    <t>王春明-胫骨平台骨折2/2</t>
  </si>
  <si>
    <t>郝淑英-股骨转子间骨折  2/2</t>
  </si>
  <si>
    <t>股骨髓内钉</t>
  </si>
  <si>
    <t>李加龙</t>
  </si>
  <si>
    <t>郝淑英-股骨转子间骨折  1/2</t>
  </si>
  <si>
    <t>植入物 -钉</t>
  </si>
  <si>
    <t>王春明-胫骨平台骨折  1/1</t>
  </si>
  <si>
    <t>王晓彦-桡骨骨折  1/1</t>
  </si>
  <si>
    <t>刘淑云-股骨转子间骨折  2/5</t>
  </si>
  <si>
    <t>刘淑云-股骨转子间骨折  4/5</t>
  </si>
  <si>
    <t>刘淑云-股骨转子间骨折  5/5</t>
  </si>
  <si>
    <t>刘淑云-股骨转子间骨折  1/5</t>
  </si>
  <si>
    <t xml:space="preserve">植入物 </t>
  </si>
  <si>
    <t>刘淑云-股骨转子间骨折  3/5</t>
  </si>
  <si>
    <t>李凤兰-右股骨粗隆间骨折  1/5</t>
  </si>
  <si>
    <t>刘喜庆</t>
  </si>
  <si>
    <t>李凤兰-右股骨粗隆间骨折  2/5</t>
  </si>
  <si>
    <t>李凤兰-右股骨粗隆间骨折  3/5</t>
  </si>
  <si>
    <t>李凤兰-右股骨粗隆间骨折  4/5</t>
  </si>
  <si>
    <t xml:space="preserve">封帽 </t>
  </si>
  <si>
    <t>李凤兰-右股骨粗隆间骨折  5/5</t>
  </si>
  <si>
    <t>李海兰-取骨折内固定装置1/1</t>
  </si>
  <si>
    <t>于素芹-股骨转子间骨折  1/5</t>
  </si>
  <si>
    <t>于素芹-股骨转子间骨折  2/5</t>
  </si>
  <si>
    <t>于素芹-股骨转子间骨折  3/5</t>
  </si>
  <si>
    <t>于素芹-股骨转子间骨折  4/5</t>
  </si>
  <si>
    <t>于素芹-股骨转子间骨折  5/5</t>
  </si>
  <si>
    <t>任忠闰-胫骨平台骨折   1/1</t>
  </si>
  <si>
    <t>板</t>
  </si>
  <si>
    <t>赵洪微-锁骨骨折1/2</t>
  </si>
  <si>
    <t>张钊</t>
  </si>
  <si>
    <t>赵洪微-锁骨骨折2/2</t>
  </si>
  <si>
    <t>高升-脊膜瘤  1/4</t>
  </si>
  <si>
    <t>经皮钉棒</t>
  </si>
  <si>
    <t>高升-脊膜瘤  2/4</t>
  </si>
  <si>
    <t>高升-脊膜瘤  3/4</t>
  </si>
  <si>
    <t>高升-脊膜瘤  4/4</t>
  </si>
  <si>
    <t>韩旭-桡骨远端骨折  1/1</t>
  </si>
  <si>
    <t>2.7器械</t>
  </si>
  <si>
    <t>雷亮</t>
  </si>
  <si>
    <t>玄照芬-桡骨远端骨折1/1</t>
  </si>
  <si>
    <t>2.4上肢器械</t>
  </si>
  <si>
    <t>齐鹏飞</t>
  </si>
  <si>
    <t>柴其堃-踝关节骨折1/4</t>
  </si>
  <si>
    <t>上肢+3.5空心钉</t>
  </si>
  <si>
    <t>柴其堃-踝关节骨折2/4</t>
  </si>
  <si>
    <t>柴其堃-踝关节骨折3/4</t>
  </si>
  <si>
    <t>柴其堃-踝关节骨折4/4</t>
  </si>
  <si>
    <t>王智彤-踝关节骨折1/3</t>
  </si>
  <si>
    <t>上肢+2.4器械</t>
  </si>
  <si>
    <t>王智彤-踝关节骨折2/3</t>
  </si>
  <si>
    <t>王智彤-踝关节骨折3/3</t>
  </si>
  <si>
    <t>张凤珍-股骨粗隆间骨折1/5</t>
  </si>
  <si>
    <t>股骨髓内钉+4.0空心钉</t>
  </si>
  <si>
    <t>张凤珍-股骨粗隆间骨折2/5</t>
  </si>
  <si>
    <t>张凤珍-股骨粗隆间骨折3/5</t>
  </si>
  <si>
    <t>张凤珍-股骨粗隆间骨折4/5</t>
  </si>
  <si>
    <t>张凤珍-股骨粗隆间骨折5/5</t>
  </si>
  <si>
    <t>赵睿凯泽-取除骨折内固定装置1/1</t>
  </si>
  <si>
    <t>王国栋-胫骨闭合性骨折1/1</t>
  </si>
  <si>
    <t>黑龙江琅华商贸有限公司</t>
  </si>
  <si>
    <t>省医院（香坊总院）</t>
  </si>
  <si>
    <t>范淑云-股骨颈骨折1/2</t>
  </si>
  <si>
    <t>范淑云-股骨颈骨折2/2</t>
  </si>
  <si>
    <t>张淑贤-肩胛骨骨折  1/1</t>
  </si>
  <si>
    <t>4.0空心钉</t>
  </si>
  <si>
    <t>姜宇峰-取除骨折内固定  1/1</t>
  </si>
  <si>
    <t>组件X1</t>
  </si>
  <si>
    <t>王琴-骨关节病  6/9</t>
  </si>
  <si>
    <t>膝关节</t>
  </si>
  <si>
    <t>王琴-骨关节病  1/9</t>
  </si>
  <si>
    <t>王琴-骨关节病  2/9</t>
  </si>
  <si>
    <t>王琴-骨关节病  7/9</t>
  </si>
  <si>
    <t>王琴-骨关节病  3/9</t>
  </si>
  <si>
    <t>王琴-骨关节病  8/9</t>
  </si>
  <si>
    <t>王琴-骨关节病  9/9</t>
  </si>
  <si>
    <t>王琴-骨关节病  4/9</t>
  </si>
  <si>
    <t>王琴-骨关节病  5/9</t>
  </si>
  <si>
    <t>王琴-骨关节病1/1</t>
  </si>
  <si>
    <t>鞠淑贤-肩袖损伤1/1</t>
  </si>
  <si>
    <t>肩关节</t>
  </si>
  <si>
    <t>骨三</t>
  </si>
  <si>
    <t>王岩</t>
  </si>
  <si>
    <t>高淑范-股骨转子间骨折  2/2</t>
  </si>
  <si>
    <t>高淑范-股骨转子间骨折  1/2</t>
  </si>
  <si>
    <t>王庆发-锁骨骨折1/1</t>
  </si>
  <si>
    <t>潘智-股骨颈骨折1/4</t>
  </si>
  <si>
    <t>全髋</t>
  </si>
  <si>
    <t>潘智-股骨颈骨折2/4</t>
  </si>
  <si>
    <t>潘智-股骨颈骨折3/4</t>
  </si>
  <si>
    <t>潘智-股骨颈骨折4/4</t>
  </si>
  <si>
    <t>王艳芳-股骨颈骨折  1/2</t>
  </si>
  <si>
    <t>王艳芳-股骨颈骨折  2/2</t>
  </si>
  <si>
    <t>李洪颖-踝关节骨折1/1</t>
  </si>
  <si>
    <t>那双涛-腓骨骨折  1/2</t>
  </si>
  <si>
    <t>上肢+2.4系统</t>
  </si>
  <si>
    <t>那双涛-腓骨骨折  2/2</t>
  </si>
  <si>
    <t>韩旭-关节习惯性脱位1/2</t>
  </si>
  <si>
    <t>肩关节镜+3.5空心钉</t>
  </si>
  <si>
    <t>韩旭-关节习惯性脱位2/2</t>
  </si>
  <si>
    <t>刘亚楼-桡骨远端骨折1/3</t>
  </si>
  <si>
    <t>刘亚楼-桡骨远端骨折2/3-低温</t>
  </si>
  <si>
    <t>刘亚楼-桡骨远端骨折3/3-低温</t>
  </si>
  <si>
    <t>付玉东-踝关节骨折  1/1</t>
  </si>
  <si>
    <t>贾秋仙-膝关节前十字韧带损伤  1/3</t>
  </si>
  <si>
    <t>膝关节镜</t>
  </si>
  <si>
    <t>贾秋仙-膝关节前十字韧带损伤  2/3</t>
  </si>
  <si>
    <t>贾秋仙-膝关节前十字韧带损伤  3/3</t>
  </si>
  <si>
    <t>王菁湘-股骨骨折  （加件）</t>
  </si>
  <si>
    <t>王菁湘-股骨骨折  1/4</t>
  </si>
  <si>
    <t>王菁湘-股骨骨折  2/4</t>
  </si>
  <si>
    <t>王菁湘-股骨骨折  3/4</t>
  </si>
  <si>
    <t>王菁湘-股骨骨折  4/4</t>
  </si>
  <si>
    <t>刘桂莲-桡骨远端骨折  1/2</t>
  </si>
  <si>
    <t>刘桂莲-桡骨远端骨折  2/2</t>
  </si>
  <si>
    <t>姜小明-肩胛骨骨折1/1</t>
  </si>
  <si>
    <t>3.5上肢器械</t>
  </si>
  <si>
    <t>孙桂琴-股骨颈骨折1/2</t>
  </si>
  <si>
    <t>孙桂琴-股骨颈骨折2/2</t>
  </si>
  <si>
    <t>李晓军-趾骨骨折  2/2</t>
  </si>
  <si>
    <t>李晓军-趾骨骨折  1/2</t>
  </si>
  <si>
    <t>黄学浦-股骨颈骨折  1/2</t>
  </si>
  <si>
    <t>黄学浦-股骨颈骨折  2/2</t>
  </si>
  <si>
    <t>黄志红-腰椎间盘突出  2/3</t>
  </si>
  <si>
    <t>腰椎钉棒+融合</t>
  </si>
  <si>
    <t>王友成</t>
  </si>
  <si>
    <t>黄志红-腰椎间盘突出  3/3</t>
  </si>
  <si>
    <t>黄志红-腰椎间盘突出  1/3</t>
  </si>
  <si>
    <t>黄志红-腰椎间盘突出  1/1</t>
  </si>
  <si>
    <t>曹凤华-桡骨远端骨折  1/1</t>
  </si>
  <si>
    <t>张洪涛-锁骨骨折1/1</t>
  </si>
  <si>
    <t>上肢器械</t>
  </si>
  <si>
    <t>陈庆云-股骨转子间骨折2/5</t>
  </si>
  <si>
    <t>陈庆云-股骨转子间骨折4/5</t>
  </si>
  <si>
    <t>陈庆云-股骨转子间骨折5/5</t>
  </si>
  <si>
    <t>陈庆云-股骨转子间骨折1/5</t>
  </si>
  <si>
    <t>陈庆云-股骨转子间骨折3/5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</si>
</sst>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yyyy/m/d;@"/>
    <numFmt numFmtId="178" formatCode="#,##0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color theme="1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6" fillId="0" borderId="0"/>
  </cellStyleXfs>
  <cellXfs count="22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0" fontId="1" fillId="2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8" fontId="3" fillId="0" borderId="1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Border="1" applyAlignment="1">
      <alignment horizontal="center" vertical="center" wrapText="1"/>
    </xf>
    <xf numFmtId="0" fontId="5" fillId="0" borderId="0" xfId="49" applyFont="1" applyFill="1" applyBorder="1"/>
    <xf numFmtId="0" fontId="6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opLeftCell="C1" workbookViewId="0">
      <selection activeCell="J26" sqref="J26"/>
    </sheetView>
  </sheetViews>
  <sheetFormatPr defaultColWidth="9" defaultRowHeight="13.5"/>
  <cols>
    <col min="1" max="1" width="30.0083333333333" style="19" customWidth="1"/>
    <col min="2" max="2" width="27.0083333333333" style="19" customWidth="1"/>
    <col min="3" max="3" width="29.8416666666667" style="19" customWidth="1"/>
    <col min="4" max="4" width="16.0083333333333" style="19" customWidth="1"/>
    <col min="5" max="5" width="13.3416666666667" style="19" customWidth="1"/>
    <col min="6" max="6" width="12.3416666666667" style="19" customWidth="1"/>
    <col min="7" max="7" width="15.0083333333333" style="19" customWidth="1"/>
    <col min="8" max="8" width="12.3416666666667" style="19" customWidth="1"/>
    <col min="9" max="10" width="8.675" style="19" customWidth="1"/>
    <col min="11" max="12" width="17.8416666666667" style="19" customWidth="1"/>
    <col min="13" max="14" width="16.0083333333333" style="19" customWidth="1"/>
    <col min="15" max="16" width="8.675" style="19" customWidth="1"/>
    <col min="17" max="16384" width="9" style="19"/>
  </cols>
  <sheetData>
    <row r="1" s="19" customFormat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="19" customFormat="1" ht="22.5" customHeight="1" spans="1:16">
      <c r="A2" s="4" t="s">
        <v>16</v>
      </c>
      <c r="B2" s="4" t="s">
        <v>17</v>
      </c>
      <c r="C2" s="4" t="s">
        <v>18</v>
      </c>
      <c r="D2" s="5" t="s">
        <v>19</v>
      </c>
      <c r="E2" s="5">
        <v>46043.7744228009</v>
      </c>
      <c r="F2" s="4" t="s">
        <v>20</v>
      </c>
      <c r="G2" s="4" t="s">
        <v>21</v>
      </c>
      <c r="H2" s="4">
        <v>1</v>
      </c>
      <c r="I2" s="20">
        <v>3.3</v>
      </c>
      <c r="J2" s="20">
        <f>H2*I2</f>
        <v>3.3</v>
      </c>
      <c r="K2" s="20">
        <v>1</v>
      </c>
      <c r="L2" s="20">
        <v>3.3</v>
      </c>
      <c r="M2" s="20"/>
      <c r="N2" s="20"/>
      <c r="O2" s="20" t="s">
        <v>22</v>
      </c>
      <c r="P2" s="20" t="s">
        <v>23</v>
      </c>
    </row>
    <row r="3" s="19" customFormat="1" ht="22.5" customHeight="1" spans="1:16">
      <c r="A3" s="4" t="s">
        <v>16</v>
      </c>
      <c r="B3" s="4" t="s">
        <v>17</v>
      </c>
      <c r="C3" s="4" t="s">
        <v>18</v>
      </c>
      <c r="D3" s="5" t="s">
        <v>19</v>
      </c>
      <c r="E3" s="5">
        <v>46043.7744228009</v>
      </c>
      <c r="F3" s="4" t="s">
        <v>24</v>
      </c>
      <c r="G3" s="4" t="s">
        <v>25</v>
      </c>
      <c r="H3" s="4">
        <v>8</v>
      </c>
      <c r="I3" s="20">
        <v>3.3</v>
      </c>
      <c r="J3" s="20">
        <f t="shared" ref="J3:J13" si="0">H3*I3</f>
        <v>26.4</v>
      </c>
      <c r="K3" s="20">
        <v>8</v>
      </c>
      <c r="L3" s="20">
        <v>26.4</v>
      </c>
      <c r="M3" s="20"/>
      <c r="N3" s="20"/>
      <c r="O3" s="20" t="s">
        <v>22</v>
      </c>
      <c r="P3" s="20" t="s">
        <v>23</v>
      </c>
    </row>
    <row r="4" s="19" customFormat="1" ht="22.5" customHeight="1" spans="1:16">
      <c r="A4" s="4" t="s">
        <v>16</v>
      </c>
      <c r="B4" s="4" t="s">
        <v>17</v>
      </c>
      <c r="C4" s="4" t="s">
        <v>26</v>
      </c>
      <c r="D4" s="5" t="s">
        <v>19</v>
      </c>
      <c r="E4" s="5">
        <v>46043.7744279745</v>
      </c>
      <c r="F4" s="4" t="s">
        <v>20</v>
      </c>
      <c r="G4" s="4" t="s">
        <v>21</v>
      </c>
      <c r="H4" s="4">
        <v>1</v>
      </c>
      <c r="I4" s="20">
        <v>3.3</v>
      </c>
      <c r="J4" s="20">
        <f t="shared" si="0"/>
        <v>3.3</v>
      </c>
      <c r="K4" s="20">
        <v>1</v>
      </c>
      <c r="L4" s="20">
        <v>3.3</v>
      </c>
      <c r="M4" s="20"/>
      <c r="N4" s="20"/>
      <c r="O4" s="20" t="s">
        <v>22</v>
      </c>
      <c r="P4" s="20" t="s">
        <v>23</v>
      </c>
    </row>
    <row r="5" s="19" customFormat="1" ht="22.5" customHeight="1" spans="1:16">
      <c r="A5" s="4" t="s">
        <v>16</v>
      </c>
      <c r="B5" s="4" t="s">
        <v>17</v>
      </c>
      <c r="C5" s="4" t="s">
        <v>26</v>
      </c>
      <c r="D5" s="5" t="s">
        <v>19</v>
      </c>
      <c r="E5" s="5">
        <v>46043.7744279745</v>
      </c>
      <c r="F5" s="4" t="s">
        <v>24</v>
      </c>
      <c r="G5" s="4" t="s">
        <v>25</v>
      </c>
      <c r="H5" s="4">
        <v>34</v>
      </c>
      <c r="I5" s="20">
        <v>3.3</v>
      </c>
      <c r="J5" s="20">
        <f t="shared" si="0"/>
        <v>112.2</v>
      </c>
      <c r="K5" s="20">
        <v>25</v>
      </c>
      <c r="L5" s="20">
        <f>K5*3.3</f>
        <v>82.5</v>
      </c>
      <c r="M5" s="20">
        <v>9</v>
      </c>
      <c r="N5" s="20">
        <f>M5*3.3</f>
        <v>29.7</v>
      </c>
      <c r="O5" s="20" t="s">
        <v>22</v>
      </c>
      <c r="P5" s="20" t="s">
        <v>23</v>
      </c>
    </row>
    <row r="6" s="19" customFormat="1" ht="22.5" customHeight="1" spans="1:16">
      <c r="A6" s="4" t="s">
        <v>16</v>
      </c>
      <c r="B6" s="4" t="s">
        <v>17</v>
      </c>
      <c r="C6" s="4" t="s">
        <v>27</v>
      </c>
      <c r="D6" s="5" t="s">
        <v>19</v>
      </c>
      <c r="E6" s="5">
        <v>46043.7744295949</v>
      </c>
      <c r="F6" s="4" t="s">
        <v>20</v>
      </c>
      <c r="G6" s="4" t="s">
        <v>21</v>
      </c>
      <c r="H6" s="4">
        <v>1</v>
      </c>
      <c r="I6" s="20">
        <v>3.3</v>
      </c>
      <c r="J6" s="20">
        <f t="shared" si="0"/>
        <v>3.3</v>
      </c>
      <c r="K6" s="20">
        <v>1</v>
      </c>
      <c r="L6" s="20">
        <v>3.3</v>
      </c>
      <c r="M6" s="20"/>
      <c r="N6" s="20"/>
      <c r="O6" s="20" t="s">
        <v>22</v>
      </c>
      <c r="P6" s="20" t="s">
        <v>23</v>
      </c>
    </row>
    <row r="7" s="19" customFormat="1" ht="22.5" customHeight="1" spans="1:16">
      <c r="A7" s="4" t="s">
        <v>16</v>
      </c>
      <c r="B7" s="4" t="s">
        <v>17</v>
      </c>
      <c r="C7" s="4" t="s">
        <v>27</v>
      </c>
      <c r="D7" s="5" t="s">
        <v>19</v>
      </c>
      <c r="E7" s="5">
        <v>46043.7744295949</v>
      </c>
      <c r="F7" s="4" t="s">
        <v>24</v>
      </c>
      <c r="G7" s="4" t="s">
        <v>25</v>
      </c>
      <c r="H7" s="4">
        <v>19</v>
      </c>
      <c r="I7" s="20">
        <v>3.3</v>
      </c>
      <c r="J7" s="20">
        <f t="shared" si="0"/>
        <v>62.7</v>
      </c>
      <c r="K7" s="20">
        <v>19</v>
      </c>
      <c r="L7" s="20">
        <v>62.7</v>
      </c>
      <c r="M7" s="20"/>
      <c r="N7" s="20"/>
      <c r="O7" s="20" t="s">
        <v>22</v>
      </c>
      <c r="P7" s="20" t="s">
        <v>23</v>
      </c>
    </row>
    <row r="8" s="19" customFormat="1" ht="22.5" customHeight="1" spans="1:16">
      <c r="A8" s="4" t="s">
        <v>16</v>
      </c>
      <c r="B8" s="4" t="s">
        <v>28</v>
      </c>
      <c r="C8" s="4" t="s">
        <v>29</v>
      </c>
      <c r="D8" s="5" t="s">
        <v>30</v>
      </c>
      <c r="E8" s="5">
        <v>46043.7744988426</v>
      </c>
      <c r="F8" s="4" t="s">
        <v>24</v>
      </c>
      <c r="G8" s="4" t="s">
        <v>25</v>
      </c>
      <c r="H8" s="4">
        <v>19</v>
      </c>
      <c r="I8" s="20">
        <v>3.3</v>
      </c>
      <c r="J8" s="20">
        <f t="shared" si="0"/>
        <v>62.7</v>
      </c>
      <c r="K8" s="20">
        <v>19</v>
      </c>
      <c r="L8" s="20">
        <v>62.7</v>
      </c>
      <c r="M8" s="20"/>
      <c r="N8" s="20"/>
      <c r="O8" s="20" t="s">
        <v>31</v>
      </c>
      <c r="P8" s="20" t="s">
        <v>32</v>
      </c>
    </row>
    <row r="9" s="19" customFormat="1" ht="22.5" customHeight="1" spans="1:16">
      <c r="A9" s="4" t="s">
        <v>16</v>
      </c>
      <c r="B9" s="4" t="s">
        <v>28</v>
      </c>
      <c r="C9" s="4" t="s">
        <v>29</v>
      </c>
      <c r="D9" s="5" t="s">
        <v>30</v>
      </c>
      <c r="E9" s="5">
        <v>46043.7744988426</v>
      </c>
      <c r="F9" s="4" t="s">
        <v>24</v>
      </c>
      <c r="G9" s="4" t="s">
        <v>33</v>
      </c>
      <c r="H9" s="4">
        <v>120</v>
      </c>
      <c r="I9" s="20">
        <v>120</v>
      </c>
      <c r="J9" s="20">
        <v>120</v>
      </c>
      <c r="K9" s="20">
        <v>120</v>
      </c>
      <c r="L9" s="20">
        <v>120</v>
      </c>
      <c r="M9" s="20"/>
      <c r="N9" s="20"/>
      <c r="O9" s="20" t="s">
        <v>31</v>
      </c>
      <c r="P9" s="20" t="s">
        <v>32</v>
      </c>
    </row>
    <row r="10" s="19" customFormat="1" ht="22.5" customHeight="1" spans="1:16">
      <c r="A10" s="4" t="s">
        <v>16</v>
      </c>
      <c r="B10" s="4" t="s">
        <v>28</v>
      </c>
      <c r="C10" s="4" t="s">
        <v>29</v>
      </c>
      <c r="D10" s="5" t="s">
        <v>30</v>
      </c>
      <c r="E10" s="5">
        <v>46043.7744988426</v>
      </c>
      <c r="F10" s="4" t="s">
        <v>24</v>
      </c>
      <c r="G10" s="4" t="s">
        <v>34</v>
      </c>
      <c r="H10" s="4">
        <v>50</v>
      </c>
      <c r="I10" s="20">
        <v>3.3</v>
      </c>
      <c r="J10" s="20">
        <f t="shared" si="0"/>
        <v>165</v>
      </c>
      <c r="K10" s="20">
        <v>50</v>
      </c>
      <c r="L10" s="20">
        <v>165</v>
      </c>
      <c r="M10" s="20"/>
      <c r="N10" s="20"/>
      <c r="O10" s="20" t="s">
        <v>31</v>
      </c>
      <c r="P10" s="20" t="s">
        <v>32</v>
      </c>
    </row>
    <row r="11" s="19" customFormat="1" ht="22.5" customHeight="1" spans="1:16">
      <c r="A11" s="4" t="s">
        <v>16</v>
      </c>
      <c r="B11" s="4" t="s">
        <v>28</v>
      </c>
      <c r="C11" s="4" t="s">
        <v>29</v>
      </c>
      <c r="D11" s="5" t="s">
        <v>30</v>
      </c>
      <c r="E11" s="5">
        <v>46043.7744988426</v>
      </c>
      <c r="F11" s="4" t="s">
        <v>20</v>
      </c>
      <c r="G11" s="4" t="s">
        <v>21</v>
      </c>
      <c r="H11" s="4">
        <v>1</v>
      </c>
      <c r="I11" s="20">
        <v>3.3</v>
      </c>
      <c r="J11" s="20">
        <f t="shared" si="0"/>
        <v>3.3</v>
      </c>
      <c r="K11" s="20">
        <v>1</v>
      </c>
      <c r="L11" s="20">
        <v>3.3</v>
      </c>
      <c r="M11" s="20"/>
      <c r="N11" s="20"/>
      <c r="O11" s="20" t="s">
        <v>31</v>
      </c>
      <c r="P11" s="20" t="s">
        <v>32</v>
      </c>
    </row>
    <row r="12" s="19" customFormat="1" ht="22.5" customHeight="1" spans="1:16">
      <c r="A12" s="4" t="s">
        <v>35</v>
      </c>
      <c r="B12" s="4" t="s">
        <v>36</v>
      </c>
      <c r="C12" s="4" t="s">
        <v>37</v>
      </c>
      <c r="D12" s="5" t="s">
        <v>38</v>
      </c>
      <c r="E12" s="5">
        <v>46043.7745974537</v>
      </c>
      <c r="F12" s="4" t="s">
        <v>20</v>
      </c>
      <c r="G12" s="4" t="s">
        <v>21</v>
      </c>
      <c r="H12" s="4">
        <v>1</v>
      </c>
      <c r="I12" s="20">
        <v>3.3</v>
      </c>
      <c r="J12" s="20">
        <f t="shared" si="0"/>
        <v>3.3</v>
      </c>
      <c r="K12" s="20"/>
      <c r="L12" s="20"/>
      <c r="M12" s="20">
        <v>1</v>
      </c>
      <c r="N12" s="20">
        <v>3.3</v>
      </c>
      <c r="O12" s="20" t="s">
        <v>39</v>
      </c>
      <c r="P12" s="20" t="s">
        <v>40</v>
      </c>
    </row>
    <row r="13" s="19" customFormat="1" ht="22.5" customHeight="1" spans="1:16">
      <c r="A13" s="4" t="s">
        <v>35</v>
      </c>
      <c r="B13" s="4" t="s">
        <v>36</v>
      </c>
      <c r="C13" s="4" t="s">
        <v>37</v>
      </c>
      <c r="D13" s="5" t="s">
        <v>38</v>
      </c>
      <c r="E13" s="5">
        <v>46043.7745974537</v>
      </c>
      <c r="F13" s="4" t="s">
        <v>24</v>
      </c>
      <c r="G13" s="4" t="s">
        <v>25</v>
      </c>
      <c r="H13" s="4">
        <v>8</v>
      </c>
      <c r="I13" s="20">
        <v>3.3</v>
      </c>
      <c r="J13" s="20">
        <f t="shared" si="0"/>
        <v>26.4</v>
      </c>
      <c r="K13" s="20"/>
      <c r="L13" s="20"/>
      <c r="M13" s="20">
        <v>8</v>
      </c>
      <c r="N13" s="20">
        <v>26.4</v>
      </c>
      <c r="O13" s="20" t="s">
        <v>39</v>
      </c>
      <c r="P13" s="20" t="s">
        <v>40</v>
      </c>
    </row>
    <row r="14" spans="1:16">
      <c r="A14" s="21"/>
      <c r="B14" s="21"/>
      <c r="C14" s="21"/>
      <c r="D14" s="21"/>
      <c r="E14" s="21"/>
      <c r="F14" s="21"/>
      <c r="G14" s="21"/>
      <c r="H14" s="21">
        <f t="shared" ref="H14:N14" si="1">SUM(H2:H13)</f>
        <v>263</v>
      </c>
      <c r="I14" s="21">
        <f t="shared" si="1"/>
        <v>156.3</v>
      </c>
      <c r="J14" s="21">
        <f t="shared" si="1"/>
        <v>591.9</v>
      </c>
      <c r="K14" s="21">
        <f t="shared" si="1"/>
        <v>245</v>
      </c>
      <c r="L14" s="21">
        <f t="shared" si="1"/>
        <v>532.5</v>
      </c>
      <c r="M14" s="21">
        <f t="shared" si="1"/>
        <v>18</v>
      </c>
      <c r="N14" s="21">
        <f t="shared" si="1"/>
        <v>59.4</v>
      </c>
      <c r="O14" s="21"/>
      <c r="P14" s="21"/>
    </row>
    <row r="25" spans="10:10">
      <c r="J25" s="19">
        <f>L14+'1.22'!L7+'1.25'!L24+'1.26'!L13+'1.27'!L18+'1.28'!L32+'1.21-2.1'!L49+'2.2'!L10+'2.3'!L25+'2.4'!L8+'2.5'!L27+'2.6'!L7+'2.9'!L22+'2.12-2.13'!L20+'2.14-2.20'!L26+'2.7-2.8'!L12</f>
        <v>10756.8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opLeftCell="B1" workbookViewId="0">
      <selection activeCell="I1" sqref="I1:P1"/>
    </sheetView>
  </sheetViews>
  <sheetFormatPr defaultColWidth="9" defaultRowHeight="13.5" outlineLevelRow="7"/>
  <cols>
    <col min="1" max="1" width="30.0083333333333" customWidth="1"/>
    <col min="2" max="2" width="23.675" customWidth="1"/>
    <col min="3" max="3" width="28.3416666666667" customWidth="1"/>
    <col min="4" max="4" width="16.0083333333333" customWidth="1"/>
    <col min="5" max="5" width="13.3416666666667" customWidth="1"/>
    <col min="6" max="6" width="12.3416666666667" customWidth="1"/>
    <col min="7" max="7" width="12.8416666666667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35</v>
      </c>
      <c r="B2" s="4" t="s">
        <v>36</v>
      </c>
      <c r="C2" s="4" t="s">
        <v>41</v>
      </c>
      <c r="D2" s="5" t="s">
        <v>38</v>
      </c>
      <c r="E2" s="6">
        <v>46044.8618593403</v>
      </c>
      <c r="F2" s="4" t="s">
        <v>24</v>
      </c>
      <c r="G2" s="4" t="s">
        <v>42</v>
      </c>
      <c r="H2" s="4">
        <v>1</v>
      </c>
      <c r="I2" s="7">
        <v>9.9</v>
      </c>
      <c r="J2" s="7">
        <v>9.9</v>
      </c>
      <c r="K2" s="7"/>
      <c r="L2" s="7"/>
      <c r="M2" s="7">
        <v>1</v>
      </c>
      <c r="N2" s="7">
        <v>9.9</v>
      </c>
      <c r="O2" s="8" t="s">
        <v>39</v>
      </c>
      <c r="P2" s="8" t="s">
        <v>40</v>
      </c>
    </row>
    <row r="3" ht="22.5" customHeight="1" spans="1:16">
      <c r="A3" s="4" t="s">
        <v>43</v>
      </c>
      <c r="B3" s="4" t="s">
        <v>44</v>
      </c>
      <c r="C3" s="4" t="s">
        <v>45</v>
      </c>
      <c r="D3" s="5" t="s">
        <v>46</v>
      </c>
      <c r="E3" s="6">
        <v>46044.8626558681</v>
      </c>
      <c r="F3" s="4" t="s">
        <v>24</v>
      </c>
      <c r="G3" s="4" t="s">
        <v>42</v>
      </c>
      <c r="H3" s="4">
        <v>29</v>
      </c>
      <c r="I3" s="7">
        <v>3.3</v>
      </c>
      <c r="J3" s="7">
        <f>I3*H3</f>
        <v>95.7</v>
      </c>
      <c r="K3" s="7">
        <v>29</v>
      </c>
      <c r="L3" s="7">
        <v>95.7</v>
      </c>
      <c r="M3" s="7"/>
      <c r="N3" s="7"/>
      <c r="O3" s="8" t="s">
        <v>47</v>
      </c>
      <c r="P3" s="8" t="s">
        <v>48</v>
      </c>
    </row>
    <row r="4" ht="22.5" customHeight="1" spans="1:16">
      <c r="A4" s="4" t="s">
        <v>43</v>
      </c>
      <c r="B4" s="4" t="s">
        <v>44</v>
      </c>
      <c r="C4" s="4" t="s">
        <v>45</v>
      </c>
      <c r="D4" s="5" t="s">
        <v>49</v>
      </c>
      <c r="E4" s="6">
        <v>46044.8626558681</v>
      </c>
      <c r="F4" s="4" t="s">
        <v>24</v>
      </c>
      <c r="G4" s="4" t="s">
        <v>33</v>
      </c>
      <c r="H4" s="4">
        <v>224</v>
      </c>
      <c r="I4" s="7">
        <v>120</v>
      </c>
      <c r="J4" s="7">
        <v>120</v>
      </c>
      <c r="K4" s="7">
        <v>224</v>
      </c>
      <c r="L4" s="7">
        <v>120</v>
      </c>
      <c r="M4" s="7"/>
      <c r="N4" s="7"/>
      <c r="O4" s="8" t="s">
        <v>47</v>
      </c>
      <c r="P4" s="8" t="s">
        <v>48</v>
      </c>
    </row>
    <row r="5" ht="22.5" customHeight="1" spans="1:16">
      <c r="A5" s="4" t="s">
        <v>43</v>
      </c>
      <c r="B5" s="4" t="s">
        <v>44</v>
      </c>
      <c r="C5" s="4" t="s">
        <v>45</v>
      </c>
      <c r="D5" s="5" t="s">
        <v>50</v>
      </c>
      <c r="E5" s="6">
        <v>46044.8626558681</v>
      </c>
      <c r="F5" s="4" t="s">
        <v>24</v>
      </c>
      <c r="G5" s="4" t="s">
        <v>34</v>
      </c>
      <c r="H5" s="4">
        <v>6</v>
      </c>
      <c r="I5" s="7">
        <v>3.3</v>
      </c>
      <c r="J5" s="7">
        <f>I5*H5</f>
        <v>19.8</v>
      </c>
      <c r="K5" s="7">
        <v>6</v>
      </c>
      <c r="L5" s="7">
        <v>19.8</v>
      </c>
      <c r="M5" s="7"/>
      <c r="N5" s="7"/>
      <c r="O5" s="8" t="s">
        <v>47</v>
      </c>
      <c r="P5" s="8" t="s">
        <v>48</v>
      </c>
    </row>
    <row r="6" ht="22.5" customHeight="1" spans="1:16">
      <c r="A6" s="4" t="s">
        <v>43</v>
      </c>
      <c r="B6" s="4" t="s">
        <v>44</v>
      </c>
      <c r="C6" s="4" t="s">
        <v>45</v>
      </c>
      <c r="D6" s="5" t="s">
        <v>51</v>
      </c>
      <c r="E6" s="6">
        <v>46044.8626558681</v>
      </c>
      <c r="F6" s="4" t="s">
        <v>20</v>
      </c>
      <c r="G6" s="4" t="s">
        <v>21</v>
      </c>
      <c r="H6" s="4">
        <v>1</v>
      </c>
      <c r="I6" s="7">
        <v>3.3</v>
      </c>
      <c r="J6" s="7">
        <v>3.3</v>
      </c>
      <c r="K6" s="7">
        <v>1</v>
      </c>
      <c r="L6" s="7">
        <v>3.3</v>
      </c>
      <c r="M6" s="7"/>
      <c r="N6" s="7"/>
      <c r="O6" s="8" t="s">
        <v>47</v>
      </c>
      <c r="P6" s="8" t="s">
        <v>48</v>
      </c>
    </row>
    <row r="7" spans="1:16">
      <c r="A7" s="10"/>
      <c r="B7" s="10"/>
      <c r="C7" s="10"/>
      <c r="D7" s="10"/>
      <c r="E7" s="10"/>
      <c r="F7" s="10"/>
      <c r="G7" s="10"/>
      <c r="H7" s="11">
        <f t="shared" ref="H7:N7" si="0">SUM(H2:H6)</f>
        <v>261</v>
      </c>
      <c r="I7" s="11">
        <f t="shared" si="0"/>
        <v>139.8</v>
      </c>
      <c r="J7" s="11">
        <f t="shared" si="0"/>
        <v>248.7</v>
      </c>
      <c r="K7" s="11">
        <f t="shared" si="0"/>
        <v>260</v>
      </c>
      <c r="L7" s="11">
        <f t="shared" si="0"/>
        <v>238.8</v>
      </c>
      <c r="M7" s="11">
        <f t="shared" si="0"/>
        <v>1</v>
      </c>
      <c r="N7" s="11">
        <f t="shared" si="0"/>
        <v>9.9</v>
      </c>
      <c r="O7" s="10"/>
      <c r="P7" s="10"/>
    </row>
    <row r="8" spans="1:16">
      <c r="H8" s="12"/>
      <c r="I8" s="12"/>
      <c r="J8" s="12"/>
      <c r="K8" s="12"/>
      <c r="L8" s="12"/>
      <c r="M8" s="12"/>
      <c r="N8" s="1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C1" workbookViewId="0">
      <selection activeCell="D28" sqref="D28"/>
    </sheetView>
  </sheetViews>
  <sheetFormatPr defaultColWidth="9" defaultRowHeight="13.5"/>
  <cols>
    <col min="1" max="1" width="30.0083333333333" customWidth="1"/>
    <col min="2" max="2" width="27.0083333333333" customWidth="1"/>
    <col min="3" max="3" width="25.3416666666667" customWidth="1"/>
    <col min="4" max="4" width="26.675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9" width="10.8416666666667" customWidth="1"/>
    <col min="10" max="10" width="12.0083333333333" customWidth="1"/>
    <col min="11" max="12" width="17.8416666666667" customWidth="1"/>
    <col min="13" max="14" width="16.0083333333333" customWidth="1"/>
    <col min="15" max="15" width="8.675" customWidth="1"/>
    <col min="16" max="16" width="10.0083333333333" customWidth="1"/>
  </cols>
  <sheetData>
    <row r="1" ht="22.5" customHeight="1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13" t="s">
        <v>16</v>
      </c>
      <c r="B2" s="13" t="s">
        <v>28</v>
      </c>
      <c r="C2" s="13" t="s">
        <v>52</v>
      </c>
      <c r="D2" s="14" t="s">
        <v>53</v>
      </c>
      <c r="E2" s="16">
        <v>46045.4645127662</v>
      </c>
      <c r="F2" s="13" t="s">
        <v>20</v>
      </c>
      <c r="G2" s="13" t="s">
        <v>21</v>
      </c>
      <c r="H2" s="17">
        <v>1</v>
      </c>
      <c r="I2" s="7">
        <v>3.3</v>
      </c>
      <c r="J2" s="7">
        <f>H2*I2</f>
        <v>3.3</v>
      </c>
      <c r="K2" s="7">
        <v>1</v>
      </c>
      <c r="L2" s="7">
        <v>3.3</v>
      </c>
      <c r="M2" s="7"/>
      <c r="N2" s="7"/>
      <c r="O2" s="8" t="s">
        <v>47</v>
      </c>
      <c r="P2" s="8" t="s">
        <v>54</v>
      </c>
    </row>
    <row r="3" ht="22.5" customHeight="1" spans="1:16">
      <c r="A3" s="13" t="s">
        <v>16</v>
      </c>
      <c r="B3" s="13" t="s">
        <v>28</v>
      </c>
      <c r="C3" s="13" t="s">
        <v>52</v>
      </c>
      <c r="D3" s="14" t="s">
        <v>53</v>
      </c>
      <c r="E3" s="16">
        <v>46045.4645127662</v>
      </c>
      <c r="F3" s="13" t="s">
        <v>24</v>
      </c>
      <c r="G3" s="13" t="s">
        <v>33</v>
      </c>
      <c r="H3" s="17">
        <v>224</v>
      </c>
      <c r="I3" s="7">
        <v>120</v>
      </c>
      <c r="J3" s="7">
        <v>120</v>
      </c>
      <c r="K3" s="7">
        <v>224</v>
      </c>
      <c r="L3" s="7">
        <v>120</v>
      </c>
      <c r="M3" s="7"/>
      <c r="N3" s="7"/>
      <c r="O3" s="8" t="s">
        <v>47</v>
      </c>
      <c r="P3" s="8" t="s">
        <v>54</v>
      </c>
    </row>
    <row r="4" ht="22.5" customHeight="1" spans="1:16">
      <c r="A4" s="13" t="s">
        <v>16</v>
      </c>
      <c r="B4" s="13" t="s">
        <v>28</v>
      </c>
      <c r="C4" s="13" t="s">
        <v>52</v>
      </c>
      <c r="D4" s="14" t="s">
        <v>53</v>
      </c>
      <c r="E4" s="16">
        <v>46045.4645127662</v>
      </c>
      <c r="F4" s="13" t="s">
        <v>24</v>
      </c>
      <c r="G4" s="13" t="s">
        <v>25</v>
      </c>
      <c r="H4" s="17">
        <v>32</v>
      </c>
      <c r="I4" s="7">
        <v>3.3</v>
      </c>
      <c r="J4" s="7">
        <f>H4*I4</f>
        <v>105.6</v>
      </c>
      <c r="K4" s="7">
        <v>32</v>
      </c>
      <c r="L4" s="7">
        <v>105.6</v>
      </c>
      <c r="M4" s="7"/>
      <c r="N4" s="7"/>
      <c r="O4" s="8" t="s">
        <v>47</v>
      </c>
      <c r="P4" s="8" t="s">
        <v>54</v>
      </c>
    </row>
    <row r="5" ht="22.5" customHeight="1" spans="1:16">
      <c r="A5" s="13" t="s">
        <v>16</v>
      </c>
      <c r="B5" s="13" t="s">
        <v>28</v>
      </c>
      <c r="C5" s="13" t="s">
        <v>52</v>
      </c>
      <c r="D5" s="14" t="s">
        <v>53</v>
      </c>
      <c r="E5" s="16">
        <v>46045.4645127662</v>
      </c>
      <c r="F5" s="13" t="s">
        <v>24</v>
      </c>
      <c r="G5" s="13" t="s">
        <v>34</v>
      </c>
      <c r="H5" s="17">
        <v>39</v>
      </c>
      <c r="I5" s="7">
        <v>3.3</v>
      </c>
      <c r="J5" s="7">
        <f>H5*I5</f>
        <v>128.7</v>
      </c>
      <c r="K5" s="7">
        <v>39</v>
      </c>
      <c r="L5" s="7">
        <v>128.7</v>
      </c>
      <c r="M5" s="7"/>
      <c r="N5" s="7"/>
      <c r="O5" s="8" t="s">
        <v>47</v>
      </c>
      <c r="P5" s="8" t="s">
        <v>54</v>
      </c>
    </row>
    <row r="6" ht="22.5" customHeight="1" spans="1:16">
      <c r="A6" s="13" t="s">
        <v>43</v>
      </c>
      <c r="B6" s="13" t="s">
        <v>44</v>
      </c>
      <c r="C6" s="13" t="s">
        <v>55</v>
      </c>
      <c r="D6" s="14" t="s">
        <v>56</v>
      </c>
      <c r="E6" s="16">
        <v>46047.5292269329</v>
      </c>
      <c r="F6" s="13" t="s">
        <v>24</v>
      </c>
      <c r="G6" s="13" t="s">
        <v>34</v>
      </c>
      <c r="H6" s="17">
        <v>4</v>
      </c>
      <c r="I6" s="7">
        <v>3.3</v>
      </c>
      <c r="J6" s="7">
        <f>H6*I6</f>
        <v>13.2</v>
      </c>
      <c r="K6" s="7">
        <v>4</v>
      </c>
      <c r="L6" s="7">
        <v>13.2</v>
      </c>
      <c r="M6" s="7"/>
      <c r="N6" s="7"/>
      <c r="O6" s="8" t="s">
        <v>47</v>
      </c>
      <c r="P6" s="8" t="s">
        <v>54</v>
      </c>
    </row>
    <row r="7" ht="22.5" customHeight="1" spans="1:16">
      <c r="A7" s="13" t="s">
        <v>43</v>
      </c>
      <c r="B7" s="13" t="s">
        <v>44</v>
      </c>
      <c r="C7" s="13" t="s">
        <v>57</v>
      </c>
      <c r="D7" s="14" t="s">
        <v>56</v>
      </c>
      <c r="E7" s="16">
        <v>46047.5292238773</v>
      </c>
      <c r="F7" s="13" t="s">
        <v>24</v>
      </c>
      <c r="G7" s="13" t="s">
        <v>42</v>
      </c>
      <c r="H7" s="17">
        <v>27</v>
      </c>
      <c r="I7" s="7">
        <v>3.3</v>
      </c>
      <c r="J7" s="7">
        <f>H7*I7</f>
        <v>89.1</v>
      </c>
      <c r="K7" s="7">
        <v>27</v>
      </c>
      <c r="L7" s="7">
        <v>89.1</v>
      </c>
      <c r="M7" s="7"/>
      <c r="N7" s="7"/>
      <c r="O7" s="8" t="s">
        <v>47</v>
      </c>
      <c r="P7" s="8" t="s">
        <v>54</v>
      </c>
    </row>
    <row r="8" ht="22.5" customHeight="1" spans="1:16">
      <c r="A8" s="13" t="s">
        <v>43</v>
      </c>
      <c r="B8" s="13" t="s">
        <v>44</v>
      </c>
      <c r="C8" s="13" t="s">
        <v>57</v>
      </c>
      <c r="D8" s="14" t="s">
        <v>56</v>
      </c>
      <c r="E8" s="16">
        <v>46047.5292238773</v>
      </c>
      <c r="F8" s="13" t="s">
        <v>24</v>
      </c>
      <c r="G8" s="13" t="s">
        <v>33</v>
      </c>
      <c r="H8" s="17">
        <v>73</v>
      </c>
      <c r="I8" s="7">
        <v>30</v>
      </c>
      <c r="J8" s="7">
        <v>30</v>
      </c>
      <c r="K8" s="7">
        <v>73</v>
      </c>
      <c r="L8" s="7">
        <v>30</v>
      </c>
      <c r="M8" s="7"/>
      <c r="N8" s="7"/>
      <c r="O8" s="8" t="s">
        <v>47</v>
      </c>
      <c r="P8" s="8" t="s">
        <v>54</v>
      </c>
    </row>
    <row r="9" ht="22.5" customHeight="1" spans="1:16">
      <c r="A9" s="13" t="s">
        <v>43</v>
      </c>
      <c r="B9" s="13" t="s">
        <v>44</v>
      </c>
      <c r="C9" s="13" t="s">
        <v>57</v>
      </c>
      <c r="D9" s="14" t="s">
        <v>56</v>
      </c>
      <c r="E9" s="16">
        <v>46047.5292238773</v>
      </c>
      <c r="F9" s="13" t="s">
        <v>20</v>
      </c>
      <c r="G9" s="13" t="s">
        <v>21</v>
      </c>
      <c r="H9" s="17">
        <v>1</v>
      </c>
      <c r="I9" s="7">
        <v>3.3</v>
      </c>
      <c r="J9" s="7">
        <f t="shared" ref="J9:J15" si="0">H9*I9</f>
        <v>3.3</v>
      </c>
      <c r="K9" s="7">
        <v>1</v>
      </c>
      <c r="L9" s="7">
        <v>3.3</v>
      </c>
      <c r="M9" s="7"/>
      <c r="N9" s="7"/>
      <c r="O9" s="8" t="s">
        <v>47</v>
      </c>
      <c r="P9" s="8" t="s">
        <v>54</v>
      </c>
    </row>
    <row r="10" ht="22.5" customHeight="1" spans="1:16">
      <c r="A10" s="13" t="s">
        <v>43</v>
      </c>
      <c r="B10" s="13" t="s">
        <v>44</v>
      </c>
      <c r="C10" s="13" t="s">
        <v>58</v>
      </c>
      <c r="D10" s="14" t="s">
        <v>56</v>
      </c>
      <c r="E10" s="16">
        <v>46047.5292269329</v>
      </c>
      <c r="F10" s="13" t="s">
        <v>20</v>
      </c>
      <c r="G10" s="13" t="s">
        <v>21</v>
      </c>
      <c r="H10" s="17">
        <v>1</v>
      </c>
      <c r="I10" s="7">
        <v>3.3</v>
      </c>
      <c r="J10" s="7">
        <f t="shared" si="0"/>
        <v>3.3</v>
      </c>
      <c r="K10" s="7">
        <v>1</v>
      </c>
      <c r="L10" s="7">
        <v>3.3</v>
      </c>
      <c r="M10" s="7"/>
      <c r="N10" s="7"/>
      <c r="O10" s="8" t="s">
        <v>47</v>
      </c>
      <c r="P10" s="8" t="s">
        <v>54</v>
      </c>
    </row>
    <row r="11" ht="22.5" customHeight="1" spans="1:16">
      <c r="A11" s="13" t="s">
        <v>43</v>
      </c>
      <c r="B11" s="13" t="s">
        <v>44</v>
      </c>
      <c r="C11" s="13" t="s">
        <v>58</v>
      </c>
      <c r="D11" s="14" t="s">
        <v>56</v>
      </c>
      <c r="E11" s="16">
        <v>46047.5292269329</v>
      </c>
      <c r="F11" s="13" t="s">
        <v>24</v>
      </c>
      <c r="G11" s="13" t="s">
        <v>42</v>
      </c>
      <c r="H11" s="17">
        <v>20</v>
      </c>
      <c r="I11" s="7">
        <v>3.3</v>
      </c>
      <c r="J11" s="7">
        <f t="shared" si="0"/>
        <v>66</v>
      </c>
      <c r="K11" s="7">
        <v>20</v>
      </c>
      <c r="L11" s="7">
        <v>66</v>
      </c>
      <c r="M11" s="7"/>
      <c r="N11" s="7"/>
      <c r="O11" s="8" t="s">
        <v>47</v>
      </c>
      <c r="P11" s="8" t="s">
        <v>54</v>
      </c>
    </row>
    <row r="12" ht="22.5" customHeight="1" spans="1:16">
      <c r="A12" s="13" t="s">
        <v>43</v>
      </c>
      <c r="B12" s="13" t="s">
        <v>44</v>
      </c>
      <c r="C12" s="13" t="s">
        <v>59</v>
      </c>
      <c r="D12" s="14" t="s">
        <v>56</v>
      </c>
      <c r="E12" s="16">
        <v>46047.5292299421</v>
      </c>
      <c r="F12" s="13" t="s">
        <v>24</v>
      </c>
      <c r="G12" s="13" t="s">
        <v>42</v>
      </c>
      <c r="H12" s="17">
        <v>11</v>
      </c>
      <c r="I12" s="7">
        <v>3.3</v>
      </c>
      <c r="J12" s="7">
        <f t="shared" si="0"/>
        <v>36.3</v>
      </c>
      <c r="K12" s="7">
        <v>11</v>
      </c>
      <c r="L12" s="18">
        <v>36.3</v>
      </c>
      <c r="M12" s="7"/>
      <c r="N12" s="7"/>
      <c r="O12" s="8" t="s">
        <v>47</v>
      </c>
      <c r="P12" s="8" t="s">
        <v>54</v>
      </c>
    </row>
    <row r="13" ht="22.5" customHeight="1" spans="1:16">
      <c r="A13" s="13" t="s">
        <v>43</v>
      </c>
      <c r="B13" s="13" t="s">
        <v>44</v>
      </c>
      <c r="C13" s="13" t="s">
        <v>59</v>
      </c>
      <c r="D13" s="14" t="s">
        <v>56</v>
      </c>
      <c r="E13" s="16">
        <v>46047.5292299421</v>
      </c>
      <c r="F13" s="13" t="s">
        <v>20</v>
      </c>
      <c r="G13" s="13" t="s">
        <v>21</v>
      </c>
      <c r="H13" s="17">
        <v>1</v>
      </c>
      <c r="I13" s="7">
        <v>3.3</v>
      </c>
      <c r="J13" s="7">
        <f t="shared" si="0"/>
        <v>3.3</v>
      </c>
      <c r="K13" s="7">
        <v>1</v>
      </c>
      <c r="L13" s="7">
        <v>3.3</v>
      </c>
      <c r="M13" s="7"/>
      <c r="N13" s="7"/>
      <c r="O13" s="8" t="s">
        <v>47</v>
      </c>
      <c r="P13" s="8" t="s">
        <v>54</v>
      </c>
    </row>
    <row r="14" ht="22.5" customHeight="1" spans="1:16">
      <c r="A14" s="13" t="s">
        <v>43</v>
      </c>
      <c r="B14" s="13" t="s">
        <v>44</v>
      </c>
      <c r="C14" s="13" t="s">
        <v>60</v>
      </c>
      <c r="D14" s="14" t="s">
        <v>56</v>
      </c>
      <c r="E14" s="16">
        <v>46047.5292330208</v>
      </c>
      <c r="F14" s="13" t="s">
        <v>20</v>
      </c>
      <c r="G14" s="13" t="s">
        <v>21</v>
      </c>
      <c r="H14" s="17">
        <v>1</v>
      </c>
      <c r="I14" s="7">
        <v>3.3</v>
      </c>
      <c r="J14" s="7">
        <f t="shared" si="0"/>
        <v>3.3</v>
      </c>
      <c r="K14" s="7">
        <v>1</v>
      </c>
      <c r="L14" s="7">
        <v>3.3</v>
      </c>
      <c r="M14" s="7"/>
      <c r="N14" s="7"/>
      <c r="O14" s="8" t="s">
        <v>47</v>
      </c>
      <c r="P14" s="8" t="s">
        <v>54</v>
      </c>
    </row>
    <row r="15" ht="22.5" customHeight="1" spans="1:16">
      <c r="A15" s="13" t="s">
        <v>43</v>
      </c>
      <c r="B15" s="13" t="s">
        <v>44</v>
      </c>
      <c r="C15" s="13" t="s">
        <v>60</v>
      </c>
      <c r="D15" s="14" t="s">
        <v>56</v>
      </c>
      <c r="E15" s="16">
        <v>46047.5292330208</v>
      </c>
      <c r="F15" s="13" t="s">
        <v>24</v>
      </c>
      <c r="G15" s="13" t="s">
        <v>34</v>
      </c>
      <c r="H15" s="17">
        <v>12</v>
      </c>
      <c r="I15" s="7">
        <v>3.3</v>
      </c>
      <c r="J15" s="7">
        <f t="shared" si="0"/>
        <v>39.6</v>
      </c>
      <c r="K15" s="7">
        <v>12</v>
      </c>
      <c r="L15" s="7">
        <v>39.6</v>
      </c>
      <c r="M15" s="7"/>
      <c r="N15" s="7"/>
      <c r="O15" s="8" t="s">
        <v>47</v>
      </c>
      <c r="P15" s="8" t="s">
        <v>54</v>
      </c>
    </row>
    <row r="16" ht="22.5" customHeight="1" spans="1:16">
      <c r="A16" s="13" t="s">
        <v>43</v>
      </c>
      <c r="B16" s="13" t="s">
        <v>44</v>
      </c>
      <c r="C16" s="13" t="s">
        <v>60</v>
      </c>
      <c r="D16" s="14" t="s">
        <v>56</v>
      </c>
      <c r="E16" s="16">
        <v>46047.5292330208</v>
      </c>
      <c r="F16" s="13" t="s">
        <v>24</v>
      </c>
      <c r="G16" s="13" t="s">
        <v>33</v>
      </c>
      <c r="H16" s="17">
        <v>216</v>
      </c>
      <c r="I16" s="7">
        <v>120</v>
      </c>
      <c r="J16" s="7">
        <v>120</v>
      </c>
      <c r="K16" s="7">
        <v>216</v>
      </c>
      <c r="L16" s="10">
        <v>120</v>
      </c>
      <c r="M16" s="7"/>
      <c r="N16" s="7"/>
      <c r="O16" s="8" t="s">
        <v>47</v>
      </c>
      <c r="P16" s="8" t="s">
        <v>54</v>
      </c>
    </row>
    <row r="17" ht="22.5" customHeight="1" spans="1:16">
      <c r="A17" s="13" t="s">
        <v>43</v>
      </c>
      <c r="B17" s="13" t="s">
        <v>44</v>
      </c>
      <c r="C17" s="13" t="s">
        <v>60</v>
      </c>
      <c r="D17" s="14" t="s">
        <v>56</v>
      </c>
      <c r="E17" s="16">
        <v>46047.5292330208</v>
      </c>
      <c r="F17" s="13" t="s">
        <v>24</v>
      </c>
      <c r="G17" s="13" t="s">
        <v>42</v>
      </c>
      <c r="H17" s="17">
        <v>24</v>
      </c>
      <c r="I17" s="7">
        <v>3.3</v>
      </c>
      <c r="J17" s="7">
        <f>H17*I17</f>
        <v>79.2</v>
      </c>
      <c r="K17" s="7">
        <v>24</v>
      </c>
      <c r="L17" s="7">
        <v>79.2</v>
      </c>
      <c r="M17" s="7"/>
      <c r="N17" s="7"/>
      <c r="O17" s="8" t="s">
        <v>47</v>
      </c>
      <c r="P17" s="8" t="s">
        <v>54</v>
      </c>
    </row>
    <row r="18" ht="22.5" customHeight="1" spans="1:16">
      <c r="A18" s="13" t="s">
        <v>43</v>
      </c>
      <c r="B18" s="13" t="s">
        <v>44</v>
      </c>
      <c r="C18" s="13" t="s">
        <v>61</v>
      </c>
      <c r="D18" s="14" t="s">
        <v>56</v>
      </c>
      <c r="E18" s="16">
        <v>46047.5292363079</v>
      </c>
      <c r="F18" s="13" t="s">
        <v>24</v>
      </c>
      <c r="G18" s="13" t="s">
        <v>42</v>
      </c>
      <c r="H18" s="17">
        <v>5</v>
      </c>
      <c r="I18" s="7">
        <v>3.3</v>
      </c>
      <c r="J18" s="7">
        <f>H18*I18</f>
        <v>16.5</v>
      </c>
      <c r="K18" s="7">
        <v>5</v>
      </c>
      <c r="L18" s="7">
        <v>16.5</v>
      </c>
      <c r="M18" s="7"/>
      <c r="N18" s="7"/>
      <c r="O18" s="8" t="s">
        <v>47</v>
      </c>
      <c r="P18" s="8" t="s">
        <v>54</v>
      </c>
    </row>
    <row r="19" ht="22.5" customHeight="1" spans="1:16">
      <c r="A19" s="13" t="s">
        <v>43</v>
      </c>
      <c r="B19" s="13" t="s">
        <v>44</v>
      </c>
      <c r="C19" s="13" t="s">
        <v>61</v>
      </c>
      <c r="D19" s="14" t="s">
        <v>56</v>
      </c>
      <c r="E19" s="16">
        <v>46047.5292363079</v>
      </c>
      <c r="F19" s="13" t="s">
        <v>20</v>
      </c>
      <c r="G19" s="13" t="s">
        <v>21</v>
      </c>
      <c r="H19" s="17">
        <v>1</v>
      </c>
      <c r="I19" s="7">
        <v>3.3</v>
      </c>
      <c r="J19" s="7">
        <f>H19*I19</f>
        <v>3.3</v>
      </c>
      <c r="K19" s="7">
        <v>1</v>
      </c>
      <c r="L19" s="7">
        <v>3.3</v>
      </c>
      <c r="M19" s="7"/>
      <c r="N19" s="7"/>
      <c r="O19" s="8" t="s">
        <v>47</v>
      </c>
      <c r="P19" s="8" t="s">
        <v>54</v>
      </c>
    </row>
    <row r="20" ht="22.5" customHeight="1" spans="1:16">
      <c r="A20" s="13" t="s">
        <v>43</v>
      </c>
      <c r="B20" s="13" t="s">
        <v>44</v>
      </c>
      <c r="C20" s="13" t="s">
        <v>62</v>
      </c>
      <c r="D20" s="14" t="s">
        <v>63</v>
      </c>
      <c r="E20" s="16">
        <v>46047.5292238773</v>
      </c>
      <c r="F20" s="13" t="s">
        <v>24</v>
      </c>
      <c r="G20" s="13" t="s">
        <v>42</v>
      </c>
      <c r="H20" s="17">
        <v>7</v>
      </c>
      <c r="I20" s="7">
        <v>3.3</v>
      </c>
      <c r="J20" s="7">
        <f>H20*I20</f>
        <v>23.1</v>
      </c>
      <c r="K20" s="7">
        <v>7</v>
      </c>
      <c r="L20" s="7">
        <v>23.1</v>
      </c>
      <c r="M20" s="7"/>
      <c r="N20" s="7"/>
      <c r="O20" s="8" t="s">
        <v>47</v>
      </c>
      <c r="P20" s="8" t="s">
        <v>54</v>
      </c>
    </row>
    <row r="21" ht="22.5" customHeight="1" spans="1:16">
      <c r="A21" s="13" t="s">
        <v>43</v>
      </c>
      <c r="B21" s="13" t="s">
        <v>44</v>
      </c>
      <c r="C21" s="13" t="s">
        <v>62</v>
      </c>
      <c r="D21" s="14" t="s">
        <v>63</v>
      </c>
      <c r="E21" s="16">
        <v>46047.5292238773</v>
      </c>
      <c r="F21" s="13" t="s">
        <v>24</v>
      </c>
      <c r="G21" s="13" t="s">
        <v>33</v>
      </c>
      <c r="H21" s="17">
        <v>75</v>
      </c>
      <c r="I21" s="7">
        <v>120</v>
      </c>
      <c r="J21" s="7">
        <v>120</v>
      </c>
      <c r="K21" s="7">
        <v>74</v>
      </c>
      <c r="L21" s="7">
        <v>120</v>
      </c>
      <c r="M21" s="7">
        <v>1</v>
      </c>
      <c r="N21" s="7">
        <v>0</v>
      </c>
      <c r="O21" s="8" t="s">
        <v>47</v>
      </c>
      <c r="P21" s="8" t="s">
        <v>54</v>
      </c>
    </row>
    <row r="22" ht="22.5" customHeight="1" spans="1:16">
      <c r="A22" s="13" t="s">
        <v>43</v>
      </c>
      <c r="B22" s="13" t="s">
        <v>44</v>
      </c>
      <c r="C22" s="13" t="s">
        <v>62</v>
      </c>
      <c r="D22" s="14" t="s">
        <v>63</v>
      </c>
      <c r="E22" s="16">
        <v>46047.5292238773</v>
      </c>
      <c r="F22" s="13" t="s">
        <v>24</v>
      </c>
      <c r="G22" s="13" t="s">
        <v>34</v>
      </c>
      <c r="H22" s="17">
        <v>5</v>
      </c>
      <c r="I22" s="7">
        <v>3.3</v>
      </c>
      <c r="J22" s="7">
        <f>H22*I22</f>
        <v>16.5</v>
      </c>
      <c r="K22" s="7">
        <v>5</v>
      </c>
      <c r="L22" s="7">
        <v>16.5</v>
      </c>
      <c r="M22" s="7"/>
      <c r="N22" s="7"/>
      <c r="O22" s="8" t="s">
        <v>47</v>
      </c>
      <c r="P22" s="8" t="s">
        <v>54</v>
      </c>
    </row>
    <row r="23" ht="22.5" customHeight="1" spans="1:16">
      <c r="A23" s="13" t="s">
        <v>43</v>
      </c>
      <c r="B23" s="13" t="s">
        <v>44</v>
      </c>
      <c r="C23" s="13" t="s">
        <v>62</v>
      </c>
      <c r="D23" s="14" t="s">
        <v>63</v>
      </c>
      <c r="E23" s="16">
        <v>46047.5292238773</v>
      </c>
      <c r="F23" s="13" t="s">
        <v>20</v>
      </c>
      <c r="G23" s="13" t="s">
        <v>21</v>
      </c>
      <c r="H23" s="17">
        <v>1</v>
      </c>
      <c r="I23" s="7">
        <v>3.3</v>
      </c>
      <c r="J23" s="7">
        <f>H23*I23</f>
        <v>3.3</v>
      </c>
      <c r="K23" s="7">
        <v>1</v>
      </c>
      <c r="L23" s="7">
        <v>3.3</v>
      </c>
      <c r="M23" s="7"/>
      <c r="N23" s="7"/>
      <c r="O23" s="8" t="s">
        <v>47</v>
      </c>
      <c r="P23" s="8" t="s">
        <v>54</v>
      </c>
    </row>
    <row r="24" spans="1:16">
      <c r="A24" s="10"/>
      <c r="B24" s="10"/>
      <c r="C24" s="10"/>
      <c r="D24" s="10"/>
      <c r="E24" s="10"/>
      <c r="F24" s="10"/>
      <c r="G24" s="10"/>
      <c r="H24" s="10">
        <f t="shared" ref="H24:N24" si="1">SUM(H2:H23)</f>
        <v>781</v>
      </c>
      <c r="I24" s="11">
        <f t="shared" si="1"/>
        <v>449.4</v>
      </c>
      <c r="J24" s="11">
        <f t="shared" si="1"/>
        <v>1026.9</v>
      </c>
      <c r="K24" s="11">
        <f t="shared" si="1"/>
        <v>780</v>
      </c>
      <c r="L24" s="11">
        <f t="shared" si="1"/>
        <v>1026.9</v>
      </c>
      <c r="M24" s="11">
        <f t="shared" si="1"/>
        <v>1</v>
      </c>
      <c r="N24" s="11">
        <f t="shared" si="1"/>
        <v>0</v>
      </c>
      <c r="O24" s="10"/>
      <c r="P24" s="10"/>
    </row>
    <row r="25" spans="1:16">
      <c r="J25" s="12"/>
      <c r="K25" s="12"/>
      <c r="L25" s="12"/>
      <c r="M25" s="12"/>
      <c r="N25" s="12"/>
    </row>
    <row r="26" spans="1:16">
      <c r="J26" s="12"/>
      <c r="K26" s="12"/>
      <c r="L26" s="12"/>
      <c r="M26" s="12"/>
      <c r="N26" s="12"/>
    </row>
    <row r="27" spans="1:16">
      <c r="J27" s="12"/>
      <c r="K27" s="12"/>
      <c r="L27" s="12"/>
      <c r="M27" s="12"/>
      <c r="N27" s="12"/>
    </row>
  </sheetData>
  <autoFilter xmlns:etc="http://www.wps.cn/officeDocument/2017/etCustomData" ref="A1:P24" etc:filterBottomFollowUsedRange="0">
    <extLst/>
  </autoFilter>
  <sortState ref="A2:P27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B1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0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64</v>
      </c>
      <c r="D2" s="5" t="s">
        <v>65</v>
      </c>
      <c r="E2" s="6">
        <v>46048.6531679398</v>
      </c>
      <c r="F2" s="4" t="s">
        <v>24</v>
      </c>
      <c r="G2" s="4" t="s">
        <v>34</v>
      </c>
      <c r="H2" s="9">
        <v>10</v>
      </c>
      <c r="I2" s="7">
        <v>3.3</v>
      </c>
      <c r="J2" s="7">
        <f>H2*I2</f>
        <v>33</v>
      </c>
      <c r="K2" s="7">
        <v>10</v>
      </c>
      <c r="L2" s="7">
        <v>33</v>
      </c>
      <c r="M2" s="7"/>
      <c r="N2" s="7"/>
      <c r="O2" s="8" t="s">
        <v>47</v>
      </c>
      <c r="P2" s="8" t="s">
        <v>48</v>
      </c>
    </row>
    <row r="3" ht="22.5" customHeight="1" spans="1:16">
      <c r="A3" s="4" t="s">
        <v>16</v>
      </c>
      <c r="B3" s="4" t="s">
        <v>28</v>
      </c>
      <c r="C3" s="4" t="s">
        <v>64</v>
      </c>
      <c r="D3" s="5" t="s">
        <v>65</v>
      </c>
      <c r="E3" s="6">
        <v>46048.6531679398</v>
      </c>
      <c r="F3" s="4" t="s">
        <v>24</v>
      </c>
      <c r="G3" s="4" t="s">
        <v>42</v>
      </c>
      <c r="H3" s="9">
        <v>17</v>
      </c>
      <c r="I3" s="7">
        <v>3.3</v>
      </c>
      <c r="J3" s="7">
        <f>H3*I3</f>
        <v>56.1</v>
      </c>
      <c r="K3" s="7">
        <v>17</v>
      </c>
      <c r="L3" s="7">
        <v>56.1</v>
      </c>
      <c r="M3" s="7"/>
      <c r="N3" s="7"/>
      <c r="O3" s="8" t="s">
        <v>47</v>
      </c>
      <c r="P3" s="8" t="s">
        <v>48</v>
      </c>
    </row>
    <row r="4" ht="22.5" customHeight="1" spans="1:16">
      <c r="A4" s="4" t="s">
        <v>16</v>
      </c>
      <c r="B4" s="4" t="s">
        <v>28</v>
      </c>
      <c r="C4" s="4" t="s">
        <v>64</v>
      </c>
      <c r="D4" s="5" t="s">
        <v>65</v>
      </c>
      <c r="E4" s="6">
        <v>46048.6531679398</v>
      </c>
      <c r="F4" s="4" t="s">
        <v>24</v>
      </c>
      <c r="G4" s="4" t="s">
        <v>33</v>
      </c>
      <c r="H4" s="9">
        <v>196</v>
      </c>
      <c r="I4" s="7">
        <v>120</v>
      </c>
      <c r="J4" s="7">
        <v>120</v>
      </c>
      <c r="K4" s="7">
        <v>196</v>
      </c>
      <c r="L4" s="7">
        <v>120</v>
      </c>
      <c r="M4" s="7"/>
      <c r="N4" s="7"/>
      <c r="O4" s="8" t="s">
        <v>47</v>
      </c>
      <c r="P4" s="8" t="s">
        <v>48</v>
      </c>
    </row>
    <row r="5" ht="22.5" customHeight="1" spans="1:16">
      <c r="A5" s="4" t="s">
        <v>16</v>
      </c>
      <c r="B5" s="4" t="s">
        <v>28</v>
      </c>
      <c r="C5" s="4" t="s">
        <v>64</v>
      </c>
      <c r="D5" s="5" t="s">
        <v>65</v>
      </c>
      <c r="E5" s="6">
        <v>46048.6531679398</v>
      </c>
      <c r="F5" s="4" t="s">
        <v>20</v>
      </c>
      <c r="G5" s="4" t="s">
        <v>21</v>
      </c>
      <c r="H5" s="9">
        <v>1</v>
      </c>
      <c r="I5" s="7">
        <v>3.3</v>
      </c>
      <c r="J5" s="7">
        <f>H5*I5</f>
        <v>3.3</v>
      </c>
      <c r="K5" s="7">
        <v>1</v>
      </c>
      <c r="L5" s="7">
        <v>3.3</v>
      </c>
      <c r="M5" s="7"/>
      <c r="N5" s="7"/>
      <c r="O5" s="8" t="s">
        <v>47</v>
      </c>
      <c r="P5" s="8" t="s">
        <v>48</v>
      </c>
    </row>
    <row r="6" ht="22.5" customHeight="1" spans="1:16">
      <c r="A6" s="4" t="s">
        <v>16</v>
      </c>
      <c r="B6" s="4" t="s">
        <v>28</v>
      </c>
      <c r="C6" s="4" t="s">
        <v>66</v>
      </c>
      <c r="D6" s="5" t="s">
        <v>65</v>
      </c>
      <c r="E6" s="6">
        <v>46048.6531729977</v>
      </c>
      <c r="F6" s="4" t="s">
        <v>24</v>
      </c>
      <c r="G6" s="4" t="s">
        <v>42</v>
      </c>
      <c r="H6" s="9">
        <v>3</v>
      </c>
      <c r="I6" s="7">
        <v>3.3</v>
      </c>
      <c r="J6" s="7">
        <f>H6*I6</f>
        <v>9.9</v>
      </c>
      <c r="K6" s="7">
        <v>3</v>
      </c>
      <c r="L6" s="7">
        <v>9.9</v>
      </c>
      <c r="M6" s="7"/>
      <c r="N6" s="7"/>
      <c r="O6" s="8" t="s">
        <v>47</v>
      </c>
      <c r="P6" s="8" t="s">
        <v>48</v>
      </c>
    </row>
    <row r="7" ht="22.5" customHeight="1" spans="1:16">
      <c r="A7" s="4" t="s">
        <v>16</v>
      </c>
      <c r="B7" s="4" t="s">
        <v>28</v>
      </c>
      <c r="C7" s="4" t="s">
        <v>66</v>
      </c>
      <c r="D7" s="5" t="s">
        <v>65</v>
      </c>
      <c r="E7" s="6">
        <v>46048.6531729977</v>
      </c>
      <c r="F7" s="4" t="s">
        <v>20</v>
      </c>
      <c r="G7" s="4" t="s">
        <v>21</v>
      </c>
      <c r="H7" s="9">
        <v>1</v>
      </c>
      <c r="I7" s="7">
        <v>3.3</v>
      </c>
      <c r="J7" s="7">
        <f>H7*I7</f>
        <v>3.3</v>
      </c>
      <c r="K7" s="7">
        <v>1</v>
      </c>
      <c r="L7" s="7">
        <v>3.3</v>
      </c>
      <c r="M7" s="7"/>
      <c r="N7" s="7"/>
      <c r="O7" s="8" t="s">
        <v>47</v>
      </c>
      <c r="P7" s="8" t="s">
        <v>48</v>
      </c>
    </row>
    <row r="8" ht="22.5" customHeight="1" spans="1:16">
      <c r="A8" s="4" t="s">
        <v>43</v>
      </c>
      <c r="B8" s="4" t="s">
        <v>44</v>
      </c>
      <c r="C8" s="4" t="s">
        <v>67</v>
      </c>
      <c r="D8" s="5" t="s">
        <v>68</v>
      </c>
      <c r="E8" s="6">
        <v>46048.7559241088</v>
      </c>
      <c r="F8" s="4" t="s">
        <v>24</v>
      </c>
      <c r="G8" s="4" t="s">
        <v>25</v>
      </c>
      <c r="H8" s="9">
        <v>5</v>
      </c>
      <c r="I8" s="7">
        <v>3.3</v>
      </c>
      <c r="J8" s="7">
        <f>H8*I8</f>
        <v>16.5</v>
      </c>
      <c r="K8" s="7">
        <v>5</v>
      </c>
      <c r="L8" s="7">
        <v>16.5</v>
      </c>
      <c r="M8" s="7"/>
      <c r="N8" s="7"/>
      <c r="O8" s="8" t="s">
        <v>47</v>
      </c>
      <c r="P8" s="8" t="s">
        <v>69</v>
      </c>
    </row>
    <row r="9" ht="22.5" customHeight="1" spans="1:16">
      <c r="A9" s="4" t="s">
        <v>43</v>
      </c>
      <c r="B9" s="4" t="s">
        <v>44</v>
      </c>
      <c r="C9" s="4" t="s">
        <v>67</v>
      </c>
      <c r="D9" s="5" t="s">
        <v>68</v>
      </c>
      <c r="E9" s="6">
        <v>46048.7559241088</v>
      </c>
      <c r="F9" s="4" t="s">
        <v>20</v>
      </c>
      <c r="G9" s="4" t="s">
        <v>21</v>
      </c>
      <c r="H9" s="9">
        <v>1</v>
      </c>
      <c r="I9" s="7">
        <v>3.3</v>
      </c>
      <c r="J9" s="7">
        <f>H9*I9</f>
        <v>3.3</v>
      </c>
      <c r="K9" s="7">
        <v>1</v>
      </c>
      <c r="L9" s="7">
        <v>3.3</v>
      </c>
      <c r="M9" s="7"/>
      <c r="N9" s="7"/>
      <c r="O9" s="8" t="s">
        <v>47</v>
      </c>
      <c r="P9" s="8" t="s">
        <v>69</v>
      </c>
    </row>
    <row r="10" ht="22.5" customHeight="1" spans="1:16">
      <c r="A10" s="4" t="s">
        <v>43</v>
      </c>
      <c r="B10" s="4" t="s">
        <v>44</v>
      </c>
      <c r="C10" s="4" t="s">
        <v>70</v>
      </c>
      <c r="D10" s="5" t="s">
        <v>68</v>
      </c>
      <c r="E10" s="6">
        <v>46048.7559258102</v>
      </c>
      <c r="F10" s="4" t="s">
        <v>24</v>
      </c>
      <c r="G10" s="4" t="s">
        <v>71</v>
      </c>
      <c r="H10" s="9">
        <v>29</v>
      </c>
      <c r="I10" s="7">
        <v>120</v>
      </c>
      <c r="J10" s="7">
        <v>120</v>
      </c>
      <c r="K10" s="7">
        <v>29</v>
      </c>
      <c r="L10" s="7">
        <v>120</v>
      </c>
      <c r="M10" s="7"/>
      <c r="N10" s="7"/>
      <c r="O10" s="8" t="s">
        <v>47</v>
      </c>
      <c r="P10" s="8" t="s">
        <v>69</v>
      </c>
    </row>
    <row r="11" ht="22.5" customHeight="1" spans="1:16">
      <c r="A11" s="4" t="s">
        <v>43</v>
      </c>
      <c r="B11" s="4" t="s">
        <v>44</v>
      </c>
      <c r="C11" s="4" t="s">
        <v>70</v>
      </c>
      <c r="D11" s="5" t="s">
        <v>68</v>
      </c>
      <c r="E11" s="6">
        <v>46048.7559258102</v>
      </c>
      <c r="F11" s="4" t="s">
        <v>24</v>
      </c>
      <c r="G11" s="4" t="s">
        <v>25</v>
      </c>
      <c r="H11" s="9">
        <v>40</v>
      </c>
      <c r="I11" s="7">
        <v>3.3</v>
      </c>
      <c r="J11" s="7">
        <f>H11*I11</f>
        <v>132</v>
      </c>
      <c r="K11" s="7">
        <v>40</v>
      </c>
      <c r="L11" s="7">
        <v>132</v>
      </c>
      <c r="M11" s="7"/>
      <c r="N11" s="7"/>
      <c r="O11" s="8" t="s">
        <v>47</v>
      </c>
      <c r="P11" s="8" t="s">
        <v>69</v>
      </c>
    </row>
    <row r="12" ht="22.5" customHeight="1" spans="1:16">
      <c r="A12" s="4" t="s">
        <v>43</v>
      </c>
      <c r="B12" s="4" t="s">
        <v>44</v>
      </c>
      <c r="C12" s="4" t="s">
        <v>70</v>
      </c>
      <c r="D12" s="5" t="s">
        <v>68</v>
      </c>
      <c r="E12" s="6">
        <v>46048.7559258102</v>
      </c>
      <c r="F12" s="4" t="s">
        <v>20</v>
      </c>
      <c r="G12" s="4" t="s">
        <v>21</v>
      </c>
      <c r="H12" s="9">
        <v>1</v>
      </c>
      <c r="I12" s="7">
        <v>3.3</v>
      </c>
      <c r="J12" s="7">
        <f>H12*I12</f>
        <v>3.3</v>
      </c>
      <c r="K12" s="7">
        <v>1</v>
      </c>
      <c r="L12" s="7">
        <v>3.3</v>
      </c>
      <c r="M12" s="7"/>
      <c r="N12" s="7"/>
      <c r="O12" s="8" t="s">
        <v>47</v>
      </c>
      <c r="P12" s="8" t="s">
        <v>69</v>
      </c>
    </row>
    <row r="13" spans="1:16">
      <c r="A13" s="10"/>
      <c r="B13" s="10"/>
      <c r="C13" s="10"/>
      <c r="D13" s="10"/>
      <c r="E13" s="10"/>
      <c r="F13" s="10"/>
      <c r="G13" s="10"/>
      <c r="H13" s="10">
        <f t="shared" ref="H13:N13" si="0">SUM(H2:H12)</f>
        <v>304</v>
      </c>
      <c r="I13" s="11">
        <f t="shared" si="0"/>
        <v>269.7</v>
      </c>
      <c r="J13" s="11">
        <f t="shared" si="0"/>
        <v>500.7</v>
      </c>
      <c r="K13" s="11">
        <f t="shared" si="0"/>
        <v>304</v>
      </c>
      <c r="L13" s="11">
        <f t="shared" si="0"/>
        <v>500.7</v>
      </c>
      <c r="M13" s="11">
        <f t="shared" si="0"/>
        <v>0</v>
      </c>
      <c r="N13" s="11">
        <f t="shared" si="0"/>
        <v>0</v>
      </c>
      <c r="O13" s="10"/>
      <c r="P13" s="10"/>
    </row>
    <row r="14" spans="1:16">
      <c r="I14" s="12"/>
      <c r="J14" s="12"/>
      <c r="K14" s="12"/>
      <c r="L14" s="12"/>
      <c r="M14" s="12"/>
      <c r="N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opLeftCell="B1" workbookViewId="0">
      <selection activeCell="I1" sqref="I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3416666666667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72</v>
      </c>
      <c r="D2" s="5" t="s">
        <v>65</v>
      </c>
      <c r="E2" s="6">
        <v>46049.4523732639</v>
      </c>
      <c r="F2" s="4" t="s">
        <v>20</v>
      </c>
      <c r="G2" s="4" t="s">
        <v>21</v>
      </c>
      <c r="H2" s="9">
        <v>1</v>
      </c>
      <c r="I2" s="7">
        <v>3.3</v>
      </c>
      <c r="J2" s="7">
        <f>H2*I2</f>
        <v>3.3</v>
      </c>
      <c r="K2" s="7">
        <v>1</v>
      </c>
      <c r="L2" s="7">
        <v>3.3</v>
      </c>
      <c r="M2" s="7"/>
      <c r="N2" s="7"/>
      <c r="O2" s="8" t="s">
        <v>47</v>
      </c>
      <c r="P2" s="8" t="s">
        <v>48</v>
      </c>
    </row>
    <row r="3" ht="22.5" customHeight="1" spans="1:16">
      <c r="A3" s="4" t="s">
        <v>16</v>
      </c>
      <c r="B3" s="4" t="s">
        <v>28</v>
      </c>
      <c r="C3" s="4" t="s">
        <v>72</v>
      </c>
      <c r="D3" s="5" t="s">
        <v>65</v>
      </c>
      <c r="E3" s="6">
        <v>46049.4523732639</v>
      </c>
      <c r="F3" s="4" t="s">
        <v>24</v>
      </c>
      <c r="G3" s="4" t="s">
        <v>25</v>
      </c>
      <c r="H3" s="9">
        <v>3</v>
      </c>
      <c r="I3" s="7">
        <v>3.3</v>
      </c>
      <c r="J3" s="7">
        <f>H3*I3</f>
        <v>9.9</v>
      </c>
      <c r="K3" s="7">
        <v>3</v>
      </c>
      <c r="L3" s="7">
        <v>9.9</v>
      </c>
      <c r="M3" s="7"/>
      <c r="N3" s="7"/>
      <c r="O3" s="8" t="s">
        <v>47</v>
      </c>
      <c r="P3" s="8" t="s">
        <v>48</v>
      </c>
    </row>
    <row r="4" ht="22.5" customHeight="1" spans="1:16">
      <c r="A4" s="4" t="s">
        <v>16</v>
      </c>
      <c r="B4" s="4" t="s">
        <v>17</v>
      </c>
      <c r="C4" s="4" t="s">
        <v>73</v>
      </c>
      <c r="D4" s="5" t="s">
        <v>63</v>
      </c>
      <c r="E4" s="6">
        <v>46049.8357986111</v>
      </c>
      <c r="F4" s="4" t="s">
        <v>24</v>
      </c>
      <c r="G4" s="4" t="s">
        <v>33</v>
      </c>
      <c r="H4" s="4">
        <v>120</v>
      </c>
      <c r="I4" s="7">
        <v>120</v>
      </c>
      <c r="J4" s="7">
        <v>120</v>
      </c>
      <c r="K4" s="7">
        <v>120</v>
      </c>
      <c r="L4" s="7">
        <v>120</v>
      </c>
      <c r="M4" s="7"/>
      <c r="N4" s="7"/>
      <c r="O4" s="8" t="s">
        <v>22</v>
      </c>
      <c r="P4" s="8" t="s">
        <v>23</v>
      </c>
    </row>
    <row r="5" ht="22.5" customHeight="1" spans="1:16">
      <c r="A5" s="4" t="s">
        <v>16</v>
      </c>
      <c r="B5" s="4" t="s">
        <v>17</v>
      </c>
      <c r="C5" s="4" t="s">
        <v>73</v>
      </c>
      <c r="D5" s="5" t="s">
        <v>63</v>
      </c>
      <c r="E5" s="6">
        <v>46049.8357986111</v>
      </c>
      <c r="F5" s="4" t="s">
        <v>24</v>
      </c>
      <c r="G5" s="4" t="s">
        <v>34</v>
      </c>
      <c r="H5" s="9">
        <v>5</v>
      </c>
      <c r="I5" s="7">
        <v>3.3</v>
      </c>
      <c r="J5" s="7">
        <f t="shared" ref="J5:J16" si="0">H5*I5</f>
        <v>16.5</v>
      </c>
      <c r="K5" s="7">
        <v>5</v>
      </c>
      <c r="L5" s="7">
        <v>16.5</v>
      </c>
      <c r="M5" s="7"/>
      <c r="N5" s="7"/>
      <c r="O5" s="8" t="s">
        <v>22</v>
      </c>
      <c r="P5" s="8" t="s">
        <v>23</v>
      </c>
    </row>
    <row r="6" ht="22.5" customHeight="1" spans="1:16">
      <c r="A6" s="4" t="s">
        <v>16</v>
      </c>
      <c r="B6" s="4" t="s">
        <v>17</v>
      </c>
      <c r="C6" s="4" t="s">
        <v>73</v>
      </c>
      <c r="D6" s="5" t="s">
        <v>63</v>
      </c>
      <c r="E6" s="6">
        <v>46049.8357986111</v>
      </c>
      <c r="F6" s="4" t="s">
        <v>24</v>
      </c>
      <c r="G6" s="4" t="s">
        <v>25</v>
      </c>
      <c r="H6" s="9">
        <v>14</v>
      </c>
      <c r="I6" s="7">
        <v>3.3</v>
      </c>
      <c r="J6" s="7">
        <f t="shared" si="0"/>
        <v>46.2</v>
      </c>
      <c r="K6" s="7">
        <v>14</v>
      </c>
      <c r="L6" s="7">
        <v>46.2</v>
      </c>
      <c r="M6" s="7"/>
      <c r="N6" s="7"/>
      <c r="O6" s="8" t="s">
        <v>22</v>
      </c>
      <c r="P6" s="8" t="s">
        <v>23</v>
      </c>
    </row>
    <row r="7" ht="22.5" customHeight="1" spans="1:16">
      <c r="A7" s="4" t="s">
        <v>16</v>
      </c>
      <c r="B7" s="4" t="s">
        <v>17</v>
      </c>
      <c r="C7" s="4" t="s">
        <v>73</v>
      </c>
      <c r="D7" s="5" t="s">
        <v>63</v>
      </c>
      <c r="E7" s="6">
        <v>46049.8357986111</v>
      </c>
      <c r="F7" s="4" t="s">
        <v>20</v>
      </c>
      <c r="G7" s="4" t="s">
        <v>21</v>
      </c>
      <c r="H7" s="9">
        <v>1</v>
      </c>
      <c r="I7" s="7">
        <v>3.3</v>
      </c>
      <c r="J7" s="7">
        <f t="shared" si="0"/>
        <v>3.3</v>
      </c>
      <c r="K7" s="7">
        <v>1</v>
      </c>
      <c r="L7" s="7">
        <v>3.3</v>
      </c>
      <c r="M7" s="7"/>
      <c r="N7" s="7"/>
      <c r="O7" s="8" t="s">
        <v>22</v>
      </c>
      <c r="P7" s="8" t="s">
        <v>23</v>
      </c>
    </row>
    <row r="8" ht="22.5" customHeight="1" spans="1:16">
      <c r="A8" s="4" t="s">
        <v>43</v>
      </c>
      <c r="B8" s="4" t="s">
        <v>44</v>
      </c>
      <c r="C8" s="4" t="s">
        <v>74</v>
      </c>
      <c r="D8" s="5" t="s">
        <v>68</v>
      </c>
      <c r="E8" s="6">
        <v>46049.8359665856</v>
      </c>
      <c r="F8" s="4" t="s">
        <v>20</v>
      </c>
      <c r="G8" s="4" t="s">
        <v>21</v>
      </c>
      <c r="H8" s="9">
        <v>1</v>
      </c>
      <c r="I8" s="7">
        <v>3.3</v>
      </c>
      <c r="J8" s="7">
        <f t="shared" si="0"/>
        <v>3.3</v>
      </c>
      <c r="K8" s="7">
        <v>1</v>
      </c>
      <c r="L8" s="7">
        <v>3.3</v>
      </c>
      <c r="M8" s="7"/>
      <c r="N8" s="7"/>
      <c r="O8" s="8" t="s">
        <v>47</v>
      </c>
      <c r="P8" s="8" t="s">
        <v>54</v>
      </c>
    </row>
    <row r="9" ht="22.5" customHeight="1" spans="1:16">
      <c r="A9" s="4" t="s">
        <v>43</v>
      </c>
      <c r="B9" s="4" t="s">
        <v>44</v>
      </c>
      <c r="C9" s="4" t="s">
        <v>74</v>
      </c>
      <c r="D9" s="5" t="s">
        <v>68</v>
      </c>
      <c r="E9" s="6">
        <v>46049.8359665856</v>
      </c>
      <c r="F9" s="4" t="s">
        <v>24</v>
      </c>
      <c r="G9" s="4" t="s">
        <v>25</v>
      </c>
      <c r="H9" s="9">
        <v>40</v>
      </c>
      <c r="I9" s="7">
        <v>3.3</v>
      </c>
      <c r="J9" s="7">
        <f t="shared" si="0"/>
        <v>132</v>
      </c>
      <c r="K9" s="7">
        <v>40</v>
      </c>
      <c r="L9" s="7">
        <v>132</v>
      </c>
      <c r="M9" s="7"/>
      <c r="N9" s="7"/>
      <c r="O9" s="8" t="s">
        <v>47</v>
      </c>
      <c r="P9" s="8" t="s">
        <v>54</v>
      </c>
    </row>
    <row r="10" ht="22.5" customHeight="1" spans="1:16">
      <c r="A10" s="4" t="s">
        <v>43</v>
      </c>
      <c r="B10" s="4" t="s">
        <v>44</v>
      </c>
      <c r="C10" s="4" t="s">
        <v>75</v>
      </c>
      <c r="D10" s="5" t="s">
        <v>68</v>
      </c>
      <c r="E10" s="6">
        <v>46049.8359704861</v>
      </c>
      <c r="F10" s="4" t="s">
        <v>20</v>
      </c>
      <c r="G10" s="4" t="s">
        <v>21</v>
      </c>
      <c r="H10" s="9">
        <v>1</v>
      </c>
      <c r="I10" s="7">
        <v>3.3</v>
      </c>
      <c r="J10" s="7">
        <f t="shared" si="0"/>
        <v>3.3</v>
      </c>
      <c r="K10" s="7">
        <v>1</v>
      </c>
      <c r="L10" s="7">
        <v>3.3</v>
      </c>
      <c r="M10" s="7"/>
      <c r="N10" s="7"/>
      <c r="O10" s="8" t="s">
        <v>47</v>
      </c>
      <c r="P10" s="8" t="s">
        <v>54</v>
      </c>
    </row>
    <row r="11" ht="22.5" customHeight="1" spans="1:16">
      <c r="A11" s="4" t="s">
        <v>43</v>
      </c>
      <c r="B11" s="4" t="s">
        <v>44</v>
      </c>
      <c r="C11" s="4" t="s">
        <v>75</v>
      </c>
      <c r="D11" s="5" t="s">
        <v>68</v>
      </c>
      <c r="E11" s="6">
        <v>46049.8359704861</v>
      </c>
      <c r="F11" s="4" t="s">
        <v>24</v>
      </c>
      <c r="G11" s="4" t="s">
        <v>25</v>
      </c>
      <c r="H11" s="9">
        <v>5</v>
      </c>
      <c r="I11" s="7">
        <v>3.3</v>
      </c>
      <c r="J11" s="7">
        <f t="shared" si="0"/>
        <v>16.5</v>
      </c>
      <c r="K11" s="7">
        <v>5</v>
      </c>
      <c r="L11" s="7">
        <v>16.5</v>
      </c>
      <c r="M11" s="7"/>
      <c r="N11" s="7"/>
      <c r="O11" s="8" t="s">
        <v>47</v>
      </c>
      <c r="P11" s="8" t="s">
        <v>54</v>
      </c>
    </row>
    <row r="12" ht="22.5" customHeight="1" spans="1:16">
      <c r="A12" s="4" t="s">
        <v>43</v>
      </c>
      <c r="B12" s="4" t="s">
        <v>44</v>
      </c>
      <c r="C12" s="4" t="s">
        <v>76</v>
      </c>
      <c r="D12" s="5" t="s">
        <v>68</v>
      </c>
      <c r="E12" s="6">
        <v>46049.8359741898</v>
      </c>
      <c r="F12" s="4" t="s">
        <v>24</v>
      </c>
      <c r="G12" s="4" t="s">
        <v>25</v>
      </c>
      <c r="H12" s="9">
        <v>5</v>
      </c>
      <c r="I12" s="7">
        <v>3.3</v>
      </c>
      <c r="J12" s="7">
        <f t="shared" si="0"/>
        <v>16.5</v>
      </c>
      <c r="K12" s="7">
        <v>5</v>
      </c>
      <c r="L12" s="7">
        <v>16.5</v>
      </c>
      <c r="M12" s="7"/>
      <c r="N12" s="7"/>
      <c r="O12" s="8" t="s">
        <v>47</v>
      </c>
      <c r="P12" s="8" t="s">
        <v>54</v>
      </c>
    </row>
    <row r="13" ht="22.5" customHeight="1" spans="1:16">
      <c r="A13" s="4" t="s">
        <v>43</v>
      </c>
      <c r="B13" s="4" t="s">
        <v>44</v>
      </c>
      <c r="C13" s="4" t="s">
        <v>76</v>
      </c>
      <c r="D13" s="5" t="s">
        <v>68</v>
      </c>
      <c r="E13" s="6">
        <v>46049.8359741898</v>
      </c>
      <c r="F13" s="4" t="s">
        <v>20</v>
      </c>
      <c r="G13" s="4" t="s">
        <v>21</v>
      </c>
      <c r="H13" s="9">
        <v>1</v>
      </c>
      <c r="I13" s="7">
        <v>3.3</v>
      </c>
      <c r="J13" s="7">
        <f t="shared" si="0"/>
        <v>3.3</v>
      </c>
      <c r="K13" s="7">
        <v>1</v>
      </c>
      <c r="L13" s="7">
        <v>3.3</v>
      </c>
      <c r="M13" s="7"/>
      <c r="N13" s="7"/>
      <c r="O13" s="8" t="s">
        <v>47</v>
      </c>
      <c r="P13" s="8" t="s">
        <v>54</v>
      </c>
    </row>
    <row r="14" ht="22.5" customHeight="1" spans="1:16">
      <c r="A14" s="4" t="s">
        <v>43</v>
      </c>
      <c r="B14" s="4" t="s">
        <v>44</v>
      </c>
      <c r="C14" s="4" t="s">
        <v>77</v>
      </c>
      <c r="D14" s="5" t="s">
        <v>68</v>
      </c>
      <c r="E14" s="6">
        <v>46049.8359780093</v>
      </c>
      <c r="F14" s="4" t="s">
        <v>20</v>
      </c>
      <c r="G14" s="4" t="s">
        <v>21</v>
      </c>
      <c r="H14" s="9">
        <v>1</v>
      </c>
      <c r="I14" s="7">
        <v>3.3</v>
      </c>
      <c r="J14" s="7">
        <f t="shared" si="0"/>
        <v>3.3</v>
      </c>
      <c r="K14" s="7">
        <v>1</v>
      </c>
      <c r="L14" s="7">
        <v>3.3</v>
      </c>
      <c r="M14" s="7"/>
      <c r="N14" s="7"/>
      <c r="O14" s="8" t="s">
        <v>47</v>
      </c>
      <c r="P14" s="8" t="s">
        <v>54</v>
      </c>
    </row>
    <row r="15" ht="22.5" customHeight="1" spans="1:16">
      <c r="A15" s="4" t="s">
        <v>43</v>
      </c>
      <c r="B15" s="4" t="s">
        <v>44</v>
      </c>
      <c r="C15" s="4" t="s">
        <v>77</v>
      </c>
      <c r="D15" s="5" t="s">
        <v>68</v>
      </c>
      <c r="E15" s="6">
        <v>46049.8359780093</v>
      </c>
      <c r="F15" s="4" t="s">
        <v>24</v>
      </c>
      <c r="G15" s="4" t="s">
        <v>78</v>
      </c>
      <c r="H15" s="9">
        <v>12</v>
      </c>
      <c r="I15" s="7">
        <v>3.3</v>
      </c>
      <c r="J15" s="7">
        <f t="shared" si="0"/>
        <v>39.6</v>
      </c>
      <c r="K15" s="7">
        <v>12</v>
      </c>
      <c r="L15" s="7">
        <v>39.6</v>
      </c>
      <c r="M15" s="7"/>
      <c r="N15" s="7"/>
      <c r="O15" s="8" t="s">
        <v>47</v>
      </c>
      <c r="P15" s="8" t="s">
        <v>54</v>
      </c>
    </row>
    <row r="16" ht="22.5" customHeight="1" spans="1:16">
      <c r="A16" s="4" t="s">
        <v>43</v>
      </c>
      <c r="B16" s="4" t="s">
        <v>44</v>
      </c>
      <c r="C16" s="4" t="s">
        <v>77</v>
      </c>
      <c r="D16" s="5" t="s">
        <v>68</v>
      </c>
      <c r="E16" s="6">
        <v>46049.8359780093</v>
      </c>
      <c r="F16" s="4" t="s">
        <v>24</v>
      </c>
      <c r="G16" s="4" t="s">
        <v>25</v>
      </c>
      <c r="H16" s="9">
        <v>7</v>
      </c>
      <c r="I16" s="7">
        <v>3.3</v>
      </c>
      <c r="J16" s="7">
        <f t="shared" si="0"/>
        <v>23.1</v>
      </c>
      <c r="K16" s="7">
        <v>7</v>
      </c>
      <c r="L16" s="7">
        <v>23.1</v>
      </c>
      <c r="M16" s="7"/>
      <c r="N16" s="7"/>
      <c r="O16" s="8" t="s">
        <v>47</v>
      </c>
      <c r="P16" s="8" t="s">
        <v>54</v>
      </c>
    </row>
    <row r="17" ht="22.5" customHeight="1" spans="1:16">
      <c r="A17" s="4" t="s">
        <v>43</v>
      </c>
      <c r="B17" s="4" t="s">
        <v>44</v>
      </c>
      <c r="C17" s="4" t="s">
        <v>79</v>
      </c>
      <c r="D17" s="5" t="s">
        <v>68</v>
      </c>
      <c r="E17" s="6">
        <v>46049.8359819097</v>
      </c>
      <c r="F17" s="4" t="s">
        <v>24</v>
      </c>
      <c r="G17" s="4" t="s">
        <v>33</v>
      </c>
      <c r="H17" s="4">
        <v>29</v>
      </c>
      <c r="I17" s="7">
        <v>120</v>
      </c>
      <c r="J17" s="7">
        <v>120</v>
      </c>
      <c r="K17" s="7">
        <v>29</v>
      </c>
      <c r="L17" s="7">
        <v>120</v>
      </c>
      <c r="M17" s="7"/>
      <c r="N17" s="7"/>
      <c r="O17" s="8" t="s">
        <v>47</v>
      </c>
      <c r="P17" s="8" t="s">
        <v>54</v>
      </c>
    </row>
    <row r="18" spans="1:16">
      <c r="A18" s="10"/>
      <c r="B18" s="10"/>
      <c r="C18" s="10"/>
      <c r="D18" s="10"/>
      <c r="E18" s="10"/>
      <c r="F18" s="10"/>
      <c r="G18" s="10"/>
      <c r="H18" s="10">
        <f t="shared" ref="H18:N18" si="1">SUM(H2:H17)</f>
        <v>246</v>
      </c>
      <c r="I18" s="10">
        <f t="shared" si="1"/>
        <v>286.2</v>
      </c>
      <c r="J18" s="10">
        <f t="shared" si="1"/>
        <v>560.1</v>
      </c>
      <c r="K18" s="10">
        <f t="shared" si="1"/>
        <v>246</v>
      </c>
      <c r="L18" s="10">
        <f t="shared" si="1"/>
        <v>560.1</v>
      </c>
      <c r="M18" s="10">
        <f t="shared" si="1"/>
        <v>0</v>
      </c>
      <c r="N18" s="10">
        <f t="shared" si="1"/>
        <v>0</v>
      </c>
      <c r="O18" s="10"/>
      <c r="P18" s="10"/>
    </row>
  </sheetData>
  <autoFilter xmlns:etc="http://www.wps.cn/officeDocument/2017/etCustomData" ref="A1:P18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topLeftCell="C23" workbookViewId="0">
      <selection activeCell="A1" sqref="A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7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80</v>
      </c>
      <c r="D2" s="5" t="s">
        <v>68</v>
      </c>
      <c r="E2" s="6">
        <v>46050.8900209144</v>
      </c>
      <c r="F2" s="4" t="s">
        <v>24</v>
      </c>
      <c r="G2" s="4" t="s">
        <v>25</v>
      </c>
      <c r="H2" s="9">
        <v>11</v>
      </c>
      <c r="I2" s="7">
        <v>3.3</v>
      </c>
      <c r="J2" s="7">
        <f>H2*I2</f>
        <v>36.3</v>
      </c>
      <c r="K2" s="7">
        <v>11</v>
      </c>
      <c r="L2" s="7">
        <v>36.3</v>
      </c>
      <c r="M2" s="7"/>
      <c r="N2" s="7"/>
      <c r="O2" s="8" t="s">
        <v>22</v>
      </c>
      <c r="P2" s="8" t="s">
        <v>81</v>
      </c>
    </row>
    <row r="3" ht="22.5" customHeight="1" spans="1:16">
      <c r="A3" s="4" t="s">
        <v>16</v>
      </c>
      <c r="B3" s="4" t="s">
        <v>17</v>
      </c>
      <c r="C3" s="4" t="s">
        <v>80</v>
      </c>
      <c r="D3" s="5" t="s">
        <v>68</v>
      </c>
      <c r="E3" s="6">
        <v>46050.8900209144</v>
      </c>
      <c r="F3" s="4" t="s">
        <v>24</v>
      </c>
      <c r="G3" s="4" t="s">
        <v>78</v>
      </c>
      <c r="H3" s="9">
        <v>8</v>
      </c>
      <c r="I3" s="7">
        <v>3.3</v>
      </c>
      <c r="J3" s="7">
        <f t="shared" ref="J3:J9" si="0">H3*I3</f>
        <v>26.4</v>
      </c>
      <c r="K3" s="7">
        <v>8</v>
      </c>
      <c r="L3" s="7">
        <v>26.4</v>
      </c>
      <c r="M3" s="7"/>
      <c r="N3" s="7"/>
      <c r="O3" s="8" t="s">
        <v>22</v>
      </c>
      <c r="P3" s="8" t="s">
        <v>81</v>
      </c>
    </row>
    <row r="4" ht="22.5" customHeight="1" spans="1:16">
      <c r="A4" s="4" t="s">
        <v>16</v>
      </c>
      <c r="B4" s="4" t="s">
        <v>17</v>
      </c>
      <c r="C4" s="4" t="s">
        <v>80</v>
      </c>
      <c r="D4" s="5" t="s">
        <v>68</v>
      </c>
      <c r="E4" s="6">
        <v>46050.8900209144</v>
      </c>
      <c r="F4" s="4" t="s">
        <v>20</v>
      </c>
      <c r="G4" s="4" t="s">
        <v>21</v>
      </c>
      <c r="H4" s="9">
        <v>1</v>
      </c>
      <c r="I4" s="7">
        <v>3.3</v>
      </c>
      <c r="J4" s="7">
        <f t="shared" si="0"/>
        <v>3.3</v>
      </c>
      <c r="K4" s="7">
        <v>1</v>
      </c>
      <c r="L4" s="7">
        <v>3.3</v>
      </c>
      <c r="M4" s="7"/>
      <c r="N4" s="7"/>
      <c r="O4" s="8" t="s">
        <v>22</v>
      </c>
      <c r="P4" s="8" t="s">
        <v>81</v>
      </c>
    </row>
    <row r="5" ht="22.5" customHeight="1" spans="1:16">
      <c r="A5" s="4" t="s">
        <v>16</v>
      </c>
      <c r="B5" s="4" t="s">
        <v>17</v>
      </c>
      <c r="C5" s="4" t="s">
        <v>82</v>
      </c>
      <c r="D5" s="5" t="s">
        <v>68</v>
      </c>
      <c r="E5" s="6">
        <v>46050.8900055208</v>
      </c>
      <c r="F5" s="4" t="s">
        <v>20</v>
      </c>
      <c r="G5" s="4" t="s">
        <v>21</v>
      </c>
      <c r="H5" s="9">
        <v>1</v>
      </c>
      <c r="I5" s="7">
        <v>3.3</v>
      </c>
      <c r="J5" s="7">
        <f t="shared" si="0"/>
        <v>3.3</v>
      </c>
      <c r="K5" s="7">
        <v>1</v>
      </c>
      <c r="L5" s="7">
        <v>3.3</v>
      </c>
      <c r="M5" s="7"/>
      <c r="N5" s="7"/>
      <c r="O5" s="8" t="s">
        <v>22</v>
      </c>
      <c r="P5" s="8" t="s">
        <v>81</v>
      </c>
    </row>
    <row r="6" ht="22.5" customHeight="1" spans="1:16">
      <c r="A6" s="4" t="s">
        <v>16</v>
      </c>
      <c r="B6" s="4" t="s">
        <v>17</v>
      </c>
      <c r="C6" s="4" t="s">
        <v>82</v>
      </c>
      <c r="D6" s="5" t="s">
        <v>68</v>
      </c>
      <c r="E6" s="6">
        <v>46050.8900055208</v>
      </c>
      <c r="F6" s="4" t="s">
        <v>24</v>
      </c>
      <c r="G6" s="4" t="s">
        <v>25</v>
      </c>
      <c r="H6" s="9">
        <v>12</v>
      </c>
      <c r="I6" s="7">
        <v>3.3</v>
      </c>
      <c r="J6" s="7">
        <f t="shared" si="0"/>
        <v>39.6</v>
      </c>
      <c r="K6" s="7">
        <v>12</v>
      </c>
      <c r="L6" s="7">
        <v>39.6</v>
      </c>
      <c r="M6" s="7"/>
      <c r="N6" s="7"/>
      <c r="O6" s="8" t="s">
        <v>22</v>
      </c>
      <c r="P6" s="8" t="s">
        <v>81</v>
      </c>
    </row>
    <row r="7" ht="22.5" customHeight="1" spans="1:16">
      <c r="A7" s="4" t="s">
        <v>16</v>
      </c>
      <c r="B7" s="4" t="s">
        <v>17</v>
      </c>
      <c r="C7" s="4" t="s">
        <v>83</v>
      </c>
      <c r="D7" s="5" t="s">
        <v>68</v>
      </c>
      <c r="E7" s="6">
        <v>46050.8900107639</v>
      </c>
      <c r="F7" s="4" t="s">
        <v>24</v>
      </c>
      <c r="G7" s="4" t="s">
        <v>25</v>
      </c>
      <c r="H7" s="9">
        <v>13</v>
      </c>
      <c r="I7" s="7">
        <v>3.3</v>
      </c>
      <c r="J7" s="7">
        <f t="shared" si="0"/>
        <v>42.9</v>
      </c>
      <c r="K7" s="7">
        <v>13</v>
      </c>
      <c r="L7" s="7">
        <v>42.9</v>
      </c>
      <c r="M7" s="7"/>
      <c r="N7" s="7"/>
      <c r="O7" s="8" t="s">
        <v>22</v>
      </c>
      <c r="P7" s="8" t="s">
        <v>81</v>
      </c>
    </row>
    <row r="8" ht="22.5" customHeight="1" spans="1:16">
      <c r="A8" s="4" t="s">
        <v>16</v>
      </c>
      <c r="B8" s="4" t="s">
        <v>17</v>
      </c>
      <c r="C8" s="4" t="s">
        <v>83</v>
      </c>
      <c r="D8" s="5" t="s">
        <v>68</v>
      </c>
      <c r="E8" s="6">
        <v>46050.8900107639</v>
      </c>
      <c r="F8" s="4" t="s">
        <v>20</v>
      </c>
      <c r="G8" s="4" t="s">
        <v>21</v>
      </c>
      <c r="H8" s="9">
        <v>1</v>
      </c>
      <c r="I8" s="7">
        <v>3.3</v>
      </c>
      <c r="J8" s="7">
        <f t="shared" si="0"/>
        <v>3.3</v>
      </c>
      <c r="K8" s="7">
        <v>1</v>
      </c>
      <c r="L8" s="7">
        <v>3.3</v>
      </c>
      <c r="M8" s="7"/>
      <c r="N8" s="7"/>
      <c r="O8" s="8" t="s">
        <v>22</v>
      </c>
      <c r="P8" s="8" t="s">
        <v>81</v>
      </c>
    </row>
    <row r="9" ht="22.5" customHeight="1" spans="1:16">
      <c r="A9" s="4" t="s">
        <v>16</v>
      </c>
      <c r="B9" s="4" t="s">
        <v>17</v>
      </c>
      <c r="C9" s="4" t="s">
        <v>84</v>
      </c>
      <c r="D9" s="5" t="s">
        <v>68</v>
      </c>
      <c r="E9" s="6">
        <v>46050.8900260069</v>
      </c>
      <c r="F9" s="4" t="s">
        <v>20</v>
      </c>
      <c r="G9" s="4" t="s">
        <v>21</v>
      </c>
      <c r="H9" s="9">
        <v>1</v>
      </c>
      <c r="I9" s="7">
        <v>3.3</v>
      </c>
      <c r="J9" s="7">
        <f t="shared" si="0"/>
        <v>3.3</v>
      </c>
      <c r="K9" s="7">
        <v>1</v>
      </c>
      <c r="L9" s="7">
        <v>3.3</v>
      </c>
      <c r="M9" s="7"/>
      <c r="N9" s="7"/>
      <c r="O9" s="8" t="s">
        <v>22</v>
      </c>
      <c r="P9" s="8" t="s">
        <v>81</v>
      </c>
    </row>
    <row r="10" ht="22.5" customHeight="1" spans="1:16">
      <c r="A10" s="4" t="s">
        <v>16</v>
      </c>
      <c r="B10" s="4" t="s">
        <v>17</v>
      </c>
      <c r="C10" s="4" t="s">
        <v>84</v>
      </c>
      <c r="D10" s="5" t="s">
        <v>68</v>
      </c>
      <c r="E10" s="6">
        <v>46050.8900260069</v>
      </c>
      <c r="F10" s="4" t="s">
        <v>24</v>
      </c>
      <c r="G10" s="4" t="s">
        <v>33</v>
      </c>
      <c r="H10" s="4">
        <v>37</v>
      </c>
      <c r="I10" s="7">
        <v>120</v>
      </c>
      <c r="J10" s="7">
        <v>120</v>
      </c>
      <c r="K10" s="7">
        <v>37</v>
      </c>
      <c r="L10" s="7">
        <v>120</v>
      </c>
      <c r="M10" s="7"/>
      <c r="N10" s="7"/>
      <c r="O10" s="8" t="s">
        <v>22</v>
      </c>
      <c r="P10" s="8" t="s">
        <v>81</v>
      </c>
    </row>
    <row r="11" ht="22.5" customHeight="1" spans="1:16">
      <c r="A11" s="4" t="s">
        <v>16</v>
      </c>
      <c r="B11" s="4" t="s">
        <v>17</v>
      </c>
      <c r="C11" s="4" t="s">
        <v>84</v>
      </c>
      <c r="D11" s="5" t="s">
        <v>68</v>
      </c>
      <c r="E11" s="6">
        <v>46050.8900260069</v>
      </c>
      <c r="F11" s="4" t="s">
        <v>24</v>
      </c>
      <c r="G11" s="4" t="s">
        <v>85</v>
      </c>
      <c r="H11" s="9">
        <v>4</v>
      </c>
      <c r="I11" s="7">
        <v>3.3</v>
      </c>
      <c r="J11" s="7">
        <f t="shared" ref="J11:J16" si="1">H11*I11</f>
        <v>13.2</v>
      </c>
      <c r="K11" s="7">
        <v>4</v>
      </c>
      <c r="L11" s="7">
        <v>13.2</v>
      </c>
      <c r="M11" s="7"/>
      <c r="N11" s="7"/>
      <c r="O11" s="8" t="s">
        <v>22</v>
      </c>
      <c r="P11" s="8" t="s">
        <v>81</v>
      </c>
    </row>
    <row r="12" ht="22.5" customHeight="1" spans="1:16">
      <c r="A12" s="4" t="s">
        <v>16</v>
      </c>
      <c r="B12" s="4" t="s">
        <v>17</v>
      </c>
      <c r="C12" s="4" t="s">
        <v>86</v>
      </c>
      <c r="D12" s="5" t="s">
        <v>68</v>
      </c>
      <c r="E12" s="6">
        <v>46050.8900159722</v>
      </c>
      <c r="F12" s="4" t="s">
        <v>20</v>
      </c>
      <c r="G12" s="4" t="s">
        <v>21</v>
      </c>
      <c r="H12" s="9">
        <v>1</v>
      </c>
      <c r="I12" s="7">
        <v>3.3</v>
      </c>
      <c r="J12" s="7">
        <f t="shared" si="1"/>
        <v>3.3</v>
      </c>
      <c r="K12" s="7">
        <v>1</v>
      </c>
      <c r="L12" s="7">
        <v>3.3</v>
      </c>
      <c r="M12" s="7"/>
      <c r="N12" s="7"/>
      <c r="O12" s="8" t="s">
        <v>22</v>
      </c>
      <c r="P12" s="8" t="s">
        <v>81</v>
      </c>
    </row>
    <row r="13" ht="22.5" customHeight="1" spans="1:16">
      <c r="A13" s="4" t="s">
        <v>16</v>
      </c>
      <c r="B13" s="4" t="s">
        <v>17</v>
      </c>
      <c r="C13" s="4" t="s">
        <v>86</v>
      </c>
      <c r="D13" s="5" t="s">
        <v>68</v>
      </c>
      <c r="E13" s="6">
        <v>46050.8900159722</v>
      </c>
      <c r="F13" s="4" t="s">
        <v>24</v>
      </c>
      <c r="G13" s="4" t="s">
        <v>25</v>
      </c>
      <c r="H13" s="9">
        <v>15</v>
      </c>
      <c r="I13" s="7">
        <v>3.3</v>
      </c>
      <c r="J13" s="7">
        <f t="shared" si="1"/>
        <v>49.5</v>
      </c>
      <c r="K13" s="7">
        <v>15</v>
      </c>
      <c r="L13" s="7">
        <v>49.5</v>
      </c>
      <c r="M13" s="7"/>
      <c r="N13" s="7"/>
      <c r="O13" s="8" t="s">
        <v>22</v>
      </c>
      <c r="P13" s="8" t="s">
        <v>81</v>
      </c>
    </row>
    <row r="14" ht="22.5" customHeight="1" spans="1:16">
      <c r="A14" s="4" t="s">
        <v>16</v>
      </c>
      <c r="B14" s="4" t="s">
        <v>28</v>
      </c>
      <c r="C14" s="4" t="s">
        <v>87</v>
      </c>
      <c r="D14" s="5" t="s">
        <v>38</v>
      </c>
      <c r="E14" s="6">
        <v>46050.8901500347</v>
      </c>
      <c r="F14" s="4" t="s">
        <v>20</v>
      </c>
      <c r="G14" s="4" t="s">
        <v>21</v>
      </c>
      <c r="H14" s="9">
        <v>1</v>
      </c>
      <c r="I14" s="7">
        <v>3.3</v>
      </c>
      <c r="J14" s="7">
        <f t="shared" si="1"/>
        <v>3.3</v>
      </c>
      <c r="K14" s="7"/>
      <c r="L14" s="7"/>
      <c r="M14" s="7">
        <v>1</v>
      </c>
      <c r="N14" s="7">
        <v>3.3</v>
      </c>
      <c r="O14" s="8" t="s">
        <v>47</v>
      </c>
      <c r="P14" s="8" t="s">
        <v>48</v>
      </c>
    </row>
    <row r="15" ht="22.5" customHeight="1" spans="1:16">
      <c r="A15" s="4" t="s">
        <v>16</v>
      </c>
      <c r="B15" s="4" t="s">
        <v>28</v>
      </c>
      <c r="C15" s="4" t="s">
        <v>87</v>
      </c>
      <c r="D15" s="5" t="s">
        <v>38</v>
      </c>
      <c r="E15" s="6">
        <v>46050.8901500347</v>
      </c>
      <c r="F15" s="4" t="s">
        <v>24</v>
      </c>
      <c r="G15" s="4" t="s">
        <v>42</v>
      </c>
      <c r="H15" s="9">
        <v>7</v>
      </c>
      <c r="I15" s="7">
        <v>3.3</v>
      </c>
      <c r="J15" s="7">
        <f t="shared" si="1"/>
        <v>23.1</v>
      </c>
      <c r="K15" s="7"/>
      <c r="L15" s="7"/>
      <c r="M15" s="7">
        <v>7</v>
      </c>
      <c r="N15" s="7">
        <v>23.1</v>
      </c>
      <c r="O15" s="8" t="s">
        <v>47</v>
      </c>
      <c r="P15" s="8" t="s">
        <v>48</v>
      </c>
    </row>
    <row r="16" ht="22.5" customHeight="1" spans="1:16">
      <c r="A16" s="4" t="s">
        <v>16</v>
      </c>
      <c r="B16" s="4" t="s">
        <v>28</v>
      </c>
      <c r="C16" s="4" t="s">
        <v>88</v>
      </c>
      <c r="D16" s="5" t="s">
        <v>68</v>
      </c>
      <c r="E16" s="6">
        <v>46050.5847672106</v>
      </c>
      <c r="F16" s="4" t="s">
        <v>24</v>
      </c>
      <c r="G16" s="4" t="s">
        <v>33</v>
      </c>
      <c r="H16" s="4">
        <v>46</v>
      </c>
      <c r="I16" s="7">
        <v>120</v>
      </c>
      <c r="J16" s="7">
        <v>120</v>
      </c>
      <c r="K16" s="7">
        <v>46</v>
      </c>
      <c r="L16" s="7">
        <v>120</v>
      </c>
      <c r="M16" s="7"/>
      <c r="N16" s="7"/>
      <c r="O16" s="8" t="s">
        <v>47</v>
      </c>
      <c r="P16" s="8" t="s">
        <v>48</v>
      </c>
    </row>
    <row r="17" ht="22.5" customHeight="1" spans="1:16">
      <c r="A17" s="4" t="s">
        <v>16</v>
      </c>
      <c r="B17" s="4" t="s">
        <v>28</v>
      </c>
      <c r="C17" s="4" t="s">
        <v>89</v>
      </c>
      <c r="D17" s="5" t="s">
        <v>68</v>
      </c>
      <c r="E17" s="6">
        <v>46050.5847763889</v>
      </c>
      <c r="F17" s="4" t="s">
        <v>24</v>
      </c>
      <c r="G17" s="4" t="s">
        <v>25</v>
      </c>
      <c r="H17" s="9">
        <v>11</v>
      </c>
      <c r="I17" s="7">
        <v>3.3</v>
      </c>
      <c r="J17" s="7">
        <f t="shared" ref="J17:J30" si="2">H17*I17</f>
        <v>36.3</v>
      </c>
      <c r="K17" s="7">
        <v>11</v>
      </c>
      <c r="L17" s="7">
        <v>36.3</v>
      </c>
      <c r="M17" s="7"/>
      <c r="N17" s="7"/>
      <c r="O17" s="8" t="s">
        <v>47</v>
      </c>
      <c r="P17" s="8" t="s">
        <v>48</v>
      </c>
    </row>
    <row r="18" ht="22.5" customHeight="1" spans="1:16">
      <c r="A18" s="4" t="s">
        <v>16</v>
      </c>
      <c r="B18" s="4" t="s">
        <v>28</v>
      </c>
      <c r="C18" s="4" t="s">
        <v>89</v>
      </c>
      <c r="D18" s="5" t="s">
        <v>68</v>
      </c>
      <c r="E18" s="6">
        <v>46050.5847763889</v>
      </c>
      <c r="F18" s="4" t="s">
        <v>20</v>
      </c>
      <c r="G18" s="4" t="s">
        <v>21</v>
      </c>
      <c r="H18" s="9">
        <v>1</v>
      </c>
      <c r="I18" s="7">
        <v>3.3</v>
      </c>
      <c r="J18" s="7">
        <f t="shared" si="2"/>
        <v>3.3</v>
      </c>
      <c r="K18" s="7">
        <v>1</v>
      </c>
      <c r="L18" s="7">
        <v>3.3</v>
      </c>
      <c r="M18" s="7"/>
      <c r="N18" s="7"/>
      <c r="O18" s="8" t="s">
        <v>47</v>
      </c>
      <c r="P18" s="8" t="s">
        <v>48</v>
      </c>
    </row>
    <row r="19" ht="22.5" customHeight="1" spans="1:16">
      <c r="A19" s="4" t="s">
        <v>16</v>
      </c>
      <c r="B19" s="4" t="s">
        <v>28</v>
      </c>
      <c r="C19" s="4" t="s">
        <v>90</v>
      </c>
      <c r="D19" s="5" t="s">
        <v>68</v>
      </c>
      <c r="E19" s="6">
        <v>46050.5847781597</v>
      </c>
      <c r="F19" s="4" t="s">
        <v>20</v>
      </c>
      <c r="G19" s="4" t="s">
        <v>21</v>
      </c>
      <c r="H19" s="9">
        <v>1</v>
      </c>
      <c r="I19" s="7">
        <v>3.3</v>
      </c>
      <c r="J19" s="7">
        <f t="shared" si="2"/>
        <v>3.3</v>
      </c>
      <c r="K19" s="7">
        <v>1</v>
      </c>
      <c r="L19" s="7">
        <v>3.3</v>
      </c>
      <c r="M19" s="7"/>
      <c r="N19" s="7"/>
      <c r="O19" s="8" t="s">
        <v>47</v>
      </c>
      <c r="P19" s="8" t="s">
        <v>48</v>
      </c>
    </row>
    <row r="20" ht="22.5" customHeight="1" spans="1:16">
      <c r="A20" s="4" t="s">
        <v>16</v>
      </c>
      <c r="B20" s="4" t="s">
        <v>28</v>
      </c>
      <c r="C20" s="4" t="s">
        <v>90</v>
      </c>
      <c r="D20" s="5" t="s">
        <v>68</v>
      </c>
      <c r="E20" s="6">
        <v>46050.5847781597</v>
      </c>
      <c r="F20" s="4" t="s">
        <v>24</v>
      </c>
      <c r="G20" s="4" t="s">
        <v>78</v>
      </c>
      <c r="H20" s="9">
        <v>8</v>
      </c>
      <c r="I20" s="7">
        <v>3.3</v>
      </c>
      <c r="J20" s="7">
        <f t="shared" si="2"/>
        <v>26.4</v>
      </c>
      <c r="K20" s="7">
        <v>8</v>
      </c>
      <c r="L20" s="7">
        <v>26.4</v>
      </c>
      <c r="M20" s="7"/>
      <c r="N20" s="7"/>
      <c r="O20" s="8" t="s">
        <v>47</v>
      </c>
      <c r="P20" s="8" t="s">
        <v>48</v>
      </c>
    </row>
    <row r="21" ht="22.5" customHeight="1" spans="1:16">
      <c r="A21" s="4" t="s">
        <v>16</v>
      </c>
      <c r="B21" s="4" t="s">
        <v>28</v>
      </c>
      <c r="C21" s="4" t="s">
        <v>90</v>
      </c>
      <c r="D21" s="5" t="s">
        <v>68</v>
      </c>
      <c r="E21" s="6">
        <v>46050.5847781597</v>
      </c>
      <c r="F21" s="4" t="s">
        <v>24</v>
      </c>
      <c r="G21" s="4" t="s">
        <v>25</v>
      </c>
      <c r="H21" s="9">
        <v>11</v>
      </c>
      <c r="I21" s="7">
        <v>3.3</v>
      </c>
      <c r="J21" s="7">
        <f t="shared" si="2"/>
        <v>36.3</v>
      </c>
      <c r="K21" s="7">
        <v>11</v>
      </c>
      <c r="L21" s="7">
        <v>36.3</v>
      </c>
      <c r="M21" s="7"/>
      <c r="N21" s="7"/>
      <c r="O21" s="8" t="s">
        <v>47</v>
      </c>
      <c r="P21" s="8" t="s">
        <v>48</v>
      </c>
    </row>
    <row r="22" ht="22.5" customHeight="1" spans="1:16">
      <c r="A22" s="4" t="s">
        <v>16</v>
      </c>
      <c r="B22" s="4" t="s">
        <v>28</v>
      </c>
      <c r="C22" s="4" t="s">
        <v>91</v>
      </c>
      <c r="D22" s="5" t="s">
        <v>68</v>
      </c>
      <c r="E22" s="6">
        <v>46050.5847799769</v>
      </c>
      <c r="F22" s="4" t="s">
        <v>24</v>
      </c>
      <c r="G22" s="4" t="s">
        <v>25</v>
      </c>
      <c r="H22" s="9">
        <v>12</v>
      </c>
      <c r="I22" s="7">
        <v>3.3</v>
      </c>
      <c r="J22" s="7">
        <f t="shared" si="2"/>
        <v>39.6</v>
      </c>
      <c r="K22" s="7">
        <v>12</v>
      </c>
      <c r="L22" s="7">
        <v>39.6</v>
      </c>
      <c r="M22" s="7"/>
      <c r="N22" s="7"/>
      <c r="O22" s="8" t="s">
        <v>47</v>
      </c>
      <c r="P22" s="8" t="s">
        <v>48</v>
      </c>
    </row>
    <row r="23" ht="22.5" customHeight="1" spans="1:16">
      <c r="A23" s="4" t="s">
        <v>16</v>
      </c>
      <c r="B23" s="4" t="s">
        <v>28</v>
      </c>
      <c r="C23" s="4" t="s">
        <v>91</v>
      </c>
      <c r="D23" s="5" t="s">
        <v>68</v>
      </c>
      <c r="E23" s="6">
        <v>46050.5847799769</v>
      </c>
      <c r="F23" s="4" t="s">
        <v>20</v>
      </c>
      <c r="G23" s="4" t="s">
        <v>21</v>
      </c>
      <c r="H23" s="9">
        <v>1</v>
      </c>
      <c r="I23" s="7">
        <v>3.3</v>
      </c>
      <c r="J23" s="7">
        <f t="shared" si="2"/>
        <v>3.3</v>
      </c>
      <c r="K23" s="7">
        <v>1</v>
      </c>
      <c r="L23" s="7">
        <v>3.3</v>
      </c>
      <c r="M23" s="7"/>
      <c r="N23" s="7"/>
      <c r="O23" s="8" t="s">
        <v>47</v>
      </c>
      <c r="P23" s="8" t="s">
        <v>48</v>
      </c>
    </row>
    <row r="24" ht="22.5" customHeight="1" spans="1:16">
      <c r="A24" s="4" t="s">
        <v>16</v>
      </c>
      <c r="B24" s="4" t="s">
        <v>28</v>
      </c>
      <c r="C24" s="4" t="s">
        <v>92</v>
      </c>
      <c r="D24" s="5" t="s">
        <v>68</v>
      </c>
      <c r="E24" s="6">
        <v>46050.5847820949</v>
      </c>
      <c r="F24" s="4" t="s">
        <v>20</v>
      </c>
      <c r="G24" s="4" t="s">
        <v>21</v>
      </c>
      <c r="H24" s="9">
        <v>1</v>
      </c>
      <c r="I24" s="7">
        <v>3.3</v>
      </c>
      <c r="J24" s="7">
        <f t="shared" si="2"/>
        <v>3.3</v>
      </c>
      <c r="K24" s="7">
        <v>1</v>
      </c>
      <c r="L24" s="7">
        <v>3.3</v>
      </c>
      <c r="M24" s="7"/>
      <c r="N24" s="7"/>
      <c r="O24" s="8" t="s">
        <v>47</v>
      </c>
      <c r="P24" s="8" t="s">
        <v>48</v>
      </c>
    </row>
    <row r="25" ht="22.5" customHeight="1" spans="1:16">
      <c r="A25" s="4" t="s">
        <v>16</v>
      </c>
      <c r="B25" s="4" t="s">
        <v>28</v>
      </c>
      <c r="C25" s="4" t="s">
        <v>92</v>
      </c>
      <c r="D25" s="5" t="s">
        <v>68</v>
      </c>
      <c r="E25" s="6">
        <v>46050.5847820949</v>
      </c>
      <c r="F25" s="4" t="s">
        <v>24</v>
      </c>
      <c r="G25" s="4" t="s">
        <v>25</v>
      </c>
      <c r="H25" s="9">
        <v>11</v>
      </c>
      <c r="I25" s="7">
        <v>3.3</v>
      </c>
      <c r="J25" s="7">
        <f t="shared" si="2"/>
        <v>36.3</v>
      </c>
      <c r="K25" s="7">
        <v>11</v>
      </c>
      <c r="L25" s="7">
        <v>36.3</v>
      </c>
      <c r="M25" s="7"/>
      <c r="N25" s="7"/>
      <c r="O25" s="8" t="s">
        <v>47</v>
      </c>
      <c r="P25" s="8" t="s">
        <v>48</v>
      </c>
    </row>
    <row r="26" ht="22.5" customHeight="1" spans="1:16">
      <c r="A26" s="4" t="s">
        <v>35</v>
      </c>
      <c r="B26" s="4" t="s">
        <v>36</v>
      </c>
      <c r="C26" s="4" t="s">
        <v>93</v>
      </c>
      <c r="D26" s="5" t="s">
        <v>94</v>
      </c>
      <c r="E26" s="6">
        <v>46050.5848569792</v>
      </c>
      <c r="F26" s="4" t="s">
        <v>24</v>
      </c>
      <c r="G26" s="4" t="s">
        <v>34</v>
      </c>
      <c r="H26" s="9">
        <v>11</v>
      </c>
      <c r="I26" s="7">
        <v>3.3</v>
      </c>
      <c r="J26" s="7">
        <f t="shared" si="2"/>
        <v>36.3</v>
      </c>
      <c r="K26" s="7">
        <v>11</v>
      </c>
      <c r="L26" s="7">
        <v>36.3</v>
      </c>
      <c r="M26" s="7"/>
      <c r="N26" s="7"/>
      <c r="O26" s="8" t="s">
        <v>39</v>
      </c>
      <c r="P26" s="8" t="s">
        <v>40</v>
      </c>
    </row>
    <row r="27" ht="22.5" customHeight="1" spans="1:16">
      <c r="A27" s="4" t="s">
        <v>43</v>
      </c>
      <c r="B27" s="4" t="s">
        <v>44</v>
      </c>
      <c r="C27" s="4" t="s">
        <v>95</v>
      </c>
      <c r="D27" s="5" t="s">
        <v>65</v>
      </c>
      <c r="E27" s="6">
        <v>46050.8956640046</v>
      </c>
      <c r="F27" s="4" t="s">
        <v>24</v>
      </c>
      <c r="G27" s="4" t="s">
        <v>42</v>
      </c>
      <c r="H27" s="9">
        <v>31</v>
      </c>
      <c r="I27" s="7">
        <v>3.3</v>
      </c>
      <c r="J27" s="7">
        <f t="shared" si="2"/>
        <v>102.3</v>
      </c>
      <c r="K27" s="7">
        <v>31</v>
      </c>
      <c r="L27" s="7">
        <v>102.3</v>
      </c>
      <c r="M27" s="7"/>
      <c r="N27" s="7"/>
      <c r="O27" s="8" t="s">
        <v>47</v>
      </c>
      <c r="P27" s="8" t="s">
        <v>96</v>
      </c>
    </row>
    <row r="28" ht="22.5" customHeight="1" spans="1:16">
      <c r="A28" s="4" t="s">
        <v>43</v>
      </c>
      <c r="B28" s="4" t="s">
        <v>44</v>
      </c>
      <c r="C28" s="4" t="s">
        <v>95</v>
      </c>
      <c r="D28" s="5" t="s">
        <v>65</v>
      </c>
      <c r="E28" s="6">
        <v>46050.8956640046</v>
      </c>
      <c r="F28" s="4" t="s">
        <v>20</v>
      </c>
      <c r="G28" s="4" t="s">
        <v>21</v>
      </c>
      <c r="H28" s="9">
        <v>1</v>
      </c>
      <c r="I28" s="7">
        <v>3.3</v>
      </c>
      <c r="J28" s="7">
        <f t="shared" si="2"/>
        <v>3.3</v>
      </c>
      <c r="K28" s="7">
        <v>1</v>
      </c>
      <c r="L28" s="7">
        <v>3.3</v>
      </c>
      <c r="M28" s="7"/>
      <c r="N28" s="7"/>
      <c r="O28" s="8" t="s">
        <v>47</v>
      </c>
      <c r="P28" s="8" t="s">
        <v>96</v>
      </c>
    </row>
    <row r="29" ht="22.5" customHeight="1" spans="1:16">
      <c r="A29" s="4" t="s">
        <v>43</v>
      </c>
      <c r="B29" s="4" t="s">
        <v>44</v>
      </c>
      <c r="C29" s="4" t="s">
        <v>95</v>
      </c>
      <c r="D29" s="5" t="s">
        <v>65</v>
      </c>
      <c r="E29" s="6">
        <v>46050.8956640046</v>
      </c>
      <c r="F29" s="4" t="s">
        <v>24</v>
      </c>
      <c r="G29" s="4" t="s">
        <v>34</v>
      </c>
      <c r="H29" s="9">
        <v>6</v>
      </c>
      <c r="I29" s="7">
        <v>3.3</v>
      </c>
      <c r="J29" s="7">
        <f t="shared" si="2"/>
        <v>19.8</v>
      </c>
      <c r="K29" s="7">
        <v>6</v>
      </c>
      <c r="L29" s="7">
        <v>19.8</v>
      </c>
      <c r="M29" s="7"/>
      <c r="N29" s="7"/>
      <c r="O29" s="8" t="s">
        <v>47</v>
      </c>
      <c r="P29" s="8" t="s">
        <v>96</v>
      </c>
    </row>
    <row r="30" ht="22.5" customHeight="1" spans="1:16">
      <c r="A30" s="4" t="s">
        <v>43</v>
      </c>
      <c r="B30" s="4" t="s">
        <v>44</v>
      </c>
      <c r="C30" s="4" t="s">
        <v>97</v>
      </c>
      <c r="D30" s="5" t="s">
        <v>65</v>
      </c>
      <c r="E30" s="6">
        <v>46050.895669294</v>
      </c>
      <c r="F30" s="4" t="s">
        <v>20</v>
      </c>
      <c r="G30" s="4" t="s">
        <v>21</v>
      </c>
      <c r="H30" s="9">
        <v>1</v>
      </c>
      <c r="I30" s="7">
        <v>3.3</v>
      </c>
      <c r="J30" s="7">
        <f t="shared" si="2"/>
        <v>3.3</v>
      </c>
      <c r="K30" s="7">
        <v>1</v>
      </c>
      <c r="L30" s="7">
        <v>3.3</v>
      </c>
      <c r="M30" s="7"/>
      <c r="N30" s="7"/>
      <c r="O30" s="8" t="s">
        <v>47</v>
      </c>
      <c r="P30" s="8" t="s">
        <v>96</v>
      </c>
    </row>
    <row r="31" ht="22.5" customHeight="1" spans="1:16">
      <c r="A31" s="4" t="s">
        <v>43</v>
      </c>
      <c r="B31" s="4" t="s">
        <v>44</v>
      </c>
      <c r="C31" s="4" t="s">
        <v>97</v>
      </c>
      <c r="D31" s="5" t="s">
        <v>65</v>
      </c>
      <c r="E31" s="6">
        <v>46050.895669294</v>
      </c>
      <c r="F31" s="4" t="s">
        <v>24</v>
      </c>
      <c r="G31" s="4" t="s">
        <v>33</v>
      </c>
      <c r="H31" s="4">
        <v>204</v>
      </c>
      <c r="I31" s="7">
        <v>120</v>
      </c>
      <c r="J31" s="7">
        <v>120</v>
      </c>
      <c r="K31" s="7">
        <v>204</v>
      </c>
      <c r="L31" s="7">
        <v>120</v>
      </c>
      <c r="M31" s="7"/>
      <c r="N31" s="7"/>
      <c r="O31" s="8" t="s">
        <v>47</v>
      </c>
      <c r="P31" s="8" t="s">
        <v>96</v>
      </c>
    </row>
    <row r="32" spans="1:16">
      <c r="A32" s="10"/>
      <c r="B32" s="10"/>
      <c r="C32" s="10"/>
      <c r="D32" s="10"/>
      <c r="E32" s="10"/>
      <c r="F32" s="10"/>
      <c r="G32" s="10"/>
      <c r="H32" s="11">
        <f t="shared" ref="H32:N32" si="3">SUM(H2:H31)</f>
        <v>470</v>
      </c>
      <c r="I32" s="11">
        <f t="shared" si="3"/>
        <v>449.1</v>
      </c>
      <c r="J32" s="11">
        <f t="shared" si="3"/>
        <v>963.9</v>
      </c>
      <c r="K32" s="11">
        <f t="shared" si="3"/>
        <v>462</v>
      </c>
      <c r="L32" s="11">
        <f t="shared" si="3"/>
        <v>937.5</v>
      </c>
      <c r="M32" s="11">
        <f t="shared" si="3"/>
        <v>8</v>
      </c>
      <c r="N32" s="11">
        <f t="shared" si="3"/>
        <v>26.4</v>
      </c>
      <c r="O32" s="10"/>
      <c r="P32" s="10"/>
    </row>
    <row r="33" spans="8:14">
      <c r="H33" s="12"/>
      <c r="I33" s="12"/>
      <c r="J33" s="12"/>
      <c r="K33" s="12"/>
      <c r="L33" s="12"/>
      <c r="M33" s="12"/>
      <c r="N33" s="12"/>
    </row>
    <row r="34" spans="8:14">
      <c r="H34" s="12"/>
      <c r="I34" s="12"/>
      <c r="J34" s="12"/>
      <c r="K34" s="12"/>
      <c r="L34" s="12"/>
      <c r="M34" s="12"/>
      <c r="N34" s="12"/>
    </row>
    <row r="35" spans="8:14">
      <c r="I35" s="12"/>
      <c r="J35" s="12"/>
      <c r="K35" s="12"/>
      <c r="L35" s="12"/>
      <c r="M35" s="12"/>
      <c r="N35" s="12"/>
    </row>
    <row r="36" spans="8:14">
      <c r="I36" s="12"/>
      <c r="J36" s="12"/>
      <c r="K36" s="12"/>
      <c r="L36" s="12"/>
      <c r="M36" s="12"/>
      <c r="N36" s="12"/>
    </row>
    <row r="37" spans="8:14">
      <c r="I37" s="12"/>
      <c r="J37" s="12"/>
      <c r="K37" s="12"/>
      <c r="L37" s="12"/>
      <c r="M37" s="12"/>
      <c r="N37" s="12"/>
    </row>
    <row r="38" spans="8:14">
      <c r="I38" s="12"/>
      <c r="J38" s="12"/>
      <c r="K38" s="12"/>
      <c r="L38" s="12"/>
      <c r="M38" s="12"/>
      <c r="N38" s="12"/>
    </row>
    <row r="39" spans="8:14">
      <c r="I39" s="12"/>
      <c r="J39" s="12"/>
      <c r="K39" s="12"/>
      <c r="L39" s="12"/>
      <c r="M39" s="12"/>
      <c r="N39" s="12"/>
    </row>
    <row r="40" spans="8:14">
      <c r="I40" s="12"/>
      <c r="J40" s="12"/>
      <c r="K40" s="12"/>
      <c r="L40" s="12"/>
      <c r="M40" s="12"/>
      <c r="N40" s="12"/>
    </row>
    <row r="41" spans="8:14">
      <c r="I41" s="12"/>
      <c r="J41" s="12"/>
      <c r="K41" s="12"/>
      <c r="L41" s="12"/>
      <c r="M41" s="12"/>
      <c r="N41" s="12"/>
    </row>
    <row r="42" spans="8:14">
      <c r="I42" s="12"/>
      <c r="J42" s="12"/>
      <c r="K42" s="12"/>
      <c r="L42" s="12"/>
      <c r="M42" s="12"/>
      <c r="N42" s="12"/>
    </row>
  </sheetData>
  <autoFilter xmlns:etc="http://www.wps.cn/officeDocument/2017/etCustomData" ref="A1:P32" etc:filterBottomFollowUsedRange="0">
    <extLst/>
  </autoFilter>
  <sortState ref="A2:P42">
    <sortCondition ref="A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topLeftCell="A35" workbookViewId="0">
      <selection activeCell="C1" sqref="C1"/>
    </sheetView>
  </sheetViews>
  <sheetFormatPr defaultColWidth="9" defaultRowHeight="13.5"/>
  <cols>
    <col min="1" max="1" width="30.0083333333333" customWidth="1"/>
    <col min="2" max="2" width="27.0083333333333" customWidth="1"/>
    <col min="3" max="3" width="30.0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13" t="s">
        <v>16</v>
      </c>
      <c r="B2" s="13" t="s">
        <v>28</v>
      </c>
      <c r="C2" s="13" t="s">
        <v>98</v>
      </c>
      <c r="D2" s="14" t="s">
        <v>99</v>
      </c>
      <c r="E2" s="14">
        <v>46052.7773367708</v>
      </c>
      <c r="F2" s="13" t="s">
        <v>24</v>
      </c>
      <c r="G2" s="13" t="s">
        <v>33</v>
      </c>
      <c r="H2" s="13">
        <v>176</v>
      </c>
      <c r="I2" s="8">
        <v>120</v>
      </c>
      <c r="J2" s="8">
        <v>120</v>
      </c>
      <c r="K2" s="8">
        <v>176</v>
      </c>
      <c r="L2" s="8">
        <v>120</v>
      </c>
      <c r="M2" s="8"/>
      <c r="N2" s="8"/>
      <c r="O2" s="8" t="s">
        <v>47</v>
      </c>
      <c r="P2" s="8" t="s">
        <v>48</v>
      </c>
    </row>
    <row r="3" ht="22.5" customHeight="1" spans="1:16">
      <c r="A3" s="13" t="s">
        <v>16</v>
      </c>
      <c r="B3" s="13" t="s">
        <v>28</v>
      </c>
      <c r="C3" s="13" t="s">
        <v>98</v>
      </c>
      <c r="D3" s="14" t="s">
        <v>99</v>
      </c>
      <c r="E3" s="14">
        <v>46052.7773367708</v>
      </c>
      <c r="F3" s="13" t="s">
        <v>20</v>
      </c>
      <c r="G3" s="13" t="s">
        <v>21</v>
      </c>
      <c r="H3" s="13">
        <v>1</v>
      </c>
      <c r="I3" s="8">
        <v>3.3</v>
      </c>
      <c r="J3" s="8">
        <f>H3*I3</f>
        <v>3.3</v>
      </c>
      <c r="K3" s="8">
        <v>1</v>
      </c>
      <c r="L3" s="8">
        <v>3.3</v>
      </c>
      <c r="M3" s="8"/>
      <c r="N3" s="8"/>
      <c r="O3" s="8" t="s">
        <v>47</v>
      </c>
      <c r="P3" s="8" t="s">
        <v>48</v>
      </c>
    </row>
    <row r="4" ht="22.5" customHeight="1" spans="1:16">
      <c r="A4" s="13" t="s">
        <v>16</v>
      </c>
      <c r="B4" s="13" t="s">
        <v>28</v>
      </c>
      <c r="C4" s="13" t="s">
        <v>100</v>
      </c>
      <c r="D4" s="14" t="s">
        <v>99</v>
      </c>
      <c r="E4" s="14">
        <v>46052.7773274653</v>
      </c>
      <c r="F4" s="13" t="s">
        <v>24</v>
      </c>
      <c r="G4" s="13" t="s">
        <v>25</v>
      </c>
      <c r="H4" s="13">
        <v>9</v>
      </c>
      <c r="I4" s="8">
        <v>3.3</v>
      </c>
      <c r="J4" s="8">
        <f t="shared" ref="J4:J10" si="0">H4*I4</f>
        <v>29.7</v>
      </c>
      <c r="K4" s="8">
        <v>9</v>
      </c>
      <c r="L4" s="8">
        <v>29.7</v>
      </c>
      <c r="M4" s="8"/>
      <c r="N4" s="8"/>
      <c r="O4" s="8" t="s">
        <v>47</v>
      </c>
      <c r="P4" s="8" t="s">
        <v>48</v>
      </c>
    </row>
    <row r="5" ht="22.5" customHeight="1" spans="1:16">
      <c r="A5" s="13" t="s">
        <v>16</v>
      </c>
      <c r="B5" s="13" t="s">
        <v>28</v>
      </c>
      <c r="C5" s="13" t="s">
        <v>100</v>
      </c>
      <c r="D5" s="14" t="s">
        <v>99</v>
      </c>
      <c r="E5" s="14">
        <v>46052.7773274653</v>
      </c>
      <c r="F5" s="13" t="s">
        <v>20</v>
      </c>
      <c r="G5" s="13" t="s">
        <v>21</v>
      </c>
      <c r="H5" s="13">
        <v>1</v>
      </c>
      <c r="I5" s="8">
        <v>3.3</v>
      </c>
      <c r="J5" s="8">
        <f t="shared" si="0"/>
        <v>3.3</v>
      </c>
      <c r="K5" s="8">
        <v>1</v>
      </c>
      <c r="L5" s="8">
        <v>3.3</v>
      </c>
      <c r="M5" s="8"/>
      <c r="N5" s="8"/>
      <c r="O5" s="8" t="s">
        <v>47</v>
      </c>
      <c r="P5" s="8" t="s">
        <v>48</v>
      </c>
    </row>
    <row r="6" ht="22.5" customHeight="1" spans="1:16">
      <c r="A6" s="13" t="s">
        <v>16</v>
      </c>
      <c r="B6" s="13" t="s">
        <v>28</v>
      </c>
      <c r="C6" s="13" t="s">
        <v>101</v>
      </c>
      <c r="D6" s="14" t="s">
        <v>99</v>
      </c>
      <c r="E6" s="14">
        <v>46052.7773310995</v>
      </c>
      <c r="F6" s="13" t="s">
        <v>24</v>
      </c>
      <c r="G6" s="13" t="s">
        <v>25</v>
      </c>
      <c r="H6" s="13">
        <v>11</v>
      </c>
      <c r="I6" s="8">
        <v>3.3</v>
      </c>
      <c r="J6" s="8">
        <f t="shared" si="0"/>
        <v>36.3</v>
      </c>
      <c r="K6" s="8">
        <v>11</v>
      </c>
      <c r="L6" s="8">
        <v>36.3</v>
      </c>
      <c r="M6" s="8"/>
      <c r="N6" s="8"/>
      <c r="O6" s="8" t="s">
        <v>47</v>
      </c>
      <c r="P6" s="8" t="s">
        <v>48</v>
      </c>
    </row>
    <row r="7" ht="22.5" customHeight="1" spans="1:16">
      <c r="A7" s="13" t="s">
        <v>16</v>
      </c>
      <c r="B7" s="13" t="s">
        <v>28</v>
      </c>
      <c r="C7" s="13" t="s">
        <v>101</v>
      </c>
      <c r="D7" s="14" t="s">
        <v>99</v>
      </c>
      <c r="E7" s="14">
        <v>46052.7773310995</v>
      </c>
      <c r="F7" s="13" t="s">
        <v>20</v>
      </c>
      <c r="G7" s="13" t="s">
        <v>21</v>
      </c>
      <c r="H7" s="13">
        <v>1</v>
      </c>
      <c r="I7" s="8">
        <v>3.3</v>
      </c>
      <c r="J7" s="8">
        <f t="shared" si="0"/>
        <v>3.3</v>
      </c>
      <c r="K7" s="8">
        <v>1</v>
      </c>
      <c r="L7" s="8">
        <v>3.3</v>
      </c>
      <c r="M7" s="8"/>
      <c r="N7" s="8"/>
      <c r="O7" s="8" t="s">
        <v>47</v>
      </c>
      <c r="P7" s="8" t="s">
        <v>48</v>
      </c>
    </row>
    <row r="8" ht="22.5" customHeight="1" spans="1:16">
      <c r="A8" s="13" t="s">
        <v>16</v>
      </c>
      <c r="B8" s="13" t="s">
        <v>28</v>
      </c>
      <c r="C8" s="13" t="s">
        <v>102</v>
      </c>
      <c r="D8" s="14" t="s">
        <v>99</v>
      </c>
      <c r="E8" s="14">
        <v>46052.7773338773</v>
      </c>
      <c r="F8" s="13" t="s">
        <v>20</v>
      </c>
      <c r="G8" s="13" t="s">
        <v>21</v>
      </c>
      <c r="H8" s="13">
        <v>1</v>
      </c>
      <c r="I8" s="8">
        <v>3.3</v>
      </c>
      <c r="J8" s="8">
        <f t="shared" si="0"/>
        <v>3.3</v>
      </c>
      <c r="K8" s="8">
        <v>1</v>
      </c>
      <c r="L8" s="8">
        <v>3.3</v>
      </c>
      <c r="M8" s="8"/>
      <c r="N8" s="8"/>
      <c r="O8" s="8" t="s">
        <v>47</v>
      </c>
      <c r="P8" s="8" t="s">
        <v>48</v>
      </c>
    </row>
    <row r="9" ht="22.5" customHeight="1" spans="1:16">
      <c r="A9" s="13" t="s">
        <v>16</v>
      </c>
      <c r="B9" s="13" t="s">
        <v>28</v>
      </c>
      <c r="C9" s="13" t="s">
        <v>102</v>
      </c>
      <c r="D9" s="14" t="s">
        <v>99</v>
      </c>
      <c r="E9" s="14">
        <v>46052.7773338773</v>
      </c>
      <c r="F9" s="13" t="s">
        <v>24</v>
      </c>
      <c r="G9" s="13" t="s">
        <v>25</v>
      </c>
      <c r="H9" s="13">
        <v>22</v>
      </c>
      <c r="I9" s="8">
        <v>3.3</v>
      </c>
      <c r="J9" s="8">
        <f t="shared" si="0"/>
        <v>72.6</v>
      </c>
      <c r="K9" s="8">
        <v>22</v>
      </c>
      <c r="L9" s="8">
        <v>72.6</v>
      </c>
      <c r="M9" s="8"/>
      <c r="N9" s="8"/>
      <c r="O9" s="8" t="s">
        <v>47</v>
      </c>
      <c r="P9" s="8" t="s">
        <v>48</v>
      </c>
    </row>
    <row r="10" ht="22.5" customHeight="1" spans="1:16">
      <c r="A10" s="13" t="s">
        <v>16</v>
      </c>
      <c r="B10" s="13" t="s">
        <v>28</v>
      </c>
      <c r="C10" s="13" t="s">
        <v>103</v>
      </c>
      <c r="D10" s="14" t="s">
        <v>104</v>
      </c>
      <c r="E10" s="14">
        <v>46052.7314626505</v>
      </c>
      <c r="F10" s="13" t="s">
        <v>24</v>
      </c>
      <c r="G10" s="13" t="s">
        <v>34</v>
      </c>
      <c r="H10" s="13">
        <v>5</v>
      </c>
      <c r="I10" s="8">
        <v>3.3</v>
      </c>
      <c r="J10" s="8">
        <f t="shared" si="0"/>
        <v>16.5</v>
      </c>
      <c r="K10" s="8">
        <v>5</v>
      </c>
      <c r="L10" s="8">
        <v>16.5</v>
      </c>
      <c r="M10" s="8"/>
      <c r="N10" s="8"/>
      <c r="O10" s="8" t="s">
        <v>47</v>
      </c>
      <c r="P10" s="8" t="s">
        <v>105</v>
      </c>
    </row>
    <row r="11" ht="22.5" customHeight="1" spans="1:16">
      <c r="A11" s="13" t="s">
        <v>16</v>
      </c>
      <c r="B11" s="13" t="s">
        <v>28</v>
      </c>
      <c r="C11" s="13" t="s">
        <v>103</v>
      </c>
      <c r="D11" s="14" t="s">
        <v>104</v>
      </c>
      <c r="E11" s="14">
        <v>46052.7314626505</v>
      </c>
      <c r="F11" s="13" t="s">
        <v>24</v>
      </c>
      <c r="G11" s="13" t="s">
        <v>33</v>
      </c>
      <c r="H11" s="13">
        <v>158</v>
      </c>
      <c r="I11" s="8">
        <v>120</v>
      </c>
      <c r="J11" s="8">
        <v>120</v>
      </c>
      <c r="K11" s="8">
        <v>158</v>
      </c>
      <c r="L11" s="8">
        <v>120</v>
      </c>
      <c r="M11" s="8"/>
      <c r="N11" s="8"/>
      <c r="O11" s="8" t="s">
        <v>47</v>
      </c>
      <c r="P11" s="8" t="s">
        <v>105</v>
      </c>
    </row>
    <row r="12" ht="22.5" customHeight="1" spans="1:16">
      <c r="A12" s="13" t="s">
        <v>16</v>
      </c>
      <c r="B12" s="13" t="s">
        <v>28</v>
      </c>
      <c r="C12" s="13" t="s">
        <v>103</v>
      </c>
      <c r="D12" s="14" t="s">
        <v>104</v>
      </c>
      <c r="E12" s="14">
        <v>46052.7314626505</v>
      </c>
      <c r="F12" s="13" t="s">
        <v>24</v>
      </c>
      <c r="G12" s="13" t="s">
        <v>25</v>
      </c>
      <c r="H12" s="13">
        <v>13</v>
      </c>
      <c r="I12" s="8">
        <v>3.3</v>
      </c>
      <c r="J12" s="8">
        <f>H12*I12</f>
        <v>42.9</v>
      </c>
      <c r="K12" s="8">
        <v>13</v>
      </c>
      <c r="L12" s="8">
        <v>42.9</v>
      </c>
      <c r="M12" s="8"/>
      <c r="N12" s="8"/>
      <c r="O12" s="8" t="s">
        <v>47</v>
      </c>
      <c r="P12" s="8" t="s">
        <v>105</v>
      </c>
    </row>
    <row r="13" ht="22.5" customHeight="1" spans="1:16">
      <c r="A13" s="13" t="s">
        <v>16</v>
      </c>
      <c r="B13" s="13" t="s">
        <v>28</v>
      </c>
      <c r="C13" s="13" t="s">
        <v>103</v>
      </c>
      <c r="D13" s="14" t="s">
        <v>104</v>
      </c>
      <c r="E13" s="14">
        <v>46052.7314626505</v>
      </c>
      <c r="F13" s="13" t="s">
        <v>20</v>
      </c>
      <c r="G13" s="13" t="s">
        <v>21</v>
      </c>
      <c r="H13" s="13">
        <v>1</v>
      </c>
      <c r="I13" s="8">
        <v>3.3</v>
      </c>
      <c r="J13" s="8">
        <f>H13*I13</f>
        <v>3.3</v>
      </c>
      <c r="K13" s="8">
        <v>1</v>
      </c>
      <c r="L13" s="8">
        <v>3.3</v>
      </c>
      <c r="M13" s="8"/>
      <c r="N13" s="8"/>
      <c r="O13" s="8" t="s">
        <v>47</v>
      </c>
      <c r="P13" s="8" t="s">
        <v>105</v>
      </c>
    </row>
    <row r="14" ht="22.5" customHeight="1" spans="1:16">
      <c r="A14" s="13" t="s">
        <v>16</v>
      </c>
      <c r="B14" s="13" t="s">
        <v>28</v>
      </c>
      <c r="C14" s="13" t="s">
        <v>106</v>
      </c>
      <c r="D14" s="14" t="s">
        <v>107</v>
      </c>
      <c r="E14" s="14">
        <v>46051.5000058681</v>
      </c>
      <c r="F14" s="13" t="s">
        <v>24</v>
      </c>
      <c r="G14" s="13" t="s">
        <v>34</v>
      </c>
      <c r="H14" s="13">
        <v>5</v>
      </c>
      <c r="I14" s="8">
        <v>3.3</v>
      </c>
      <c r="J14" s="8">
        <f>H14*I14</f>
        <v>16.5</v>
      </c>
      <c r="K14" s="8">
        <v>5</v>
      </c>
      <c r="L14" s="8">
        <v>16.5</v>
      </c>
      <c r="M14" s="8"/>
      <c r="N14" s="8"/>
      <c r="O14" s="8" t="s">
        <v>47</v>
      </c>
      <c r="P14" s="8" t="s">
        <v>108</v>
      </c>
    </row>
    <row r="15" ht="22.5" customHeight="1" spans="1:16">
      <c r="A15" s="13" t="s">
        <v>16</v>
      </c>
      <c r="B15" s="13" t="s">
        <v>28</v>
      </c>
      <c r="C15" s="13" t="s">
        <v>106</v>
      </c>
      <c r="D15" s="14" t="s">
        <v>107</v>
      </c>
      <c r="E15" s="14">
        <v>46051.5000058681</v>
      </c>
      <c r="F15" s="13" t="s">
        <v>24</v>
      </c>
      <c r="G15" s="13" t="s">
        <v>33</v>
      </c>
      <c r="H15" s="13">
        <v>158</v>
      </c>
      <c r="I15" s="8">
        <v>120</v>
      </c>
      <c r="J15" s="8">
        <v>120</v>
      </c>
      <c r="K15" s="8">
        <v>158</v>
      </c>
      <c r="L15" s="8">
        <v>120</v>
      </c>
      <c r="M15" s="8"/>
      <c r="N15" s="8"/>
      <c r="O15" s="8" t="s">
        <v>47</v>
      </c>
      <c r="P15" s="8" t="s">
        <v>108</v>
      </c>
    </row>
    <row r="16" ht="22.5" customHeight="1" spans="1:16">
      <c r="A16" s="13" t="s">
        <v>16</v>
      </c>
      <c r="B16" s="13" t="s">
        <v>28</v>
      </c>
      <c r="C16" s="13" t="s">
        <v>106</v>
      </c>
      <c r="D16" s="14" t="s">
        <v>107</v>
      </c>
      <c r="E16" s="14">
        <v>46051.5000058681</v>
      </c>
      <c r="F16" s="13" t="s">
        <v>24</v>
      </c>
      <c r="G16" s="13" t="s">
        <v>25</v>
      </c>
      <c r="H16" s="13">
        <v>14</v>
      </c>
      <c r="I16" s="8">
        <v>3.3</v>
      </c>
      <c r="J16" s="8">
        <f t="shared" ref="J16:J21" si="1">H16*I16</f>
        <v>46.2</v>
      </c>
      <c r="K16" s="8">
        <v>14</v>
      </c>
      <c r="L16" s="8">
        <v>46.2</v>
      </c>
      <c r="M16" s="8"/>
      <c r="N16" s="8"/>
      <c r="O16" s="8" t="s">
        <v>47</v>
      </c>
      <c r="P16" s="8" t="s">
        <v>108</v>
      </c>
    </row>
    <row r="17" ht="22.5" customHeight="1" spans="1:16">
      <c r="A17" s="13" t="s">
        <v>16</v>
      </c>
      <c r="B17" s="13" t="s">
        <v>28</v>
      </c>
      <c r="C17" s="13" t="s">
        <v>106</v>
      </c>
      <c r="D17" s="14" t="s">
        <v>107</v>
      </c>
      <c r="E17" s="14">
        <v>46051.5000058681</v>
      </c>
      <c r="F17" s="13" t="s">
        <v>20</v>
      </c>
      <c r="G17" s="13" t="s">
        <v>21</v>
      </c>
      <c r="H17" s="13">
        <v>1</v>
      </c>
      <c r="I17" s="8">
        <v>3.3</v>
      </c>
      <c r="J17" s="8">
        <f t="shared" si="1"/>
        <v>3.3</v>
      </c>
      <c r="K17" s="8">
        <v>1</v>
      </c>
      <c r="L17" s="8">
        <v>3.3</v>
      </c>
      <c r="M17" s="8"/>
      <c r="N17" s="8"/>
      <c r="O17" s="8" t="s">
        <v>47</v>
      </c>
      <c r="P17" s="8" t="s">
        <v>108</v>
      </c>
    </row>
    <row r="18" ht="22.5" customHeight="1" spans="1:16">
      <c r="A18" s="13" t="s">
        <v>35</v>
      </c>
      <c r="B18" s="13" t="s">
        <v>36</v>
      </c>
      <c r="C18" s="13" t="s">
        <v>109</v>
      </c>
      <c r="D18" s="14" t="s">
        <v>110</v>
      </c>
      <c r="E18" s="14">
        <v>46051.6682553588</v>
      </c>
      <c r="F18" s="13" t="s">
        <v>24</v>
      </c>
      <c r="G18" s="13" t="s">
        <v>42</v>
      </c>
      <c r="H18" s="13">
        <v>37</v>
      </c>
      <c r="I18" s="8">
        <v>3.3</v>
      </c>
      <c r="J18" s="8">
        <f t="shared" si="1"/>
        <v>122.1</v>
      </c>
      <c r="K18" s="8">
        <v>37</v>
      </c>
      <c r="L18" s="8">
        <v>122.1</v>
      </c>
      <c r="M18" s="8"/>
      <c r="N18" s="8"/>
      <c r="O18" s="8" t="s">
        <v>39</v>
      </c>
      <c r="P18" s="8" t="s">
        <v>40</v>
      </c>
    </row>
    <row r="19" ht="22.5" customHeight="1" spans="1:16">
      <c r="A19" s="13" t="s">
        <v>35</v>
      </c>
      <c r="B19" s="13" t="s">
        <v>36</v>
      </c>
      <c r="C19" s="13" t="s">
        <v>109</v>
      </c>
      <c r="D19" s="14" t="s">
        <v>110</v>
      </c>
      <c r="E19" s="14">
        <v>46051.6682553588</v>
      </c>
      <c r="F19" s="13" t="s">
        <v>24</v>
      </c>
      <c r="G19" s="13" t="s">
        <v>34</v>
      </c>
      <c r="H19" s="13">
        <v>7</v>
      </c>
      <c r="I19" s="8">
        <v>3.3</v>
      </c>
      <c r="J19" s="8">
        <f t="shared" si="1"/>
        <v>23.1</v>
      </c>
      <c r="K19" s="8">
        <v>7</v>
      </c>
      <c r="L19" s="8">
        <v>23.1</v>
      </c>
      <c r="M19" s="8"/>
      <c r="N19" s="8"/>
      <c r="O19" s="8" t="s">
        <v>39</v>
      </c>
      <c r="P19" s="8" t="s">
        <v>40</v>
      </c>
    </row>
    <row r="20" ht="22.5" customHeight="1" spans="1:16">
      <c r="A20" s="13" t="s">
        <v>35</v>
      </c>
      <c r="B20" s="13" t="s">
        <v>36</v>
      </c>
      <c r="C20" s="13" t="s">
        <v>109</v>
      </c>
      <c r="D20" s="14" t="s">
        <v>110</v>
      </c>
      <c r="E20" s="14">
        <v>46051.6682553588</v>
      </c>
      <c r="F20" s="13" t="s">
        <v>20</v>
      </c>
      <c r="G20" s="13" t="s">
        <v>21</v>
      </c>
      <c r="H20" s="13">
        <v>1</v>
      </c>
      <c r="I20" s="8">
        <v>3.3</v>
      </c>
      <c r="J20" s="8">
        <f t="shared" si="1"/>
        <v>3.3</v>
      </c>
      <c r="K20" s="8">
        <v>1</v>
      </c>
      <c r="L20" s="8">
        <v>3.3</v>
      </c>
      <c r="M20" s="8"/>
      <c r="N20" s="8"/>
      <c r="O20" s="8" t="s">
        <v>39</v>
      </c>
      <c r="P20" s="8" t="s">
        <v>40</v>
      </c>
    </row>
    <row r="21" ht="22.5" customHeight="1" spans="1:16">
      <c r="A21" s="13" t="s">
        <v>35</v>
      </c>
      <c r="B21" s="13" t="s">
        <v>36</v>
      </c>
      <c r="C21" s="13" t="s">
        <v>111</v>
      </c>
      <c r="D21" s="14" t="s">
        <v>110</v>
      </c>
      <c r="E21" s="14">
        <v>46051.6682423958</v>
      </c>
      <c r="F21" s="13" t="s">
        <v>20</v>
      </c>
      <c r="G21" s="13" t="s">
        <v>21</v>
      </c>
      <c r="H21" s="13">
        <v>1</v>
      </c>
      <c r="I21" s="8">
        <v>3.3</v>
      </c>
      <c r="J21" s="8">
        <f t="shared" si="1"/>
        <v>3.3</v>
      </c>
      <c r="K21" s="8">
        <v>1</v>
      </c>
      <c r="L21" s="8">
        <v>3.3</v>
      </c>
      <c r="M21" s="8"/>
      <c r="N21" s="8"/>
      <c r="O21" s="8" t="s">
        <v>39</v>
      </c>
      <c r="P21" s="8" t="s">
        <v>40</v>
      </c>
    </row>
    <row r="22" ht="22.5" customHeight="1" spans="1:16">
      <c r="A22" s="13" t="s">
        <v>35</v>
      </c>
      <c r="B22" s="13" t="s">
        <v>36</v>
      </c>
      <c r="C22" s="13" t="s">
        <v>111</v>
      </c>
      <c r="D22" s="14" t="s">
        <v>110</v>
      </c>
      <c r="E22" s="14">
        <v>46051.6682423958</v>
      </c>
      <c r="F22" s="13" t="s">
        <v>24</v>
      </c>
      <c r="G22" s="13" t="s">
        <v>33</v>
      </c>
      <c r="H22" s="13">
        <v>230</v>
      </c>
      <c r="I22" s="8">
        <v>120</v>
      </c>
      <c r="J22" s="8">
        <v>120</v>
      </c>
      <c r="K22" s="8">
        <v>230</v>
      </c>
      <c r="L22" s="8">
        <v>120</v>
      </c>
      <c r="M22" s="8"/>
      <c r="N22" s="8"/>
      <c r="O22" s="8" t="s">
        <v>39</v>
      </c>
      <c r="P22" s="8" t="s">
        <v>40</v>
      </c>
    </row>
    <row r="23" ht="22.5" customHeight="1" spans="1:16">
      <c r="A23" s="13" t="s">
        <v>35</v>
      </c>
      <c r="B23" s="13" t="s">
        <v>36</v>
      </c>
      <c r="C23" s="13" t="s">
        <v>112</v>
      </c>
      <c r="D23" s="14" t="s">
        <v>110</v>
      </c>
      <c r="E23" s="14">
        <v>46051.6682457176</v>
      </c>
      <c r="F23" s="13" t="s">
        <v>20</v>
      </c>
      <c r="G23" s="13" t="s">
        <v>21</v>
      </c>
      <c r="H23" s="13">
        <v>1</v>
      </c>
      <c r="I23" s="8">
        <v>3.3</v>
      </c>
      <c r="J23" s="8">
        <f>H23*I23</f>
        <v>3.3</v>
      </c>
      <c r="K23" s="8">
        <v>1</v>
      </c>
      <c r="L23" s="8">
        <v>3.3</v>
      </c>
      <c r="M23" s="8"/>
      <c r="N23" s="8"/>
      <c r="O23" s="8" t="s">
        <v>39</v>
      </c>
      <c r="P23" s="8" t="s">
        <v>40</v>
      </c>
    </row>
    <row r="24" ht="22.5" customHeight="1" spans="1:16">
      <c r="A24" s="13" t="s">
        <v>35</v>
      </c>
      <c r="B24" s="13" t="s">
        <v>36</v>
      </c>
      <c r="C24" s="13" t="s">
        <v>112</v>
      </c>
      <c r="D24" s="14" t="s">
        <v>110</v>
      </c>
      <c r="E24" s="14">
        <v>46051.6682457176</v>
      </c>
      <c r="F24" s="13" t="s">
        <v>24</v>
      </c>
      <c r="G24" s="13" t="s">
        <v>33</v>
      </c>
      <c r="H24" s="13">
        <v>133</v>
      </c>
      <c r="I24" s="8">
        <v>30</v>
      </c>
      <c r="J24" s="8">
        <v>30</v>
      </c>
      <c r="K24" s="8">
        <v>83</v>
      </c>
      <c r="L24" s="8">
        <v>30</v>
      </c>
      <c r="M24" s="8">
        <f>H24-K24</f>
        <v>50</v>
      </c>
      <c r="N24" s="8"/>
      <c r="O24" s="8" t="s">
        <v>39</v>
      </c>
      <c r="P24" s="8" t="s">
        <v>40</v>
      </c>
    </row>
    <row r="25" ht="22.5" customHeight="1" spans="1:16">
      <c r="A25" s="13" t="s">
        <v>35</v>
      </c>
      <c r="B25" s="13" t="s">
        <v>36</v>
      </c>
      <c r="C25" s="13" t="s">
        <v>113</v>
      </c>
      <c r="D25" s="14" t="s">
        <v>110</v>
      </c>
      <c r="E25" s="14">
        <v>46051.6682489236</v>
      </c>
      <c r="F25" s="13" t="s">
        <v>24</v>
      </c>
      <c r="G25" s="13" t="s">
        <v>42</v>
      </c>
      <c r="H25" s="13">
        <v>20</v>
      </c>
      <c r="I25" s="8">
        <v>3.3</v>
      </c>
      <c r="J25" s="8">
        <f>H25*I25</f>
        <v>66</v>
      </c>
      <c r="K25" s="8">
        <v>20</v>
      </c>
      <c r="L25" s="8">
        <v>66</v>
      </c>
      <c r="M25" s="8"/>
      <c r="N25" s="8"/>
      <c r="O25" s="8" t="s">
        <v>39</v>
      </c>
      <c r="P25" s="8" t="s">
        <v>40</v>
      </c>
    </row>
    <row r="26" ht="22.5" customHeight="1" spans="1:16">
      <c r="A26" s="13" t="s">
        <v>35</v>
      </c>
      <c r="B26" s="13" t="s">
        <v>36</v>
      </c>
      <c r="C26" s="13" t="s">
        <v>113</v>
      </c>
      <c r="D26" s="14" t="s">
        <v>110</v>
      </c>
      <c r="E26" s="14">
        <v>46051.6682489236</v>
      </c>
      <c r="F26" s="13" t="s">
        <v>20</v>
      </c>
      <c r="G26" s="13" t="s">
        <v>21</v>
      </c>
      <c r="H26" s="13">
        <v>1</v>
      </c>
      <c r="I26" s="8">
        <v>3.3</v>
      </c>
      <c r="J26" s="8">
        <f>H26*I26</f>
        <v>3.3</v>
      </c>
      <c r="K26" s="8">
        <v>1</v>
      </c>
      <c r="L26" s="8">
        <v>3.3</v>
      </c>
      <c r="M26" s="8"/>
      <c r="N26" s="8"/>
      <c r="O26" s="8" t="s">
        <v>39</v>
      </c>
      <c r="P26" s="8" t="s">
        <v>40</v>
      </c>
    </row>
    <row r="27" ht="22.5" customHeight="1" spans="1:16">
      <c r="A27" s="13" t="s">
        <v>35</v>
      </c>
      <c r="B27" s="13" t="s">
        <v>36</v>
      </c>
      <c r="C27" s="13" t="s">
        <v>113</v>
      </c>
      <c r="D27" s="14" t="s">
        <v>110</v>
      </c>
      <c r="E27" s="14">
        <v>46051.6682489236</v>
      </c>
      <c r="F27" s="13" t="s">
        <v>24</v>
      </c>
      <c r="G27" s="13" t="s">
        <v>33</v>
      </c>
      <c r="H27" s="13">
        <v>38</v>
      </c>
      <c r="I27" s="8">
        <v>30</v>
      </c>
      <c r="J27" s="8">
        <v>30</v>
      </c>
      <c r="K27" s="8"/>
      <c r="L27" s="8"/>
      <c r="M27" s="8">
        <v>38</v>
      </c>
      <c r="N27" s="8">
        <v>30</v>
      </c>
      <c r="O27" s="8" t="s">
        <v>39</v>
      </c>
      <c r="P27" s="8" t="s">
        <v>40</v>
      </c>
    </row>
    <row r="28" ht="22.5" customHeight="1" spans="1:16">
      <c r="A28" s="13" t="s">
        <v>35</v>
      </c>
      <c r="B28" s="13" t="s">
        <v>36</v>
      </c>
      <c r="C28" s="13" t="s">
        <v>114</v>
      </c>
      <c r="D28" s="14" t="s">
        <v>115</v>
      </c>
      <c r="E28" s="14">
        <v>46051.6682457176</v>
      </c>
      <c r="F28" s="13" t="s">
        <v>20</v>
      </c>
      <c r="G28" s="13" t="s">
        <v>21</v>
      </c>
      <c r="H28" s="13">
        <v>1</v>
      </c>
      <c r="I28" s="8">
        <v>3.3</v>
      </c>
      <c r="J28" s="8">
        <f>H28*I28</f>
        <v>3.3</v>
      </c>
      <c r="K28" s="8">
        <v>1</v>
      </c>
      <c r="L28" s="8">
        <v>3.3</v>
      </c>
      <c r="M28" s="8"/>
      <c r="N28" s="8"/>
      <c r="O28" s="8" t="s">
        <v>39</v>
      </c>
      <c r="P28" s="8" t="s">
        <v>40</v>
      </c>
    </row>
    <row r="29" ht="22.5" customHeight="1" spans="1:16">
      <c r="A29" s="13" t="s">
        <v>35</v>
      </c>
      <c r="B29" s="13" t="s">
        <v>36</v>
      </c>
      <c r="C29" s="13" t="s">
        <v>114</v>
      </c>
      <c r="D29" s="14" t="s">
        <v>115</v>
      </c>
      <c r="E29" s="14">
        <v>46051.6682457176</v>
      </c>
      <c r="F29" s="13" t="s">
        <v>24</v>
      </c>
      <c r="G29" s="13" t="s">
        <v>33</v>
      </c>
      <c r="H29" s="13">
        <v>239</v>
      </c>
      <c r="I29" s="8">
        <v>120</v>
      </c>
      <c r="J29" s="8">
        <v>120</v>
      </c>
      <c r="K29" s="8">
        <v>239</v>
      </c>
      <c r="L29" s="8">
        <v>120</v>
      </c>
      <c r="M29" s="8"/>
      <c r="N29" s="8"/>
      <c r="O29" s="8" t="s">
        <v>39</v>
      </c>
      <c r="P29" s="8" t="s">
        <v>40</v>
      </c>
    </row>
    <row r="30" ht="22.5" customHeight="1" spans="1:16">
      <c r="A30" s="13" t="s">
        <v>35</v>
      </c>
      <c r="B30" s="13" t="s">
        <v>36</v>
      </c>
      <c r="C30" s="13" t="s">
        <v>116</v>
      </c>
      <c r="D30" s="14" t="s">
        <v>115</v>
      </c>
      <c r="E30" s="14">
        <v>46051.6682489236</v>
      </c>
      <c r="F30" s="13" t="s">
        <v>24</v>
      </c>
      <c r="G30" s="13" t="s">
        <v>34</v>
      </c>
      <c r="H30" s="13">
        <v>7</v>
      </c>
      <c r="I30" s="8">
        <v>3.3</v>
      </c>
      <c r="J30" s="8">
        <f>H30*I30</f>
        <v>23.1</v>
      </c>
      <c r="K30" s="8">
        <v>7</v>
      </c>
      <c r="L30" s="8">
        <v>23.1</v>
      </c>
      <c r="M30" s="8"/>
      <c r="N30" s="8"/>
      <c r="O30" s="8" t="s">
        <v>39</v>
      </c>
      <c r="P30" s="8" t="s">
        <v>40</v>
      </c>
    </row>
    <row r="31" ht="22.5" customHeight="1" spans="1:16">
      <c r="A31" s="13" t="s">
        <v>35</v>
      </c>
      <c r="B31" s="13" t="s">
        <v>36</v>
      </c>
      <c r="C31" s="13" t="s">
        <v>116</v>
      </c>
      <c r="D31" s="14" t="s">
        <v>115</v>
      </c>
      <c r="E31" s="14">
        <v>46051.6682489236</v>
      </c>
      <c r="F31" s="13" t="s">
        <v>24</v>
      </c>
      <c r="G31" s="13" t="s">
        <v>25</v>
      </c>
      <c r="H31" s="13">
        <v>30</v>
      </c>
      <c r="I31" s="8">
        <v>3.3</v>
      </c>
      <c r="J31" s="8">
        <f>H31*I31</f>
        <v>99</v>
      </c>
      <c r="K31" s="8">
        <v>30</v>
      </c>
      <c r="L31" s="8">
        <v>99</v>
      </c>
      <c r="M31" s="8"/>
      <c r="N31" s="8"/>
      <c r="O31" s="8" t="s">
        <v>39</v>
      </c>
      <c r="P31" s="8" t="s">
        <v>40</v>
      </c>
    </row>
    <row r="32" ht="22.5" customHeight="1" spans="1:16">
      <c r="A32" s="13" t="s">
        <v>35</v>
      </c>
      <c r="B32" s="13" t="s">
        <v>36</v>
      </c>
      <c r="C32" s="13" t="s">
        <v>116</v>
      </c>
      <c r="D32" s="14" t="s">
        <v>115</v>
      </c>
      <c r="E32" s="14">
        <v>46051.6682489236</v>
      </c>
      <c r="F32" s="13" t="s">
        <v>20</v>
      </c>
      <c r="G32" s="13" t="s">
        <v>21</v>
      </c>
      <c r="H32" s="13">
        <v>1</v>
      </c>
      <c r="I32" s="8">
        <v>3.3</v>
      </c>
      <c r="J32" s="8">
        <f>H32*I32</f>
        <v>3.3</v>
      </c>
      <c r="K32" s="8">
        <v>1</v>
      </c>
      <c r="L32" s="8">
        <v>3.3</v>
      </c>
      <c r="M32" s="8"/>
      <c r="N32" s="8"/>
      <c r="O32" s="8" t="s">
        <v>39</v>
      </c>
      <c r="P32" s="8" t="s">
        <v>40</v>
      </c>
    </row>
    <row r="33" ht="22.5" customHeight="1" spans="1:16">
      <c r="A33" s="13" t="s">
        <v>35</v>
      </c>
      <c r="B33" s="13" t="s">
        <v>36</v>
      </c>
      <c r="C33" s="13" t="s">
        <v>117</v>
      </c>
      <c r="D33" s="14" t="s">
        <v>115</v>
      </c>
      <c r="E33" s="14">
        <v>46051.6682520833</v>
      </c>
      <c r="F33" s="13" t="s">
        <v>20</v>
      </c>
      <c r="G33" s="13" t="s">
        <v>21</v>
      </c>
      <c r="H33" s="13">
        <v>1</v>
      </c>
      <c r="I33" s="8">
        <v>3.3</v>
      </c>
      <c r="J33" s="8">
        <f>H33*I33</f>
        <v>3.3</v>
      </c>
      <c r="K33" s="8">
        <v>1</v>
      </c>
      <c r="L33" s="8">
        <v>3.3</v>
      </c>
      <c r="M33" s="8"/>
      <c r="N33" s="8"/>
      <c r="O33" s="8" t="s">
        <v>39</v>
      </c>
      <c r="P33" s="8" t="s">
        <v>40</v>
      </c>
    </row>
    <row r="34" ht="22.5" customHeight="1" spans="1:16">
      <c r="A34" s="13" t="s">
        <v>35</v>
      </c>
      <c r="B34" s="13" t="s">
        <v>36</v>
      </c>
      <c r="C34" s="13" t="s">
        <v>117</v>
      </c>
      <c r="D34" s="14" t="s">
        <v>115</v>
      </c>
      <c r="E34" s="14">
        <v>46051.6682520833</v>
      </c>
      <c r="F34" s="13" t="s">
        <v>24</v>
      </c>
      <c r="G34" s="13" t="s">
        <v>33</v>
      </c>
      <c r="H34" s="13">
        <v>107</v>
      </c>
      <c r="I34" s="8">
        <v>30</v>
      </c>
      <c r="J34" s="8">
        <v>30</v>
      </c>
      <c r="K34" s="8">
        <v>107</v>
      </c>
      <c r="L34" s="8">
        <v>30</v>
      </c>
      <c r="M34" s="8"/>
      <c r="N34" s="8"/>
      <c r="O34" s="8" t="s">
        <v>39</v>
      </c>
      <c r="P34" s="8" t="s">
        <v>40</v>
      </c>
    </row>
    <row r="35" ht="22.5" customHeight="1" spans="1:16">
      <c r="A35" s="13" t="s">
        <v>35</v>
      </c>
      <c r="B35" s="13" t="s">
        <v>36</v>
      </c>
      <c r="C35" s="13" t="s">
        <v>117</v>
      </c>
      <c r="D35" s="14" t="s">
        <v>115</v>
      </c>
      <c r="E35" s="14">
        <v>46051.6682520833</v>
      </c>
      <c r="F35" s="13" t="s">
        <v>24</v>
      </c>
      <c r="G35" s="13" t="s">
        <v>25</v>
      </c>
      <c r="H35" s="13">
        <v>16</v>
      </c>
      <c r="I35" s="8">
        <v>3.3</v>
      </c>
      <c r="J35" s="8">
        <f>H35*I35</f>
        <v>52.8</v>
      </c>
      <c r="K35" s="8">
        <v>16</v>
      </c>
      <c r="L35" s="8">
        <v>52.8</v>
      </c>
      <c r="M35" s="8"/>
      <c r="N35" s="8"/>
      <c r="O35" s="8" t="s">
        <v>39</v>
      </c>
      <c r="P35" s="8" t="s">
        <v>40</v>
      </c>
    </row>
    <row r="36" ht="22.5" customHeight="1" spans="1:16">
      <c r="A36" s="13" t="s">
        <v>35</v>
      </c>
      <c r="B36" s="13" t="s">
        <v>36</v>
      </c>
      <c r="C36" s="13" t="s">
        <v>118</v>
      </c>
      <c r="D36" s="14" t="s">
        <v>119</v>
      </c>
      <c r="E36" s="14">
        <v>46051.5002989583</v>
      </c>
      <c r="F36" s="13" t="s">
        <v>24</v>
      </c>
      <c r="G36" s="13" t="s">
        <v>71</v>
      </c>
      <c r="H36" s="13">
        <v>64</v>
      </c>
      <c r="I36" s="8">
        <v>120</v>
      </c>
      <c r="J36" s="8">
        <v>120</v>
      </c>
      <c r="K36" s="8">
        <v>64</v>
      </c>
      <c r="L36" s="8">
        <v>120</v>
      </c>
      <c r="M36" s="8"/>
      <c r="N36" s="8"/>
      <c r="O36" s="8" t="s">
        <v>47</v>
      </c>
      <c r="P36" s="8" t="s">
        <v>54</v>
      </c>
    </row>
    <row r="37" ht="22.5" customHeight="1" spans="1:16">
      <c r="A37" s="13" t="s">
        <v>35</v>
      </c>
      <c r="B37" s="13" t="s">
        <v>36</v>
      </c>
      <c r="C37" s="13" t="s">
        <v>118</v>
      </c>
      <c r="D37" s="14" t="s">
        <v>119</v>
      </c>
      <c r="E37" s="14">
        <v>46051.5002989583</v>
      </c>
      <c r="F37" s="13" t="s">
        <v>24</v>
      </c>
      <c r="G37" s="13" t="s">
        <v>42</v>
      </c>
      <c r="H37" s="13">
        <v>1</v>
      </c>
      <c r="I37" s="8">
        <v>3.3</v>
      </c>
      <c r="J37" s="8">
        <f t="shared" ref="J37:J48" si="2">H37*I37</f>
        <v>3.3</v>
      </c>
      <c r="K37" s="8">
        <v>1</v>
      </c>
      <c r="L37" s="8">
        <v>3.3</v>
      </c>
      <c r="M37" s="8"/>
      <c r="N37" s="8"/>
      <c r="O37" s="8" t="s">
        <v>47</v>
      </c>
      <c r="P37" s="8" t="s">
        <v>54</v>
      </c>
    </row>
    <row r="38" ht="22.5" customHeight="1" spans="1:16">
      <c r="A38" s="13" t="s">
        <v>35</v>
      </c>
      <c r="B38" s="13" t="s">
        <v>36</v>
      </c>
      <c r="C38" s="13" t="s">
        <v>118</v>
      </c>
      <c r="D38" s="14" t="s">
        <v>119</v>
      </c>
      <c r="E38" s="14">
        <v>46051.5002989583</v>
      </c>
      <c r="F38" s="13" t="s">
        <v>20</v>
      </c>
      <c r="G38" s="13" t="s">
        <v>21</v>
      </c>
      <c r="H38" s="13">
        <v>1</v>
      </c>
      <c r="I38" s="8">
        <v>3.3</v>
      </c>
      <c r="J38" s="8">
        <f t="shared" si="2"/>
        <v>3.3</v>
      </c>
      <c r="K38" s="8">
        <v>1</v>
      </c>
      <c r="L38" s="8">
        <v>3.3</v>
      </c>
      <c r="M38" s="8"/>
      <c r="N38" s="8"/>
      <c r="O38" s="8" t="s">
        <v>47</v>
      </c>
      <c r="P38" s="8" t="s">
        <v>54</v>
      </c>
    </row>
    <row r="39" ht="22.5" customHeight="1" spans="1:16">
      <c r="A39" s="13" t="s">
        <v>35</v>
      </c>
      <c r="B39" s="13" t="s">
        <v>36</v>
      </c>
      <c r="C39" s="13" t="s">
        <v>120</v>
      </c>
      <c r="D39" s="14" t="s">
        <v>119</v>
      </c>
      <c r="E39" s="14">
        <v>46051.5003008449</v>
      </c>
      <c r="F39" s="13" t="s">
        <v>24</v>
      </c>
      <c r="G39" s="13" t="s">
        <v>42</v>
      </c>
      <c r="H39" s="13">
        <v>22</v>
      </c>
      <c r="I39" s="8">
        <v>3.3</v>
      </c>
      <c r="J39" s="8">
        <f t="shared" si="2"/>
        <v>72.6</v>
      </c>
      <c r="K39" s="8">
        <v>22</v>
      </c>
      <c r="L39" s="8">
        <v>72.6</v>
      </c>
      <c r="M39" s="8"/>
      <c r="N39" s="8"/>
      <c r="O39" s="8" t="s">
        <v>47</v>
      </c>
      <c r="P39" s="8" t="s">
        <v>54</v>
      </c>
    </row>
    <row r="40" ht="22.5" customHeight="1" spans="1:16">
      <c r="A40" s="13" t="s">
        <v>35</v>
      </c>
      <c r="B40" s="13" t="s">
        <v>36</v>
      </c>
      <c r="C40" s="13" t="s">
        <v>120</v>
      </c>
      <c r="D40" s="14" t="s">
        <v>119</v>
      </c>
      <c r="E40" s="14">
        <v>46051.5003008449</v>
      </c>
      <c r="F40" s="13" t="s">
        <v>20</v>
      </c>
      <c r="G40" s="13" t="s">
        <v>21</v>
      </c>
      <c r="H40" s="13">
        <v>1</v>
      </c>
      <c r="I40" s="8">
        <v>3.3</v>
      </c>
      <c r="J40" s="8">
        <f t="shared" si="2"/>
        <v>3.3</v>
      </c>
      <c r="K40" s="8">
        <v>1</v>
      </c>
      <c r="L40" s="8">
        <v>3.3</v>
      </c>
      <c r="M40" s="8"/>
      <c r="N40" s="8"/>
      <c r="O40" s="8" t="s">
        <v>47</v>
      </c>
      <c r="P40" s="8" t="s">
        <v>54</v>
      </c>
    </row>
    <row r="41" ht="22.5" customHeight="1" spans="1:16">
      <c r="A41" s="13" t="s">
        <v>35</v>
      </c>
      <c r="B41" s="13" t="s">
        <v>36</v>
      </c>
      <c r="C41" s="13" t="s">
        <v>121</v>
      </c>
      <c r="D41" s="14" t="s">
        <v>119</v>
      </c>
      <c r="E41" s="14">
        <v>46051.5003025463</v>
      </c>
      <c r="F41" s="13" t="s">
        <v>24</v>
      </c>
      <c r="G41" s="13" t="s">
        <v>42</v>
      </c>
      <c r="H41" s="13">
        <v>22</v>
      </c>
      <c r="I41" s="8">
        <v>3.3</v>
      </c>
      <c r="J41" s="8">
        <f t="shared" si="2"/>
        <v>72.6</v>
      </c>
      <c r="K41" s="8">
        <v>22</v>
      </c>
      <c r="L41" s="8">
        <v>72.6</v>
      </c>
      <c r="M41" s="8"/>
      <c r="N41" s="8"/>
      <c r="O41" s="8" t="s">
        <v>47</v>
      </c>
      <c r="P41" s="8" t="s">
        <v>54</v>
      </c>
    </row>
    <row r="42" ht="22.5" customHeight="1" spans="1:16">
      <c r="A42" s="13" t="s">
        <v>35</v>
      </c>
      <c r="B42" s="13" t="s">
        <v>36</v>
      </c>
      <c r="C42" s="13" t="s">
        <v>121</v>
      </c>
      <c r="D42" s="14" t="s">
        <v>119</v>
      </c>
      <c r="E42" s="14">
        <v>46051.5003025463</v>
      </c>
      <c r="F42" s="13" t="s">
        <v>20</v>
      </c>
      <c r="G42" s="13" t="s">
        <v>21</v>
      </c>
      <c r="H42" s="13">
        <v>1</v>
      </c>
      <c r="I42" s="8">
        <v>3.3</v>
      </c>
      <c r="J42" s="8">
        <f t="shared" si="2"/>
        <v>3.3</v>
      </c>
      <c r="K42" s="8">
        <v>1</v>
      </c>
      <c r="L42" s="8">
        <v>3.3</v>
      </c>
      <c r="M42" s="8"/>
      <c r="N42" s="8"/>
      <c r="O42" s="8" t="s">
        <v>47</v>
      </c>
      <c r="P42" s="8" t="s">
        <v>54</v>
      </c>
    </row>
    <row r="43" ht="22.5" customHeight="1" spans="1:16">
      <c r="A43" s="13" t="s">
        <v>35</v>
      </c>
      <c r="B43" s="13" t="s">
        <v>36</v>
      </c>
      <c r="C43" s="13" t="s">
        <v>122</v>
      </c>
      <c r="D43" s="14" t="s">
        <v>119</v>
      </c>
      <c r="E43" s="14">
        <v>46051.5003045139</v>
      </c>
      <c r="F43" s="13" t="s">
        <v>24</v>
      </c>
      <c r="G43" s="13" t="s">
        <v>42</v>
      </c>
      <c r="H43" s="13">
        <v>14</v>
      </c>
      <c r="I43" s="8">
        <v>3.3</v>
      </c>
      <c r="J43" s="8">
        <f t="shared" si="2"/>
        <v>46.2</v>
      </c>
      <c r="K43" s="8">
        <v>14</v>
      </c>
      <c r="L43" s="8">
        <v>46.2</v>
      </c>
      <c r="M43" s="8"/>
      <c r="N43" s="8"/>
      <c r="O43" s="8" t="s">
        <v>47</v>
      </c>
      <c r="P43" s="8" t="s">
        <v>54</v>
      </c>
    </row>
    <row r="44" ht="22.5" customHeight="1" spans="1:16">
      <c r="A44" s="13" t="s">
        <v>35</v>
      </c>
      <c r="B44" s="13" t="s">
        <v>36</v>
      </c>
      <c r="C44" s="13" t="s">
        <v>122</v>
      </c>
      <c r="D44" s="14" t="s">
        <v>119</v>
      </c>
      <c r="E44" s="14">
        <v>46051.5003045139</v>
      </c>
      <c r="F44" s="13" t="s">
        <v>20</v>
      </c>
      <c r="G44" s="13" t="s">
        <v>21</v>
      </c>
      <c r="H44" s="13">
        <v>1</v>
      </c>
      <c r="I44" s="8">
        <v>3.3</v>
      </c>
      <c r="J44" s="8">
        <f t="shared" si="2"/>
        <v>3.3</v>
      </c>
      <c r="K44" s="8">
        <v>1</v>
      </c>
      <c r="L44" s="8">
        <v>3.3</v>
      </c>
      <c r="M44" s="8"/>
      <c r="N44" s="8"/>
      <c r="O44" s="8" t="s">
        <v>47</v>
      </c>
      <c r="P44" s="8" t="s">
        <v>54</v>
      </c>
    </row>
    <row r="45" ht="22.5" customHeight="1" spans="1:16">
      <c r="A45" s="13" t="s">
        <v>35</v>
      </c>
      <c r="B45" s="13" t="s">
        <v>36</v>
      </c>
      <c r="C45" s="13" t="s">
        <v>123</v>
      </c>
      <c r="D45" s="14" t="s">
        <v>119</v>
      </c>
      <c r="E45" s="14">
        <v>46051.5003065972</v>
      </c>
      <c r="F45" s="13" t="s">
        <v>24</v>
      </c>
      <c r="G45" s="13" t="s">
        <v>42</v>
      </c>
      <c r="H45" s="13">
        <v>18</v>
      </c>
      <c r="I45" s="8">
        <v>3.3</v>
      </c>
      <c r="J45" s="8">
        <f t="shared" si="2"/>
        <v>59.4</v>
      </c>
      <c r="K45" s="8">
        <v>18</v>
      </c>
      <c r="L45" s="8">
        <v>59.4</v>
      </c>
      <c r="M45" s="8"/>
      <c r="N45" s="8"/>
      <c r="O45" s="8" t="s">
        <v>47</v>
      </c>
      <c r="P45" s="8" t="s">
        <v>54</v>
      </c>
    </row>
    <row r="46" ht="22.5" customHeight="1" spans="1:16">
      <c r="A46" s="13" t="s">
        <v>35</v>
      </c>
      <c r="B46" s="13" t="s">
        <v>36</v>
      </c>
      <c r="C46" s="13" t="s">
        <v>123</v>
      </c>
      <c r="D46" s="14" t="s">
        <v>119</v>
      </c>
      <c r="E46" s="14">
        <v>46051.5003065972</v>
      </c>
      <c r="F46" s="13" t="s">
        <v>20</v>
      </c>
      <c r="G46" s="13" t="s">
        <v>21</v>
      </c>
      <c r="H46" s="13">
        <v>1</v>
      </c>
      <c r="I46" s="8">
        <v>3.3</v>
      </c>
      <c r="J46" s="8">
        <f t="shared" si="2"/>
        <v>3.3</v>
      </c>
      <c r="K46" s="8">
        <v>1</v>
      </c>
      <c r="L46" s="8">
        <v>3.3</v>
      </c>
      <c r="M46" s="8"/>
      <c r="N46" s="8"/>
      <c r="O46" s="8" t="s">
        <v>47</v>
      </c>
      <c r="P46" s="8" t="s">
        <v>54</v>
      </c>
    </row>
    <row r="47" ht="22.5" customHeight="1" spans="1:16">
      <c r="A47" s="13" t="s">
        <v>35</v>
      </c>
      <c r="B47" s="13" t="s">
        <v>36</v>
      </c>
      <c r="C47" s="13" t="s">
        <v>124</v>
      </c>
      <c r="D47" s="14" t="s">
        <v>38</v>
      </c>
      <c r="E47" s="14">
        <v>46051.6682423958</v>
      </c>
      <c r="F47" s="13" t="s">
        <v>24</v>
      </c>
      <c r="G47" s="13" t="s">
        <v>42</v>
      </c>
      <c r="H47" s="13">
        <v>4</v>
      </c>
      <c r="I47" s="8">
        <v>3.3</v>
      </c>
      <c r="J47" s="8">
        <f t="shared" si="2"/>
        <v>13.2</v>
      </c>
      <c r="K47" s="8"/>
      <c r="L47" s="8"/>
      <c r="M47" s="8">
        <v>4</v>
      </c>
      <c r="N47" s="8">
        <v>13.2</v>
      </c>
      <c r="O47" s="8" t="s">
        <v>39</v>
      </c>
      <c r="P47" s="8" t="s">
        <v>40</v>
      </c>
    </row>
    <row r="48" ht="22.5" customHeight="1" spans="1:16">
      <c r="A48" s="13" t="s">
        <v>35</v>
      </c>
      <c r="B48" s="13" t="s">
        <v>36</v>
      </c>
      <c r="C48" s="13" t="s">
        <v>124</v>
      </c>
      <c r="D48" s="14" t="s">
        <v>38</v>
      </c>
      <c r="E48" s="14">
        <v>46051.6682423958</v>
      </c>
      <c r="F48" s="13" t="s">
        <v>20</v>
      </c>
      <c r="G48" s="13" t="s">
        <v>21</v>
      </c>
      <c r="H48" s="13">
        <v>1</v>
      </c>
      <c r="I48" s="8">
        <v>3.3</v>
      </c>
      <c r="J48" s="8">
        <f t="shared" si="2"/>
        <v>3.3</v>
      </c>
      <c r="K48" s="8"/>
      <c r="L48" s="8"/>
      <c r="M48" s="8">
        <v>1</v>
      </c>
      <c r="N48" s="8">
        <v>3.3</v>
      </c>
      <c r="O48" s="8" t="s">
        <v>39</v>
      </c>
      <c r="P48" s="8" t="s">
        <v>40</v>
      </c>
    </row>
    <row r="49" spans="1:16">
      <c r="A49" s="10"/>
      <c r="B49" s="10"/>
      <c r="C49" s="10"/>
      <c r="D49" s="10"/>
      <c r="E49" s="10"/>
      <c r="F49" s="10"/>
      <c r="G49" s="10"/>
      <c r="H49" s="10">
        <f t="shared" ref="H49:N49" si="3">SUM(H2:H48)</f>
        <v>1599</v>
      </c>
      <c r="I49" s="10">
        <f t="shared" si="3"/>
        <v>935.399999999999</v>
      </c>
      <c r="J49" s="10">
        <f t="shared" si="3"/>
        <v>1786.8</v>
      </c>
      <c r="K49" s="10">
        <f t="shared" si="3"/>
        <v>1506</v>
      </c>
      <c r="L49" s="10">
        <f t="shared" si="3"/>
        <v>1740.3</v>
      </c>
      <c r="M49" s="10">
        <f t="shared" si="3"/>
        <v>93</v>
      </c>
      <c r="N49" s="10">
        <f t="shared" si="3"/>
        <v>46.5</v>
      </c>
      <c r="O49" s="10"/>
      <c r="P49" s="10"/>
    </row>
  </sheetData>
  <autoFilter xmlns:etc="http://www.wps.cn/officeDocument/2017/etCustomData" ref="A1:P49" etc:filterBottomFollowUsedRange="0">
    <extLst/>
  </autoFilter>
  <sortState ref="A2:P51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opLeftCell="B1" workbookViewId="0">
      <selection activeCell="I1" sqref="I1:P1"/>
    </sheetView>
  </sheetViews>
  <sheetFormatPr defaultColWidth="9" defaultRowHeight="13.5"/>
  <cols>
    <col min="1" max="1" width="30.0083333333333" customWidth="1"/>
    <col min="2" max="3" width="27.0083333333333" customWidth="1"/>
    <col min="4" max="6" width="12.3416666666667" customWidth="1"/>
    <col min="7" max="7" width="15.0083333333333" customWidth="1"/>
    <col min="8" max="9" width="8.675" customWidth="1"/>
    <col min="10" max="10" width="9.5" customWidth="1"/>
    <col min="11" max="11" width="17.8416666666667" customWidth="1"/>
    <col min="12" max="13" width="16.0083333333333" customWidth="1"/>
    <col min="14" max="14" width="16" customWidth="1"/>
    <col min="15" max="15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125</v>
      </c>
      <c r="D2" s="5" t="s">
        <v>65</v>
      </c>
      <c r="E2" s="5">
        <v>46055.4518799768</v>
      </c>
      <c r="F2" s="4" t="s">
        <v>24</v>
      </c>
      <c r="G2" s="4" t="s">
        <v>42</v>
      </c>
      <c r="H2" s="4">
        <v>16</v>
      </c>
      <c r="I2" s="8">
        <v>3.3</v>
      </c>
      <c r="J2" s="8">
        <f>H2*I2</f>
        <v>52.8</v>
      </c>
      <c r="K2" s="8">
        <v>16</v>
      </c>
      <c r="L2" s="8">
        <v>52.8</v>
      </c>
      <c r="M2" s="8"/>
      <c r="N2" s="10"/>
      <c r="O2" s="8" t="s">
        <v>22</v>
      </c>
      <c r="P2" s="8" t="s">
        <v>23</v>
      </c>
    </row>
    <row r="3" ht="22.5" customHeight="1" spans="1:16">
      <c r="A3" s="4" t="s">
        <v>16</v>
      </c>
      <c r="B3" s="4" t="s">
        <v>17</v>
      </c>
      <c r="C3" s="4" t="s">
        <v>125</v>
      </c>
      <c r="D3" s="5" t="s">
        <v>65</v>
      </c>
      <c r="E3" s="5">
        <v>46055.4518799768</v>
      </c>
      <c r="F3" s="4" t="s">
        <v>24</v>
      </c>
      <c r="G3" s="4" t="s">
        <v>33</v>
      </c>
      <c r="H3" s="4">
        <v>178</v>
      </c>
      <c r="I3" s="8">
        <v>120</v>
      </c>
      <c r="J3" s="8">
        <v>120</v>
      </c>
      <c r="K3" s="8">
        <v>178</v>
      </c>
      <c r="L3" s="8">
        <v>120</v>
      </c>
      <c r="M3" s="8"/>
      <c r="N3" s="10"/>
      <c r="O3" s="8" t="s">
        <v>22</v>
      </c>
      <c r="P3" s="8" t="s">
        <v>23</v>
      </c>
    </row>
    <row r="4" ht="22.5" customHeight="1" spans="1:16">
      <c r="A4" s="4" t="s">
        <v>16</v>
      </c>
      <c r="B4" s="4" t="s">
        <v>17</v>
      </c>
      <c r="C4" s="4" t="s">
        <v>125</v>
      </c>
      <c r="D4" s="5" t="s">
        <v>65</v>
      </c>
      <c r="E4" s="5">
        <v>46055.4518799768</v>
      </c>
      <c r="F4" s="4" t="s">
        <v>24</v>
      </c>
      <c r="G4" s="4" t="s">
        <v>34</v>
      </c>
      <c r="H4" s="4">
        <v>12</v>
      </c>
      <c r="I4" s="8">
        <v>3.3</v>
      </c>
      <c r="J4" s="8">
        <f t="shared" ref="J3:J9" si="0">H4*I4</f>
        <v>39.6</v>
      </c>
      <c r="K4" s="8">
        <v>12</v>
      </c>
      <c r="L4" s="8">
        <v>39.6</v>
      </c>
      <c r="M4" s="8"/>
      <c r="N4" s="10"/>
      <c r="O4" s="8" t="s">
        <v>22</v>
      </c>
      <c r="P4" s="8" t="s">
        <v>23</v>
      </c>
    </row>
    <row r="5" ht="22.5" customHeight="1" spans="1:16">
      <c r="A5" s="4" t="s">
        <v>16</v>
      </c>
      <c r="B5" s="4" t="s">
        <v>17</v>
      </c>
      <c r="C5" s="4" t="s">
        <v>125</v>
      </c>
      <c r="D5" s="5" t="s">
        <v>65</v>
      </c>
      <c r="E5" s="5">
        <v>46055.4518799768</v>
      </c>
      <c r="F5" s="4" t="s">
        <v>20</v>
      </c>
      <c r="G5" s="4" t="s">
        <v>21</v>
      </c>
      <c r="H5" s="4">
        <v>1</v>
      </c>
      <c r="I5" s="8">
        <v>3.3</v>
      </c>
      <c r="J5" s="8">
        <f t="shared" si="0"/>
        <v>3.3</v>
      </c>
      <c r="K5" s="8">
        <v>1</v>
      </c>
      <c r="L5" s="8">
        <v>3.3</v>
      </c>
      <c r="M5" s="8"/>
      <c r="N5" s="10"/>
      <c r="O5" s="8" t="s">
        <v>22</v>
      </c>
      <c r="P5" s="8" t="s">
        <v>23</v>
      </c>
    </row>
    <row r="6" ht="22.5" customHeight="1" spans="1:16">
      <c r="A6" s="4" t="s">
        <v>126</v>
      </c>
      <c r="B6" s="4" t="s">
        <v>127</v>
      </c>
      <c r="C6" s="4" t="s">
        <v>128</v>
      </c>
      <c r="D6" s="5" t="s">
        <v>19</v>
      </c>
      <c r="E6" s="5">
        <v>46055.6783284375</v>
      </c>
      <c r="F6" s="4" t="s">
        <v>20</v>
      </c>
      <c r="G6" s="4" t="s">
        <v>21</v>
      </c>
      <c r="H6" s="4">
        <v>1</v>
      </c>
      <c r="I6" s="8">
        <v>3.3</v>
      </c>
      <c r="J6" s="8">
        <f t="shared" si="0"/>
        <v>3.3</v>
      </c>
      <c r="K6" s="8">
        <v>1</v>
      </c>
      <c r="L6" s="8">
        <v>3.3</v>
      </c>
      <c r="M6" s="8"/>
      <c r="N6" s="10"/>
      <c r="O6" s="8" t="s">
        <v>39</v>
      </c>
      <c r="P6" s="8" t="s">
        <v>40</v>
      </c>
    </row>
    <row r="7" ht="22.5" customHeight="1" spans="1:16">
      <c r="A7" s="4" t="s">
        <v>126</v>
      </c>
      <c r="B7" s="4" t="s">
        <v>127</v>
      </c>
      <c r="C7" s="4" t="s">
        <v>128</v>
      </c>
      <c r="D7" s="5" t="s">
        <v>19</v>
      </c>
      <c r="E7" s="5">
        <v>46055.6783284375</v>
      </c>
      <c r="F7" s="4" t="s">
        <v>24</v>
      </c>
      <c r="G7" s="4" t="s">
        <v>25</v>
      </c>
      <c r="H7" s="4">
        <v>20</v>
      </c>
      <c r="I7" s="8">
        <v>3.3</v>
      </c>
      <c r="J7" s="8">
        <f t="shared" si="0"/>
        <v>66</v>
      </c>
      <c r="K7" s="8">
        <v>11</v>
      </c>
      <c r="L7" s="8">
        <f>K7*3.3</f>
        <v>36.3</v>
      </c>
      <c r="M7" s="8">
        <v>9</v>
      </c>
      <c r="N7" s="10">
        <f>M7*3.3</f>
        <v>29.7</v>
      </c>
      <c r="O7" s="8" t="s">
        <v>39</v>
      </c>
      <c r="P7" s="8" t="s">
        <v>40</v>
      </c>
    </row>
    <row r="8" ht="22.5" customHeight="1" spans="1:16">
      <c r="A8" s="4" t="s">
        <v>126</v>
      </c>
      <c r="B8" s="4" t="s">
        <v>127</v>
      </c>
      <c r="C8" s="4" t="s">
        <v>129</v>
      </c>
      <c r="D8" s="5" t="s">
        <v>19</v>
      </c>
      <c r="E8" s="5">
        <v>46055.6783315972</v>
      </c>
      <c r="F8" s="4" t="s">
        <v>24</v>
      </c>
      <c r="G8" s="4" t="s">
        <v>25</v>
      </c>
      <c r="H8" s="4">
        <v>27</v>
      </c>
      <c r="I8" s="8">
        <v>3.3</v>
      </c>
      <c r="J8" s="8">
        <f t="shared" si="0"/>
        <v>89.1</v>
      </c>
      <c r="K8" s="8">
        <v>27</v>
      </c>
      <c r="L8" s="8">
        <v>89.1</v>
      </c>
      <c r="M8" s="8"/>
      <c r="N8" s="10"/>
      <c r="O8" s="8" t="s">
        <v>39</v>
      </c>
      <c r="P8" s="8" t="s">
        <v>40</v>
      </c>
    </row>
    <row r="9" ht="22.5" customHeight="1" spans="1:16">
      <c r="A9" s="4" t="s">
        <v>126</v>
      </c>
      <c r="B9" s="4" t="s">
        <v>127</v>
      </c>
      <c r="C9" s="4" t="s">
        <v>129</v>
      </c>
      <c r="D9" s="5" t="s">
        <v>19</v>
      </c>
      <c r="E9" s="5">
        <v>46055.6783315972</v>
      </c>
      <c r="F9" s="4" t="s">
        <v>20</v>
      </c>
      <c r="G9" s="4" t="s">
        <v>21</v>
      </c>
      <c r="H9" s="4">
        <v>1</v>
      </c>
      <c r="I9" s="8">
        <v>3.3</v>
      </c>
      <c r="J9" s="8">
        <f t="shared" si="0"/>
        <v>3.3</v>
      </c>
      <c r="K9" s="8">
        <v>1</v>
      </c>
      <c r="L9" s="8">
        <v>3.3</v>
      </c>
      <c r="M9" s="8"/>
      <c r="N9" s="10"/>
      <c r="O9" s="8" t="s">
        <v>39</v>
      </c>
      <c r="P9" s="8" t="s">
        <v>40</v>
      </c>
    </row>
    <row r="10" spans="1:16">
      <c r="A10" s="10"/>
      <c r="B10" s="10"/>
      <c r="C10" s="10"/>
      <c r="D10" s="10"/>
      <c r="E10" s="10"/>
      <c r="F10" s="10"/>
      <c r="G10" s="10"/>
      <c r="H10" s="10">
        <f t="shared" ref="H10:N10" si="1">SUM(H2:H9)</f>
        <v>256</v>
      </c>
      <c r="I10" s="10">
        <f t="shared" si="1"/>
        <v>143.1</v>
      </c>
      <c r="J10" s="10">
        <f t="shared" si="1"/>
        <v>377.4</v>
      </c>
      <c r="K10" s="10">
        <f t="shared" si="1"/>
        <v>247</v>
      </c>
      <c r="L10" s="10">
        <f t="shared" si="1"/>
        <v>347.7</v>
      </c>
      <c r="M10" s="10">
        <f t="shared" si="1"/>
        <v>9</v>
      </c>
      <c r="N10" s="10">
        <f t="shared" si="1"/>
        <v>29.7</v>
      </c>
      <c r="O10" s="10"/>
      <c r="P10" s="10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opLeftCell="B1" workbookViewId="0">
      <selection activeCell="I1" sqref="I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6.0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130</v>
      </c>
      <c r="D2" s="5" t="s">
        <v>131</v>
      </c>
      <c r="E2" s="5">
        <v>46056.6725302431</v>
      </c>
      <c r="F2" s="4" t="s">
        <v>24</v>
      </c>
      <c r="G2" s="4" t="s">
        <v>25</v>
      </c>
      <c r="H2" s="4">
        <v>7</v>
      </c>
      <c r="I2" s="8">
        <v>3.3</v>
      </c>
      <c r="J2" s="8">
        <f>H2*I2</f>
        <v>23.1</v>
      </c>
      <c r="K2" s="8">
        <v>7</v>
      </c>
      <c r="L2" s="8">
        <v>23.1</v>
      </c>
      <c r="M2" s="8"/>
      <c r="N2" s="8"/>
      <c r="O2" s="8" t="s">
        <v>47</v>
      </c>
      <c r="P2" s="8" t="s">
        <v>69</v>
      </c>
    </row>
    <row r="3" ht="22.5" customHeight="1" spans="1:16">
      <c r="A3" s="4" t="s">
        <v>16</v>
      </c>
      <c r="B3" s="4" t="s">
        <v>28</v>
      </c>
      <c r="C3" s="4" t="s">
        <v>130</v>
      </c>
      <c r="D3" s="5" t="s">
        <v>131</v>
      </c>
      <c r="E3" s="5">
        <v>46056.6725302431</v>
      </c>
      <c r="F3" s="4" t="s">
        <v>20</v>
      </c>
      <c r="G3" s="4" t="s">
        <v>21</v>
      </c>
      <c r="H3" s="4">
        <v>1</v>
      </c>
      <c r="I3" s="8">
        <v>3.3</v>
      </c>
      <c r="J3" s="8">
        <f>H3*I3</f>
        <v>3.3</v>
      </c>
      <c r="K3" s="8">
        <v>1</v>
      </c>
      <c r="L3" s="8">
        <v>3.3</v>
      </c>
      <c r="M3" s="8"/>
      <c r="N3" s="8"/>
      <c r="O3" s="8" t="s">
        <v>47</v>
      </c>
      <c r="P3" s="8" t="s">
        <v>69</v>
      </c>
    </row>
    <row r="4" ht="22.5" customHeight="1" spans="1:16">
      <c r="A4" s="4" t="s">
        <v>35</v>
      </c>
      <c r="B4" s="4" t="s">
        <v>36</v>
      </c>
      <c r="C4" s="4" t="s">
        <v>132</v>
      </c>
      <c r="D4" s="5" t="s">
        <v>38</v>
      </c>
      <c r="E4" s="5">
        <v>46056.4633251157</v>
      </c>
      <c r="F4" s="4" t="s">
        <v>24</v>
      </c>
      <c r="G4" s="4" t="s">
        <v>133</v>
      </c>
      <c r="H4" s="4">
        <v>2</v>
      </c>
      <c r="I4" s="8">
        <v>3.3</v>
      </c>
      <c r="J4" s="8">
        <f>H4*I4</f>
        <v>6.6</v>
      </c>
      <c r="K4" s="8"/>
      <c r="L4" s="8"/>
      <c r="M4" s="8">
        <v>2</v>
      </c>
      <c r="N4" s="8">
        <v>6.6</v>
      </c>
      <c r="O4" s="8" t="s">
        <v>39</v>
      </c>
      <c r="P4" s="8" t="s">
        <v>40</v>
      </c>
    </row>
    <row r="5" ht="22.5" customHeight="1" spans="1:16">
      <c r="A5" s="4" t="s">
        <v>35</v>
      </c>
      <c r="B5" s="4" t="s">
        <v>36</v>
      </c>
      <c r="C5" s="4" t="s">
        <v>132</v>
      </c>
      <c r="D5" s="5" t="s">
        <v>38</v>
      </c>
      <c r="E5" s="5">
        <v>46056.4633251157</v>
      </c>
      <c r="F5" s="4" t="s">
        <v>20</v>
      </c>
      <c r="G5" s="4" t="s">
        <v>21</v>
      </c>
      <c r="H5" s="4">
        <v>1</v>
      </c>
      <c r="I5" s="8">
        <v>3.3</v>
      </c>
      <c r="J5" s="8">
        <f>H5*I5</f>
        <v>3.3</v>
      </c>
      <c r="K5" s="8"/>
      <c r="L5" s="8"/>
      <c r="M5" s="8">
        <v>1</v>
      </c>
      <c r="N5" s="8">
        <v>3.3</v>
      </c>
      <c r="O5" s="8" t="s">
        <v>39</v>
      </c>
      <c r="P5" s="8" t="s">
        <v>40</v>
      </c>
    </row>
    <row r="6" ht="22.5" customHeight="1" spans="1:16">
      <c r="A6" s="4" t="s">
        <v>35</v>
      </c>
      <c r="B6" s="4" t="s">
        <v>36</v>
      </c>
      <c r="C6" s="4" t="s">
        <v>134</v>
      </c>
      <c r="D6" s="5" t="s">
        <v>135</v>
      </c>
      <c r="E6" s="5">
        <v>46056.6726356481</v>
      </c>
      <c r="F6" s="4" t="s">
        <v>24</v>
      </c>
      <c r="G6" s="4" t="s">
        <v>25</v>
      </c>
      <c r="H6" s="4">
        <v>24</v>
      </c>
      <c r="I6" s="8">
        <v>3.3</v>
      </c>
      <c r="J6" s="8">
        <f>H6*I6</f>
        <v>79.2</v>
      </c>
      <c r="K6" s="4">
        <v>24</v>
      </c>
      <c r="L6" s="8">
        <f>K6*3.3</f>
        <v>79.2</v>
      </c>
      <c r="M6" s="8"/>
      <c r="N6" s="8"/>
      <c r="O6" s="8" t="s">
        <v>47</v>
      </c>
      <c r="P6" s="8" t="s">
        <v>48</v>
      </c>
    </row>
    <row r="7" ht="22.5" customHeight="1" spans="1:16">
      <c r="A7" s="4" t="s">
        <v>35</v>
      </c>
      <c r="B7" s="4" t="s">
        <v>36</v>
      </c>
      <c r="C7" s="4" t="s">
        <v>134</v>
      </c>
      <c r="D7" s="5" t="s">
        <v>135</v>
      </c>
      <c r="E7" s="5">
        <v>46056.6726356481</v>
      </c>
      <c r="F7" s="4" t="s">
        <v>20</v>
      </c>
      <c r="G7" s="4" t="s">
        <v>21</v>
      </c>
      <c r="H7" s="4">
        <v>1</v>
      </c>
      <c r="I7" s="8">
        <v>3.3</v>
      </c>
      <c r="J7" s="8">
        <f t="shared" ref="J7:J23" si="0">H7*I7</f>
        <v>3.3</v>
      </c>
      <c r="K7" s="4">
        <v>1</v>
      </c>
      <c r="L7" s="8">
        <f t="shared" ref="L7:L24" si="1">K7*3.3</f>
        <v>3.3</v>
      </c>
      <c r="M7" s="8"/>
      <c r="N7" s="8"/>
      <c r="O7" s="8" t="s">
        <v>47</v>
      </c>
      <c r="P7" s="8" t="s">
        <v>48</v>
      </c>
    </row>
    <row r="8" ht="22.5" customHeight="1" spans="1:16">
      <c r="A8" s="4" t="s">
        <v>35</v>
      </c>
      <c r="B8" s="4" t="s">
        <v>36</v>
      </c>
      <c r="C8" s="4" t="s">
        <v>136</v>
      </c>
      <c r="D8" s="5" t="s">
        <v>135</v>
      </c>
      <c r="E8" s="5">
        <v>46056.6726356481</v>
      </c>
      <c r="F8" s="4" t="s">
        <v>24</v>
      </c>
      <c r="G8" s="4" t="s">
        <v>25</v>
      </c>
      <c r="H8" s="4">
        <v>9</v>
      </c>
      <c r="I8" s="8">
        <v>3.3</v>
      </c>
      <c r="J8" s="8">
        <f t="shared" si="0"/>
        <v>29.7</v>
      </c>
      <c r="K8" s="4">
        <v>9</v>
      </c>
      <c r="L8" s="8">
        <f t="shared" si="1"/>
        <v>29.7</v>
      </c>
      <c r="M8" s="8"/>
      <c r="N8" s="8"/>
      <c r="O8" s="8" t="s">
        <v>47</v>
      </c>
      <c r="P8" s="8" t="s">
        <v>48</v>
      </c>
    </row>
    <row r="9" ht="22.5" customHeight="1" spans="1:16">
      <c r="A9" s="4" t="s">
        <v>35</v>
      </c>
      <c r="B9" s="4" t="s">
        <v>36</v>
      </c>
      <c r="C9" s="4" t="s">
        <v>136</v>
      </c>
      <c r="D9" s="5" t="s">
        <v>135</v>
      </c>
      <c r="E9" s="5">
        <v>46056.6726356481</v>
      </c>
      <c r="F9" s="4" t="s">
        <v>20</v>
      </c>
      <c r="G9" s="4" t="s">
        <v>21</v>
      </c>
      <c r="H9" s="4">
        <v>1</v>
      </c>
      <c r="I9" s="8">
        <v>3.3</v>
      </c>
      <c r="J9" s="8">
        <f t="shared" si="0"/>
        <v>3.3</v>
      </c>
      <c r="K9" s="4">
        <v>1</v>
      </c>
      <c r="L9" s="8">
        <f t="shared" si="1"/>
        <v>3.3</v>
      </c>
      <c r="M9" s="8"/>
      <c r="N9" s="8"/>
      <c r="O9" s="8" t="s">
        <v>47</v>
      </c>
      <c r="P9" s="8" t="s">
        <v>48</v>
      </c>
    </row>
    <row r="10" ht="22.5" customHeight="1" spans="1:16">
      <c r="A10" s="4" t="s">
        <v>35</v>
      </c>
      <c r="B10" s="4" t="s">
        <v>36</v>
      </c>
      <c r="C10" s="4" t="s">
        <v>137</v>
      </c>
      <c r="D10" s="5" t="s">
        <v>135</v>
      </c>
      <c r="E10" s="5">
        <v>46056.6726373843</v>
      </c>
      <c r="F10" s="4" t="s">
        <v>24</v>
      </c>
      <c r="G10" s="4" t="s">
        <v>25</v>
      </c>
      <c r="H10" s="4">
        <v>14</v>
      </c>
      <c r="I10" s="8">
        <v>3.3</v>
      </c>
      <c r="J10" s="8">
        <f t="shared" si="0"/>
        <v>46.2</v>
      </c>
      <c r="K10" s="4">
        <v>14</v>
      </c>
      <c r="L10" s="8">
        <f t="shared" si="1"/>
        <v>46.2</v>
      </c>
      <c r="M10" s="8"/>
      <c r="N10" s="8"/>
      <c r="O10" s="8" t="s">
        <v>47</v>
      </c>
      <c r="P10" s="8" t="s">
        <v>48</v>
      </c>
    </row>
    <row r="11" ht="22.5" customHeight="1" spans="1:16">
      <c r="A11" s="4" t="s">
        <v>35</v>
      </c>
      <c r="B11" s="4" t="s">
        <v>36</v>
      </c>
      <c r="C11" s="4" t="s">
        <v>137</v>
      </c>
      <c r="D11" s="5" t="s">
        <v>135</v>
      </c>
      <c r="E11" s="5">
        <v>46056.6726373843</v>
      </c>
      <c r="F11" s="4" t="s">
        <v>20</v>
      </c>
      <c r="G11" s="4" t="s">
        <v>21</v>
      </c>
      <c r="H11" s="4">
        <v>1</v>
      </c>
      <c r="I11" s="8">
        <v>3.3</v>
      </c>
      <c r="J11" s="8">
        <f t="shared" si="0"/>
        <v>3.3</v>
      </c>
      <c r="K11" s="4">
        <v>1</v>
      </c>
      <c r="L11" s="8">
        <f t="shared" si="1"/>
        <v>3.3</v>
      </c>
      <c r="M11" s="8"/>
      <c r="N11" s="8"/>
      <c r="O11" s="8" t="s">
        <v>47</v>
      </c>
      <c r="P11" s="8" t="s">
        <v>48</v>
      </c>
    </row>
    <row r="12" ht="22.5" customHeight="1" spans="1:16">
      <c r="A12" s="4" t="s">
        <v>35</v>
      </c>
      <c r="B12" s="4" t="s">
        <v>36</v>
      </c>
      <c r="C12" s="4" t="s">
        <v>138</v>
      </c>
      <c r="D12" s="5" t="s">
        <v>135</v>
      </c>
      <c r="E12" s="5">
        <v>46056.6726373843</v>
      </c>
      <c r="F12" s="4" t="s">
        <v>24</v>
      </c>
      <c r="G12" s="4" t="s">
        <v>25</v>
      </c>
      <c r="H12" s="4">
        <v>33</v>
      </c>
      <c r="I12" s="8">
        <v>3.3</v>
      </c>
      <c r="J12" s="8">
        <f t="shared" si="0"/>
        <v>108.9</v>
      </c>
      <c r="K12" s="4">
        <v>33</v>
      </c>
      <c r="L12" s="8">
        <f t="shared" si="1"/>
        <v>108.9</v>
      </c>
      <c r="M12" s="8"/>
      <c r="N12" s="8"/>
      <c r="O12" s="8" t="s">
        <v>47</v>
      </c>
      <c r="P12" s="8" t="s">
        <v>48</v>
      </c>
    </row>
    <row r="13" ht="22.5" customHeight="1" spans="1:16">
      <c r="A13" s="4" t="s">
        <v>35</v>
      </c>
      <c r="B13" s="4" t="s">
        <v>36</v>
      </c>
      <c r="C13" s="4" t="s">
        <v>138</v>
      </c>
      <c r="D13" s="5" t="s">
        <v>135</v>
      </c>
      <c r="E13" s="5">
        <v>46056.6726373843</v>
      </c>
      <c r="F13" s="4" t="s">
        <v>20</v>
      </c>
      <c r="G13" s="4" t="s">
        <v>21</v>
      </c>
      <c r="H13" s="4">
        <v>1</v>
      </c>
      <c r="I13" s="8">
        <v>3.3</v>
      </c>
      <c r="J13" s="8">
        <f t="shared" si="0"/>
        <v>3.3</v>
      </c>
      <c r="K13" s="4">
        <v>1</v>
      </c>
      <c r="L13" s="8">
        <f t="shared" si="1"/>
        <v>3.3</v>
      </c>
      <c r="M13" s="8"/>
      <c r="N13" s="8"/>
      <c r="O13" s="8" t="s">
        <v>47</v>
      </c>
      <c r="P13" s="8" t="s">
        <v>48</v>
      </c>
    </row>
    <row r="14" ht="22.5" customHeight="1" spans="1:16">
      <c r="A14" s="4" t="s">
        <v>35</v>
      </c>
      <c r="B14" s="4" t="s">
        <v>36</v>
      </c>
      <c r="C14" s="4" t="s">
        <v>139</v>
      </c>
      <c r="D14" s="5" t="s">
        <v>135</v>
      </c>
      <c r="E14" s="5">
        <v>46056.6726393171</v>
      </c>
      <c r="F14" s="4" t="s">
        <v>24</v>
      </c>
      <c r="G14" s="4" t="s">
        <v>25</v>
      </c>
      <c r="H14" s="4">
        <v>8</v>
      </c>
      <c r="I14" s="8">
        <v>3.3</v>
      </c>
      <c r="J14" s="8">
        <f t="shared" si="0"/>
        <v>26.4</v>
      </c>
      <c r="K14" s="4">
        <v>8</v>
      </c>
      <c r="L14" s="8">
        <f t="shared" si="1"/>
        <v>26.4</v>
      </c>
      <c r="M14" s="8"/>
      <c r="N14" s="8"/>
      <c r="O14" s="8" t="s">
        <v>47</v>
      </c>
      <c r="P14" s="8" t="s">
        <v>48</v>
      </c>
    </row>
    <row r="15" ht="22.5" customHeight="1" spans="1:16">
      <c r="A15" s="4" t="s">
        <v>35</v>
      </c>
      <c r="B15" s="4" t="s">
        <v>36</v>
      </c>
      <c r="C15" s="4" t="s">
        <v>139</v>
      </c>
      <c r="D15" s="5" t="s">
        <v>135</v>
      </c>
      <c r="E15" s="5">
        <v>46056.6726393171</v>
      </c>
      <c r="F15" s="4" t="s">
        <v>20</v>
      </c>
      <c r="G15" s="4" t="s">
        <v>21</v>
      </c>
      <c r="H15" s="4">
        <v>1</v>
      </c>
      <c r="I15" s="8">
        <v>3.3</v>
      </c>
      <c r="J15" s="8">
        <f t="shared" si="0"/>
        <v>3.3</v>
      </c>
      <c r="K15" s="4">
        <v>1</v>
      </c>
      <c r="L15" s="8">
        <f t="shared" si="1"/>
        <v>3.3</v>
      </c>
      <c r="M15" s="8"/>
      <c r="N15" s="8"/>
      <c r="O15" s="8" t="s">
        <v>47</v>
      </c>
      <c r="P15" s="8" t="s">
        <v>48</v>
      </c>
    </row>
    <row r="16" ht="22.5" customHeight="1" spans="1:16">
      <c r="A16" s="4" t="s">
        <v>35</v>
      </c>
      <c r="B16" s="4" t="s">
        <v>36</v>
      </c>
      <c r="C16" s="4" t="s">
        <v>140</v>
      </c>
      <c r="D16" s="5" t="s">
        <v>135</v>
      </c>
      <c r="E16" s="5">
        <v>46056.6726393171</v>
      </c>
      <c r="F16" s="4" t="s">
        <v>24</v>
      </c>
      <c r="G16" s="4" t="s">
        <v>25</v>
      </c>
      <c r="H16" s="4">
        <v>8</v>
      </c>
      <c r="I16" s="8">
        <v>3.3</v>
      </c>
      <c r="J16" s="8">
        <f t="shared" si="0"/>
        <v>26.4</v>
      </c>
      <c r="K16" s="4">
        <v>8</v>
      </c>
      <c r="L16" s="8">
        <f t="shared" si="1"/>
        <v>26.4</v>
      </c>
      <c r="M16" s="8"/>
      <c r="N16" s="8"/>
      <c r="O16" s="8" t="s">
        <v>47</v>
      </c>
      <c r="P16" s="8" t="s">
        <v>48</v>
      </c>
    </row>
    <row r="17" ht="22.5" customHeight="1" spans="1:16">
      <c r="A17" s="4" t="s">
        <v>35</v>
      </c>
      <c r="B17" s="4" t="s">
        <v>36</v>
      </c>
      <c r="C17" s="4" t="s">
        <v>140</v>
      </c>
      <c r="D17" s="5" t="s">
        <v>135</v>
      </c>
      <c r="E17" s="5">
        <v>46056.6726393171</v>
      </c>
      <c r="F17" s="4" t="s">
        <v>20</v>
      </c>
      <c r="G17" s="4" t="s">
        <v>21</v>
      </c>
      <c r="H17" s="4">
        <v>1</v>
      </c>
      <c r="I17" s="8">
        <v>3.3</v>
      </c>
      <c r="J17" s="8">
        <f t="shared" si="0"/>
        <v>3.3</v>
      </c>
      <c r="K17" s="4">
        <v>1</v>
      </c>
      <c r="L17" s="8">
        <f t="shared" si="1"/>
        <v>3.3</v>
      </c>
      <c r="M17" s="8"/>
      <c r="N17" s="8"/>
      <c r="O17" s="8" t="s">
        <v>47</v>
      </c>
      <c r="P17" s="8" t="s">
        <v>48</v>
      </c>
    </row>
    <row r="18" ht="22.5" customHeight="1" spans="1:16">
      <c r="A18" s="4" t="s">
        <v>35</v>
      </c>
      <c r="B18" s="4" t="s">
        <v>36</v>
      </c>
      <c r="C18" s="4" t="s">
        <v>141</v>
      </c>
      <c r="D18" s="5" t="s">
        <v>135</v>
      </c>
      <c r="E18" s="5">
        <v>46056.6726410532</v>
      </c>
      <c r="F18" s="4" t="s">
        <v>24</v>
      </c>
      <c r="G18" s="4" t="s">
        <v>25</v>
      </c>
      <c r="H18" s="4">
        <v>3</v>
      </c>
      <c r="I18" s="8">
        <v>3.3</v>
      </c>
      <c r="J18" s="8">
        <f t="shared" si="0"/>
        <v>9.9</v>
      </c>
      <c r="K18" s="4">
        <v>3</v>
      </c>
      <c r="L18" s="8">
        <f t="shared" si="1"/>
        <v>9.9</v>
      </c>
      <c r="M18" s="8"/>
      <c r="N18" s="8"/>
      <c r="O18" s="8" t="s">
        <v>47</v>
      </c>
      <c r="P18" s="8" t="s">
        <v>48</v>
      </c>
    </row>
    <row r="19" ht="22.5" customHeight="1" spans="1:16">
      <c r="A19" s="4" t="s">
        <v>35</v>
      </c>
      <c r="B19" s="4" t="s">
        <v>36</v>
      </c>
      <c r="C19" s="4" t="s">
        <v>141</v>
      </c>
      <c r="D19" s="5" t="s">
        <v>135</v>
      </c>
      <c r="E19" s="5">
        <v>46056.6726410532</v>
      </c>
      <c r="F19" s="4" t="s">
        <v>20</v>
      </c>
      <c r="G19" s="4" t="s">
        <v>21</v>
      </c>
      <c r="H19" s="4">
        <v>1</v>
      </c>
      <c r="I19" s="8">
        <v>3.3</v>
      </c>
      <c r="J19" s="8">
        <f t="shared" si="0"/>
        <v>3.3</v>
      </c>
      <c r="K19" s="4">
        <v>1</v>
      </c>
      <c r="L19" s="8">
        <f t="shared" si="1"/>
        <v>3.3</v>
      </c>
      <c r="M19" s="8"/>
      <c r="N19" s="8"/>
      <c r="O19" s="8" t="s">
        <v>47</v>
      </c>
      <c r="P19" s="8" t="s">
        <v>48</v>
      </c>
    </row>
    <row r="20" ht="22.5" customHeight="1" spans="1:16">
      <c r="A20" s="4" t="s">
        <v>35</v>
      </c>
      <c r="B20" s="4" t="s">
        <v>36</v>
      </c>
      <c r="C20" s="4" t="s">
        <v>142</v>
      </c>
      <c r="D20" s="5" t="s">
        <v>135</v>
      </c>
      <c r="E20" s="5">
        <v>46056.672641169</v>
      </c>
      <c r="F20" s="4" t="s">
        <v>24</v>
      </c>
      <c r="G20" s="4" t="s">
        <v>25</v>
      </c>
      <c r="H20" s="4">
        <v>11</v>
      </c>
      <c r="I20" s="8">
        <v>3.3</v>
      </c>
      <c r="J20" s="8">
        <f t="shared" si="0"/>
        <v>36.3</v>
      </c>
      <c r="K20" s="4">
        <v>11</v>
      </c>
      <c r="L20" s="8">
        <f t="shared" si="1"/>
        <v>36.3</v>
      </c>
      <c r="M20" s="8"/>
      <c r="N20" s="8"/>
      <c r="O20" s="8" t="s">
        <v>47</v>
      </c>
      <c r="P20" s="8" t="s">
        <v>48</v>
      </c>
    </row>
    <row r="21" ht="22.5" customHeight="1" spans="1:16">
      <c r="A21" s="4" t="s">
        <v>35</v>
      </c>
      <c r="B21" s="4" t="s">
        <v>36</v>
      </c>
      <c r="C21" s="4" t="s">
        <v>142</v>
      </c>
      <c r="D21" s="5" t="s">
        <v>135</v>
      </c>
      <c r="E21" s="5">
        <v>46056.672641169</v>
      </c>
      <c r="F21" s="4" t="s">
        <v>20</v>
      </c>
      <c r="G21" s="4" t="s">
        <v>21</v>
      </c>
      <c r="H21" s="4">
        <v>1</v>
      </c>
      <c r="I21" s="8">
        <v>3.3</v>
      </c>
      <c r="J21" s="8">
        <f t="shared" si="0"/>
        <v>3.3</v>
      </c>
      <c r="K21" s="4">
        <v>1</v>
      </c>
      <c r="L21" s="8">
        <f t="shared" si="1"/>
        <v>3.3</v>
      </c>
      <c r="M21" s="8"/>
      <c r="N21" s="8"/>
      <c r="O21" s="8" t="s">
        <v>47</v>
      </c>
      <c r="P21" s="8" t="s">
        <v>48</v>
      </c>
    </row>
    <row r="22" ht="22.5" customHeight="1" spans="1:16">
      <c r="A22" s="4" t="s">
        <v>35</v>
      </c>
      <c r="B22" s="4" t="s">
        <v>36</v>
      </c>
      <c r="C22" s="4" t="s">
        <v>143</v>
      </c>
      <c r="D22" s="5" t="s">
        <v>135</v>
      </c>
      <c r="E22" s="5">
        <v>46056.6726452893</v>
      </c>
      <c r="F22" s="4" t="s">
        <v>24</v>
      </c>
      <c r="G22" s="4" t="s">
        <v>25</v>
      </c>
      <c r="H22" s="4">
        <v>35</v>
      </c>
      <c r="I22" s="8">
        <v>3.3</v>
      </c>
      <c r="J22" s="8">
        <f t="shared" si="0"/>
        <v>115.5</v>
      </c>
      <c r="K22" s="4">
        <v>35</v>
      </c>
      <c r="L22" s="8">
        <f t="shared" si="1"/>
        <v>115.5</v>
      </c>
      <c r="M22" s="8"/>
      <c r="N22" s="8"/>
      <c r="O22" s="8" t="s">
        <v>47</v>
      </c>
      <c r="P22" s="8" t="s">
        <v>48</v>
      </c>
    </row>
    <row r="23" ht="22.5" customHeight="1" spans="1:16">
      <c r="A23" s="4" t="s">
        <v>35</v>
      </c>
      <c r="B23" s="4" t="s">
        <v>36</v>
      </c>
      <c r="C23" s="4" t="s">
        <v>143</v>
      </c>
      <c r="D23" s="5" t="s">
        <v>135</v>
      </c>
      <c r="E23" s="5">
        <v>46056.6726452893</v>
      </c>
      <c r="F23" s="4" t="s">
        <v>20</v>
      </c>
      <c r="G23" s="4" t="s">
        <v>21</v>
      </c>
      <c r="H23" s="4">
        <v>1</v>
      </c>
      <c r="I23" s="8">
        <v>3.3</v>
      </c>
      <c r="J23" s="8">
        <f t="shared" si="0"/>
        <v>3.3</v>
      </c>
      <c r="K23" s="4">
        <v>1</v>
      </c>
      <c r="L23" s="8">
        <f t="shared" si="1"/>
        <v>3.3</v>
      </c>
      <c r="M23" s="8"/>
      <c r="N23" s="8"/>
      <c r="O23" s="8" t="s">
        <v>47</v>
      </c>
      <c r="P23" s="8" t="s">
        <v>48</v>
      </c>
    </row>
    <row r="24" ht="22.5" customHeight="1" spans="1:16">
      <c r="A24" s="4" t="s">
        <v>35</v>
      </c>
      <c r="B24" s="4" t="s">
        <v>36</v>
      </c>
      <c r="C24" s="4" t="s">
        <v>144</v>
      </c>
      <c r="D24" s="5" t="s">
        <v>135</v>
      </c>
      <c r="E24" s="5">
        <v>46056.782966169</v>
      </c>
      <c r="F24" s="4" t="s">
        <v>24</v>
      </c>
      <c r="G24" s="4" t="s">
        <v>42</v>
      </c>
      <c r="H24" s="4">
        <v>1</v>
      </c>
      <c r="I24" s="8">
        <v>9.9</v>
      </c>
      <c r="J24" s="8">
        <v>9.9</v>
      </c>
      <c r="K24" s="4">
        <v>1</v>
      </c>
      <c r="L24" s="8">
        <v>9.9</v>
      </c>
      <c r="M24" s="8"/>
      <c r="N24" s="8"/>
      <c r="O24" s="8" t="s">
        <v>47</v>
      </c>
      <c r="P24" s="8" t="s">
        <v>48</v>
      </c>
    </row>
    <row r="25" spans="1:16">
      <c r="H25">
        <f t="shared" ref="H25:N25" si="2">SUM(H2:H24)</f>
        <v>166</v>
      </c>
      <c r="I25">
        <f t="shared" si="2"/>
        <v>82.5</v>
      </c>
      <c r="J25">
        <f t="shared" si="2"/>
        <v>554.4</v>
      </c>
      <c r="K25">
        <f t="shared" si="2"/>
        <v>163</v>
      </c>
      <c r="L25">
        <f t="shared" si="2"/>
        <v>544.5</v>
      </c>
      <c r="M25">
        <f t="shared" si="2"/>
        <v>3</v>
      </c>
      <c r="N25">
        <f t="shared" si="2"/>
        <v>9.9</v>
      </c>
    </row>
  </sheetData>
  <sortState ref="A2:P24">
    <sortCondition ref="A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opLeftCell="B1" workbookViewId="0">
      <selection activeCell="F29" sqref="F29"/>
    </sheetView>
  </sheetViews>
  <sheetFormatPr defaultColWidth="9" defaultRowHeight="13.5" outlineLevelRow="7"/>
  <cols>
    <col min="1" max="1" width="30.0083333333333" customWidth="1"/>
    <col min="2" max="2" width="27.0083333333333" customWidth="1"/>
    <col min="3" max="3" width="26.0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145</v>
      </c>
      <c r="D2" s="5" t="s">
        <v>146</v>
      </c>
      <c r="E2" s="6">
        <v>46057.6603054051</v>
      </c>
      <c r="F2" s="4" t="s">
        <v>20</v>
      </c>
      <c r="G2" s="4" t="s">
        <v>21</v>
      </c>
      <c r="H2" s="9">
        <v>1</v>
      </c>
      <c r="I2" s="8">
        <v>3.3</v>
      </c>
      <c r="J2" s="8">
        <f>H2*I2</f>
        <v>3.3</v>
      </c>
      <c r="K2" s="8">
        <v>1</v>
      </c>
      <c r="L2" s="8">
        <v>3.3</v>
      </c>
      <c r="M2" s="8"/>
      <c r="N2" s="8"/>
      <c r="O2" s="8" t="s">
        <v>147</v>
      </c>
      <c r="P2" s="8" t="s">
        <v>148</v>
      </c>
    </row>
    <row r="3" ht="22.5" customHeight="1" spans="1:16">
      <c r="A3" s="4" t="s">
        <v>16</v>
      </c>
      <c r="B3" s="4" t="s">
        <v>28</v>
      </c>
      <c r="C3" s="4" t="s">
        <v>145</v>
      </c>
      <c r="D3" s="5" t="s">
        <v>146</v>
      </c>
      <c r="E3" s="6">
        <v>46057.6603054051</v>
      </c>
      <c r="F3" s="4" t="s">
        <v>24</v>
      </c>
      <c r="G3" s="4" t="s">
        <v>25</v>
      </c>
      <c r="H3" s="9">
        <v>14</v>
      </c>
      <c r="I3" s="8">
        <v>3.3</v>
      </c>
      <c r="J3" s="8">
        <f>H3*I3</f>
        <v>46.2</v>
      </c>
      <c r="K3" s="8">
        <v>14</v>
      </c>
      <c r="L3" s="8">
        <v>46.2</v>
      </c>
      <c r="M3" s="8"/>
      <c r="N3" s="8"/>
      <c r="O3" s="8" t="s">
        <v>147</v>
      </c>
      <c r="P3" s="8" t="s">
        <v>148</v>
      </c>
    </row>
    <row r="4" ht="22.5" customHeight="1" spans="1:16">
      <c r="A4" s="4" t="s">
        <v>43</v>
      </c>
      <c r="B4" s="4" t="s">
        <v>44</v>
      </c>
      <c r="C4" s="4" t="s">
        <v>149</v>
      </c>
      <c r="D4" s="5" t="s">
        <v>68</v>
      </c>
      <c r="E4" s="6">
        <v>46057.6604537384</v>
      </c>
      <c r="F4" s="4" t="s">
        <v>24</v>
      </c>
      <c r="G4" s="4" t="s">
        <v>25</v>
      </c>
      <c r="H4" s="9">
        <v>47</v>
      </c>
      <c r="I4" s="8">
        <v>3.3</v>
      </c>
      <c r="J4" s="8">
        <f>H4*I4</f>
        <v>155.1</v>
      </c>
      <c r="K4" s="8">
        <v>47</v>
      </c>
      <c r="L4" s="8">
        <v>155.1</v>
      </c>
      <c r="M4" s="8"/>
      <c r="N4" s="8"/>
      <c r="O4" s="8" t="s">
        <v>147</v>
      </c>
      <c r="P4" s="8" t="s">
        <v>148</v>
      </c>
    </row>
    <row r="5" ht="22.5" customHeight="1" spans="1:16">
      <c r="A5" s="4" t="s">
        <v>43</v>
      </c>
      <c r="B5" s="4" t="s">
        <v>44</v>
      </c>
      <c r="C5" s="4" t="s">
        <v>149</v>
      </c>
      <c r="D5" s="5" t="s">
        <v>68</v>
      </c>
      <c r="E5" s="6">
        <v>46057.6604537384</v>
      </c>
      <c r="F5" s="4" t="s">
        <v>20</v>
      </c>
      <c r="G5" s="4" t="s">
        <v>21</v>
      </c>
      <c r="H5" s="9">
        <v>1</v>
      </c>
      <c r="I5" s="8">
        <v>3.3</v>
      </c>
      <c r="J5" s="8">
        <f>H5*I5</f>
        <v>3.3</v>
      </c>
      <c r="K5" s="8">
        <v>1</v>
      </c>
      <c r="L5" s="8">
        <v>3.3</v>
      </c>
      <c r="M5" s="8"/>
      <c r="N5" s="8"/>
      <c r="O5" s="8" t="s">
        <v>147</v>
      </c>
      <c r="P5" s="8" t="s">
        <v>148</v>
      </c>
    </row>
    <row r="6" ht="22.5" customHeight="1" spans="1:16">
      <c r="A6" s="4" t="s">
        <v>43</v>
      </c>
      <c r="B6" s="4" t="s">
        <v>44</v>
      </c>
      <c r="C6" s="4" t="s">
        <v>150</v>
      </c>
      <c r="D6" s="5" t="s">
        <v>68</v>
      </c>
      <c r="E6" s="6">
        <v>46057.6604562847</v>
      </c>
      <c r="F6" s="4" t="s">
        <v>20</v>
      </c>
      <c r="G6" s="4" t="s">
        <v>21</v>
      </c>
      <c r="H6" s="9">
        <v>1</v>
      </c>
      <c r="I6" s="8">
        <v>3.3</v>
      </c>
      <c r="J6" s="8">
        <f>H6*I6</f>
        <v>3.3</v>
      </c>
      <c r="K6" s="8">
        <v>1</v>
      </c>
      <c r="L6" s="8">
        <v>3.3</v>
      </c>
      <c r="M6" s="8"/>
      <c r="N6" s="8"/>
      <c r="O6" s="8" t="s">
        <v>147</v>
      </c>
      <c r="P6" s="8" t="s">
        <v>148</v>
      </c>
    </row>
    <row r="7" ht="22.5" customHeight="1" spans="1:16">
      <c r="A7" s="4" t="s">
        <v>43</v>
      </c>
      <c r="B7" s="4" t="s">
        <v>44</v>
      </c>
      <c r="C7" s="4" t="s">
        <v>150</v>
      </c>
      <c r="D7" s="5" t="s">
        <v>68</v>
      </c>
      <c r="E7" s="6">
        <v>46057.6604562847</v>
      </c>
      <c r="F7" s="4" t="s">
        <v>24</v>
      </c>
      <c r="G7" s="4" t="s">
        <v>33</v>
      </c>
      <c r="H7" s="9">
        <v>41</v>
      </c>
      <c r="I7" s="8">
        <v>120</v>
      </c>
      <c r="J7" s="8">
        <v>120</v>
      </c>
      <c r="K7" s="8">
        <v>41</v>
      </c>
      <c r="L7" s="8">
        <v>120</v>
      </c>
      <c r="M7" s="8"/>
      <c r="N7" s="8"/>
      <c r="O7" s="8" t="s">
        <v>147</v>
      </c>
      <c r="P7" s="8" t="s">
        <v>148</v>
      </c>
    </row>
    <row r="8" spans="1:16">
      <c r="A8" s="10"/>
      <c r="B8" s="10"/>
      <c r="C8" s="10"/>
      <c r="D8" s="10"/>
      <c r="E8" s="10"/>
      <c r="F8" s="10"/>
      <c r="G8" s="10"/>
      <c r="H8" s="10"/>
      <c r="I8" s="10">
        <f t="shared" ref="I8:N8" si="0">SUM(I2:I7)</f>
        <v>136.5</v>
      </c>
      <c r="J8" s="10">
        <f t="shared" si="0"/>
        <v>331.2</v>
      </c>
      <c r="K8" s="10">
        <f t="shared" si="0"/>
        <v>105</v>
      </c>
      <c r="L8" s="10">
        <f t="shared" si="0"/>
        <v>331.2</v>
      </c>
      <c r="M8" s="10">
        <f t="shared" si="0"/>
        <v>0</v>
      </c>
      <c r="N8" s="10">
        <f t="shared" si="0"/>
        <v>0</v>
      </c>
      <c r="O8" s="10"/>
      <c r="P8" s="10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opLeftCell="B15" workbookViewId="0">
      <selection activeCell="I1" sqref="I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4.675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151</v>
      </c>
      <c r="D2" s="5" t="s">
        <v>65</v>
      </c>
      <c r="E2" s="6">
        <v>46058.5695371181</v>
      </c>
      <c r="F2" s="4" t="s">
        <v>20</v>
      </c>
      <c r="G2" s="4" t="s">
        <v>21</v>
      </c>
      <c r="H2" s="9">
        <v>1</v>
      </c>
      <c r="I2" s="7">
        <v>3.3</v>
      </c>
      <c r="J2" s="7">
        <f>H2*I2</f>
        <v>3.3</v>
      </c>
      <c r="K2" s="7">
        <v>1</v>
      </c>
      <c r="L2" s="7">
        <v>3.3</v>
      </c>
      <c r="M2" s="7"/>
      <c r="N2" s="7"/>
      <c r="O2" s="7" t="s">
        <v>47</v>
      </c>
      <c r="P2" s="8" t="s">
        <v>54</v>
      </c>
    </row>
    <row r="3" ht="22.5" customHeight="1" spans="1:16">
      <c r="A3" s="4" t="s">
        <v>16</v>
      </c>
      <c r="B3" s="4" t="s">
        <v>28</v>
      </c>
      <c r="C3" s="4" t="s">
        <v>151</v>
      </c>
      <c r="D3" s="5" t="s">
        <v>65</v>
      </c>
      <c r="E3" s="6">
        <v>46058.5695371181</v>
      </c>
      <c r="F3" s="4" t="s">
        <v>24</v>
      </c>
      <c r="G3" s="4" t="s">
        <v>34</v>
      </c>
      <c r="H3" s="9">
        <v>4</v>
      </c>
      <c r="I3" s="7">
        <v>3.3</v>
      </c>
      <c r="J3" s="7">
        <f>H3*I3</f>
        <v>13.2</v>
      </c>
      <c r="K3" s="7">
        <v>4</v>
      </c>
      <c r="L3" s="7">
        <v>13.2</v>
      </c>
      <c r="M3" s="7"/>
      <c r="N3" s="7"/>
      <c r="O3" s="7" t="s">
        <v>47</v>
      </c>
      <c r="P3" s="8" t="s">
        <v>54</v>
      </c>
    </row>
    <row r="4" ht="22.5" customHeight="1" spans="1:16">
      <c r="A4" s="4" t="s">
        <v>16</v>
      </c>
      <c r="B4" s="4" t="s">
        <v>28</v>
      </c>
      <c r="C4" s="4" t="s">
        <v>151</v>
      </c>
      <c r="D4" s="5" t="s">
        <v>65</v>
      </c>
      <c r="E4" s="6">
        <v>46058.5695371181</v>
      </c>
      <c r="F4" s="4" t="s">
        <v>24</v>
      </c>
      <c r="G4" s="4" t="s">
        <v>133</v>
      </c>
      <c r="H4" s="9">
        <v>17</v>
      </c>
      <c r="I4" s="7">
        <v>3.3</v>
      </c>
      <c r="J4" s="7">
        <f>H4*I4</f>
        <v>56.1</v>
      </c>
      <c r="K4" s="7">
        <v>17</v>
      </c>
      <c r="L4" s="7">
        <v>56.1</v>
      </c>
      <c r="M4" s="7"/>
      <c r="N4" s="7"/>
      <c r="O4" s="7" t="s">
        <v>47</v>
      </c>
      <c r="P4" s="8" t="s">
        <v>54</v>
      </c>
    </row>
    <row r="5" ht="22.5" customHeight="1" spans="1:16">
      <c r="A5" s="4" t="s">
        <v>16</v>
      </c>
      <c r="B5" s="4" t="s">
        <v>28</v>
      </c>
      <c r="C5" s="4" t="s">
        <v>151</v>
      </c>
      <c r="D5" s="5" t="s">
        <v>65</v>
      </c>
      <c r="E5" s="6">
        <v>46058.5695371181</v>
      </c>
      <c r="F5" s="4" t="s">
        <v>24</v>
      </c>
      <c r="G5" s="4" t="s">
        <v>33</v>
      </c>
      <c r="H5" s="9">
        <v>178</v>
      </c>
      <c r="I5" s="7">
        <v>120</v>
      </c>
      <c r="J5" s="7">
        <v>120</v>
      </c>
      <c r="K5" s="7">
        <v>178</v>
      </c>
      <c r="L5" s="7">
        <v>120</v>
      </c>
      <c r="M5" s="7"/>
      <c r="N5" s="7"/>
      <c r="O5" s="7" t="s">
        <v>47</v>
      </c>
      <c r="P5" s="8" t="s">
        <v>54</v>
      </c>
    </row>
    <row r="6" ht="22.5" customHeight="1" spans="1:16">
      <c r="A6" s="4" t="s">
        <v>16</v>
      </c>
      <c r="B6" s="4" t="s">
        <v>17</v>
      </c>
      <c r="C6" s="4" t="s">
        <v>152</v>
      </c>
      <c r="D6" s="5" t="s">
        <v>153</v>
      </c>
      <c r="E6" s="6">
        <v>46058.6675743403</v>
      </c>
      <c r="F6" s="4" t="s">
        <v>20</v>
      </c>
      <c r="G6" s="4" t="s">
        <v>21</v>
      </c>
      <c r="H6" s="9">
        <v>1</v>
      </c>
      <c r="I6" s="7">
        <v>3.3</v>
      </c>
      <c r="J6" s="7">
        <f t="shared" ref="J6:J21" si="0">H6*I6</f>
        <v>3.3</v>
      </c>
      <c r="K6" s="7">
        <v>1</v>
      </c>
      <c r="L6" s="7">
        <v>3.3</v>
      </c>
      <c r="M6" s="7"/>
      <c r="N6" s="7"/>
      <c r="O6" s="7" t="s">
        <v>22</v>
      </c>
      <c r="P6" s="8" t="s">
        <v>23</v>
      </c>
    </row>
    <row r="7" ht="22.5" customHeight="1" spans="1:16">
      <c r="A7" s="4" t="s">
        <v>16</v>
      </c>
      <c r="B7" s="4" t="s">
        <v>17</v>
      </c>
      <c r="C7" s="4" t="s">
        <v>152</v>
      </c>
      <c r="D7" s="5" t="s">
        <v>153</v>
      </c>
      <c r="E7" s="6">
        <v>46058.6675743403</v>
      </c>
      <c r="F7" s="4" t="s">
        <v>24</v>
      </c>
      <c r="G7" s="4" t="s">
        <v>25</v>
      </c>
      <c r="H7" s="9">
        <v>16</v>
      </c>
      <c r="I7" s="7">
        <v>3.3</v>
      </c>
      <c r="J7" s="7">
        <f t="shared" si="0"/>
        <v>52.8</v>
      </c>
      <c r="K7" s="7">
        <v>16</v>
      </c>
      <c r="L7" s="7">
        <v>52.8</v>
      </c>
      <c r="M7" s="7"/>
      <c r="N7" s="7"/>
      <c r="O7" s="7" t="s">
        <v>22</v>
      </c>
      <c r="P7" s="8" t="s">
        <v>23</v>
      </c>
    </row>
    <row r="8" ht="22.5" customHeight="1" spans="1:16">
      <c r="A8" s="4" t="s">
        <v>16</v>
      </c>
      <c r="B8" s="4" t="s">
        <v>17</v>
      </c>
      <c r="C8" s="4" t="s">
        <v>154</v>
      </c>
      <c r="D8" s="5" t="s">
        <v>153</v>
      </c>
      <c r="E8" s="6">
        <v>46058.6675767361</v>
      </c>
      <c r="F8" s="4" t="s">
        <v>24</v>
      </c>
      <c r="G8" s="4" t="s">
        <v>25</v>
      </c>
      <c r="H8" s="9">
        <v>21</v>
      </c>
      <c r="I8" s="7">
        <v>3.3</v>
      </c>
      <c r="J8" s="7">
        <f t="shared" si="0"/>
        <v>69.3</v>
      </c>
      <c r="K8" s="7">
        <v>21</v>
      </c>
      <c r="L8" s="7">
        <v>69.3</v>
      </c>
      <c r="M8" s="7"/>
      <c r="N8" s="7"/>
      <c r="O8" s="7" t="s">
        <v>22</v>
      </c>
      <c r="P8" s="8" t="s">
        <v>23</v>
      </c>
    </row>
    <row r="9" ht="22.5" customHeight="1" spans="1:16">
      <c r="A9" s="4" t="s">
        <v>16</v>
      </c>
      <c r="B9" s="4" t="s">
        <v>17</v>
      </c>
      <c r="C9" s="4" t="s">
        <v>154</v>
      </c>
      <c r="D9" s="5" t="s">
        <v>153</v>
      </c>
      <c r="E9" s="6">
        <v>46058.6675767361</v>
      </c>
      <c r="F9" s="4" t="s">
        <v>20</v>
      </c>
      <c r="G9" s="4" t="s">
        <v>21</v>
      </c>
      <c r="H9" s="9">
        <v>1</v>
      </c>
      <c r="I9" s="7">
        <v>3.3</v>
      </c>
      <c r="J9" s="7">
        <f t="shared" si="0"/>
        <v>3.3</v>
      </c>
      <c r="K9" s="7">
        <v>1</v>
      </c>
      <c r="L9" s="7">
        <v>3.3</v>
      </c>
      <c r="M9" s="7"/>
      <c r="N9" s="7"/>
      <c r="O9" s="7" t="s">
        <v>22</v>
      </c>
      <c r="P9" s="8" t="s">
        <v>23</v>
      </c>
    </row>
    <row r="10" ht="22.5" customHeight="1" spans="1:16">
      <c r="A10" s="4" t="s">
        <v>16</v>
      </c>
      <c r="B10" s="4" t="s">
        <v>17</v>
      </c>
      <c r="C10" s="4" t="s">
        <v>155</v>
      </c>
      <c r="D10" s="5" t="s">
        <v>153</v>
      </c>
      <c r="E10" s="6">
        <v>46058.6675790162</v>
      </c>
      <c r="F10" s="4" t="s">
        <v>20</v>
      </c>
      <c r="G10" s="4" t="s">
        <v>21</v>
      </c>
      <c r="H10" s="9">
        <v>1</v>
      </c>
      <c r="I10" s="7">
        <v>3.3</v>
      </c>
      <c r="J10" s="7">
        <f t="shared" si="0"/>
        <v>3.3</v>
      </c>
      <c r="K10" s="7">
        <v>1</v>
      </c>
      <c r="L10" s="7">
        <v>3.3</v>
      </c>
      <c r="M10" s="7"/>
      <c r="N10" s="7"/>
      <c r="O10" s="7" t="s">
        <v>22</v>
      </c>
      <c r="P10" s="8" t="s">
        <v>23</v>
      </c>
    </row>
    <row r="11" ht="22.5" customHeight="1" spans="1:16">
      <c r="A11" s="4" t="s">
        <v>16</v>
      </c>
      <c r="B11" s="4" t="s">
        <v>17</v>
      </c>
      <c r="C11" s="4" t="s">
        <v>155</v>
      </c>
      <c r="D11" s="5" t="s">
        <v>153</v>
      </c>
      <c r="E11" s="6">
        <v>46058.6675790162</v>
      </c>
      <c r="F11" s="4" t="s">
        <v>24</v>
      </c>
      <c r="G11" s="4" t="s">
        <v>25</v>
      </c>
      <c r="H11" s="9">
        <v>18</v>
      </c>
      <c r="I11" s="7">
        <v>3.3</v>
      </c>
      <c r="J11" s="7">
        <f t="shared" si="0"/>
        <v>59.4</v>
      </c>
      <c r="K11" s="7">
        <v>18</v>
      </c>
      <c r="L11" s="7">
        <v>59.4</v>
      </c>
      <c r="M11" s="7"/>
      <c r="N11" s="7"/>
      <c r="O11" s="7" t="s">
        <v>22</v>
      </c>
      <c r="P11" s="8" t="s">
        <v>23</v>
      </c>
    </row>
    <row r="12" ht="22.5" customHeight="1" spans="1:16">
      <c r="A12" s="4" t="s">
        <v>16</v>
      </c>
      <c r="B12" s="4" t="s">
        <v>17</v>
      </c>
      <c r="C12" s="4" t="s">
        <v>156</v>
      </c>
      <c r="D12" s="5" t="s">
        <v>153</v>
      </c>
      <c r="E12" s="6">
        <v>46058.66758125</v>
      </c>
      <c r="F12" s="4" t="s">
        <v>24</v>
      </c>
      <c r="G12" s="4" t="s">
        <v>25</v>
      </c>
      <c r="H12" s="9">
        <v>25</v>
      </c>
      <c r="I12" s="7">
        <v>3.3</v>
      </c>
      <c r="J12" s="7">
        <f t="shared" si="0"/>
        <v>82.5</v>
      </c>
      <c r="K12" s="7">
        <v>25</v>
      </c>
      <c r="L12" s="7">
        <v>82.5</v>
      </c>
      <c r="M12" s="7"/>
      <c r="N12" s="7"/>
      <c r="O12" s="7" t="s">
        <v>22</v>
      </c>
      <c r="P12" s="8" t="s">
        <v>23</v>
      </c>
    </row>
    <row r="13" ht="22.5" customHeight="1" spans="1:16">
      <c r="A13" s="4" t="s">
        <v>16</v>
      </c>
      <c r="B13" s="4" t="s">
        <v>17</v>
      </c>
      <c r="C13" s="4" t="s">
        <v>156</v>
      </c>
      <c r="D13" s="5" t="s">
        <v>153</v>
      </c>
      <c r="E13" s="6">
        <v>46058.66758125</v>
      </c>
      <c r="F13" s="4" t="s">
        <v>20</v>
      </c>
      <c r="G13" s="4" t="s">
        <v>21</v>
      </c>
      <c r="H13" s="9">
        <v>1</v>
      </c>
      <c r="I13" s="7">
        <v>3.3</v>
      </c>
      <c r="J13" s="7">
        <f t="shared" si="0"/>
        <v>3.3</v>
      </c>
      <c r="K13" s="7">
        <v>1</v>
      </c>
      <c r="L13" s="7">
        <v>3.3</v>
      </c>
      <c r="M13" s="7"/>
      <c r="N13" s="7"/>
      <c r="O13" s="7" t="s">
        <v>22</v>
      </c>
      <c r="P13" s="8" t="s">
        <v>23</v>
      </c>
    </row>
    <row r="14" ht="22.5" customHeight="1" spans="1:16">
      <c r="A14" s="4" t="s">
        <v>16</v>
      </c>
      <c r="B14" s="4" t="s">
        <v>28</v>
      </c>
      <c r="C14" s="4" t="s">
        <v>157</v>
      </c>
      <c r="D14" s="5" t="s">
        <v>19</v>
      </c>
      <c r="E14" s="6">
        <v>46058.8012223032</v>
      </c>
      <c r="F14" s="4" t="s">
        <v>20</v>
      </c>
      <c r="G14" s="4" t="s">
        <v>21</v>
      </c>
      <c r="H14" s="9">
        <v>1</v>
      </c>
      <c r="I14" s="7">
        <v>3.3</v>
      </c>
      <c r="J14" s="7">
        <f t="shared" si="0"/>
        <v>3.3</v>
      </c>
      <c r="K14" s="7">
        <v>1</v>
      </c>
      <c r="L14" s="7">
        <v>3.3</v>
      </c>
      <c r="M14" s="7"/>
      <c r="N14" s="7"/>
      <c r="O14" s="7" t="s">
        <v>47</v>
      </c>
      <c r="P14" s="8" t="s">
        <v>48</v>
      </c>
    </row>
    <row r="15" ht="22.5" customHeight="1" spans="1:16">
      <c r="A15" s="4" t="s">
        <v>16</v>
      </c>
      <c r="B15" s="4" t="s">
        <v>28</v>
      </c>
      <c r="C15" s="4" t="s">
        <v>157</v>
      </c>
      <c r="D15" s="5" t="s">
        <v>19</v>
      </c>
      <c r="E15" s="6">
        <v>46058.8012223032</v>
      </c>
      <c r="F15" s="4" t="s">
        <v>24</v>
      </c>
      <c r="G15" s="4" t="s">
        <v>25</v>
      </c>
      <c r="H15" s="9">
        <v>10</v>
      </c>
      <c r="I15" s="7">
        <v>3.3</v>
      </c>
      <c r="J15" s="7">
        <f t="shared" si="0"/>
        <v>33</v>
      </c>
      <c r="K15" s="7">
        <v>10</v>
      </c>
      <c r="L15" s="7">
        <v>33</v>
      </c>
      <c r="M15" s="7"/>
      <c r="N15" s="7"/>
      <c r="O15" s="7" t="s">
        <v>47</v>
      </c>
      <c r="P15" s="8" t="s">
        <v>48</v>
      </c>
    </row>
    <row r="16" ht="22.5" customHeight="1" spans="1:16">
      <c r="A16" s="4" t="s">
        <v>16</v>
      </c>
      <c r="B16" s="4" t="s">
        <v>28</v>
      </c>
      <c r="C16" s="4" t="s">
        <v>158</v>
      </c>
      <c r="D16" s="5" t="s">
        <v>19</v>
      </c>
      <c r="E16" s="6">
        <v>46058.8012236111</v>
      </c>
      <c r="F16" s="4" t="s">
        <v>20</v>
      </c>
      <c r="G16" s="4" t="s">
        <v>21</v>
      </c>
      <c r="H16" s="9">
        <v>1</v>
      </c>
      <c r="I16" s="7">
        <v>3.3</v>
      </c>
      <c r="J16" s="7">
        <f t="shared" si="0"/>
        <v>3.3</v>
      </c>
      <c r="K16" s="7">
        <v>1</v>
      </c>
      <c r="L16" s="7">
        <v>3.3</v>
      </c>
      <c r="M16" s="7"/>
      <c r="N16" s="7"/>
      <c r="O16" s="7" t="s">
        <v>47</v>
      </c>
      <c r="P16" s="8" t="s">
        <v>48</v>
      </c>
    </row>
    <row r="17" ht="22.5" customHeight="1" spans="1:16">
      <c r="A17" s="4" t="s">
        <v>16</v>
      </c>
      <c r="B17" s="4" t="s">
        <v>28</v>
      </c>
      <c r="C17" s="4" t="s">
        <v>158</v>
      </c>
      <c r="D17" s="5" t="s">
        <v>19</v>
      </c>
      <c r="E17" s="6">
        <v>46058.8012236111</v>
      </c>
      <c r="F17" s="4" t="s">
        <v>24</v>
      </c>
      <c r="G17" s="4" t="s">
        <v>25</v>
      </c>
      <c r="H17" s="9">
        <v>36</v>
      </c>
      <c r="I17" s="7">
        <v>3.3</v>
      </c>
      <c r="J17" s="7">
        <f t="shared" si="0"/>
        <v>118.8</v>
      </c>
      <c r="K17" s="7">
        <v>27</v>
      </c>
      <c r="L17" s="7">
        <f>K17*3.3</f>
        <v>89.1</v>
      </c>
      <c r="M17" s="7">
        <v>9</v>
      </c>
      <c r="N17" s="7">
        <f>M17*3.3</f>
        <v>29.7</v>
      </c>
      <c r="O17" s="7" t="s">
        <v>47</v>
      </c>
      <c r="P17" s="8" t="s">
        <v>48</v>
      </c>
    </row>
    <row r="18" ht="22.5" customHeight="1" spans="1:16">
      <c r="A18" s="4" t="s">
        <v>35</v>
      </c>
      <c r="B18" s="4" t="s">
        <v>36</v>
      </c>
      <c r="C18" s="4" t="s">
        <v>159</v>
      </c>
      <c r="D18" s="5" t="s">
        <v>65</v>
      </c>
      <c r="E18" s="6">
        <v>46058.6677825579</v>
      </c>
      <c r="F18" s="4" t="s">
        <v>24</v>
      </c>
      <c r="G18" s="4" t="s">
        <v>42</v>
      </c>
      <c r="H18" s="9">
        <v>6</v>
      </c>
      <c r="I18" s="7">
        <v>3.3</v>
      </c>
      <c r="J18" s="7">
        <f t="shared" si="0"/>
        <v>19.8</v>
      </c>
      <c r="K18" s="7">
        <v>6</v>
      </c>
      <c r="L18" s="7">
        <v>19.8</v>
      </c>
      <c r="M18" s="7"/>
      <c r="N18" s="7"/>
      <c r="O18" s="7" t="s">
        <v>39</v>
      </c>
      <c r="P18" s="8" t="s">
        <v>40</v>
      </c>
    </row>
    <row r="19" ht="22.5" customHeight="1" spans="1:16">
      <c r="A19" s="4" t="s">
        <v>43</v>
      </c>
      <c r="B19" s="4" t="s">
        <v>44</v>
      </c>
      <c r="C19" s="4" t="s">
        <v>151</v>
      </c>
      <c r="D19" s="5" t="s">
        <v>65</v>
      </c>
      <c r="E19" s="6">
        <v>46058.5693908912</v>
      </c>
      <c r="F19" s="4" t="s">
        <v>24</v>
      </c>
      <c r="G19" s="4" t="s">
        <v>25</v>
      </c>
      <c r="H19" s="9">
        <v>5</v>
      </c>
      <c r="I19" s="7">
        <v>3.3</v>
      </c>
      <c r="J19" s="7">
        <f t="shared" si="0"/>
        <v>16.5</v>
      </c>
      <c r="K19" s="7">
        <v>5</v>
      </c>
      <c r="L19" s="7">
        <v>16.5</v>
      </c>
      <c r="M19" s="7"/>
      <c r="N19" s="7"/>
      <c r="O19" s="7" t="s">
        <v>47</v>
      </c>
      <c r="P19" s="8" t="s">
        <v>54</v>
      </c>
    </row>
    <row r="20" ht="22.5" customHeight="1" spans="1:16">
      <c r="A20" s="4" t="s">
        <v>43</v>
      </c>
      <c r="B20" s="4" t="s">
        <v>44</v>
      </c>
      <c r="C20" s="4" t="s">
        <v>160</v>
      </c>
      <c r="D20" s="5" t="s">
        <v>161</v>
      </c>
      <c r="E20" s="6">
        <v>46058.801288044</v>
      </c>
      <c r="F20" s="4" t="s">
        <v>24</v>
      </c>
      <c r="G20" s="4" t="s">
        <v>34</v>
      </c>
      <c r="H20" s="9">
        <v>5</v>
      </c>
      <c r="I20" s="7">
        <v>3.3</v>
      </c>
      <c r="J20" s="7">
        <f t="shared" si="0"/>
        <v>16.5</v>
      </c>
      <c r="K20" s="7">
        <v>5</v>
      </c>
      <c r="L20" s="7">
        <v>16.5</v>
      </c>
      <c r="M20" s="7"/>
      <c r="N20" s="7"/>
      <c r="O20" s="7" t="s">
        <v>147</v>
      </c>
      <c r="P20" s="8" t="s">
        <v>148</v>
      </c>
    </row>
    <row r="21" ht="22.5" customHeight="1" spans="1:16">
      <c r="A21" s="4" t="s">
        <v>43</v>
      </c>
      <c r="B21" s="4" t="s">
        <v>44</v>
      </c>
      <c r="C21" s="4" t="s">
        <v>160</v>
      </c>
      <c r="D21" s="5" t="s">
        <v>161</v>
      </c>
      <c r="E21" s="6">
        <v>46058.801288044</v>
      </c>
      <c r="F21" s="4" t="s">
        <v>20</v>
      </c>
      <c r="G21" s="4" t="s">
        <v>21</v>
      </c>
      <c r="H21" s="9">
        <v>1</v>
      </c>
      <c r="I21" s="7">
        <v>3.3</v>
      </c>
      <c r="J21" s="7">
        <f t="shared" si="0"/>
        <v>3.3</v>
      </c>
      <c r="K21" s="7">
        <v>1</v>
      </c>
      <c r="L21" s="7">
        <v>3.3</v>
      </c>
      <c r="M21" s="7"/>
      <c r="N21" s="7"/>
      <c r="O21" s="7" t="s">
        <v>147</v>
      </c>
      <c r="P21" s="8" t="s">
        <v>148</v>
      </c>
    </row>
    <row r="22" ht="22.5" customHeight="1" spans="1:16">
      <c r="A22" s="4" t="s">
        <v>43</v>
      </c>
      <c r="B22" s="4" t="s">
        <v>44</v>
      </c>
      <c r="C22" s="4" t="s">
        <v>160</v>
      </c>
      <c r="D22" s="5" t="s">
        <v>161</v>
      </c>
      <c r="E22" s="6">
        <v>46058.801288044</v>
      </c>
      <c r="F22" s="4" t="s">
        <v>24</v>
      </c>
      <c r="G22" s="4" t="s">
        <v>33</v>
      </c>
      <c r="H22" s="9">
        <v>227</v>
      </c>
      <c r="I22" s="7">
        <v>120</v>
      </c>
      <c r="J22" s="7">
        <v>120</v>
      </c>
      <c r="K22" s="7">
        <v>213</v>
      </c>
      <c r="L22" s="7">
        <v>120</v>
      </c>
      <c r="M22" s="7">
        <v>14</v>
      </c>
      <c r="N22" s="7">
        <v>0</v>
      </c>
      <c r="O22" s="7" t="s">
        <v>147</v>
      </c>
      <c r="P22" s="8" t="s">
        <v>148</v>
      </c>
    </row>
    <row r="23" ht="22.5" customHeight="1" spans="1:16">
      <c r="A23" s="4" t="s">
        <v>43</v>
      </c>
      <c r="B23" s="4" t="s">
        <v>44</v>
      </c>
      <c r="C23" s="4" t="s">
        <v>160</v>
      </c>
      <c r="D23" s="5" t="s">
        <v>161</v>
      </c>
      <c r="E23" s="6">
        <v>46058.801288044</v>
      </c>
      <c r="F23" s="4" t="s">
        <v>24</v>
      </c>
      <c r="G23" s="4" t="s">
        <v>25</v>
      </c>
      <c r="H23" s="9">
        <v>25</v>
      </c>
      <c r="I23" s="7">
        <v>3.3</v>
      </c>
      <c r="J23" s="7">
        <f>H23*I23</f>
        <v>82.5</v>
      </c>
      <c r="K23" s="7">
        <v>25</v>
      </c>
      <c r="L23" s="7">
        <v>82.5</v>
      </c>
      <c r="M23" s="7"/>
      <c r="N23" s="7"/>
      <c r="O23" s="7" t="s">
        <v>147</v>
      </c>
      <c r="P23" s="8" t="s">
        <v>148</v>
      </c>
    </row>
    <row r="24" ht="22.5" customHeight="1" spans="1:16">
      <c r="A24" s="4" t="s">
        <v>43</v>
      </c>
      <c r="B24" s="4" t="s">
        <v>44</v>
      </c>
      <c r="C24" s="4" t="s">
        <v>162</v>
      </c>
      <c r="D24" s="5" t="s">
        <v>161</v>
      </c>
      <c r="E24" s="6">
        <v>46058.8012895486</v>
      </c>
      <c r="F24" s="4" t="s">
        <v>24</v>
      </c>
      <c r="G24" s="4" t="s">
        <v>25</v>
      </c>
      <c r="H24" s="9">
        <v>11</v>
      </c>
      <c r="I24" s="7">
        <v>3.3</v>
      </c>
      <c r="J24" s="7">
        <f>H24*I24</f>
        <v>36.3</v>
      </c>
      <c r="K24" s="7">
        <v>11</v>
      </c>
      <c r="L24" s="7">
        <v>36.3</v>
      </c>
      <c r="M24" s="7"/>
      <c r="N24" s="7"/>
      <c r="O24" s="7" t="s">
        <v>147</v>
      </c>
      <c r="P24" s="8" t="s">
        <v>148</v>
      </c>
    </row>
    <row r="25" ht="22.5" customHeight="1" spans="1:16">
      <c r="A25" s="4" t="s">
        <v>43</v>
      </c>
      <c r="B25" s="4" t="s">
        <v>44</v>
      </c>
      <c r="C25" s="4" t="s">
        <v>162</v>
      </c>
      <c r="D25" s="5" t="s">
        <v>161</v>
      </c>
      <c r="E25" s="6">
        <v>46058.8012895486</v>
      </c>
      <c r="F25" s="4" t="s">
        <v>24</v>
      </c>
      <c r="G25" s="4" t="s">
        <v>33</v>
      </c>
      <c r="H25" s="9">
        <v>32</v>
      </c>
      <c r="I25" s="7">
        <v>30</v>
      </c>
      <c r="J25" s="7">
        <v>30</v>
      </c>
      <c r="K25" s="7">
        <v>32</v>
      </c>
      <c r="L25" s="7">
        <v>30</v>
      </c>
      <c r="M25" s="7"/>
      <c r="N25" s="7"/>
      <c r="O25" s="7" t="s">
        <v>147</v>
      </c>
      <c r="P25" s="8" t="s">
        <v>148</v>
      </c>
    </row>
    <row r="26" ht="22.5" customHeight="1" spans="1:16">
      <c r="A26" s="4" t="s">
        <v>43</v>
      </c>
      <c r="B26" s="4" t="s">
        <v>44</v>
      </c>
      <c r="C26" s="4" t="s">
        <v>162</v>
      </c>
      <c r="D26" s="5" t="s">
        <v>161</v>
      </c>
      <c r="E26" s="6">
        <v>46058.8012895486</v>
      </c>
      <c r="F26" s="4" t="s">
        <v>20</v>
      </c>
      <c r="G26" s="4" t="s">
        <v>21</v>
      </c>
      <c r="H26" s="9">
        <v>1</v>
      </c>
      <c r="I26" s="7">
        <v>3.3</v>
      </c>
      <c r="J26" s="7">
        <f>H26*I26</f>
        <v>3.3</v>
      </c>
      <c r="K26" s="7">
        <v>1</v>
      </c>
      <c r="L26" s="7">
        <v>3.3</v>
      </c>
      <c r="M26" s="7"/>
      <c r="N26" s="7"/>
      <c r="O26" s="7" t="s">
        <v>147</v>
      </c>
      <c r="P26" s="8" t="s">
        <v>148</v>
      </c>
    </row>
    <row r="27" spans="1:16">
      <c r="A27" s="10"/>
      <c r="B27" s="10"/>
      <c r="C27" s="10"/>
      <c r="D27" s="10"/>
      <c r="E27" s="10"/>
      <c r="F27" s="10"/>
      <c r="G27" s="10"/>
      <c r="H27" s="10">
        <f t="shared" ref="H27:N27" si="1">SUM(H2:H26)</f>
        <v>645</v>
      </c>
      <c r="I27" s="11">
        <f t="shared" si="1"/>
        <v>342.6</v>
      </c>
      <c r="J27" s="11">
        <f t="shared" si="1"/>
        <v>956.4</v>
      </c>
      <c r="K27" s="11">
        <f t="shared" si="1"/>
        <v>622</v>
      </c>
      <c r="L27" s="11">
        <f t="shared" si="1"/>
        <v>926.7</v>
      </c>
      <c r="M27" s="11">
        <f t="shared" si="1"/>
        <v>23</v>
      </c>
      <c r="N27" s="11">
        <f t="shared" si="1"/>
        <v>29.7</v>
      </c>
      <c r="O27" s="11"/>
      <c r="P27" s="10"/>
    </row>
    <row r="28" spans="1:16">
      <c r="I28" s="12"/>
      <c r="J28" s="12"/>
      <c r="K28" s="12"/>
      <c r="L28" s="12"/>
      <c r="M28" s="12"/>
      <c r="N28" s="12"/>
      <c r="O28" s="12"/>
    </row>
  </sheetData>
  <autoFilter xmlns:etc="http://www.wps.cn/officeDocument/2017/etCustomData" ref="A1:P27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opLeftCell="B1" workbookViewId="0">
      <selection activeCell="F39" sqref="F39"/>
    </sheetView>
  </sheetViews>
  <sheetFormatPr defaultColWidth="9" defaultRowHeight="13.5" outlineLevelRow="7"/>
  <cols>
    <col min="1" max="1" width="30.0083333333333" customWidth="1"/>
    <col min="2" max="2" width="27.0083333333333" customWidth="1"/>
    <col min="3" max="3" width="25.3416666666667" customWidth="1"/>
    <col min="4" max="4" width="16.0083333333333" customWidth="1"/>
    <col min="5" max="6" width="12.3416666666667" customWidth="1"/>
    <col min="7" max="7" width="12.8416666666667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163</v>
      </c>
      <c r="D2" s="5" t="s">
        <v>164</v>
      </c>
      <c r="E2" s="6">
        <v>46059.8034580671</v>
      </c>
      <c r="F2" s="4" t="s">
        <v>20</v>
      </c>
      <c r="G2" s="4" t="s">
        <v>21</v>
      </c>
      <c r="H2" s="9">
        <v>1</v>
      </c>
      <c r="I2" s="7">
        <v>3.3</v>
      </c>
      <c r="J2" s="7">
        <f>H2*I2</f>
        <v>3.3</v>
      </c>
      <c r="K2" s="7">
        <v>1</v>
      </c>
      <c r="L2" s="7">
        <v>3.3</v>
      </c>
      <c r="M2" s="7"/>
      <c r="N2" s="7"/>
      <c r="O2" s="7" t="s">
        <v>147</v>
      </c>
      <c r="P2" s="8" t="s">
        <v>148</v>
      </c>
    </row>
    <row r="3" ht="22.5" customHeight="1" spans="1:16">
      <c r="A3" s="4" t="s">
        <v>16</v>
      </c>
      <c r="B3" s="4" t="s">
        <v>28</v>
      </c>
      <c r="C3" s="4" t="s">
        <v>163</v>
      </c>
      <c r="D3" s="5" t="s">
        <v>164</v>
      </c>
      <c r="E3" s="6">
        <v>46059.8034580671</v>
      </c>
      <c r="F3" s="4" t="s">
        <v>24</v>
      </c>
      <c r="G3" s="4" t="s">
        <v>33</v>
      </c>
      <c r="H3" s="9">
        <v>47</v>
      </c>
      <c r="I3" s="7">
        <v>120</v>
      </c>
      <c r="J3" s="7">
        <v>120</v>
      </c>
      <c r="K3" s="7">
        <v>47</v>
      </c>
      <c r="L3" s="7">
        <v>120</v>
      </c>
      <c r="M3" s="7"/>
      <c r="N3" s="7"/>
      <c r="O3" s="7" t="s">
        <v>147</v>
      </c>
      <c r="P3" s="8" t="s">
        <v>148</v>
      </c>
    </row>
    <row r="4" ht="22.5" customHeight="1" spans="1:16">
      <c r="A4" s="4" t="s">
        <v>16</v>
      </c>
      <c r="B4" s="4" t="s">
        <v>28</v>
      </c>
      <c r="C4" s="4" t="s">
        <v>163</v>
      </c>
      <c r="D4" s="5" t="s">
        <v>164</v>
      </c>
      <c r="E4" s="6">
        <v>46059.8034580671</v>
      </c>
      <c r="F4" s="4" t="s">
        <v>24</v>
      </c>
      <c r="G4" s="4" t="s">
        <v>42</v>
      </c>
      <c r="H4" s="9">
        <v>10</v>
      </c>
      <c r="I4" s="7">
        <v>3.3</v>
      </c>
      <c r="J4" s="7">
        <f>H4*I4</f>
        <v>33</v>
      </c>
      <c r="K4" s="7">
        <v>10</v>
      </c>
      <c r="L4" s="7">
        <v>33</v>
      </c>
      <c r="M4" s="7"/>
      <c r="N4" s="7"/>
      <c r="O4" s="7" t="s">
        <v>147</v>
      </c>
      <c r="P4" s="8" t="s">
        <v>148</v>
      </c>
    </row>
    <row r="5" ht="22.5" customHeight="1" spans="1:16">
      <c r="A5" s="4" t="s">
        <v>16</v>
      </c>
      <c r="B5" s="4" t="s">
        <v>28</v>
      </c>
      <c r="C5" s="4" t="s">
        <v>165</v>
      </c>
      <c r="D5" s="5" t="s">
        <v>164</v>
      </c>
      <c r="E5" s="6">
        <v>46059.8034648148</v>
      </c>
      <c r="F5" s="4" t="s">
        <v>24</v>
      </c>
      <c r="G5" s="4" t="s">
        <v>42</v>
      </c>
      <c r="H5" s="9">
        <v>14</v>
      </c>
      <c r="I5" s="7">
        <v>3.3</v>
      </c>
      <c r="J5" s="7">
        <f>H5*I5</f>
        <v>46.2</v>
      </c>
      <c r="K5" s="7">
        <v>14</v>
      </c>
      <c r="L5" s="7">
        <v>46.2</v>
      </c>
      <c r="M5" s="7"/>
      <c r="N5" s="7"/>
      <c r="O5" s="7" t="s">
        <v>147</v>
      </c>
      <c r="P5" s="8" t="s">
        <v>148</v>
      </c>
    </row>
    <row r="6" ht="22.5" customHeight="1" spans="1:16">
      <c r="A6" s="4" t="s">
        <v>16</v>
      </c>
      <c r="B6" s="4" t="s">
        <v>28</v>
      </c>
      <c r="C6" s="4" t="s">
        <v>165</v>
      </c>
      <c r="D6" s="5" t="s">
        <v>164</v>
      </c>
      <c r="E6" s="6">
        <v>46059.8034648148</v>
      </c>
      <c r="F6" s="4" t="s">
        <v>20</v>
      </c>
      <c r="G6" s="4" t="s">
        <v>21</v>
      </c>
      <c r="H6" s="9">
        <v>1</v>
      </c>
      <c r="I6" s="7">
        <v>3.3</v>
      </c>
      <c r="J6" s="7">
        <f>H6*I6</f>
        <v>3.3</v>
      </c>
      <c r="K6" s="7">
        <v>1</v>
      </c>
      <c r="L6" s="7">
        <v>3.3</v>
      </c>
      <c r="M6" s="7"/>
      <c r="N6" s="7"/>
      <c r="O6" s="7" t="s">
        <v>147</v>
      </c>
      <c r="P6" s="8" t="s">
        <v>148</v>
      </c>
    </row>
    <row r="7" spans="1:16">
      <c r="A7" s="10"/>
      <c r="B7" s="10"/>
      <c r="C7" s="10"/>
      <c r="D7" s="10"/>
      <c r="E7" s="10"/>
      <c r="F7" s="10"/>
      <c r="G7" s="10"/>
      <c r="H7" s="10">
        <f t="shared" ref="H7:N7" si="0">SUM(H2:H6)</f>
        <v>73</v>
      </c>
      <c r="I7" s="11">
        <f t="shared" si="0"/>
        <v>133.2</v>
      </c>
      <c r="J7" s="11">
        <f t="shared" si="0"/>
        <v>205.8</v>
      </c>
      <c r="K7" s="11">
        <f t="shared" si="0"/>
        <v>73</v>
      </c>
      <c r="L7" s="11">
        <f t="shared" si="0"/>
        <v>205.8</v>
      </c>
      <c r="M7" s="11">
        <f t="shared" si="0"/>
        <v>0</v>
      </c>
      <c r="N7" s="11">
        <f t="shared" si="0"/>
        <v>0</v>
      </c>
      <c r="O7" s="11"/>
      <c r="P7" s="10"/>
    </row>
    <row r="8" spans="1:16">
      <c r="I8" s="12"/>
      <c r="J8" s="12"/>
      <c r="K8" s="12"/>
      <c r="L8" s="12"/>
      <c r="M8" s="12"/>
      <c r="N8" s="12"/>
      <c r="O8" s="12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topLeftCell="B1" workbookViewId="0">
      <selection activeCell="I17" sqref="I17"/>
    </sheetView>
  </sheetViews>
  <sheetFormatPr defaultColWidth="9" defaultRowHeight="13.5"/>
  <cols>
    <col min="1" max="1" width="30.0083333333333" customWidth="1"/>
    <col min="2" max="2" width="27.0083333333333" customWidth="1"/>
    <col min="3" max="3" width="25.3416666666667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166</v>
      </c>
      <c r="D2" s="5" t="s">
        <v>104</v>
      </c>
      <c r="E2" s="5">
        <v>46060.4114349884</v>
      </c>
      <c r="F2" s="4" t="s">
        <v>20</v>
      </c>
      <c r="G2" s="4" t="s">
        <v>21</v>
      </c>
      <c r="H2" s="4">
        <v>1</v>
      </c>
      <c r="I2" s="8">
        <v>3.3</v>
      </c>
      <c r="J2" s="8">
        <f>H2*I2</f>
        <v>3.3</v>
      </c>
      <c r="K2" s="8"/>
      <c r="L2" s="8"/>
      <c r="M2" s="8">
        <v>1</v>
      </c>
      <c r="N2" s="8">
        <v>3.3</v>
      </c>
      <c r="O2" s="8" t="s">
        <v>47</v>
      </c>
      <c r="P2" s="8" t="s">
        <v>54</v>
      </c>
    </row>
    <row r="3" ht="22.5" customHeight="1" spans="1:16">
      <c r="A3" s="4" t="s">
        <v>16</v>
      </c>
      <c r="B3" s="4" t="s">
        <v>28</v>
      </c>
      <c r="C3" s="4" t="s">
        <v>166</v>
      </c>
      <c r="D3" s="5" t="s">
        <v>104</v>
      </c>
      <c r="E3" s="5">
        <v>46060.4114349884</v>
      </c>
      <c r="F3" s="4" t="s">
        <v>24</v>
      </c>
      <c r="G3" s="4" t="s">
        <v>34</v>
      </c>
      <c r="H3" s="4">
        <v>5</v>
      </c>
      <c r="I3" s="8">
        <v>3.3</v>
      </c>
      <c r="J3" s="8">
        <f t="shared" ref="J3:J11" si="0">H3*I3</f>
        <v>16.5</v>
      </c>
      <c r="K3" s="8">
        <v>5</v>
      </c>
      <c r="L3" s="8">
        <v>16.5</v>
      </c>
      <c r="M3" s="8"/>
      <c r="N3" s="8"/>
      <c r="O3" s="8" t="s">
        <v>47</v>
      </c>
      <c r="P3" s="8" t="s">
        <v>54</v>
      </c>
    </row>
    <row r="4" ht="22.5" customHeight="1" spans="1:16">
      <c r="A4" s="4" t="s">
        <v>16</v>
      </c>
      <c r="B4" s="4" t="s">
        <v>28</v>
      </c>
      <c r="C4" s="4" t="s">
        <v>166</v>
      </c>
      <c r="D4" s="5" t="s">
        <v>104</v>
      </c>
      <c r="E4" s="5">
        <v>46060.4114349884</v>
      </c>
      <c r="F4" s="4" t="s">
        <v>24</v>
      </c>
      <c r="G4" s="4" t="s">
        <v>33</v>
      </c>
      <c r="H4" s="4">
        <v>158</v>
      </c>
      <c r="I4" s="8">
        <v>120</v>
      </c>
      <c r="J4" s="8">
        <v>120</v>
      </c>
      <c r="K4" s="8">
        <v>158</v>
      </c>
      <c r="L4" s="8">
        <v>120</v>
      </c>
      <c r="M4" s="8"/>
      <c r="N4" s="8"/>
      <c r="O4" s="8" t="s">
        <v>47</v>
      </c>
      <c r="P4" s="8" t="s">
        <v>54</v>
      </c>
    </row>
    <row r="5" ht="22.5" customHeight="1" spans="1:16">
      <c r="A5" s="4" t="s">
        <v>16</v>
      </c>
      <c r="B5" s="4" t="s">
        <v>28</v>
      </c>
      <c r="C5" s="4" t="s">
        <v>166</v>
      </c>
      <c r="D5" s="5" t="s">
        <v>104</v>
      </c>
      <c r="E5" s="5">
        <v>46060.4114349884</v>
      </c>
      <c r="F5" s="4" t="s">
        <v>24</v>
      </c>
      <c r="G5" s="4" t="s">
        <v>42</v>
      </c>
      <c r="H5" s="4">
        <v>14</v>
      </c>
      <c r="I5" s="8">
        <v>3.3</v>
      </c>
      <c r="J5" s="8">
        <f t="shared" si="0"/>
        <v>46.2</v>
      </c>
      <c r="K5" s="8">
        <v>13</v>
      </c>
      <c r="L5" s="8">
        <f>K5*3.3</f>
        <v>42.9</v>
      </c>
      <c r="M5" s="8">
        <v>1</v>
      </c>
      <c r="N5" s="8">
        <v>3.3</v>
      </c>
      <c r="O5" s="8" t="s">
        <v>47</v>
      </c>
      <c r="P5" s="8" t="s">
        <v>54</v>
      </c>
    </row>
    <row r="6" ht="22.5" customHeight="1" spans="1:16">
      <c r="A6" s="4" t="s">
        <v>16</v>
      </c>
      <c r="B6" s="4" t="s">
        <v>28</v>
      </c>
      <c r="C6" s="4" t="s">
        <v>167</v>
      </c>
      <c r="D6" s="5" t="s">
        <v>104</v>
      </c>
      <c r="E6" s="5">
        <v>46060.4114376968</v>
      </c>
      <c r="F6" s="4" t="s">
        <v>24</v>
      </c>
      <c r="G6" s="4" t="s">
        <v>42</v>
      </c>
      <c r="H6" s="4">
        <v>3</v>
      </c>
      <c r="I6" s="8">
        <v>13.2</v>
      </c>
      <c r="J6" s="8">
        <f t="shared" si="0"/>
        <v>39.6</v>
      </c>
      <c r="K6" s="8">
        <v>3</v>
      </c>
      <c r="L6" s="8">
        <v>39.6</v>
      </c>
      <c r="M6" s="8"/>
      <c r="N6" s="8"/>
      <c r="O6" s="8" t="s">
        <v>47</v>
      </c>
      <c r="P6" s="8" t="s">
        <v>54</v>
      </c>
    </row>
    <row r="7" ht="22.5" customHeight="1" spans="1:16">
      <c r="A7" s="4" t="s">
        <v>16</v>
      </c>
      <c r="B7" s="4" t="s">
        <v>28</v>
      </c>
      <c r="C7" s="4" t="s">
        <v>168</v>
      </c>
      <c r="D7" s="5" t="s">
        <v>104</v>
      </c>
      <c r="E7" s="5">
        <v>46060.4114396181</v>
      </c>
      <c r="F7" s="4" t="s">
        <v>24</v>
      </c>
      <c r="G7" s="4" t="s">
        <v>42</v>
      </c>
      <c r="H7" s="4">
        <v>1</v>
      </c>
      <c r="I7" s="8">
        <v>15</v>
      </c>
      <c r="J7" s="8">
        <v>15</v>
      </c>
      <c r="K7" s="8">
        <v>1</v>
      </c>
      <c r="L7" s="8">
        <v>15</v>
      </c>
      <c r="M7" s="8"/>
      <c r="N7" s="8"/>
      <c r="O7" s="8" t="s">
        <v>47</v>
      </c>
      <c r="P7" s="8" t="s">
        <v>54</v>
      </c>
    </row>
    <row r="8" ht="22.5" customHeight="1" spans="1:16">
      <c r="A8" s="4" t="s">
        <v>43</v>
      </c>
      <c r="B8" s="4" t="s">
        <v>44</v>
      </c>
      <c r="C8" s="4" t="s">
        <v>169</v>
      </c>
      <c r="D8" s="5" t="s">
        <v>115</v>
      </c>
      <c r="E8" s="5">
        <v>46061.4484961806</v>
      </c>
      <c r="F8" s="4" t="s">
        <v>20</v>
      </c>
      <c r="G8" s="4" t="s">
        <v>21</v>
      </c>
      <c r="H8" s="4">
        <v>1</v>
      </c>
      <c r="I8" s="8">
        <v>3.3</v>
      </c>
      <c r="J8" s="8">
        <v>3.3</v>
      </c>
      <c r="K8" s="8">
        <v>1</v>
      </c>
      <c r="L8" s="8">
        <v>3.3</v>
      </c>
      <c r="M8" s="8"/>
      <c r="N8" s="8"/>
      <c r="O8" s="8" t="s">
        <v>47</v>
      </c>
      <c r="P8" s="8" t="s">
        <v>48</v>
      </c>
    </row>
    <row r="9" ht="22.5" customHeight="1" spans="1:16">
      <c r="A9" s="4" t="s">
        <v>43</v>
      </c>
      <c r="B9" s="4" t="s">
        <v>44</v>
      </c>
      <c r="C9" s="4" t="s">
        <v>169</v>
      </c>
      <c r="D9" s="5" t="s">
        <v>115</v>
      </c>
      <c r="E9" s="5">
        <v>46061.4484961806</v>
      </c>
      <c r="F9" s="4" t="s">
        <v>24</v>
      </c>
      <c r="G9" s="4" t="s">
        <v>34</v>
      </c>
      <c r="H9" s="4">
        <v>7</v>
      </c>
      <c r="I9" s="8">
        <v>3.3</v>
      </c>
      <c r="J9" s="8">
        <f t="shared" si="0"/>
        <v>23.1</v>
      </c>
      <c r="K9" s="8">
        <v>7</v>
      </c>
      <c r="L9" s="8">
        <v>23.1</v>
      </c>
      <c r="M9" s="8"/>
      <c r="N9" s="8"/>
      <c r="O9" s="8" t="s">
        <v>47</v>
      </c>
      <c r="P9" s="8" t="s">
        <v>48</v>
      </c>
    </row>
    <row r="10" ht="22.5" customHeight="1" spans="1:16">
      <c r="A10" s="4" t="s">
        <v>43</v>
      </c>
      <c r="B10" s="4" t="s">
        <v>44</v>
      </c>
      <c r="C10" s="4" t="s">
        <v>169</v>
      </c>
      <c r="D10" s="5" t="s">
        <v>115</v>
      </c>
      <c r="E10" s="5">
        <v>46061.4484961806</v>
      </c>
      <c r="F10" s="4" t="s">
        <v>24</v>
      </c>
      <c r="G10" s="4" t="s">
        <v>33</v>
      </c>
      <c r="H10" s="4">
        <v>221</v>
      </c>
      <c r="I10" s="8">
        <v>120</v>
      </c>
      <c r="J10" s="8">
        <v>120</v>
      </c>
      <c r="K10" s="8">
        <v>213</v>
      </c>
      <c r="L10" s="8">
        <v>120</v>
      </c>
      <c r="M10" s="8">
        <f>H10-K10</f>
        <v>8</v>
      </c>
      <c r="N10" s="8">
        <v>0</v>
      </c>
      <c r="O10" s="8" t="s">
        <v>47</v>
      </c>
      <c r="P10" s="8" t="s">
        <v>48</v>
      </c>
    </row>
    <row r="11" ht="22.5" customHeight="1" spans="1:16">
      <c r="A11" s="4" t="s">
        <v>43</v>
      </c>
      <c r="B11" s="4" t="s">
        <v>44</v>
      </c>
      <c r="C11" s="4" t="s">
        <v>169</v>
      </c>
      <c r="D11" s="5" t="s">
        <v>115</v>
      </c>
      <c r="E11" s="5">
        <v>46061.4484961806</v>
      </c>
      <c r="F11" s="4" t="s">
        <v>24</v>
      </c>
      <c r="G11" s="4" t="s">
        <v>25</v>
      </c>
      <c r="H11" s="4">
        <v>25</v>
      </c>
      <c r="I11" s="8">
        <v>3.3</v>
      </c>
      <c r="J11" s="8">
        <f t="shared" si="0"/>
        <v>82.5</v>
      </c>
      <c r="K11" s="8">
        <v>25</v>
      </c>
      <c r="L11" s="8">
        <v>82.5</v>
      </c>
      <c r="M11" s="8"/>
      <c r="N11" s="8"/>
      <c r="O11" s="8" t="s">
        <v>47</v>
      </c>
      <c r="P11" s="8" t="s">
        <v>48</v>
      </c>
    </row>
    <row r="12" spans="1:1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>
        <f>SUM(L2:L11)</f>
        <v>462.9</v>
      </c>
      <c r="M12" s="10"/>
      <c r="N12" s="10">
        <f>SUM(N2:N11)</f>
        <v>6.6</v>
      </c>
      <c r="O12" s="10"/>
      <c r="P12" s="10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31.0083333333333" customWidth="1"/>
    <col min="4" max="4" width="16.0083333333333" customWidth="1"/>
    <col min="5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170</v>
      </c>
      <c r="D2" s="5" t="s">
        <v>171</v>
      </c>
      <c r="E2" s="6">
        <v>46062.8341427894</v>
      </c>
      <c r="F2" s="4" t="s">
        <v>20</v>
      </c>
      <c r="G2" s="4" t="s">
        <v>21</v>
      </c>
      <c r="H2" s="4">
        <v>1</v>
      </c>
      <c r="I2" s="7">
        <v>3.3</v>
      </c>
      <c r="J2" s="7">
        <f>H2*I2</f>
        <v>3.3</v>
      </c>
      <c r="K2" s="7">
        <v>1</v>
      </c>
      <c r="L2" s="7">
        <v>3.3</v>
      </c>
      <c r="M2" s="7"/>
      <c r="N2" s="7"/>
      <c r="O2" s="8" t="s">
        <v>47</v>
      </c>
      <c r="P2" s="8" t="s">
        <v>48</v>
      </c>
    </row>
    <row r="3" ht="22.5" customHeight="1" spans="1:16">
      <c r="A3" s="4" t="s">
        <v>16</v>
      </c>
      <c r="B3" s="4" t="s">
        <v>28</v>
      </c>
      <c r="C3" s="4" t="s">
        <v>170</v>
      </c>
      <c r="D3" s="5" t="s">
        <v>171</v>
      </c>
      <c r="E3" s="6">
        <v>46062.8341427894</v>
      </c>
      <c r="F3" s="4" t="s">
        <v>24</v>
      </c>
      <c r="G3" s="4" t="s">
        <v>25</v>
      </c>
      <c r="H3" s="4">
        <v>15</v>
      </c>
      <c r="I3" s="7">
        <v>3.3</v>
      </c>
      <c r="J3" s="7">
        <f t="shared" ref="J3:J10" si="0">H3*I3</f>
        <v>49.5</v>
      </c>
      <c r="K3" s="7">
        <v>15</v>
      </c>
      <c r="L3" s="7">
        <v>49.5</v>
      </c>
      <c r="M3" s="7"/>
      <c r="N3" s="7"/>
      <c r="O3" s="8" t="s">
        <v>47</v>
      </c>
      <c r="P3" s="8" t="s">
        <v>48</v>
      </c>
    </row>
    <row r="4" ht="22.5" customHeight="1" spans="1:16">
      <c r="A4" s="4" t="s">
        <v>16</v>
      </c>
      <c r="B4" s="4" t="s">
        <v>28</v>
      </c>
      <c r="C4" s="4" t="s">
        <v>172</v>
      </c>
      <c r="D4" s="5" t="s">
        <v>171</v>
      </c>
      <c r="E4" s="6">
        <v>46062.8341455208</v>
      </c>
      <c r="F4" s="4" t="s">
        <v>20</v>
      </c>
      <c r="G4" s="4" t="s">
        <v>21</v>
      </c>
      <c r="H4" s="4">
        <v>1</v>
      </c>
      <c r="I4" s="7">
        <v>3.3</v>
      </c>
      <c r="J4" s="7">
        <f t="shared" si="0"/>
        <v>3.3</v>
      </c>
      <c r="K4" s="7">
        <v>1</v>
      </c>
      <c r="L4" s="7">
        <v>3.3</v>
      </c>
      <c r="M4" s="7"/>
      <c r="N4" s="7"/>
      <c r="O4" s="8" t="s">
        <v>47</v>
      </c>
      <c r="P4" s="8" t="s">
        <v>48</v>
      </c>
    </row>
    <row r="5" ht="22.5" customHeight="1" spans="1:16">
      <c r="A5" s="4" t="s">
        <v>16</v>
      </c>
      <c r="B5" s="4" t="s">
        <v>28</v>
      </c>
      <c r="C5" s="4" t="s">
        <v>172</v>
      </c>
      <c r="D5" s="5" t="s">
        <v>171</v>
      </c>
      <c r="E5" s="6">
        <v>46062.8341455208</v>
      </c>
      <c r="F5" s="4" t="s">
        <v>24</v>
      </c>
      <c r="G5" s="4" t="s">
        <v>25</v>
      </c>
      <c r="H5" s="4">
        <v>14</v>
      </c>
      <c r="I5" s="7">
        <v>3.3</v>
      </c>
      <c r="J5" s="7">
        <f t="shared" si="0"/>
        <v>46.2</v>
      </c>
      <c r="K5" s="7">
        <v>14</v>
      </c>
      <c r="L5" s="7">
        <v>46.2</v>
      </c>
      <c r="M5" s="7"/>
      <c r="N5" s="7"/>
      <c r="O5" s="8" t="s">
        <v>47</v>
      </c>
      <c r="P5" s="8" t="s">
        <v>48</v>
      </c>
    </row>
    <row r="6" ht="22.5" customHeight="1" spans="1:16">
      <c r="A6" s="4" t="s">
        <v>16</v>
      </c>
      <c r="B6" s="4" t="s">
        <v>28</v>
      </c>
      <c r="C6" s="4" t="s">
        <v>173</v>
      </c>
      <c r="D6" s="5" t="s">
        <v>171</v>
      </c>
      <c r="E6" s="6">
        <v>46062.8341482986</v>
      </c>
      <c r="F6" s="4" t="s">
        <v>20</v>
      </c>
      <c r="G6" s="4" t="s">
        <v>21</v>
      </c>
      <c r="H6" s="4">
        <v>1</v>
      </c>
      <c r="I6" s="7">
        <v>3.3</v>
      </c>
      <c r="J6" s="7">
        <f t="shared" si="0"/>
        <v>3.3</v>
      </c>
      <c r="K6" s="7">
        <v>1</v>
      </c>
      <c r="L6" s="7">
        <v>3.3</v>
      </c>
      <c r="M6" s="7"/>
      <c r="N6" s="7"/>
      <c r="O6" s="8" t="s">
        <v>47</v>
      </c>
      <c r="P6" s="8" t="s">
        <v>48</v>
      </c>
    </row>
    <row r="7" ht="22.5" customHeight="1" spans="1:16">
      <c r="A7" s="4" t="s">
        <v>16</v>
      </c>
      <c r="B7" s="4" t="s">
        <v>28</v>
      </c>
      <c r="C7" s="4" t="s">
        <v>173</v>
      </c>
      <c r="D7" s="5" t="s">
        <v>171</v>
      </c>
      <c r="E7" s="6">
        <v>46062.8341482986</v>
      </c>
      <c r="F7" s="4" t="s">
        <v>24</v>
      </c>
      <c r="G7" s="4" t="s">
        <v>25</v>
      </c>
      <c r="H7" s="4">
        <v>16</v>
      </c>
      <c r="I7" s="7">
        <v>3.3</v>
      </c>
      <c r="J7" s="7">
        <f t="shared" si="0"/>
        <v>52.8</v>
      </c>
      <c r="K7" s="7">
        <v>16</v>
      </c>
      <c r="L7" s="7">
        <v>52.8</v>
      </c>
      <c r="M7" s="7"/>
      <c r="N7" s="7"/>
      <c r="O7" s="8" t="s">
        <v>47</v>
      </c>
      <c r="P7" s="8" t="s">
        <v>48</v>
      </c>
    </row>
    <row r="8" ht="22.5" customHeight="1" spans="1:16">
      <c r="A8" s="4" t="s">
        <v>16</v>
      </c>
      <c r="B8" s="4" t="s">
        <v>28</v>
      </c>
      <c r="C8" s="4" t="s">
        <v>174</v>
      </c>
      <c r="D8" s="5" t="s">
        <v>68</v>
      </c>
      <c r="E8" s="6">
        <v>46062.8341427894</v>
      </c>
      <c r="F8" s="4" t="s">
        <v>24</v>
      </c>
      <c r="G8" s="4" t="s">
        <v>71</v>
      </c>
      <c r="H8" s="4">
        <v>15</v>
      </c>
      <c r="I8" s="7">
        <v>30</v>
      </c>
      <c r="J8" s="7">
        <v>30</v>
      </c>
      <c r="K8" s="7">
        <v>15</v>
      </c>
      <c r="L8" s="7">
        <v>30</v>
      </c>
      <c r="M8" s="7"/>
      <c r="N8" s="7"/>
      <c r="O8" s="8" t="s">
        <v>47</v>
      </c>
      <c r="P8" s="8" t="s">
        <v>48</v>
      </c>
    </row>
    <row r="9" ht="22.5" customHeight="1" spans="1:16">
      <c r="A9" s="4" t="s">
        <v>16</v>
      </c>
      <c r="B9" s="4" t="s">
        <v>28</v>
      </c>
      <c r="C9" s="4" t="s">
        <v>174</v>
      </c>
      <c r="D9" s="5" t="s">
        <v>68</v>
      </c>
      <c r="E9" s="6">
        <v>46062.8341427894</v>
      </c>
      <c r="F9" s="4" t="s">
        <v>20</v>
      </c>
      <c r="G9" s="4" t="s">
        <v>21</v>
      </c>
      <c r="H9" s="4">
        <v>1</v>
      </c>
      <c r="I9" s="7">
        <v>3.3</v>
      </c>
      <c r="J9" s="7">
        <f t="shared" ref="J9:J15" si="1">H9*I9</f>
        <v>3.3</v>
      </c>
      <c r="K9" s="7">
        <v>1</v>
      </c>
      <c r="L9" s="7">
        <v>3.3</v>
      </c>
      <c r="M9" s="7"/>
      <c r="N9" s="7"/>
      <c r="O9" s="8" t="s">
        <v>47</v>
      </c>
      <c r="P9" s="8" t="s">
        <v>48</v>
      </c>
    </row>
    <row r="10" ht="22.5" customHeight="1" spans="1:16">
      <c r="A10" s="4" t="s">
        <v>16</v>
      </c>
      <c r="B10" s="4" t="s">
        <v>28</v>
      </c>
      <c r="C10" s="4" t="s">
        <v>175</v>
      </c>
      <c r="D10" s="5" t="s">
        <v>68</v>
      </c>
      <c r="E10" s="6">
        <v>46062.8341512384</v>
      </c>
      <c r="F10" s="4" t="s">
        <v>20</v>
      </c>
      <c r="G10" s="4" t="s">
        <v>21</v>
      </c>
      <c r="H10" s="4">
        <v>1</v>
      </c>
      <c r="I10" s="7">
        <v>3.3</v>
      </c>
      <c r="J10" s="7">
        <f t="shared" si="1"/>
        <v>3.3</v>
      </c>
      <c r="K10" s="7">
        <v>1</v>
      </c>
      <c r="L10" s="7">
        <v>3.3</v>
      </c>
      <c r="M10" s="7"/>
      <c r="N10" s="7"/>
      <c r="O10" s="8" t="s">
        <v>47</v>
      </c>
      <c r="P10" s="8" t="s">
        <v>48</v>
      </c>
    </row>
    <row r="11" ht="22.5" customHeight="1" spans="1:16">
      <c r="A11" s="4" t="s">
        <v>16</v>
      </c>
      <c r="B11" s="4" t="s">
        <v>28</v>
      </c>
      <c r="C11" s="4" t="s">
        <v>175</v>
      </c>
      <c r="D11" s="5" t="s">
        <v>68</v>
      </c>
      <c r="E11" s="6">
        <v>46062.8341512384</v>
      </c>
      <c r="F11" s="4" t="s">
        <v>24</v>
      </c>
      <c r="G11" s="4" t="s">
        <v>25</v>
      </c>
      <c r="H11" s="4">
        <v>34</v>
      </c>
      <c r="I11" s="7">
        <v>3.3</v>
      </c>
      <c r="J11" s="7">
        <f t="shared" si="1"/>
        <v>112.2</v>
      </c>
      <c r="K11" s="7">
        <v>34</v>
      </c>
      <c r="L11" s="7">
        <v>112.2</v>
      </c>
      <c r="M11" s="7"/>
      <c r="N11" s="7"/>
      <c r="O11" s="8" t="s">
        <v>47</v>
      </c>
      <c r="P11" s="8" t="s">
        <v>48</v>
      </c>
    </row>
    <row r="12" ht="22.5" customHeight="1" spans="1:16">
      <c r="A12" s="4" t="s">
        <v>16</v>
      </c>
      <c r="B12" s="4" t="s">
        <v>28</v>
      </c>
      <c r="C12" s="4" t="s">
        <v>176</v>
      </c>
      <c r="D12" s="5" t="s">
        <v>68</v>
      </c>
      <c r="E12" s="6">
        <v>46062.8341542824</v>
      </c>
      <c r="F12" s="4" t="s">
        <v>20</v>
      </c>
      <c r="G12" s="4" t="s">
        <v>21</v>
      </c>
      <c r="H12" s="4">
        <v>1</v>
      </c>
      <c r="I12" s="7">
        <v>3.3</v>
      </c>
      <c r="J12" s="7">
        <f t="shared" si="1"/>
        <v>3.3</v>
      </c>
      <c r="K12" s="7">
        <v>1</v>
      </c>
      <c r="L12" s="7">
        <v>3.3</v>
      </c>
      <c r="M12" s="7"/>
      <c r="N12" s="7"/>
      <c r="O12" s="8" t="s">
        <v>47</v>
      </c>
      <c r="P12" s="8" t="s">
        <v>48</v>
      </c>
    </row>
    <row r="13" ht="22.5" customHeight="1" spans="1:16">
      <c r="A13" s="4" t="s">
        <v>16</v>
      </c>
      <c r="B13" s="4" t="s">
        <v>28</v>
      </c>
      <c r="C13" s="4" t="s">
        <v>176</v>
      </c>
      <c r="D13" s="5" t="s">
        <v>68</v>
      </c>
      <c r="E13" s="6">
        <v>46062.8341542824</v>
      </c>
      <c r="F13" s="4" t="s">
        <v>24</v>
      </c>
      <c r="G13" s="4" t="s">
        <v>25</v>
      </c>
      <c r="H13" s="4">
        <v>25</v>
      </c>
      <c r="I13" s="7">
        <v>3.3</v>
      </c>
      <c r="J13" s="7">
        <f t="shared" si="1"/>
        <v>82.5</v>
      </c>
      <c r="K13" s="7">
        <v>25</v>
      </c>
      <c r="L13" s="7">
        <v>82.5</v>
      </c>
      <c r="M13" s="7"/>
      <c r="N13" s="7"/>
      <c r="O13" s="8" t="s">
        <v>47</v>
      </c>
      <c r="P13" s="8" t="s">
        <v>48</v>
      </c>
    </row>
    <row r="14" ht="22.5" customHeight="1" spans="1:16">
      <c r="A14" s="4" t="s">
        <v>16</v>
      </c>
      <c r="B14" s="4" t="s">
        <v>28</v>
      </c>
      <c r="C14" s="4" t="s">
        <v>177</v>
      </c>
      <c r="D14" s="5" t="s">
        <v>68</v>
      </c>
      <c r="E14" s="6">
        <v>46062.8341455208</v>
      </c>
      <c r="F14" s="4" t="s">
        <v>20</v>
      </c>
      <c r="G14" s="4" t="s">
        <v>21</v>
      </c>
      <c r="H14" s="4">
        <v>1</v>
      </c>
      <c r="I14" s="7">
        <v>3.3</v>
      </c>
      <c r="J14" s="7">
        <f t="shared" si="1"/>
        <v>3.3</v>
      </c>
      <c r="K14" s="7">
        <v>1</v>
      </c>
      <c r="L14" s="7">
        <v>3.3</v>
      </c>
      <c r="M14" s="7"/>
      <c r="N14" s="7"/>
      <c r="O14" s="8" t="s">
        <v>47</v>
      </c>
      <c r="P14" s="8" t="s">
        <v>48</v>
      </c>
    </row>
    <row r="15" ht="22.5" customHeight="1" spans="1:16">
      <c r="A15" s="4" t="s">
        <v>16</v>
      </c>
      <c r="B15" s="4" t="s">
        <v>28</v>
      </c>
      <c r="C15" s="4" t="s">
        <v>177</v>
      </c>
      <c r="D15" s="5" t="s">
        <v>68</v>
      </c>
      <c r="E15" s="6">
        <v>46062.8341455208</v>
      </c>
      <c r="F15" s="4" t="s">
        <v>24</v>
      </c>
      <c r="G15" s="4" t="s">
        <v>25</v>
      </c>
      <c r="H15" s="4">
        <v>15</v>
      </c>
      <c r="I15" s="7">
        <v>3.3</v>
      </c>
      <c r="J15" s="7">
        <f t="shared" si="1"/>
        <v>49.5</v>
      </c>
      <c r="K15" s="7">
        <v>15</v>
      </c>
      <c r="L15" s="7">
        <v>49.5</v>
      </c>
      <c r="M15" s="7"/>
      <c r="N15" s="7"/>
      <c r="O15" s="8" t="s">
        <v>47</v>
      </c>
      <c r="P15" s="8" t="s">
        <v>48</v>
      </c>
    </row>
    <row r="16" ht="22.5" customHeight="1" spans="1:16">
      <c r="A16" s="4" t="s">
        <v>16</v>
      </c>
      <c r="B16" s="4" t="s">
        <v>28</v>
      </c>
      <c r="C16" s="4" t="s">
        <v>178</v>
      </c>
      <c r="D16" s="5" t="s">
        <v>68</v>
      </c>
      <c r="E16" s="6">
        <v>46062.8341482986</v>
      </c>
      <c r="F16" s="4" t="s">
        <v>24</v>
      </c>
      <c r="G16" s="4" t="s">
        <v>33</v>
      </c>
      <c r="H16" s="4">
        <v>35</v>
      </c>
      <c r="I16" s="7">
        <v>120</v>
      </c>
      <c r="J16" s="7">
        <v>120</v>
      </c>
      <c r="K16" s="7">
        <v>35</v>
      </c>
      <c r="L16" s="7">
        <v>120</v>
      </c>
      <c r="M16" s="7"/>
      <c r="N16" s="7"/>
      <c r="O16" s="8" t="s">
        <v>47</v>
      </c>
      <c r="P16" s="8" t="s">
        <v>48</v>
      </c>
    </row>
    <row r="17" ht="22.5" customHeight="1" spans="1:16">
      <c r="A17" s="4" t="s">
        <v>16</v>
      </c>
      <c r="B17" s="4" t="s">
        <v>28</v>
      </c>
      <c r="C17" s="4" t="s">
        <v>178</v>
      </c>
      <c r="D17" s="5" t="s">
        <v>68</v>
      </c>
      <c r="E17" s="6">
        <v>46062.8341482986</v>
      </c>
      <c r="F17" s="4" t="s">
        <v>20</v>
      </c>
      <c r="G17" s="4" t="s">
        <v>21</v>
      </c>
      <c r="H17" s="4">
        <v>1</v>
      </c>
      <c r="I17" s="7">
        <v>3.3</v>
      </c>
      <c r="J17" s="7">
        <f>H17*I17</f>
        <v>3.3</v>
      </c>
      <c r="K17" s="7">
        <v>1</v>
      </c>
      <c r="L17" s="7">
        <v>3.3</v>
      </c>
      <c r="M17" s="7"/>
      <c r="N17" s="7"/>
      <c r="O17" s="8" t="s">
        <v>47</v>
      </c>
      <c r="P17" s="8" t="s">
        <v>48</v>
      </c>
    </row>
    <row r="18" ht="22.5" customHeight="1" spans="1:16">
      <c r="A18" s="4" t="s">
        <v>35</v>
      </c>
      <c r="B18" s="4" t="s">
        <v>36</v>
      </c>
      <c r="C18" s="4" t="s">
        <v>179</v>
      </c>
      <c r="D18" s="5" t="s">
        <v>63</v>
      </c>
      <c r="E18" s="6">
        <v>46062.7111550116</v>
      </c>
      <c r="F18" s="4" t="s">
        <v>20</v>
      </c>
      <c r="G18" s="4" t="s">
        <v>21</v>
      </c>
      <c r="H18" s="4">
        <v>1</v>
      </c>
      <c r="I18" s="7">
        <v>3.3</v>
      </c>
      <c r="J18" s="7">
        <f>H18*I18</f>
        <v>3.3</v>
      </c>
      <c r="K18" s="7">
        <v>1</v>
      </c>
      <c r="L18" s="7">
        <v>3.3</v>
      </c>
      <c r="M18" s="7"/>
      <c r="N18" s="7"/>
      <c r="O18" s="8" t="s">
        <v>147</v>
      </c>
      <c r="P18" s="8" t="s">
        <v>148</v>
      </c>
    </row>
    <row r="19" ht="22.5" customHeight="1" spans="1:16">
      <c r="A19" s="4" t="s">
        <v>35</v>
      </c>
      <c r="B19" s="4" t="s">
        <v>36</v>
      </c>
      <c r="C19" s="4" t="s">
        <v>179</v>
      </c>
      <c r="D19" s="5" t="s">
        <v>63</v>
      </c>
      <c r="E19" s="6">
        <v>46062.7111550116</v>
      </c>
      <c r="F19" s="4" t="s">
        <v>24</v>
      </c>
      <c r="G19" s="4" t="s">
        <v>34</v>
      </c>
      <c r="H19" s="4">
        <v>15</v>
      </c>
      <c r="I19" s="7">
        <v>3.3</v>
      </c>
      <c r="J19" s="7">
        <f>H19*I19</f>
        <v>49.5</v>
      </c>
      <c r="K19" s="7">
        <v>15</v>
      </c>
      <c r="L19" s="7">
        <v>49.5</v>
      </c>
      <c r="M19" s="7"/>
      <c r="N19" s="7"/>
      <c r="O19" s="8" t="s">
        <v>147</v>
      </c>
      <c r="P19" s="8" t="s">
        <v>148</v>
      </c>
    </row>
    <row r="20" ht="22.5" customHeight="1" spans="1:16">
      <c r="A20" s="4" t="s">
        <v>35</v>
      </c>
      <c r="B20" s="4" t="s">
        <v>36</v>
      </c>
      <c r="C20" s="4" t="s">
        <v>179</v>
      </c>
      <c r="D20" s="5" t="s">
        <v>63</v>
      </c>
      <c r="E20" s="6">
        <v>46062.7111550116</v>
      </c>
      <c r="F20" s="4" t="s">
        <v>24</v>
      </c>
      <c r="G20" s="4" t="s">
        <v>25</v>
      </c>
      <c r="H20" s="4">
        <v>34</v>
      </c>
      <c r="I20" s="7">
        <v>3.3</v>
      </c>
      <c r="J20" s="7">
        <f>H20*I20</f>
        <v>112.2</v>
      </c>
      <c r="K20" s="7">
        <v>34</v>
      </c>
      <c r="L20" s="7">
        <v>112.2</v>
      </c>
      <c r="M20" s="7"/>
      <c r="N20" s="7"/>
      <c r="O20" s="8" t="s">
        <v>147</v>
      </c>
      <c r="P20" s="8" t="s">
        <v>148</v>
      </c>
    </row>
    <row r="21" ht="22.5" customHeight="1" spans="1:16">
      <c r="A21" s="4" t="s">
        <v>35</v>
      </c>
      <c r="B21" s="4" t="s">
        <v>36</v>
      </c>
      <c r="C21" s="4" t="s">
        <v>180</v>
      </c>
      <c r="D21" s="5" t="s">
        <v>63</v>
      </c>
      <c r="E21" s="6">
        <v>46062.7111579861</v>
      </c>
      <c r="F21" s="4" t="s">
        <v>24</v>
      </c>
      <c r="G21" s="4" t="s">
        <v>33</v>
      </c>
      <c r="H21" s="4">
        <v>142</v>
      </c>
      <c r="I21" s="7">
        <v>120</v>
      </c>
      <c r="J21" s="7">
        <v>120</v>
      </c>
      <c r="K21" s="7">
        <v>142</v>
      </c>
      <c r="L21" s="7">
        <v>120</v>
      </c>
      <c r="M21" s="7"/>
      <c r="N21" s="7"/>
      <c r="O21" s="8" t="s">
        <v>147</v>
      </c>
      <c r="P21" s="8" t="s">
        <v>148</v>
      </c>
    </row>
    <row r="22" spans="1:16">
      <c r="A22" s="10"/>
      <c r="B22" s="10"/>
      <c r="C22" s="10"/>
      <c r="D22" s="10"/>
      <c r="E22" s="10"/>
      <c r="F22" s="10"/>
      <c r="G22" s="10"/>
      <c r="H22" s="11">
        <f t="shared" ref="H22:N22" si="2">SUM(H2:H21)</f>
        <v>369</v>
      </c>
      <c r="I22" s="11">
        <f t="shared" si="2"/>
        <v>326.1</v>
      </c>
      <c r="J22" s="11">
        <f t="shared" si="2"/>
        <v>854.1</v>
      </c>
      <c r="K22" s="11">
        <f t="shared" si="2"/>
        <v>369</v>
      </c>
      <c r="L22" s="11">
        <f t="shared" si="2"/>
        <v>854.1</v>
      </c>
      <c r="M22" s="11">
        <f t="shared" si="2"/>
        <v>0</v>
      </c>
      <c r="N22" s="11">
        <f t="shared" si="2"/>
        <v>0</v>
      </c>
      <c r="O22" s="10"/>
      <c r="P22" s="10"/>
    </row>
  </sheetData>
  <autoFilter xmlns:etc="http://www.wps.cn/officeDocument/2017/etCustomData" ref="A1:P22" etc:filterBottomFollowUsedRange="0">
    <extLst/>
  </autoFilter>
  <sortState ref="A2:P22">
    <sortCondition ref="A2"/>
  </sortState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B1" workbookViewId="0">
      <selection activeCell="D1" sqref="D1:P1"/>
    </sheetView>
  </sheetViews>
  <sheetFormatPr defaultColWidth="9" defaultRowHeight="13.5"/>
  <cols>
    <col min="1" max="1" width="30.0083333333333" customWidth="1"/>
    <col min="2" max="2" width="27.0083333333333" customWidth="1"/>
    <col min="3" max="3" width="24.675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28</v>
      </c>
      <c r="C2" s="4" t="s">
        <v>181</v>
      </c>
      <c r="D2" s="5" t="s">
        <v>182</v>
      </c>
      <c r="E2" s="6">
        <v>46065.5013037037</v>
      </c>
      <c r="F2" s="4" t="s">
        <v>24</v>
      </c>
      <c r="G2" s="4" t="s">
        <v>42</v>
      </c>
      <c r="H2" s="4">
        <v>16</v>
      </c>
      <c r="I2" s="7">
        <v>3.3</v>
      </c>
      <c r="J2" s="7">
        <f>H2*I2</f>
        <v>52.8</v>
      </c>
      <c r="K2" s="7">
        <v>16</v>
      </c>
      <c r="L2" s="7">
        <v>52.8</v>
      </c>
      <c r="M2" s="7"/>
      <c r="N2" s="7"/>
      <c r="O2" s="8" t="s">
        <v>47</v>
      </c>
      <c r="P2" s="8" t="s">
        <v>96</v>
      </c>
    </row>
    <row r="3" ht="22.5" customHeight="1" spans="1:16">
      <c r="A3" s="4" t="s">
        <v>16</v>
      </c>
      <c r="B3" s="4" t="s">
        <v>28</v>
      </c>
      <c r="C3" s="4" t="s">
        <v>181</v>
      </c>
      <c r="D3" s="5" t="s">
        <v>182</v>
      </c>
      <c r="E3" s="6">
        <v>46065.5013037037</v>
      </c>
      <c r="F3" s="4" t="s">
        <v>24</v>
      </c>
      <c r="G3" s="4" t="s">
        <v>33</v>
      </c>
      <c r="H3" s="4">
        <v>178</v>
      </c>
      <c r="I3" s="7">
        <v>120</v>
      </c>
      <c r="J3" s="7">
        <v>120</v>
      </c>
      <c r="K3" s="7">
        <v>48</v>
      </c>
      <c r="L3" s="7">
        <v>120</v>
      </c>
      <c r="M3" s="7">
        <f>H3-48</f>
        <v>130</v>
      </c>
      <c r="N3" s="7">
        <v>0</v>
      </c>
      <c r="O3" s="8" t="s">
        <v>47</v>
      </c>
      <c r="P3" s="8" t="s">
        <v>96</v>
      </c>
    </row>
    <row r="4" ht="22.5" customHeight="1" spans="1:16">
      <c r="A4" s="4" t="s">
        <v>16</v>
      </c>
      <c r="B4" s="4" t="s">
        <v>28</v>
      </c>
      <c r="C4" s="4" t="s">
        <v>181</v>
      </c>
      <c r="D4" s="5" t="s">
        <v>182</v>
      </c>
      <c r="E4" s="6">
        <v>46065.5013037037</v>
      </c>
      <c r="F4" s="4" t="s">
        <v>24</v>
      </c>
      <c r="G4" s="4" t="s">
        <v>34</v>
      </c>
      <c r="H4" s="4">
        <v>4</v>
      </c>
      <c r="I4" s="7">
        <v>3.3</v>
      </c>
      <c r="J4" s="7">
        <f t="shared" ref="J4:J12" si="0">H4*I4</f>
        <v>13.2</v>
      </c>
      <c r="K4" s="7">
        <v>4</v>
      </c>
      <c r="L4" s="7">
        <v>13.2</v>
      </c>
      <c r="M4" s="7"/>
      <c r="N4" s="7"/>
      <c r="O4" s="8" t="s">
        <v>47</v>
      </c>
      <c r="P4" s="8" t="s">
        <v>96</v>
      </c>
    </row>
    <row r="5" ht="22.5" customHeight="1" spans="1:16">
      <c r="A5" s="4" t="s">
        <v>16</v>
      </c>
      <c r="B5" s="4" t="s">
        <v>28</v>
      </c>
      <c r="C5" s="4" t="s">
        <v>181</v>
      </c>
      <c r="D5" s="5" t="s">
        <v>182</v>
      </c>
      <c r="E5" s="6">
        <v>46065.5013037037</v>
      </c>
      <c r="F5" s="4" t="s">
        <v>20</v>
      </c>
      <c r="G5" s="4" t="s">
        <v>21</v>
      </c>
      <c r="H5" s="4">
        <v>1</v>
      </c>
      <c r="I5" s="7">
        <v>3.3</v>
      </c>
      <c r="J5" s="7">
        <f t="shared" si="0"/>
        <v>3.3</v>
      </c>
      <c r="K5" s="7">
        <v>1</v>
      </c>
      <c r="L5" s="7">
        <v>3.3</v>
      </c>
      <c r="M5" s="7"/>
      <c r="N5" s="7"/>
      <c r="O5" s="8" t="s">
        <v>47</v>
      </c>
      <c r="P5" s="8" t="s">
        <v>96</v>
      </c>
    </row>
    <row r="6" ht="22.5" customHeight="1" spans="1:16">
      <c r="A6" s="4" t="s">
        <v>126</v>
      </c>
      <c r="B6" s="4" t="s">
        <v>127</v>
      </c>
      <c r="C6" s="4" t="s">
        <v>183</v>
      </c>
      <c r="D6" s="5" t="s">
        <v>19</v>
      </c>
      <c r="E6" s="6">
        <v>46065.5941959491</v>
      </c>
      <c r="F6" s="4" t="s">
        <v>24</v>
      </c>
      <c r="G6" s="4" t="s">
        <v>42</v>
      </c>
      <c r="H6" s="4">
        <v>19</v>
      </c>
      <c r="I6" s="7">
        <v>3.3</v>
      </c>
      <c r="J6" s="7">
        <f t="shared" si="0"/>
        <v>62.7</v>
      </c>
      <c r="K6" s="7">
        <v>10</v>
      </c>
      <c r="L6" s="7">
        <v>33</v>
      </c>
      <c r="M6" s="7">
        <v>9</v>
      </c>
      <c r="N6" s="7">
        <f>M6*3.3</f>
        <v>29.7</v>
      </c>
      <c r="O6" s="8" t="s">
        <v>39</v>
      </c>
      <c r="P6" s="8" t="s">
        <v>40</v>
      </c>
    </row>
    <row r="7" ht="22.5" customHeight="1" spans="1:16">
      <c r="A7" s="4" t="s">
        <v>126</v>
      </c>
      <c r="B7" s="4" t="s">
        <v>127</v>
      </c>
      <c r="C7" s="4" t="s">
        <v>183</v>
      </c>
      <c r="D7" s="5" t="s">
        <v>19</v>
      </c>
      <c r="E7" s="6">
        <v>46065.5941959491</v>
      </c>
      <c r="F7" s="4" t="s">
        <v>20</v>
      </c>
      <c r="G7" s="4" t="s">
        <v>21</v>
      </c>
      <c r="H7" s="4">
        <v>1</v>
      </c>
      <c r="I7" s="7">
        <v>3.3</v>
      </c>
      <c r="J7" s="7">
        <f t="shared" si="0"/>
        <v>3.3</v>
      </c>
      <c r="K7" s="7">
        <v>1</v>
      </c>
      <c r="L7" s="7">
        <v>3.3</v>
      </c>
      <c r="M7" s="7"/>
      <c r="N7" s="7"/>
      <c r="O7" s="8" t="s">
        <v>39</v>
      </c>
      <c r="P7" s="8" t="s">
        <v>40</v>
      </c>
    </row>
    <row r="8" ht="22.5" customHeight="1" spans="1:16">
      <c r="A8" s="4" t="s">
        <v>126</v>
      </c>
      <c r="B8" s="4" t="s">
        <v>127</v>
      </c>
      <c r="C8" s="4" t="s">
        <v>184</v>
      </c>
      <c r="D8" s="5" t="s">
        <v>19</v>
      </c>
      <c r="E8" s="6">
        <v>46065.5941982292</v>
      </c>
      <c r="F8" s="4" t="s">
        <v>24</v>
      </c>
      <c r="G8" s="4" t="s">
        <v>42</v>
      </c>
      <c r="H8" s="4">
        <v>28</v>
      </c>
      <c r="I8" s="7">
        <v>3.3</v>
      </c>
      <c r="J8" s="7">
        <f t="shared" si="0"/>
        <v>92.4</v>
      </c>
      <c r="K8" s="7">
        <v>28</v>
      </c>
      <c r="L8" s="7">
        <v>92.4</v>
      </c>
      <c r="M8" s="7"/>
      <c r="N8" s="7"/>
      <c r="O8" s="8" t="s">
        <v>39</v>
      </c>
      <c r="P8" s="8" t="s">
        <v>40</v>
      </c>
    </row>
    <row r="9" ht="22.5" customHeight="1" spans="1:16">
      <c r="A9" s="4" t="s">
        <v>126</v>
      </c>
      <c r="B9" s="4" t="s">
        <v>127</v>
      </c>
      <c r="C9" s="4" t="s">
        <v>184</v>
      </c>
      <c r="D9" s="5" t="s">
        <v>19</v>
      </c>
      <c r="E9" s="6">
        <v>46065.5941982292</v>
      </c>
      <c r="F9" s="4" t="s">
        <v>20</v>
      </c>
      <c r="G9" s="4" t="s">
        <v>21</v>
      </c>
      <c r="H9" s="4">
        <v>1</v>
      </c>
      <c r="I9" s="7">
        <v>3.3</v>
      </c>
      <c r="J9" s="7">
        <f t="shared" si="0"/>
        <v>3.3</v>
      </c>
      <c r="K9" s="7">
        <v>1</v>
      </c>
      <c r="L9" s="7">
        <v>3.3</v>
      </c>
      <c r="M9" s="7"/>
      <c r="N9" s="7"/>
      <c r="O9" s="8" t="s">
        <v>39</v>
      </c>
      <c r="P9" s="8" t="s">
        <v>40</v>
      </c>
    </row>
    <row r="10" ht="22.5" customHeight="1" spans="1:16">
      <c r="A10" s="4" t="s">
        <v>43</v>
      </c>
      <c r="B10" s="4" t="s">
        <v>44</v>
      </c>
      <c r="C10" s="4" t="s">
        <v>185</v>
      </c>
      <c r="D10" s="5" t="s">
        <v>65</v>
      </c>
      <c r="E10" s="6">
        <v>46066.4157261921</v>
      </c>
      <c r="F10" s="4" t="s">
        <v>20</v>
      </c>
      <c r="G10" s="4" t="s">
        <v>21</v>
      </c>
      <c r="H10" s="4">
        <v>1</v>
      </c>
      <c r="I10" s="7">
        <v>3.3</v>
      </c>
      <c r="J10" s="7">
        <f t="shared" si="0"/>
        <v>3.3</v>
      </c>
      <c r="K10" s="7"/>
      <c r="L10" s="7"/>
      <c r="M10" s="7">
        <v>1</v>
      </c>
      <c r="N10" s="7">
        <v>3.3</v>
      </c>
      <c r="O10" s="8" t="s">
        <v>47</v>
      </c>
      <c r="P10" s="8" t="s">
        <v>54</v>
      </c>
    </row>
    <row r="11" ht="22.5" customHeight="1" spans="1:16">
      <c r="A11" s="4" t="s">
        <v>43</v>
      </c>
      <c r="B11" s="4" t="s">
        <v>44</v>
      </c>
      <c r="C11" s="4" t="s">
        <v>185</v>
      </c>
      <c r="D11" s="5" t="s">
        <v>65</v>
      </c>
      <c r="E11" s="6">
        <v>46066.4157261921</v>
      </c>
      <c r="F11" s="4" t="s">
        <v>24</v>
      </c>
      <c r="G11" s="4" t="s">
        <v>25</v>
      </c>
      <c r="H11" s="4">
        <v>29</v>
      </c>
      <c r="I11" s="7">
        <v>3.3</v>
      </c>
      <c r="J11" s="7">
        <f t="shared" si="0"/>
        <v>95.7</v>
      </c>
      <c r="K11" s="7">
        <v>29</v>
      </c>
      <c r="L11" s="7">
        <v>95.7</v>
      </c>
      <c r="M11" s="7"/>
      <c r="N11" s="7"/>
      <c r="O11" s="8" t="s">
        <v>47</v>
      </c>
      <c r="P11" s="8" t="s">
        <v>54</v>
      </c>
    </row>
    <row r="12" ht="22.5" customHeight="1" spans="1:16">
      <c r="A12" s="4" t="s">
        <v>43</v>
      </c>
      <c r="B12" s="4" t="s">
        <v>44</v>
      </c>
      <c r="C12" s="4" t="s">
        <v>186</v>
      </c>
      <c r="D12" s="5" t="s">
        <v>65</v>
      </c>
      <c r="E12" s="6">
        <v>46066.415728206</v>
      </c>
      <c r="F12" s="4" t="s">
        <v>24</v>
      </c>
      <c r="G12" s="4" t="s">
        <v>34</v>
      </c>
      <c r="H12" s="4">
        <v>13</v>
      </c>
      <c r="I12" s="7">
        <v>3.3</v>
      </c>
      <c r="J12" s="7">
        <f t="shared" si="0"/>
        <v>42.9</v>
      </c>
      <c r="K12" s="7">
        <v>13</v>
      </c>
      <c r="L12" s="7">
        <v>42.9</v>
      </c>
      <c r="M12" s="7"/>
      <c r="N12" s="7"/>
      <c r="O12" s="8" t="s">
        <v>47</v>
      </c>
      <c r="P12" s="8" t="s">
        <v>54</v>
      </c>
    </row>
    <row r="13" ht="22.5" customHeight="1" spans="1:16">
      <c r="A13" s="4" t="s">
        <v>43</v>
      </c>
      <c r="B13" s="4" t="s">
        <v>44</v>
      </c>
      <c r="C13" s="4" t="s">
        <v>186</v>
      </c>
      <c r="D13" s="5" t="s">
        <v>65</v>
      </c>
      <c r="E13" s="6">
        <v>46066.415728206</v>
      </c>
      <c r="F13" s="4" t="s">
        <v>24</v>
      </c>
      <c r="G13" s="4" t="s">
        <v>33</v>
      </c>
      <c r="H13" s="4">
        <v>71</v>
      </c>
      <c r="I13" s="7">
        <v>120</v>
      </c>
      <c r="J13" s="7">
        <v>120</v>
      </c>
      <c r="K13" s="7">
        <v>71</v>
      </c>
      <c r="L13" s="7">
        <v>120</v>
      </c>
      <c r="M13" s="7"/>
      <c r="N13" s="7"/>
      <c r="O13" s="8" t="s">
        <v>47</v>
      </c>
      <c r="P13" s="8" t="s">
        <v>54</v>
      </c>
    </row>
    <row r="14" ht="22.5" customHeight="1" spans="1:16">
      <c r="A14" s="4" t="s">
        <v>43</v>
      </c>
      <c r="B14" s="4" t="s">
        <v>44</v>
      </c>
      <c r="C14" s="4" t="s">
        <v>186</v>
      </c>
      <c r="D14" s="5" t="s">
        <v>65</v>
      </c>
      <c r="E14" s="6">
        <v>46066.415728206</v>
      </c>
      <c r="F14" s="4" t="s">
        <v>24</v>
      </c>
      <c r="G14" s="4" t="s">
        <v>25</v>
      </c>
      <c r="H14" s="4">
        <v>10</v>
      </c>
      <c r="I14" s="7">
        <v>3.3</v>
      </c>
      <c r="J14" s="7">
        <v>33</v>
      </c>
      <c r="K14" s="7">
        <v>10</v>
      </c>
      <c r="L14" s="7">
        <v>33</v>
      </c>
      <c r="M14" s="7"/>
      <c r="N14" s="7"/>
      <c r="O14" s="8" t="s">
        <v>47</v>
      </c>
      <c r="P14" s="8" t="s">
        <v>54</v>
      </c>
    </row>
    <row r="15" ht="22.5" customHeight="1" spans="1:16">
      <c r="A15" s="4" t="s">
        <v>43</v>
      </c>
      <c r="B15" s="4" t="s">
        <v>44</v>
      </c>
      <c r="C15" s="4" t="s">
        <v>186</v>
      </c>
      <c r="D15" s="5" t="s">
        <v>65</v>
      </c>
      <c r="E15" s="6">
        <v>46066.415728206</v>
      </c>
      <c r="F15" s="4" t="s">
        <v>20</v>
      </c>
      <c r="G15" s="4" t="s">
        <v>21</v>
      </c>
      <c r="H15" s="4">
        <v>1</v>
      </c>
      <c r="I15" s="7">
        <v>3.3</v>
      </c>
      <c r="J15" s="7">
        <v>3.3</v>
      </c>
      <c r="K15" s="7">
        <v>1</v>
      </c>
      <c r="L15" s="7">
        <v>3.3</v>
      </c>
      <c r="M15" s="7"/>
      <c r="N15" s="7"/>
      <c r="O15" s="8" t="s">
        <v>47</v>
      </c>
      <c r="P15" s="8" t="s">
        <v>54</v>
      </c>
    </row>
    <row r="16" ht="22.5" customHeight="1" spans="1:16">
      <c r="A16" s="4" t="s">
        <v>16</v>
      </c>
      <c r="B16" s="4" t="s">
        <v>17</v>
      </c>
      <c r="C16" s="4" t="s">
        <v>187</v>
      </c>
      <c r="D16" s="5" t="s">
        <v>19</v>
      </c>
      <c r="E16" s="6">
        <v>46066.5922386921</v>
      </c>
      <c r="F16" s="4" t="s">
        <v>24</v>
      </c>
      <c r="G16" s="4" t="s">
        <v>25</v>
      </c>
      <c r="H16" s="4">
        <v>25</v>
      </c>
      <c r="I16" s="7">
        <v>3.3</v>
      </c>
      <c r="J16" s="7">
        <f>I16*H16</f>
        <v>82.5</v>
      </c>
      <c r="K16" s="7">
        <v>16</v>
      </c>
      <c r="L16" s="7">
        <f>K16*3.3</f>
        <v>52.8</v>
      </c>
      <c r="M16" s="7">
        <v>9</v>
      </c>
      <c r="N16" s="7">
        <f>M16*3.3</f>
        <v>29.7</v>
      </c>
      <c r="O16" s="8" t="s">
        <v>22</v>
      </c>
      <c r="P16" s="8" t="s">
        <v>23</v>
      </c>
    </row>
    <row r="17" ht="22.5" customHeight="1" spans="1:16">
      <c r="A17" s="4" t="s">
        <v>16</v>
      </c>
      <c r="B17" s="4" t="s">
        <v>17</v>
      </c>
      <c r="C17" s="4" t="s">
        <v>187</v>
      </c>
      <c r="D17" s="5" t="s">
        <v>19</v>
      </c>
      <c r="E17" s="6">
        <v>46066.5922386921</v>
      </c>
      <c r="F17" s="4" t="s">
        <v>20</v>
      </c>
      <c r="G17" s="4" t="s">
        <v>21</v>
      </c>
      <c r="H17" s="4">
        <v>1</v>
      </c>
      <c r="I17" s="7">
        <v>3.3</v>
      </c>
      <c r="J17" s="7">
        <f>I17*H17</f>
        <v>3.3</v>
      </c>
      <c r="K17" s="7">
        <v>1</v>
      </c>
      <c r="L17" s="7">
        <f>K17*3.3</f>
        <v>3.3</v>
      </c>
      <c r="M17" s="7"/>
      <c r="N17" s="7"/>
      <c r="O17" s="8" t="s">
        <v>22</v>
      </c>
      <c r="P17" s="8" t="s">
        <v>23</v>
      </c>
    </row>
    <row r="18" ht="22.5" customHeight="1" spans="1:16">
      <c r="A18" s="4" t="s">
        <v>16</v>
      </c>
      <c r="B18" s="4" t="s">
        <v>17</v>
      </c>
      <c r="C18" s="4" t="s">
        <v>188</v>
      </c>
      <c r="D18" s="5" t="s">
        <v>19</v>
      </c>
      <c r="E18" s="6">
        <v>46066.5922461806</v>
      </c>
      <c r="F18" s="4" t="s">
        <v>24</v>
      </c>
      <c r="G18" s="4" t="s">
        <v>25</v>
      </c>
      <c r="H18" s="4">
        <v>21</v>
      </c>
      <c r="I18" s="7">
        <v>3.3</v>
      </c>
      <c r="J18" s="7">
        <f>I18*H18</f>
        <v>69.3</v>
      </c>
      <c r="K18" s="7">
        <v>21</v>
      </c>
      <c r="L18" s="7">
        <f>K18*3.3</f>
        <v>69.3</v>
      </c>
      <c r="M18" s="7"/>
      <c r="N18" s="7"/>
      <c r="O18" s="8" t="s">
        <v>22</v>
      </c>
      <c r="P18" s="8" t="s">
        <v>23</v>
      </c>
    </row>
    <row r="19" ht="22.5" customHeight="1" spans="1:16">
      <c r="A19" s="4" t="s">
        <v>16</v>
      </c>
      <c r="B19" s="4" t="s">
        <v>17</v>
      </c>
      <c r="C19" s="4" t="s">
        <v>188</v>
      </c>
      <c r="D19" s="5" t="s">
        <v>19</v>
      </c>
      <c r="E19" s="6">
        <v>46066.5922461806</v>
      </c>
      <c r="F19" s="4" t="s">
        <v>20</v>
      </c>
      <c r="G19" s="4" t="s">
        <v>21</v>
      </c>
      <c r="H19" s="4">
        <v>1</v>
      </c>
      <c r="I19" s="7">
        <v>3.3</v>
      </c>
      <c r="J19" s="7">
        <f>I19*H19</f>
        <v>3.3</v>
      </c>
      <c r="K19" s="7">
        <v>1</v>
      </c>
      <c r="L19" s="7">
        <f>K19*3.3</f>
        <v>3.3</v>
      </c>
      <c r="M19" s="7"/>
      <c r="N19" s="7"/>
      <c r="O19" s="8" t="s">
        <v>22</v>
      </c>
      <c r="P19" s="8" t="s">
        <v>23</v>
      </c>
    </row>
    <row r="20" spans="1:16">
      <c r="A20" s="10"/>
      <c r="B20" s="10"/>
      <c r="C20" s="10"/>
      <c r="D20" s="10"/>
      <c r="E20" s="10"/>
      <c r="F20" s="10"/>
      <c r="G20" s="10"/>
      <c r="H20" s="11">
        <f t="shared" ref="H20:N20" si="1">SUM(H2:H19)</f>
        <v>421</v>
      </c>
      <c r="I20" s="11">
        <f t="shared" si="1"/>
        <v>292.8</v>
      </c>
      <c r="J20" s="11">
        <f t="shared" si="1"/>
        <v>807.6</v>
      </c>
      <c r="K20" s="11">
        <f t="shared" si="1"/>
        <v>272</v>
      </c>
      <c r="L20" s="11">
        <f t="shared" si="1"/>
        <v>744.9</v>
      </c>
      <c r="M20" s="11">
        <f t="shared" si="1"/>
        <v>149</v>
      </c>
      <c r="N20" s="11">
        <f t="shared" si="1"/>
        <v>62.7</v>
      </c>
      <c r="O20" s="10"/>
      <c r="P20" s="10"/>
    </row>
    <row r="21" spans="1:16">
      <c r="H21" s="12"/>
      <c r="I21" s="12"/>
      <c r="J21" s="12"/>
      <c r="K21" s="12"/>
      <c r="L21" s="12"/>
      <c r="M21" s="12"/>
      <c r="N21" s="12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opLeftCell="B11" workbookViewId="0">
      <selection activeCell="H35" sqref="H35"/>
    </sheetView>
  </sheetViews>
  <sheetFormatPr defaultColWidth="9" defaultRowHeight="13.5"/>
  <cols>
    <col min="1" max="1" width="30.0083333333333" customWidth="1"/>
    <col min="2" max="3" width="27.0083333333333" customWidth="1"/>
    <col min="4" max="4" width="16.0083333333333" customWidth="1"/>
    <col min="5" max="5" width="13.3416666666667" customWidth="1"/>
    <col min="6" max="6" width="12.3416666666667" customWidth="1"/>
    <col min="7" max="7" width="15.0083333333333" customWidth="1"/>
    <col min="8" max="8" width="12.3416666666667" customWidth="1"/>
    <col min="9" max="10" width="8.675" customWidth="1"/>
    <col min="11" max="12" width="17.8416666666667" customWidth="1"/>
    <col min="13" max="14" width="16.0083333333333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43</v>
      </c>
      <c r="B2" s="4" t="s">
        <v>44</v>
      </c>
      <c r="C2" s="4" t="s">
        <v>189</v>
      </c>
      <c r="D2" s="5" t="s">
        <v>190</v>
      </c>
      <c r="E2" s="6">
        <v>46067.4858591435</v>
      </c>
      <c r="F2" s="4" t="s">
        <v>20</v>
      </c>
      <c r="G2" s="4" t="s">
        <v>21</v>
      </c>
      <c r="H2" s="4">
        <v>1</v>
      </c>
      <c r="I2" s="7">
        <v>3.3</v>
      </c>
      <c r="J2" s="7">
        <f>H2*I2</f>
        <v>3.3</v>
      </c>
      <c r="K2" s="7">
        <v>1</v>
      </c>
      <c r="L2" s="7">
        <v>3.3</v>
      </c>
      <c r="M2" s="7"/>
      <c r="N2" s="7"/>
      <c r="O2" s="8" t="s">
        <v>47</v>
      </c>
      <c r="P2" s="8" t="s">
        <v>191</v>
      </c>
    </row>
    <row r="3" ht="22.5" customHeight="1" spans="1:16">
      <c r="A3" s="4" t="s">
        <v>43</v>
      </c>
      <c r="B3" s="4" t="s">
        <v>44</v>
      </c>
      <c r="C3" s="4" t="s">
        <v>189</v>
      </c>
      <c r="D3" s="5" t="s">
        <v>190</v>
      </c>
      <c r="E3" s="6">
        <v>46067.4858591435</v>
      </c>
      <c r="F3" s="4" t="s">
        <v>24</v>
      </c>
      <c r="G3" s="4" t="s">
        <v>133</v>
      </c>
      <c r="H3" s="4">
        <v>40</v>
      </c>
      <c r="I3" s="7">
        <v>3.3</v>
      </c>
      <c r="J3" s="7">
        <f>H3*I3</f>
        <v>132</v>
      </c>
      <c r="K3" s="7">
        <v>40</v>
      </c>
      <c r="L3" s="7">
        <v>132</v>
      </c>
      <c r="M3" s="7"/>
      <c r="N3" s="7"/>
      <c r="O3" s="8" t="s">
        <v>47</v>
      </c>
      <c r="P3" s="8" t="s">
        <v>191</v>
      </c>
    </row>
    <row r="4" ht="22.5" customHeight="1" spans="1:16">
      <c r="A4" s="4" t="s">
        <v>43</v>
      </c>
      <c r="B4" s="4" t="s">
        <v>44</v>
      </c>
      <c r="C4" s="4" t="s">
        <v>192</v>
      </c>
      <c r="D4" s="5" t="s">
        <v>190</v>
      </c>
      <c r="E4" s="6">
        <v>46067.4858622685</v>
      </c>
      <c r="F4" s="4" t="s">
        <v>24</v>
      </c>
      <c r="G4" s="4" t="s">
        <v>133</v>
      </c>
      <c r="H4" s="4">
        <v>9</v>
      </c>
      <c r="I4" s="7">
        <v>3.3</v>
      </c>
      <c r="J4" s="7">
        <f>H4*I4</f>
        <v>29.7</v>
      </c>
      <c r="K4" s="7">
        <v>9</v>
      </c>
      <c r="L4" s="7">
        <v>29.7</v>
      </c>
      <c r="M4" s="7"/>
      <c r="N4" s="7"/>
      <c r="O4" s="8" t="s">
        <v>47</v>
      </c>
      <c r="P4" s="8" t="s">
        <v>191</v>
      </c>
    </row>
    <row r="5" ht="22.5" customHeight="1" spans="1:16">
      <c r="A5" s="4" t="s">
        <v>43</v>
      </c>
      <c r="B5" s="4" t="s">
        <v>44</v>
      </c>
      <c r="C5" s="4" t="s">
        <v>192</v>
      </c>
      <c r="D5" s="5" t="s">
        <v>190</v>
      </c>
      <c r="E5" s="6">
        <v>46067.4858622685</v>
      </c>
      <c r="F5" s="4" t="s">
        <v>20</v>
      </c>
      <c r="G5" s="4" t="s">
        <v>21</v>
      </c>
      <c r="H5" s="4">
        <v>1</v>
      </c>
      <c r="I5" s="7">
        <v>3.3</v>
      </c>
      <c r="J5" s="7">
        <f>H5*I5</f>
        <v>3.3</v>
      </c>
      <c r="K5" s="7">
        <v>1</v>
      </c>
      <c r="L5" s="7">
        <v>3.3</v>
      </c>
      <c r="M5" s="7"/>
      <c r="N5" s="7"/>
      <c r="O5" s="8" t="s">
        <v>47</v>
      </c>
      <c r="P5" s="8" t="s">
        <v>191</v>
      </c>
    </row>
    <row r="6" ht="22.5" customHeight="1" spans="1:16">
      <c r="A6" s="4" t="s">
        <v>43</v>
      </c>
      <c r="B6" s="4" t="s">
        <v>44</v>
      </c>
      <c r="C6" s="4" t="s">
        <v>193</v>
      </c>
      <c r="D6" s="5" t="s">
        <v>190</v>
      </c>
      <c r="E6" s="6">
        <v>46067.4858649653</v>
      </c>
      <c r="F6" s="4" t="s">
        <v>20</v>
      </c>
      <c r="G6" s="4" t="s">
        <v>21</v>
      </c>
      <c r="H6" s="4">
        <v>1</v>
      </c>
      <c r="I6" s="7">
        <v>3.3</v>
      </c>
      <c r="J6" s="7">
        <f>H6*I6</f>
        <v>3.3</v>
      </c>
      <c r="K6" s="7">
        <v>1</v>
      </c>
      <c r="L6" s="7">
        <v>3.3</v>
      </c>
      <c r="M6" s="7"/>
      <c r="N6" s="7"/>
      <c r="O6" s="8" t="s">
        <v>47</v>
      </c>
      <c r="P6" s="8" t="s">
        <v>191</v>
      </c>
    </row>
    <row r="7" ht="22.5" customHeight="1" spans="1:16">
      <c r="A7" s="4" t="s">
        <v>43</v>
      </c>
      <c r="B7" s="4" t="s">
        <v>44</v>
      </c>
      <c r="C7" s="4" t="s">
        <v>193</v>
      </c>
      <c r="D7" s="5" t="s">
        <v>190</v>
      </c>
      <c r="E7" s="6">
        <v>46067.4858649653</v>
      </c>
      <c r="F7" s="4" t="s">
        <v>24</v>
      </c>
      <c r="G7" s="4" t="s">
        <v>33</v>
      </c>
      <c r="H7" s="9">
        <v>96</v>
      </c>
      <c r="I7" s="7">
        <v>120</v>
      </c>
      <c r="J7" s="7">
        <v>120</v>
      </c>
      <c r="K7" s="7">
        <v>96</v>
      </c>
      <c r="L7" s="7">
        <v>120</v>
      </c>
      <c r="M7" s="7"/>
      <c r="N7" s="7"/>
      <c r="O7" s="8" t="s">
        <v>47</v>
      </c>
      <c r="P7" s="8" t="s">
        <v>191</v>
      </c>
    </row>
    <row r="8" ht="22.5" customHeight="1" spans="1:16">
      <c r="A8" s="4" t="s">
        <v>43</v>
      </c>
      <c r="B8" s="4" t="s">
        <v>44</v>
      </c>
      <c r="C8" s="4" t="s">
        <v>194</v>
      </c>
      <c r="D8" s="5" t="s">
        <v>190</v>
      </c>
      <c r="E8" s="6">
        <v>46067.6765466782</v>
      </c>
      <c r="F8" s="4" t="s">
        <v>24</v>
      </c>
      <c r="G8" s="4" t="s">
        <v>25</v>
      </c>
      <c r="H8" s="4">
        <v>5</v>
      </c>
      <c r="I8" s="7">
        <v>3.3</v>
      </c>
      <c r="J8" s="7">
        <f>H8*I8</f>
        <v>16.5</v>
      </c>
      <c r="K8" s="7">
        <v>5</v>
      </c>
      <c r="L8" s="7">
        <v>16.5</v>
      </c>
      <c r="M8" s="7"/>
      <c r="N8" s="7"/>
      <c r="O8" s="8" t="s">
        <v>47</v>
      </c>
      <c r="P8" s="8" t="s">
        <v>191</v>
      </c>
    </row>
    <row r="9" ht="22.5" customHeight="1" spans="1:16">
      <c r="A9" s="4" t="s">
        <v>43</v>
      </c>
      <c r="B9" s="4" t="s">
        <v>44</v>
      </c>
      <c r="C9" s="4" t="s">
        <v>194</v>
      </c>
      <c r="D9" s="5" t="s">
        <v>190</v>
      </c>
      <c r="E9" s="6">
        <v>46067.6765466782</v>
      </c>
      <c r="F9" s="4" t="s">
        <v>20</v>
      </c>
      <c r="G9" s="4" t="s">
        <v>21</v>
      </c>
      <c r="H9" s="4">
        <v>1</v>
      </c>
      <c r="I9" s="7">
        <v>3.3</v>
      </c>
      <c r="J9" s="7">
        <f>H9*I9</f>
        <v>3.3</v>
      </c>
      <c r="K9" s="7">
        <v>1</v>
      </c>
      <c r="L9" s="7">
        <v>3.3</v>
      </c>
      <c r="M9" s="7"/>
      <c r="N9" s="7"/>
      <c r="O9" s="8" t="s">
        <v>47</v>
      </c>
      <c r="P9" s="8" t="s">
        <v>191</v>
      </c>
    </row>
    <row r="10" ht="22.5" customHeight="1" spans="1:16">
      <c r="A10" s="4" t="s">
        <v>43</v>
      </c>
      <c r="B10" s="4" t="s">
        <v>44</v>
      </c>
      <c r="C10" s="4" t="s">
        <v>195</v>
      </c>
      <c r="D10" s="5" t="s">
        <v>63</v>
      </c>
      <c r="E10" s="6">
        <v>46068.4568937153</v>
      </c>
      <c r="F10" s="4" t="s">
        <v>24</v>
      </c>
      <c r="G10" s="4" t="s">
        <v>34</v>
      </c>
      <c r="H10" s="4">
        <v>5</v>
      </c>
      <c r="I10" s="7">
        <v>3.3</v>
      </c>
      <c r="J10" s="7">
        <f>H10*I10</f>
        <v>16.5</v>
      </c>
      <c r="K10" s="7">
        <v>5</v>
      </c>
      <c r="L10" s="7">
        <v>16.5</v>
      </c>
      <c r="M10" s="7"/>
      <c r="N10" s="7"/>
      <c r="O10" s="8" t="s">
        <v>47</v>
      </c>
      <c r="P10" s="8" t="s">
        <v>48</v>
      </c>
    </row>
    <row r="11" ht="22.5" customHeight="1" spans="1:16">
      <c r="A11" s="4" t="s">
        <v>43</v>
      </c>
      <c r="B11" s="4" t="s">
        <v>44</v>
      </c>
      <c r="C11" s="4" t="s">
        <v>195</v>
      </c>
      <c r="D11" s="5" t="s">
        <v>63</v>
      </c>
      <c r="E11" s="6">
        <v>46068.4568937153</v>
      </c>
      <c r="F11" s="4" t="s">
        <v>24</v>
      </c>
      <c r="G11" s="4" t="s">
        <v>33</v>
      </c>
      <c r="H11" s="9">
        <v>72</v>
      </c>
      <c r="I11" s="7">
        <v>120</v>
      </c>
      <c r="J11" s="7">
        <v>120</v>
      </c>
      <c r="K11" s="7">
        <v>72</v>
      </c>
      <c r="L11" s="7">
        <v>120</v>
      </c>
      <c r="M11" s="7"/>
      <c r="N11" s="7"/>
      <c r="O11" s="8" t="s">
        <v>47</v>
      </c>
      <c r="P11" s="8" t="s">
        <v>48</v>
      </c>
    </row>
    <row r="12" ht="22.5" customHeight="1" spans="1:16">
      <c r="A12" s="4" t="s">
        <v>43</v>
      </c>
      <c r="B12" s="4" t="s">
        <v>44</v>
      </c>
      <c r="C12" s="4" t="s">
        <v>195</v>
      </c>
      <c r="D12" s="5" t="s">
        <v>63</v>
      </c>
      <c r="E12" s="6">
        <v>46068.4568937153</v>
      </c>
      <c r="F12" s="4" t="s">
        <v>24</v>
      </c>
      <c r="G12" s="4" t="s">
        <v>25</v>
      </c>
      <c r="H12" s="4">
        <v>11</v>
      </c>
      <c r="I12" s="7">
        <v>3.3</v>
      </c>
      <c r="J12" s="7">
        <f t="shared" ref="J12:J20" si="0">H12*I12</f>
        <v>36.3</v>
      </c>
      <c r="K12" s="7">
        <v>11</v>
      </c>
      <c r="L12" s="7">
        <v>36.3</v>
      </c>
      <c r="M12" s="7"/>
      <c r="N12" s="7"/>
      <c r="O12" s="8" t="s">
        <v>47</v>
      </c>
      <c r="P12" s="8" t="s">
        <v>48</v>
      </c>
    </row>
    <row r="13" ht="22.5" customHeight="1" spans="1:16">
      <c r="A13" s="4" t="s">
        <v>43</v>
      </c>
      <c r="B13" s="4" t="s">
        <v>44</v>
      </c>
      <c r="C13" s="4" t="s">
        <v>195</v>
      </c>
      <c r="D13" s="5" t="s">
        <v>63</v>
      </c>
      <c r="E13" s="6">
        <v>46068.4568937153</v>
      </c>
      <c r="F13" s="4" t="s">
        <v>20</v>
      </c>
      <c r="G13" s="4" t="s">
        <v>21</v>
      </c>
      <c r="H13" s="4">
        <v>1</v>
      </c>
      <c r="I13" s="7">
        <v>3.3</v>
      </c>
      <c r="J13" s="7">
        <f t="shared" si="0"/>
        <v>3.3</v>
      </c>
      <c r="K13" s="7">
        <v>1</v>
      </c>
      <c r="L13" s="7">
        <v>3.3</v>
      </c>
      <c r="M13" s="7"/>
      <c r="N13" s="7"/>
      <c r="O13" s="8" t="s">
        <v>47</v>
      </c>
      <c r="P13" s="8" t="s">
        <v>48</v>
      </c>
    </row>
    <row r="14" ht="22.5" customHeight="1" spans="1:16">
      <c r="A14" s="4" t="s">
        <v>16</v>
      </c>
      <c r="B14" s="4" t="s">
        <v>28</v>
      </c>
      <c r="C14" s="4" t="s">
        <v>196</v>
      </c>
      <c r="D14" s="5" t="s">
        <v>197</v>
      </c>
      <c r="E14" s="6">
        <v>46071.5501534375</v>
      </c>
      <c r="F14" s="4" t="s">
        <v>24</v>
      </c>
      <c r="G14" s="4" t="s">
        <v>34</v>
      </c>
      <c r="H14" s="4">
        <v>4</v>
      </c>
      <c r="I14" s="7">
        <v>3.3</v>
      </c>
      <c r="J14" s="7">
        <f t="shared" si="0"/>
        <v>13.2</v>
      </c>
      <c r="K14" s="7">
        <v>4</v>
      </c>
      <c r="L14" s="7">
        <v>13.2</v>
      </c>
      <c r="M14" s="7"/>
      <c r="N14" s="7"/>
      <c r="O14" s="8" t="s">
        <v>47</v>
      </c>
      <c r="P14" s="8" t="s">
        <v>40</v>
      </c>
    </row>
    <row r="15" ht="22.5" customHeight="1" spans="1:16">
      <c r="A15" s="4" t="s">
        <v>16</v>
      </c>
      <c r="B15" s="4" t="s">
        <v>28</v>
      </c>
      <c r="C15" s="4" t="s">
        <v>198</v>
      </c>
      <c r="D15" s="5" t="s">
        <v>68</v>
      </c>
      <c r="E15" s="6">
        <v>46073.4402525116</v>
      </c>
      <c r="F15" s="4" t="s">
        <v>24</v>
      </c>
      <c r="G15" s="4" t="s">
        <v>42</v>
      </c>
      <c r="H15" s="4">
        <v>11</v>
      </c>
      <c r="I15" s="7">
        <v>3.3</v>
      </c>
      <c r="J15" s="7">
        <f t="shared" si="0"/>
        <v>36.3</v>
      </c>
      <c r="K15" s="7">
        <v>11</v>
      </c>
      <c r="L15" s="7">
        <v>36.3</v>
      </c>
      <c r="M15" s="7"/>
      <c r="N15" s="7"/>
      <c r="O15" s="8" t="s">
        <v>47</v>
      </c>
      <c r="P15" s="8" t="s">
        <v>54</v>
      </c>
    </row>
    <row r="16" ht="22.5" customHeight="1" spans="1:16">
      <c r="A16" s="4" t="s">
        <v>16</v>
      </c>
      <c r="B16" s="4" t="s">
        <v>28</v>
      </c>
      <c r="C16" s="4" t="s">
        <v>198</v>
      </c>
      <c r="D16" s="5" t="s">
        <v>68</v>
      </c>
      <c r="E16" s="6">
        <v>46073.4402525116</v>
      </c>
      <c r="F16" s="4" t="s">
        <v>20</v>
      </c>
      <c r="G16" s="4" t="s">
        <v>21</v>
      </c>
      <c r="H16" s="4">
        <v>1</v>
      </c>
      <c r="I16" s="7">
        <v>3.3</v>
      </c>
      <c r="J16" s="7">
        <f t="shared" si="0"/>
        <v>3.3</v>
      </c>
      <c r="K16" s="7">
        <v>1</v>
      </c>
      <c r="L16" s="7">
        <v>3.3</v>
      </c>
      <c r="M16" s="7"/>
      <c r="N16" s="7"/>
      <c r="O16" s="8" t="s">
        <v>47</v>
      </c>
      <c r="P16" s="8" t="s">
        <v>54</v>
      </c>
    </row>
    <row r="17" ht="22.5" customHeight="1" spans="1:16">
      <c r="A17" s="4" t="s">
        <v>16</v>
      </c>
      <c r="B17" s="4" t="s">
        <v>28</v>
      </c>
      <c r="C17" s="4" t="s">
        <v>199</v>
      </c>
      <c r="D17" s="5" t="s">
        <v>68</v>
      </c>
      <c r="E17" s="6">
        <v>46073.4402575579</v>
      </c>
      <c r="F17" s="4" t="s">
        <v>24</v>
      </c>
      <c r="G17" s="4" t="s">
        <v>42</v>
      </c>
      <c r="H17" s="4">
        <v>8</v>
      </c>
      <c r="I17" s="7">
        <v>3.3</v>
      </c>
      <c r="J17" s="7">
        <f t="shared" si="0"/>
        <v>26.4</v>
      </c>
      <c r="K17" s="7">
        <v>8</v>
      </c>
      <c r="L17" s="7">
        <v>26.4</v>
      </c>
      <c r="M17" s="7"/>
      <c r="N17" s="7"/>
      <c r="O17" s="8" t="s">
        <v>47</v>
      </c>
      <c r="P17" s="8" t="s">
        <v>54</v>
      </c>
    </row>
    <row r="18" ht="22.5" customHeight="1" spans="1:16">
      <c r="A18" s="4" t="s">
        <v>16</v>
      </c>
      <c r="B18" s="4" t="s">
        <v>28</v>
      </c>
      <c r="C18" s="4" t="s">
        <v>199</v>
      </c>
      <c r="D18" s="5" t="s">
        <v>68</v>
      </c>
      <c r="E18" s="6">
        <v>46073.4402575579</v>
      </c>
      <c r="F18" s="4" t="s">
        <v>20</v>
      </c>
      <c r="G18" s="4" t="s">
        <v>21</v>
      </c>
      <c r="H18" s="4">
        <v>1</v>
      </c>
      <c r="I18" s="7">
        <v>3.3</v>
      </c>
      <c r="J18" s="7">
        <f t="shared" si="0"/>
        <v>3.3</v>
      </c>
      <c r="K18" s="7">
        <v>1</v>
      </c>
      <c r="L18" s="7">
        <v>3.3</v>
      </c>
      <c r="M18" s="7"/>
      <c r="N18" s="7"/>
      <c r="O18" s="8" t="s">
        <v>47</v>
      </c>
      <c r="P18" s="8" t="s">
        <v>54</v>
      </c>
    </row>
    <row r="19" ht="22.5" customHeight="1" spans="1:16">
      <c r="A19" s="4" t="s">
        <v>16</v>
      </c>
      <c r="B19" s="4" t="s">
        <v>28</v>
      </c>
      <c r="C19" s="4" t="s">
        <v>200</v>
      </c>
      <c r="D19" s="5" t="s">
        <v>68</v>
      </c>
      <c r="E19" s="6">
        <v>46073.4402591782</v>
      </c>
      <c r="F19" s="4" t="s">
        <v>24</v>
      </c>
      <c r="G19" s="4" t="s">
        <v>42</v>
      </c>
      <c r="H19" s="4">
        <v>11</v>
      </c>
      <c r="I19" s="7">
        <v>3.3</v>
      </c>
      <c r="J19" s="7">
        <f t="shared" si="0"/>
        <v>36.3</v>
      </c>
      <c r="K19" s="7">
        <v>11</v>
      </c>
      <c r="L19" s="7">
        <v>36.3</v>
      </c>
      <c r="M19" s="7"/>
      <c r="N19" s="7"/>
      <c r="O19" s="8" t="s">
        <v>47</v>
      </c>
      <c r="P19" s="8" t="s">
        <v>54</v>
      </c>
    </row>
    <row r="20" ht="22.5" customHeight="1" spans="1:16">
      <c r="A20" s="4" t="s">
        <v>16</v>
      </c>
      <c r="B20" s="4" t="s">
        <v>28</v>
      </c>
      <c r="C20" s="4" t="s">
        <v>200</v>
      </c>
      <c r="D20" s="5" t="s">
        <v>68</v>
      </c>
      <c r="E20" s="6">
        <v>46073.4402591782</v>
      </c>
      <c r="F20" s="4" t="s">
        <v>20</v>
      </c>
      <c r="G20" s="4" t="s">
        <v>21</v>
      </c>
      <c r="H20" s="4">
        <v>1</v>
      </c>
      <c r="I20" s="7">
        <v>3.3</v>
      </c>
      <c r="J20" s="7">
        <f t="shared" si="0"/>
        <v>3.3</v>
      </c>
      <c r="K20" s="7">
        <v>1</v>
      </c>
      <c r="L20" s="7">
        <v>3.3</v>
      </c>
      <c r="M20" s="7"/>
      <c r="N20" s="7"/>
      <c r="O20" s="8" t="s">
        <v>47</v>
      </c>
      <c r="P20" s="8" t="s">
        <v>54</v>
      </c>
    </row>
    <row r="21" ht="22.5" customHeight="1" spans="1:16">
      <c r="A21" s="4" t="s">
        <v>16</v>
      </c>
      <c r="B21" s="4" t="s">
        <v>28</v>
      </c>
      <c r="C21" s="4" t="s">
        <v>201</v>
      </c>
      <c r="D21" s="5" t="s">
        <v>68</v>
      </c>
      <c r="E21" s="6">
        <v>46073.4402608449</v>
      </c>
      <c r="F21" s="4" t="s">
        <v>24</v>
      </c>
      <c r="G21" s="4" t="s">
        <v>33</v>
      </c>
      <c r="H21" s="9">
        <v>45</v>
      </c>
      <c r="I21" s="7">
        <v>120</v>
      </c>
      <c r="J21" s="7">
        <v>120</v>
      </c>
      <c r="K21" s="7">
        <v>45</v>
      </c>
      <c r="L21" s="7">
        <v>120</v>
      </c>
      <c r="M21" s="7"/>
      <c r="N21" s="7"/>
      <c r="O21" s="8" t="s">
        <v>47</v>
      </c>
      <c r="P21" s="8" t="s">
        <v>54</v>
      </c>
    </row>
    <row r="22" ht="22.5" customHeight="1" spans="1:16">
      <c r="A22" s="4" t="s">
        <v>16</v>
      </c>
      <c r="B22" s="4" t="s">
        <v>28</v>
      </c>
      <c r="C22" s="4" t="s">
        <v>201</v>
      </c>
      <c r="D22" s="5" t="s">
        <v>68</v>
      </c>
      <c r="E22" s="6">
        <v>46073.4402608449</v>
      </c>
      <c r="F22" s="4" t="s">
        <v>20</v>
      </c>
      <c r="G22" s="4" t="s">
        <v>21</v>
      </c>
      <c r="H22" s="4">
        <v>1</v>
      </c>
      <c r="I22" s="7">
        <v>3.3</v>
      </c>
      <c r="J22" s="7">
        <f>H22*I22</f>
        <v>3.3</v>
      </c>
      <c r="K22" s="7">
        <v>1</v>
      </c>
      <c r="L22" s="7">
        <v>3.3</v>
      </c>
      <c r="M22" s="7"/>
      <c r="N22" s="7"/>
      <c r="O22" s="8" t="s">
        <v>47</v>
      </c>
      <c r="P22" s="8" t="s">
        <v>54</v>
      </c>
    </row>
    <row r="23" ht="22.5" customHeight="1" spans="1:16">
      <c r="A23" s="4" t="s">
        <v>16</v>
      </c>
      <c r="B23" s="4" t="s">
        <v>28</v>
      </c>
      <c r="C23" s="4" t="s">
        <v>202</v>
      </c>
      <c r="D23" s="5" t="s">
        <v>68</v>
      </c>
      <c r="E23" s="6">
        <v>46073.4402627315</v>
      </c>
      <c r="F23" s="4" t="s">
        <v>24</v>
      </c>
      <c r="G23" s="4" t="s">
        <v>42</v>
      </c>
      <c r="H23" s="4">
        <v>12</v>
      </c>
      <c r="I23" s="7">
        <v>3.3</v>
      </c>
      <c r="J23" s="7">
        <f>H23*I23</f>
        <v>39.6</v>
      </c>
      <c r="K23" s="7">
        <v>12</v>
      </c>
      <c r="L23" s="7">
        <v>39.6</v>
      </c>
      <c r="M23" s="7"/>
      <c r="N23" s="7"/>
      <c r="O23" s="8" t="s">
        <v>47</v>
      </c>
      <c r="P23" s="8" t="s">
        <v>54</v>
      </c>
    </row>
    <row r="24" ht="22.5" customHeight="1" spans="1:16">
      <c r="A24" s="4" t="s">
        <v>16</v>
      </c>
      <c r="B24" s="4" t="s">
        <v>28</v>
      </c>
      <c r="C24" s="4" t="s">
        <v>202</v>
      </c>
      <c r="D24" s="5" t="s">
        <v>68</v>
      </c>
      <c r="E24" s="6">
        <v>46073.4402627315</v>
      </c>
      <c r="F24" s="4" t="s">
        <v>24</v>
      </c>
      <c r="G24" s="4" t="s">
        <v>78</v>
      </c>
      <c r="H24" s="4">
        <v>8</v>
      </c>
      <c r="I24" s="7">
        <v>3.3</v>
      </c>
      <c r="J24" s="7">
        <f>H24*I24</f>
        <v>26.4</v>
      </c>
      <c r="K24" s="7">
        <v>8</v>
      </c>
      <c r="L24" s="7">
        <v>26.4</v>
      </c>
      <c r="M24" s="7"/>
      <c r="N24" s="7"/>
      <c r="O24" s="8" t="s">
        <v>47</v>
      </c>
      <c r="P24" s="8" t="s">
        <v>54</v>
      </c>
    </row>
    <row r="25" ht="22.5" customHeight="1" spans="1:16">
      <c r="A25" s="4" t="s">
        <v>16</v>
      </c>
      <c r="B25" s="4" t="s">
        <v>28</v>
      </c>
      <c r="C25" s="4" t="s">
        <v>202</v>
      </c>
      <c r="D25" s="5" t="s">
        <v>68</v>
      </c>
      <c r="E25" s="6">
        <v>46073.4402627315</v>
      </c>
      <c r="F25" s="4" t="s">
        <v>20</v>
      </c>
      <c r="G25" s="4" t="s">
        <v>21</v>
      </c>
      <c r="H25" s="4">
        <v>1</v>
      </c>
      <c r="I25" s="7">
        <v>3.3</v>
      </c>
      <c r="J25" s="7">
        <f>H25*I25</f>
        <v>3.3</v>
      </c>
      <c r="K25" s="7">
        <v>1</v>
      </c>
      <c r="L25" s="7">
        <v>3.3</v>
      </c>
      <c r="M25" s="7"/>
      <c r="N25" s="7"/>
      <c r="O25" s="8" t="s">
        <v>47</v>
      </c>
      <c r="P25" s="8" t="s">
        <v>54</v>
      </c>
    </row>
    <row r="26" spans="1:16">
      <c r="A26" s="10"/>
      <c r="B26" s="10"/>
      <c r="C26" s="10"/>
      <c r="D26" s="10"/>
      <c r="E26" s="10"/>
      <c r="F26" s="10"/>
      <c r="G26" s="10"/>
      <c r="H26" s="11">
        <f t="shared" ref="H26:N26" si="1">SUM(H2:H25)</f>
        <v>347</v>
      </c>
      <c r="I26" s="11">
        <f t="shared" si="1"/>
        <v>429.3</v>
      </c>
      <c r="J26" s="11">
        <f t="shared" si="1"/>
        <v>802.2</v>
      </c>
      <c r="K26" s="11">
        <f t="shared" si="1"/>
        <v>347</v>
      </c>
      <c r="L26" s="11">
        <f t="shared" si="1"/>
        <v>802.2</v>
      </c>
      <c r="M26" s="11">
        <f t="shared" si="1"/>
        <v>0</v>
      </c>
      <c r="N26" s="11">
        <f t="shared" si="1"/>
        <v>0</v>
      </c>
      <c r="O26" s="10"/>
      <c r="P26" s="10"/>
    </row>
    <row r="27" spans="1:16">
      <c r="H27" s="12"/>
      <c r="I27" s="12"/>
      <c r="J27" s="12"/>
      <c r="K27" s="12"/>
      <c r="L27" s="12"/>
      <c r="M27" s="12"/>
      <c r="N27" s="12"/>
    </row>
    <row r="28" spans="1:16">
      <c r="H28" s="12"/>
      <c r="I28" s="12"/>
      <c r="J28" s="12"/>
      <c r="K28" s="12"/>
      <c r="L28" s="12"/>
      <c r="M28" s="12"/>
      <c r="N28" s="12"/>
    </row>
    <row r="29" spans="1:16">
      <c r="H29" s="12"/>
      <c r="I29" s="12"/>
      <c r="J29" s="12"/>
      <c r="K29" s="12"/>
      <c r="L29" s="12"/>
      <c r="M29" s="12"/>
      <c r="N29" s="12"/>
    </row>
  </sheetData>
  <autoFilter xmlns:etc="http://www.wps.cn/officeDocument/2017/etCustomData" ref="A1:P2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1.21</vt:lpstr>
      <vt:lpstr>1.22</vt:lpstr>
      <vt:lpstr>1.25</vt:lpstr>
      <vt:lpstr>1.26</vt:lpstr>
      <vt:lpstr>1.27</vt:lpstr>
      <vt:lpstr>1.28</vt:lpstr>
      <vt:lpstr>1.21-2.1</vt:lpstr>
      <vt:lpstr>2.2</vt:lpstr>
      <vt:lpstr>2.3</vt:lpstr>
      <vt:lpstr>2.4</vt:lpstr>
      <vt:lpstr>2.5</vt:lpstr>
      <vt:lpstr>2.6</vt:lpstr>
      <vt:lpstr>2.7-2.8</vt:lpstr>
      <vt:lpstr>2.9</vt:lpstr>
      <vt:lpstr>2.12-2.13</vt:lpstr>
      <vt:lpstr>2.14-2.20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2026-02-24T07:46:40Z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true</vt:bool>
  </property>
  <property fmtid="{D5CDD505-2E9C-101B-9397-08002B2CF9AE}" pid="4" name="ICV">
    <vt:lpwstr>5EF7750D0BED44FEB27D4DCB07BE02AA_12</vt:lpwstr>
  </property>
  <property fmtid="{D5CDD505-2E9C-101B-9397-08002B2CF9AE}" pid="5" name="CalculationRule">
    <vt:i4>0</vt:i4>
  </property>
</Properties>
</file>