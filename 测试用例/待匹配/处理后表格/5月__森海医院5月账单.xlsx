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tabRatio="866" firstSheet="2" activeTab="11"/>
  </bookViews>
  <sheets>
    <sheet name="耳鼻喉" sheetId="1" r:id="rId1"/>
    <sheet name="妇科" sheetId="2" r:id="rId2"/>
    <sheet name="急诊" sheetId="3" r:id="rId3"/>
    <sheet name="口腔科" sheetId="4" r:id="rId4"/>
    <sheet name="内科" sheetId="5" r:id="rId5"/>
    <sheet name="手术室" sheetId="6" r:id="rId6"/>
    <sheet name="外科" sheetId="7" r:id="rId7"/>
    <sheet name="眼科" sheetId="8" r:id="rId8"/>
    <sheet name="外来器械" sheetId="10" r:id="rId9"/>
    <sheet name="外来器械加急" sheetId="11" r:id="rId10"/>
    <sheet name="加急" sheetId="12" r:id="rId11"/>
    <sheet name="费用调整" sheetId="13" r:id="rId12"/>
  </sheets>
  <definedNames>
    <definedName name="_xlnm._FilterDatabase" localSheetId="0" hidden="1">耳鼻喉!$A$9:$K$35</definedName>
    <definedName name="_xlnm._FilterDatabase" localSheetId="1" hidden="1">妇科!$A$7:$K$29</definedName>
    <definedName name="_xlnm._FilterDatabase" localSheetId="2" hidden="1">急诊!$A$7:$K$43</definedName>
    <definedName name="_xlnm._FilterDatabase" localSheetId="3" hidden="1">口腔科!$A$7:$K$117</definedName>
    <definedName name="_xlnm._FilterDatabase" localSheetId="4" hidden="1">内科!$A$7:$K$20</definedName>
    <definedName name="_xlnm._FilterDatabase" localSheetId="5" hidden="1">手术室!$A$7:$K$213</definedName>
    <definedName name="_xlnm._FilterDatabase" localSheetId="7" hidden="1">眼科!$A$7:$K$44</definedName>
    <definedName name="_xlnm.Print_Titles" localSheetId="0">耳鼻喉!$1:$6</definedName>
    <definedName name="_xlnm.Print_Titles" localSheetId="1">妇科!$1:$6</definedName>
    <definedName name="_xlnm.Print_Titles" localSheetId="2">急诊!$1:$6</definedName>
    <definedName name="_xlnm.Print_Titles" localSheetId="3">口腔科!$1:$6</definedName>
    <definedName name="_xlnm.Print_Titles" localSheetId="4">内科!$1:$6</definedName>
    <definedName name="_xlnm.Print_Titles" localSheetId="5">手术室!$1:$6</definedName>
    <definedName name="_xlnm.Print_Titles" localSheetId="6">外科!$1:$6</definedName>
    <definedName name="_xlnm.Print_Titles" localSheetId="7">眼科!$1:$6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<sst xmlns="http://schemas.openxmlformats.org/spreadsheetml/2006/main" count="1313" uniqueCount="244">
  <si>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</si>
  <si>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</si>
  <si>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</si>
  <si>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哈尔滨森海医院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</si>
  <si>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</si>
  <si>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</si>
  <si>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</si>
  <si>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</si>
  <si>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</si>
  <si>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</si>
  <si>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</si>
  <si>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</si>
  <si>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耳鼻喉</t>
  </si>
  <si>
    <t>额外包(纸塑袋)</t>
  </si>
  <si>
    <t>镊子-1/z7530</t>
  </si>
  <si>
    <t>压舌板-1/Z7526</t>
  </si>
  <si>
    <t>止血钳-1/Z1029</t>
  </si>
  <si>
    <t>钓鱼钳-1/Z2032</t>
  </si>
  <si>
    <t>卷棉子-1/z7526</t>
  </si>
  <si>
    <t>额外包(低温等离子)</t>
  </si>
  <si>
    <t>70°镜头-1/双/Z1550</t>
  </si>
  <si>
    <t>90°镜头-1/Z2060</t>
  </si>
  <si>
    <t>妇科</t>
  </si>
  <si>
    <t>器械包(ZSD)</t>
  </si>
  <si>
    <t>人流包</t>
  </si>
  <si>
    <t>敷料包(纸塑袋)</t>
  </si>
  <si>
    <t>纱布/Z1526</t>
  </si>
  <si>
    <t>病理钳（低温）-1/Z2030</t>
  </si>
  <si>
    <t>剪刀-1/z2060</t>
  </si>
  <si>
    <t>水管-1（低温）/Z3040</t>
  </si>
  <si>
    <t>器械包(低温等离子)</t>
  </si>
  <si>
    <t>宫腔镜-4件/W12050</t>
  </si>
  <si>
    <t>环包</t>
  </si>
  <si>
    <t>扩棒-1/z7526</t>
  </si>
  <si>
    <t>上环器-1/Z1535</t>
  </si>
  <si>
    <t>人流包（大）</t>
  </si>
  <si>
    <t>卵圆钳-1/Z1526</t>
  </si>
  <si>
    <t>额外包(无纺布)</t>
  </si>
  <si>
    <t>私密包-12件/W7050</t>
  </si>
  <si>
    <t>急诊</t>
  </si>
  <si>
    <t>拆线剪1直镊1钩镊1/Z1026</t>
  </si>
  <si>
    <t>持针器-1/Z1026</t>
  </si>
  <si>
    <t>急诊大缝合</t>
  </si>
  <si>
    <t>急诊小缝合</t>
  </si>
  <si>
    <t>静脉切开包</t>
  </si>
  <si>
    <t>喉镜-1/Z1026</t>
  </si>
  <si>
    <t>剪刀-1/Z1026</t>
  </si>
  <si>
    <t>刮勺-1/Z7530</t>
  </si>
  <si>
    <t>克氏钳-1/z1029</t>
  </si>
  <si>
    <t>钩镊-1/Z7526</t>
  </si>
  <si>
    <t>静切包</t>
  </si>
  <si>
    <t>口腔科</t>
  </si>
  <si>
    <t>车针-8/z7520</t>
  </si>
  <si>
    <t>尺子-1/Z7526</t>
  </si>
  <si>
    <t>充填器1/z7530</t>
  </si>
  <si>
    <t>唇钩-1/Z7520</t>
  </si>
  <si>
    <t>刀柄-1/Z7526</t>
  </si>
  <si>
    <t>洁牙机-2件/Z7526</t>
  </si>
  <si>
    <t>洁牙机-3件/Z7526</t>
  </si>
  <si>
    <t>口镜-1/保/Z7526</t>
  </si>
  <si>
    <t>三枪头-1/Z7526</t>
  </si>
  <si>
    <t>手机-1/Z7526</t>
  </si>
  <si>
    <t>探针-1/Z7520</t>
  </si>
  <si>
    <t>针柄-1/Z7526</t>
  </si>
  <si>
    <t>拔牙钳-1/Z1029</t>
  </si>
  <si>
    <t>拔牙挺-1/Z7526</t>
  </si>
  <si>
    <t>车针-19/z7520</t>
  </si>
  <si>
    <t>挖匙-1/Z7526</t>
  </si>
  <si>
    <t>车针-31/z7520</t>
  </si>
  <si>
    <t>车针-4/Z7520</t>
  </si>
  <si>
    <t>骨凿-1/z7526</t>
  </si>
  <si>
    <t>洁牙机钥匙-2/Z7526</t>
  </si>
  <si>
    <t>车针-3/Z7520</t>
  </si>
  <si>
    <t>光敏刀-1/Z7530</t>
  </si>
  <si>
    <t>车针-10/z7520</t>
  </si>
  <si>
    <t>车针-7/z7520</t>
  </si>
  <si>
    <t>内科</t>
  </si>
  <si>
    <t>面罩-1/Z2030</t>
  </si>
  <si>
    <t>滤芯-2件/Z2030</t>
  </si>
  <si>
    <t>手术室</t>
  </si>
  <si>
    <t>单极钩（低温）-1/Z7550</t>
  </si>
  <si>
    <t>单极线-1/Z3040</t>
  </si>
  <si>
    <t>气腹管-1（双金属头）/z3040</t>
  </si>
  <si>
    <t>气腹针-1/Z1026</t>
  </si>
  <si>
    <t>施夹钳-1/Z2060</t>
  </si>
  <si>
    <t>左弯1剪刀1无损伤1/Z2060</t>
  </si>
  <si>
    <t>单包装包(老肯低温)</t>
  </si>
  <si>
    <t>30°腹腔镜镜头 -1/z2060</t>
  </si>
  <si>
    <t>30度镜头-1（盒1）/Z2060</t>
  </si>
  <si>
    <t>器械包</t>
  </si>
  <si>
    <t>缝合包</t>
  </si>
  <si>
    <t>腹腔镜器械包</t>
  </si>
  <si>
    <t>胸科包</t>
  </si>
  <si>
    <t>肺叶钳-2/Z1526</t>
  </si>
  <si>
    <t>皮钩（长）-2/z1026</t>
  </si>
  <si>
    <t>弯盘-1/z2032</t>
  </si>
  <si>
    <t>中弯-4/Z1526</t>
  </si>
  <si>
    <t>持物钳罐-3/W6050</t>
  </si>
  <si>
    <t>骨凿-1/W6050</t>
  </si>
  <si>
    <t>骨科基础器械包</t>
  </si>
  <si>
    <t>阑尾包</t>
  </si>
  <si>
    <t>驱血带（高温）-1/Z2025</t>
  </si>
  <si>
    <t>剥离子-1/W6050</t>
  </si>
  <si>
    <t>盆-1/W7050</t>
  </si>
  <si>
    <t>小S拉钩-2件/W6050</t>
  </si>
  <si>
    <t>咬骨钳-1/W6050</t>
  </si>
  <si>
    <t>眼规-1/Z1026</t>
  </si>
  <si>
    <t>甲状腺包</t>
  </si>
  <si>
    <t>肛周包</t>
  </si>
  <si>
    <t>1.0克氏针-2/z7537</t>
  </si>
  <si>
    <t>1.8克氏针-2/z7537</t>
  </si>
  <si>
    <t>肛门镜-2/Z2032</t>
  </si>
  <si>
    <t>巾钳子-2/Z1530</t>
  </si>
  <si>
    <t>探针-1/z7537</t>
  </si>
  <si>
    <t>凿子-1/Z7530</t>
  </si>
  <si>
    <t>大S拉钩-2件/W9050</t>
  </si>
  <si>
    <t>电钻-3件/W6050</t>
  </si>
  <si>
    <t>0°膀胱镜-1/Z2060</t>
  </si>
  <si>
    <t>无损伤-1/z2060</t>
  </si>
  <si>
    <t>腔镜纱/Z1020</t>
  </si>
  <si>
    <t>断钉取出器械</t>
  </si>
  <si>
    <t>骨科临时绑定器械包</t>
  </si>
  <si>
    <t>钛缆工具-8件（筐1）</t>
  </si>
  <si>
    <t>起子-6件/W6050</t>
  </si>
  <si>
    <t>S拉钩-2件/W9050</t>
  </si>
  <si>
    <t>蚊式-10件/w6050</t>
  </si>
  <si>
    <t>牙钳-2件/Z1526</t>
  </si>
  <si>
    <t>开腹包</t>
  </si>
  <si>
    <t>骨科租赁器械包-带植入物</t>
  </si>
  <si>
    <t>上肢锁定器械1/2</t>
  </si>
  <si>
    <t>上肢锁定器械2/2</t>
  </si>
  <si>
    <t>换药碗-1/z2032</t>
  </si>
  <si>
    <t>抓钩-2/z1535</t>
  </si>
  <si>
    <t>骨凿（小）-6件/W6050</t>
  </si>
  <si>
    <t>持夹钳-1/z2060</t>
  </si>
  <si>
    <t>电凝钩-1/Z7550</t>
  </si>
  <si>
    <t>甲状腺（一）</t>
  </si>
  <si>
    <t>开胸器-2件（筐1）/w12050</t>
  </si>
  <si>
    <t>宫腔镜基础器械包（一）</t>
  </si>
  <si>
    <t>2.5克氏针-4件/z7534</t>
  </si>
  <si>
    <t>开利-2/Z1029</t>
  </si>
  <si>
    <t>扩棒-5件/Z1026</t>
  </si>
  <si>
    <t>阴道拉钩-2/W6050</t>
  </si>
  <si>
    <t>持针器-1/z1560</t>
  </si>
  <si>
    <t>灯柄-1/z2040</t>
  </si>
  <si>
    <t>举宫杯器械-10件（框1）/W1205060</t>
  </si>
  <si>
    <t>双极-1/z2060</t>
  </si>
  <si>
    <t>双极线-1/Z3040</t>
  </si>
  <si>
    <t>吸引器-1/z1560</t>
  </si>
  <si>
    <t>外科</t>
  </si>
  <si>
    <t>剪刀-1/Z1029</t>
  </si>
  <si>
    <t>肋间包</t>
  </si>
  <si>
    <t>眼科</t>
  </si>
  <si>
    <t>睑板腺镊-1/z7526</t>
  </si>
  <si>
    <t>镊子缸-2件/z2044</t>
  </si>
  <si>
    <t>敷料包(无纺布包)</t>
  </si>
  <si>
    <t>纱布/z2032</t>
  </si>
  <si>
    <t>霰粒肿包</t>
  </si>
  <si>
    <t>眼科钩镊-1/Z7526</t>
  </si>
  <si>
    <t>眼科剪刀-1/Z1026</t>
  </si>
  <si>
    <t>眼科平镊-1/Z7526</t>
  </si>
  <si>
    <t>泪道探针（9号）-1/Z7520</t>
  </si>
  <si>
    <t>泪点扩张器-1/Z7520</t>
  </si>
  <si>
    <t>外眼包</t>
  </si>
  <si>
    <t>孔巾/Z2032</t>
  </si>
  <si>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</si>
  <si>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</si>
  <si>
    <t>基本类型</t>
  </si>
  <si>
    <t>包编号</t>
  </si>
  <si>
    <t>包数量</t>
  </si>
  <si>
    <t>合计</t>
  </si>
  <si>
    <t>齐齐哈尔宜峰商贸有限责任公司</t>
  </si>
  <si>
    <t>骨科租赁器械包</t>
  </si>
  <si>
    <t>骨科租赁器械包-不带植入物</t>
  </si>
  <si>
    <t>全髋器械  2/6</t>
  </si>
  <si>
    <t>全髋器械  3/6</t>
  </si>
  <si>
    <t>全髋器械  4/6</t>
  </si>
  <si>
    <t>全髋器械  5/6</t>
  </si>
  <si>
    <t>全髋器械  6/6</t>
  </si>
  <si>
    <t>股骨近端器械  1/2</t>
  </si>
  <si>
    <t>股骨近端器械  2/2</t>
  </si>
  <si>
    <t>全髋器械  1/6</t>
  </si>
  <si>
    <t>哈尔滨森海医院2026年5月加急灭菌费8893.13元，加急物流费合计1200元，总计金额10093.13元。</t>
  </si>
  <si>
    <t>哈尔滨森海医院2026年5月5日加急灭菌费1014+1014*25%=1267.5元，加急物流费150元，合计金额1417.5元。</t>
  </si>
  <si>
    <r>
      <rPr>
        <sz val="10"/>
        <color rgb="FF000000"/>
        <rFont val="宋体"/>
        <charset val="134"/>
      </rPr>
      <t>冯洪云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膝关节退行性病变</t>
    </r>
    <r>
      <rPr>
        <sz val="10"/>
        <color rgb="FF000000"/>
        <rFont val="Droid Sans Fallback"/>
        <charset val="134"/>
      </rPr>
      <t xml:space="preserve">  1/5</t>
    </r>
  </si>
  <si>
    <r>
      <rPr>
        <sz val="10"/>
        <color rgb="FF000000"/>
        <rFont val="宋体"/>
        <charset val="134"/>
      </rPr>
      <t>冯洪云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膝关节退行性病变</t>
    </r>
    <r>
      <rPr>
        <sz val="10"/>
        <color rgb="FF000000"/>
        <rFont val="Droid Sans Fallback"/>
        <charset val="134"/>
      </rPr>
      <t xml:space="preserve">  2/5</t>
    </r>
  </si>
  <si>
    <r>
      <rPr>
        <sz val="10"/>
        <color rgb="FF000000"/>
        <rFont val="宋体"/>
        <charset val="134"/>
      </rPr>
      <t>冯洪云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膝关节退行性病变</t>
    </r>
    <r>
      <rPr>
        <sz val="10"/>
        <color rgb="FF000000"/>
        <rFont val="Droid Sans Fallback"/>
        <charset val="134"/>
      </rPr>
      <t xml:space="preserve">  4/5</t>
    </r>
  </si>
  <si>
    <r>
      <rPr>
        <sz val="10"/>
        <color rgb="FF000000"/>
        <rFont val="宋体"/>
        <charset val="134"/>
      </rPr>
      <t>冯洪云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膝关节退行性病变</t>
    </r>
    <r>
      <rPr>
        <sz val="10"/>
        <color rgb="FF000000"/>
        <rFont val="Droid Sans Fallback"/>
        <charset val="134"/>
      </rPr>
      <t xml:space="preserve">  5/5</t>
    </r>
  </si>
  <si>
    <r>
      <rPr>
        <sz val="10"/>
        <color rgb="FF000000"/>
        <rFont val="宋体"/>
        <charset val="134"/>
      </rPr>
      <t>冯洪云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膝关节退行性病变</t>
    </r>
    <r>
      <rPr>
        <sz val="10"/>
        <color rgb="FF000000"/>
        <rFont val="Droid Sans Fallback"/>
        <charset val="134"/>
      </rPr>
      <t xml:space="preserve">  3/5</t>
    </r>
  </si>
  <si>
    <t>哈尔滨森海医院2026年5月8日加急灭菌费634.5+634.5*25%=793.13元，加急物流费150元，合计金额943.13元。</t>
  </si>
  <si>
    <r>
      <rPr>
        <sz val="10"/>
        <color rgb="FF000000"/>
        <rFont val="宋体"/>
        <charset val="134"/>
      </rPr>
      <t>许春龙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股骨头无菌性坏死</t>
    </r>
    <r>
      <rPr>
        <sz val="10"/>
        <color rgb="FF000000"/>
        <rFont val="Droid Sans Fallback"/>
        <charset val="134"/>
      </rPr>
      <t>1/3</t>
    </r>
  </si>
  <si>
    <r>
      <rPr>
        <sz val="10"/>
        <color rgb="FF000000"/>
        <rFont val="宋体"/>
        <charset val="134"/>
      </rPr>
      <t>许春龙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股骨头无菌性坏死</t>
    </r>
    <r>
      <rPr>
        <sz val="10"/>
        <color rgb="FF000000"/>
        <rFont val="Droid Sans Fallback"/>
        <charset val="134"/>
      </rPr>
      <t>2/3</t>
    </r>
  </si>
  <si>
    <r>
      <rPr>
        <sz val="10"/>
        <color rgb="FF000000"/>
        <rFont val="宋体"/>
        <charset val="134"/>
      </rPr>
      <t>许春龙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股骨头无菌性坏死</t>
    </r>
    <r>
      <rPr>
        <sz val="10"/>
        <color rgb="FF000000"/>
        <rFont val="Droid Sans Fallback"/>
        <charset val="134"/>
      </rPr>
      <t>3/3</t>
    </r>
  </si>
  <si>
    <t>哈尔滨森海医院2026年5月13日加急灭菌费1107.5+1107.5*25%=1384.38元，加急物流费150元，合计金额1534.38元。</t>
  </si>
  <si>
    <r>
      <rPr>
        <sz val="10"/>
        <color rgb="FF000000"/>
        <rFont val="宋体"/>
        <charset val="134"/>
      </rPr>
      <t>刘淑彦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腰椎间盘突出</t>
    </r>
    <r>
      <rPr>
        <sz val="10"/>
        <color rgb="FF000000"/>
        <rFont val="Droid Sans Fallback"/>
        <charset val="134"/>
      </rPr>
      <t xml:space="preserve">  2/6</t>
    </r>
  </si>
  <si>
    <r>
      <rPr>
        <sz val="10"/>
        <color rgb="FF000000"/>
        <rFont val="宋体"/>
        <charset val="134"/>
      </rPr>
      <t>刘淑彦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腰椎间盘突出</t>
    </r>
    <r>
      <rPr>
        <sz val="10"/>
        <color rgb="FF000000"/>
        <rFont val="Droid Sans Fallback"/>
        <charset val="134"/>
      </rPr>
      <t xml:space="preserve">  3/6</t>
    </r>
  </si>
  <si>
    <r>
      <rPr>
        <sz val="10"/>
        <color rgb="FF000000"/>
        <rFont val="宋体"/>
        <charset val="134"/>
      </rPr>
      <t>刘淑彦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腰椎间盘突出</t>
    </r>
    <r>
      <rPr>
        <sz val="10"/>
        <color rgb="FF000000"/>
        <rFont val="Droid Sans Fallback"/>
        <charset val="134"/>
      </rPr>
      <t xml:space="preserve">  4/6</t>
    </r>
  </si>
  <si>
    <r>
      <rPr>
        <sz val="10"/>
        <color rgb="FF000000"/>
        <rFont val="宋体"/>
        <charset val="134"/>
      </rPr>
      <t>刘淑彦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腰椎间盘突出</t>
    </r>
    <r>
      <rPr>
        <sz val="10"/>
        <color rgb="FF000000"/>
        <rFont val="Droid Sans Fallback"/>
        <charset val="134"/>
      </rPr>
      <t xml:space="preserve">  5/6</t>
    </r>
  </si>
  <si>
    <r>
      <rPr>
        <sz val="10"/>
        <color rgb="FF000000"/>
        <rFont val="宋体"/>
        <charset val="134"/>
      </rPr>
      <t>刘淑彦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腰椎间盘突出</t>
    </r>
    <r>
      <rPr>
        <sz val="10"/>
        <color rgb="FF000000"/>
        <rFont val="Droid Sans Fallback"/>
        <charset val="134"/>
      </rPr>
      <t xml:space="preserve">  6/6</t>
    </r>
  </si>
  <si>
    <r>
      <rPr>
        <sz val="10"/>
        <color rgb="FF000000"/>
        <rFont val="宋体"/>
        <charset val="134"/>
      </rPr>
      <t>刘淑彦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腰椎间盘突出</t>
    </r>
    <r>
      <rPr>
        <sz val="10"/>
        <color rgb="FF000000"/>
        <rFont val="Droid Sans Fallback"/>
        <charset val="134"/>
      </rPr>
      <t xml:space="preserve">  1/6</t>
    </r>
  </si>
  <si>
    <t>哈尔滨森海医院2026年5月15日加急灭菌费1470.5+1470.5*25%=1838.13元，加急物流费150元，合计金额1988.13元。</t>
  </si>
  <si>
    <r>
      <rPr>
        <sz val="10"/>
        <rFont val="宋体"/>
        <charset val="134"/>
      </rPr>
      <t>李凤琴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股骨粗隆间骨折（亚华）</t>
    </r>
    <r>
      <rPr>
        <sz val="10"/>
        <rFont val="Droid Sans Fallback"/>
        <charset val="134"/>
      </rPr>
      <t xml:space="preserve">  1/5</t>
    </r>
  </si>
  <si>
    <r>
      <rPr>
        <sz val="10"/>
        <rFont val="宋体"/>
        <charset val="134"/>
      </rPr>
      <t>李凤琴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股骨粗隆间骨折（亚华）</t>
    </r>
    <r>
      <rPr>
        <sz val="10"/>
        <rFont val="Droid Sans Fallback"/>
        <charset val="134"/>
      </rPr>
      <t xml:space="preserve">  2/5</t>
    </r>
  </si>
  <si>
    <r>
      <rPr>
        <sz val="10"/>
        <rFont val="宋体"/>
        <charset val="134"/>
      </rPr>
      <t>李凤琴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股骨粗隆间骨折（亚华）</t>
    </r>
    <r>
      <rPr>
        <sz val="10"/>
        <rFont val="Droid Sans Fallback"/>
        <charset val="134"/>
      </rPr>
      <t xml:space="preserve">  3/5</t>
    </r>
  </si>
  <si>
    <r>
      <rPr>
        <sz val="10"/>
        <rFont val="宋体"/>
        <charset val="134"/>
      </rPr>
      <t>李凤琴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股骨粗隆间骨折（亚华）</t>
    </r>
    <r>
      <rPr>
        <sz val="10"/>
        <rFont val="Droid Sans Fallback"/>
        <charset val="134"/>
      </rPr>
      <t xml:space="preserve">  4/5</t>
    </r>
  </si>
  <si>
    <r>
      <rPr>
        <sz val="10"/>
        <rFont val="宋体"/>
        <charset val="134"/>
      </rPr>
      <t>李凤琴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股骨粗隆间骨折（亚华）</t>
    </r>
    <r>
      <rPr>
        <sz val="10"/>
        <rFont val="Droid Sans Fallback"/>
        <charset val="134"/>
      </rPr>
      <t xml:space="preserve">  5/5</t>
    </r>
  </si>
  <si>
    <r>
      <rPr>
        <sz val="10"/>
        <rFont val="宋体"/>
        <charset val="134"/>
      </rPr>
      <t>刘国语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股骨颈骨折（金约应）</t>
    </r>
    <r>
      <rPr>
        <sz val="10"/>
        <rFont val="Droid Sans Fallback"/>
        <charset val="134"/>
      </rPr>
      <t xml:space="preserve">  4/4</t>
    </r>
  </si>
  <si>
    <r>
      <rPr>
        <sz val="10"/>
        <rFont val="宋体"/>
        <charset val="134"/>
      </rPr>
      <t>刘国语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股骨颈骨折（金约应）</t>
    </r>
    <r>
      <rPr>
        <sz val="10"/>
        <rFont val="Droid Sans Fallback"/>
        <charset val="134"/>
      </rPr>
      <t xml:space="preserve">  1/4</t>
    </r>
  </si>
  <si>
    <r>
      <rPr>
        <sz val="10"/>
        <rFont val="宋体"/>
        <charset val="134"/>
      </rPr>
      <t>刘国语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股骨颈骨折（金约应）</t>
    </r>
    <r>
      <rPr>
        <sz val="10"/>
        <rFont val="Droid Sans Fallback"/>
        <charset val="134"/>
      </rPr>
      <t xml:space="preserve">  3/4</t>
    </r>
  </si>
  <si>
    <r>
      <rPr>
        <sz val="10"/>
        <rFont val="宋体"/>
        <charset val="134"/>
      </rPr>
      <t>刘国语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股骨颈骨折（金约应）</t>
    </r>
    <r>
      <rPr>
        <sz val="10"/>
        <rFont val="Droid Sans Fallback"/>
        <charset val="134"/>
      </rPr>
      <t xml:space="preserve">  2/4</t>
    </r>
  </si>
  <si>
    <t>哈尔滨森海医院2026年5月17日加急灭菌费737+737*25%=921.25元，加急物流费150元，合计金额1071.25元。</t>
  </si>
  <si>
    <r>
      <rPr>
        <sz val="10"/>
        <color rgb="FF000000"/>
        <rFont val="宋体"/>
        <charset val="134"/>
      </rPr>
      <t>吴连华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膝关节退行性病变</t>
    </r>
    <r>
      <rPr>
        <sz val="10"/>
        <color rgb="FF000000"/>
        <rFont val="Droid Sans Fallback"/>
        <charset val="134"/>
      </rPr>
      <t>1/6</t>
    </r>
  </si>
  <si>
    <r>
      <rPr>
        <sz val="10"/>
        <color rgb="FF000000"/>
        <rFont val="宋体"/>
        <charset val="134"/>
      </rPr>
      <t>吴连华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膝关节退行性病变</t>
    </r>
    <r>
      <rPr>
        <sz val="10"/>
        <color rgb="FF000000"/>
        <rFont val="Droid Sans Fallback"/>
        <charset val="134"/>
      </rPr>
      <t>2/6</t>
    </r>
  </si>
  <si>
    <r>
      <rPr>
        <sz val="10"/>
        <color rgb="FF000000"/>
        <rFont val="宋体"/>
        <charset val="134"/>
      </rPr>
      <t>吴连华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膝关节退行性病变</t>
    </r>
    <r>
      <rPr>
        <sz val="10"/>
        <color rgb="FF000000"/>
        <rFont val="Droid Sans Fallback"/>
        <charset val="134"/>
      </rPr>
      <t>3/6</t>
    </r>
  </si>
  <si>
    <r>
      <rPr>
        <sz val="10"/>
        <color rgb="FF000000"/>
        <rFont val="宋体"/>
        <charset val="134"/>
      </rPr>
      <t>吴连华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膝关节退行性病变</t>
    </r>
    <r>
      <rPr>
        <sz val="10"/>
        <color rgb="FF000000"/>
        <rFont val="Droid Sans Fallback"/>
        <charset val="134"/>
      </rPr>
      <t>4/6</t>
    </r>
  </si>
  <si>
    <r>
      <rPr>
        <sz val="10"/>
        <color rgb="FF000000"/>
        <rFont val="宋体"/>
        <charset val="134"/>
      </rPr>
      <t>吴连华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膝关节退行性病变</t>
    </r>
    <r>
      <rPr>
        <sz val="10"/>
        <color rgb="FF000000"/>
        <rFont val="Droid Sans Fallback"/>
        <charset val="134"/>
      </rPr>
      <t>5/6</t>
    </r>
  </si>
  <si>
    <r>
      <rPr>
        <sz val="10"/>
        <color rgb="FF000000"/>
        <rFont val="宋体"/>
        <charset val="134"/>
      </rPr>
      <t>吴连华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膝关节退行性病变</t>
    </r>
    <r>
      <rPr>
        <sz val="10"/>
        <color rgb="FF000000"/>
        <rFont val="Droid Sans Fallback"/>
        <charset val="134"/>
      </rPr>
      <t>6/6</t>
    </r>
  </si>
  <si>
    <t>哈尔滨森海医院2026年5月22日加急灭菌费623.5+623.5*25%=779.38元，加急物流费150元，合计金额929.38元。</t>
  </si>
  <si>
    <r>
      <rPr>
        <sz val="10"/>
        <color rgb="FF000000"/>
        <rFont val="宋体"/>
        <charset val="134"/>
      </rPr>
      <t>王林新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股骨头缺血性坏死</t>
    </r>
    <r>
      <rPr>
        <sz val="10"/>
        <color rgb="FF000000"/>
        <rFont val="Droid Sans Fallback"/>
        <charset val="134"/>
      </rPr>
      <t>1/3</t>
    </r>
  </si>
  <si>
    <r>
      <rPr>
        <sz val="10"/>
        <color rgb="FF000000"/>
        <rFont val="宋体"/>
        <charset val="134"/>
      </rPr>
      <t>王林新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股骨头缺血性坏死</t>
    </r>
    <r>
      <rPr>
        <sz val="10"/>
        <color rgb="FF000000"/>
        <rFont val="Droid Sans Fallback"/>
        <charset val="134"/>
      </rPr>
      <t>2/3</t>
    </r>
  </si>
  <si>
    <r>
      <rPr>
        <sz val="10"/>
        <color rgb="FF000000"/>
        <rFont val="宋体"/>
        <charset val="134"/>
      </rPr>
      <t>王林新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股骨头缺血性坏死</t>
    </r>
    <r>
      <rPr>
        <sz val="10"/>
        <color rgb="FF000000"/>
        <rFont val="Droid Sans Fallback"/>
        <charset val="134"/>
      </rPr>
      <t>3/3</t>
    </r>
  </si>
  <si>
    <t>哈尔滨森海医院2026年5月26日加急灭菌费893+893*25%=1116.25元，加急物流费150元，合计金额1266.25元。</t>
  </si>
  <si>
    <r>
      <rPr>
        <sz val="10"/>
        <color rgb="FF000000"/>
        <rFont val="宋体"/>
        <charset val="134"/>
      </rPr>
      <t>沈忠辉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腰椎结核</t>
    </r>
    <r>
      <rPr>
        <sz val="10"/>
        <color rgb="FF000000"/>
        <rFont val="Droid Sans Fallback"/>
        <charset val="134"/>
      </rPr>
      <t>1/5</t>
    </r>
  </si>
  <si>
    <r>
      <rPr>
        <sz val="10"/>
        <color rgb="FF000000"/>
        <rFont val="宋体"/>
        <charset val="134"/>
      </rPr>
      <t>沈忠辉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腰椎结核</t>
    </r>
    <r>
      <rPr>
        <sz val="10"/>
        <color rgb="FF000000"/>
        <rFont val="Droid Sans Fallback"/>
        <charset val="134"/>
      </rPr>
      <t>2/5</t>
    </r>
  </si>
  <si>
    <r>
      <rPr>
        <sz val="10"/>
        <color rgb="FF000000"/>
        <rFont val="宋体"/>
        <charset val="134"/>
      </rPr>
      <t>沈忠辉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腰椎结核</t>
    </r>
    <r>
      <rPr>
        <sz val="10"/>
        <color rgb="FF000000"/>
        <rFont val="Droid Sans Fallback"/>
        <charset val="134"/>
      </rPr>
      <t>3/5</t>
    </r>
  </si>
  <si>
    <r>
      <rPr>
        <sz val="10"/>
        <color rgb="FF000000"/>
        <rFont val="宋体"/>
        <charset val="134"/>
      </rPr>
      <t>沈忠辉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腰椎结核</t>
    </r>
    <r>
      <rPr>
        <sz val="10"/>
        <color rgb="FF000000"/>
        <rFont val="Droid Sans Fallback"/>
        <charset val="134"/>
      </rPr>
      <t>4/5</t>
    </r>
  </si>
  <si>
    <r>
      <rPr>
        <sz val="10"/>
        <color rgb="FF000000"/>
        <rFont val="宋体"/>
        <charset val="134"/>
      </rPr>
      <t>沈忠辉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腰椎结核</t>
    </r>
    <r>
      <rPr>
        <sz val="10"/>
        <color rgb="FF000000"/>
        <rFont val="Droid Sans Fallback"/>
        <charset val="134"/>
      </rPr>
      <t>5/5</t>
    </r>
  </si>
  <si>
    <t>哈尔滨森海医院2026年5月28日加急灭菌费634.5+634.5*25%=793.13元，加急物流费150元，合计金额943.13元。</t>
  </si>
  <si>
    <r>
      <rPr>
        <sz val="10"/>
        <color rgb="FF000000"/>
        <rFont val="宋体"/>
        <charset val="134"/>
      </rPr>
      <t>刘成海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股骨头缺血性坏死</t>
    </r>
    <r>
      <rPr>
        <sz val="10"/>
        <color rgb="FF000000"/>
        <rFont val="Droid Sans Fallback"/>
        <charset val="134"/>
      </rPr>
      <t xml:space="preserve">  1/3</t>
    </r>
  </si>
  <si>
    <r>
      <rPr>
        <sz val="10"/>
        <color rgb="FF000000"/>
        <rFont val="宋体"/>
        <charset val="134"/>
      </rPr>
      <t>刘成海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股骨头缺血性坏死</t>
    </r>
    <r>
      <rPr>
        <sz val="10"/>
        <color rgb="FF000000"/>
        <rFont val="Droid Sans Fallback"/>
        <charset val="134"/>
      </rPr>
      <t xml:space="preserve">  2/3</t>
    </r>
  </si>
  <si>
    <r>
      <rPr>
        <sz val="10"/>
        <color rgb="FF000000"/>
        <rFont val="宋体"/>
        <charset val="134"/>
      </rPr>
      <t>刘成海</t>
    </r>
    <r>
      <rPr>
        <sz val="10"/>
        <color rgb="FF000000"/>
        <rFont val="Droid Sans Fallback"/>
        <charset val="134"/>
      </rPr>
      <t>-</t>
    </r>
    <r>
      <rPr>
        <sz val="10"/>
        <color rgb="FF000000"/>
        <rFont val="宋体"/>
        <charset val="134"/>
      </rPr>
      <t>股骨头缺血性坏死</t>
    </r>
    <r>
      <rPr>
        <sz val="10"/>
        <color rgb="FF000000"/>
        <rFont val="Droid Sans Fallback"/>
        <charset val="134"/>
      </rPr>
      <t xml:space="preserve">  3/3</t>
    </r>
  </si>
  <si>
    <t>哈尔滨森海医院2026年5月加急灭菌费48.13元，加急物流费合计150元，总计金额198.13元。</t>
  </si>
  <si>
    <t>哈尔滨森海医院2026年5月28日加急灭菌费38.5+38.5*25%=48.13元，加急物流费150元，合计金额198.13元。</t>
  </si>
  <si>
    <t>钢板-7件/W6050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</si>
  <si>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</si>
  <si>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2026/6/2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2026/6/2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</si>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</sst>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"/>
    <numFmt numFmtId="177" formatCode="[$-10804]yyyy/m/d\ h:mm:ss"/>
    <numFmt numFmtId="178" formatCode="[$-10804]yyyy/m/d"/>
    <numFmt numFmtId="179" formatCode="[$-10804]0.00;\(0.00\)"/>
    <numFmt numFmtId="180" formatCode="0.00;[Red]0.00"/>
  </numFmts>
  <fonts count="36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0"/>
      <color rgb="FF000000"/>
      <name val="宋体"/>
      <charset val="134"/>
    </font>
    <font>
      <b/>
      <sz val="12"/>
      <name val="宋体"/>
      <charset val="134"/>
      <scheme val="major"/>
    </font>
    <font>
      <b/>
      <sz val="11"/>
      <name val="宋体"/>
      <charset val="134"/>
      <scheme val="minor"/>
    </font>
    <font>
      <sz val="10"/>
      <name val="宋体"/>
      <charset val="134"/>
    </font>
    <font>
      <sz val="1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b/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5" borderId="1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14" applyNumberFormat="0" applyAlignment="0" applyProtection="0">
      <alignment vertical="center"/>
    </xf>
    <xf numFmtId="0" fontId="25" fillId="7" borderId="15" applyNumberFormat="0" applyAlignment="0" applyProtection="0">
      <alignment vertical="center"/>
    </xf>
    <xf numFmtId="0" fontId="26" fillId="7" borderId="14" applyNumberFormat="0" applyAlignment="0" applyProtection="0">
      <alignment vertical="center"/>
    </xf>
    <xf numFmtId="0" fontId="27" fillId="8" borderId="16" applyNumberFormat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5" fillId="0" borderId="0"/>
  </cellStyleXfs>
  <cellXfs count="7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2" borderId="1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4" fillId="2" borderId="1" xfId="0" applyNumberFormat="1" applyFont="1" applyFill="1" applyBorder="1" applyAlignment="1">
      <alignment vertical="top" wrapText="1" readingOrder="1"/>
    </xf>
    <xf numFmtId="176" fontId="4" fillId="2" borderId="1" xfId="0" applyNumberFormat="1" applyFont="1" applyFill="1" applyBorder="1" applyAlignment="1">
      <alignment vertical="top" wrapText="1" readingOrder="1"/>
    </xf>
    <xf numFmtId="0" fontId="4" fillId="3" borderId="1" xfId="0" applyNumberFormat="1" applyFont="1" applyFill="1" applyBorder="1" applyAlignment="1">
      <alignment vertical="top" wrapText="1" readingOrder="1"/>
    </xf>
    <xf numFmtId="0" fontId="5" fillId="3" borderId="1" xfId="0" applyNumberFormat="1" applyFont="1" applyFill="1" applyBorder="1" applyAlignment="1">
      <alignment vertical="top" wrapText="1" readingOrder="1"/>
    </xf>
    <xf numFmtId="176" fontId="4" fillId="3" borderId="1" xfId="0" applyNumberFormat="1" applyFont="1" applyFill="1" applyBorder="1" applyAlignment="1">
      <alignment vertical="top" wrapText="1" readingOrder="1"/>
    </xf>
    <xf numFmtId="0" fontId="4" fillId="4" borderId="1" xfId="0" applyNumberFormat="1" applyFont="1" applyFill="1" applyBorder="1" applyAlignment="1">
      <alignment horizontal="left" vertical="top" wrapText="1" readingOrder="1"/>
    </xf>
    <xf numFmtId="0" fontId="4" fillId="4" borderId="1" xfId="0" applyNumberFormat="1" applyFont="1" applyFill="1" applyBorder="1" applyAlignment="1">
      <alignment vertical="top" wrapText="1" readingOrder="1"/>
    </xf>
    <xf numFmtId="176" fontId="4" fillId="4" borderId="1" xfId="0" applyNumberFormat="1" applyFont="1" applyFill="1" applyBorder="1" applyAlignment="1">
      <alignment vertical="top" wrapText="1" readingOrder="1"/>
    </xf>
    <xf numFmtId="0" fontId="4" fillId="0" borderId="2" xfId="0" applyNumberFormat="1" applyFont="1" applyFill="1" applyBorder="1" applyAlignment="1">
      <alignment horizontal="left" vertical="top" wrapText="1" readingOrder="1"/>
    </xf>
    <xf numFmtId="177" fontId="4" fillId="0" borderId="2" xfId="0" applyNumberFormat="1" applyFont="1" applyFill="1" applyBorder="1" applyAlignment="1">
      <alignment horizontal="left" vertical="top" wrapText="1" readingOrder="1"/>
    </xf>
    <xf numFmtId="0" fontId="6" fillId="0" borderId="2" xfId="0" applyNumberFormat="1" applyFont="1" applyFill="1" applyBorder="1" applyAlignment="1">
      <alignment vertical="top" wrapText="1" readingOrder="1"/>
    </xf>
    <xf numFmtId="177" fontId="4" fillId="0" borderId="2" xfId="0" applyNumberFormat="1" applyFont="1" applyFill="1" applyBorder="1" applyAlignment="1">
      <alignment vertical="top" wrapText="1" readingOrder="1"/>
    </xf>
    <xf numFmtId="0" fontId="4" fillId="0" borderId="2" xfId="0" applyNumberFormat="1" applyFont="1" applyFill="1" applyBorder="1" applyAlignment="1">
      <alignment vertical="top" wrapText="1" readingOrder="1"/>
    </xf>
    <xf numFmtId="176" fontId="4" fillId="0" borderId="2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Alignment="1">
      <alignment horizontal="center" vertical="center" readingOrder="1"/>
    </xf>
    <xf numFmtId="0" fontId="8" fillId="0" borderId="0" xfId="0" applyFont="1" applyFill="1" applyAlignment="1">
      <alignment horizontal="center" vertical="center" wrapText="1"/>
    </xf>
    <xf numFmtId="0" fontId="9" fillId="0" borderId="3" xfId="0" applyNumberFormat="1" applyFont="1" applyFill="1" applyBorder="1" applyAlignment="1">
      <alignment horizontal="center" vertical="top" wrapText="1" readingOrder="1"/>
    </xf>
    <xf numFmtId="178" fontId="4" fillId="0" borderId="3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horizontal="center" vertical="top" wrapText="1" readingOrder="1"/>
    </xf>
    <xf numFmtId="179" fontId="4" fillId="0" borderId="3" xfId="0" applyNumberFormat="1" applyFont="1" applyFill="1" applyBorder="1" applyAlignment="1">
      <alignment horizontal="right" vertical="top" wrapText="1" readingOrder="1"/>
    </xf>
    <xf numFmtId="178" fontId="4" fillId="0" borderId="4" xfId="0" applyNumberFormat="1" applyFont="1" applyFill="1" applyBorder="1" applyAlignment="1">
      <alignment horizontal="center" vertical="top" wrapText="1" readingOrder="1"/>
    </xf>
    <xf numFmtId="178" fontId="4" fillId="0" borderId="5" xfId="0" applyNumberFormat="1" applyFont="1" applyFill="1" applyBorder="1" applyAlignment="1">
      <alignment horizontal="center" vertical="top" wrapText="1" readingOrder="1"/>
    </xf>
    <xf numFmtId="178" fontId="4" fillId="0" borderId="6" xfId="0" applyNumberFormat="1" applyFont="1" applyFill="1" applyBorder="1" applyAlignment="1">
      <alignment horizontal="center" vertical="top" wrapText="1" readingOrder="1"/>
    </xf>
    <xf numFmtId="178" fontId="4" fillId="0" borderId="3" xfId="49" applyNumberFormat="1" applyFont="1" applyFill="1" applyBorder="1" applyAlignment="1">
      <alignment horizontal="left" vertical="top" wrapText="1" readingOrder="1"/>
    </xf>
    <xf numFmtId="0" fontId="4" fillId="0" borderId="3" xfId="49" applyNumberFormat="1" applyFont="1" applyFill="1" applyBorder="1" applyAlignment="1">
      <alignment horizontal="left" vertical="top" wrapText="1" readingOrder="1"/>
    </xf>
    <xf numFmtId="0" fontId="6" fillId="0" borderId="3" xfId="49" applyNumberFormat="1" applyFont="1" applyFill="1" applyBorder="1" applyAlignment="1">
      <alignment horizontal="left" vertical="top" wrapText="1" readingOrder="1"/>
    </xf>
    <xf numFmtId="0" fontId="6" fillId="0" borderId="3" xfId="49" applyNumberFormat="1" applyFont="1" applyFill="1" applyBorder="1" applyAlignment="1">
      <alignment vertical="top" wrapText="1" readingOrder="1"/>
    </xf>
    <xf numFmtId="0" fontId="4" fillId="0" borderId="3" xfId="49" applyNumberFormat="1" applyFont="1" applyFill="1" applyBorder="1" applyAlignment="1">
      <alignment horizontal="center" vertical="top" wrapText="1" readingOrder="1"/>
    </xf>
    <xf numFmtId="179" fontId="4" fillId="0" borderId="3" xfId="49" applyNumberFormat="1" applyFont="1" applyFill="1" applyBorder="1" applyAlignment="1">
      <alignment vertical="top" wrapText="1" readingOrder="1"/>
    </xf>
    <xf numFmtId="180" fontId="0" fillId="0" borderId="0" xfId="0" applyNumberFormat="1" applyFont="1" applyFill="1" applyBorder="1" applyAlignment="1"/>
    <xf numFmtId="0" fontId="9" fillId="0" borderId="7" xfId="0" applyFont="1" applyFill="1" applyBorder="1" applyAlignment="1">
      <alignment horizontal="center"/>
    </xf>
    <xf numFmtId="179" fontId="4" fillId="0" borderId="3" xfId="0" applyNumberFormat="1" applyFont="1" applyFill="1" applyBorder="1" applyAlignment="1">
      <alignment vertical="top" wrapText="1" readingOrder="1"/>
    </xf>
    <xf numFmtId="0" fontId="9" fillId="0" borderId="3" xfId="0" applyFont="1" applyFill="1" applyBorder="1" applyAlignment="1">
      <alignment horizontal="center"/>
    </xf>
    <xf numFmtId="178" fontId="10" fillId="0" borderId="3" xfId="49" applyNumberFormat="1" applyFont="1" applyFill="1" applyBorder="1" applyAlignment="1">
      <alignment horizontal="left" vertical="top" wrapText="1" readingOrder="1"/>
    </xf>
    <xf numFmtId="0" fontId="10" fillId="0" borderId="3" xfId="49" applyNumberFormat="1" applyFont="1" applyFill="1" applyBorder="1" applyAlignment="1">
      <alignment horizontal="left" vertical="top" wrapText="1" readingOrder="1"/>
    </xf>
    <xf numFmtId="0" fontId="9" fillId="0" borderId="3" xfId="49" applyNumberFormat="1" applyFont="1" applyFill="1" applyBorder="1" applyAlignment="1">
      <alignment horizontal="left" vertical="top" wrapText="1" readingOrder="1"/>
    </xf>
    <xf numFmtId="0" fontId="9" fillId="0" borderId="3" xfId="49" applyNumberFormat="1" applyFont="1" applyFill="1" applyBorder="1" applyAlignment="1">
      <alignment vertical="top" wrapText="1" readingOrder="1"/>
    </xf>
    <xf numFmtId="0" fontId="10" fillId="0" borderId="3" xfId="49" applyNumberFormat="1" applyFont="1" applyFill="1" applyBorder="1" applyAlignment="1">
      <alignment horizontal="center" vertical="top" wrapText="1" readingOrder="1"/>
    </xf>
    <xf numFmtId="179" fontId="10" fillId="0" borderId="3" xfId="49" applyNumberFormat="1" applyFont="1" applyFill="1" applyBorder="1" applyAlignment="1">
      <alignment vertical="top" wrapText="1" readingOrder="1"/>
    </xf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8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11" fillId="2" borderId="1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12" fillId="2" borderId="1" xfId="49" applyNumberFormat="1" applyFont="1" applyFill="1" applyBorder="1" applyAlignment="1">
      <alignment horizontal="center" vertical="top" wrapText="1" readingOrder="1"/>
    </xf>
    <xf numFmtId="179" fontId="12" fillId="2" borderId="1" xfId="49" applyNumberFormat="1" applyFont="1" applyFill="1" applyBorder="1" applyAlignment="1">
      <alignment vertical="top" wrapText="1" readingOrder="1"/>
    </xf>
    <xf numFmtId="0" fontId="5" fillId="3" borderId="1" xfId="49" applyNumberFormat="1" applyFont="1" applyFill="1" applyBorder="1" applyAlignment="1">
      <alignment vertical="top" wrapText="1" readingOrder="1"/>
    </xf>
    <xf numFmtId="0" fontId="13" fillId="3" borderId="1" xfId="49" applyNumberFormat="1" applyFont="1" applyFill="1" applyBorder="1" applyAlignment="1">
      <alignment horizontal="center" vertical="top" wrapText="1" readingOrder="1"/>
    </xf>
    <xf numFmtId="179" fontId="13" fillId="3" borderId="1" xfId="49" applyNumberFormat="1" applyFont="1" applyFill="1" applyBorder="1" applyAlignment="1">
      <alignment vertical="top" wrapText="1" readingOrder="1"/>
    </xf>
    <xf numFmtId="178" fontId="4" fillId="0" borderId="2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vertical="top" wrapText="1" readingOrder="1"/>
    </xf>
    <xf numFmtId="0" fontId="13" fillId="0" borderId="2" xfId="49" applyNumberFormat="1" applyFont="1" applyFill="1" applyBorder="1" applyAlignment="1">
      <alignment horizontal="center" vertical="top" wrapText="1" readingOrder="1"/>
    </xf>
    <xf numFmtId="179" fontId="13" fillId="0" borderId="2" xfId="49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0" fillId="0" borderId="8" xfId="0" applyNumberFormat="1" applyFont="1" applyFill="1" applyBorder="1" applyAlignment="1">
      <alignment vertical="top" wrapText="1"/>
    </xf>
    <xf numFmtId="0" fontId="4" fillId="0" borderId="8" xfId="0" applyNumberFormat="1" applyFont="1" applyFill="1" applyBorder="1" applyAlignment="1">
      <alignment vertical="top" wrapText="1" readingOrder="1"/>
    </xf>
    <xf numFmtId="0" fontId="4" fillId="0" borderId="9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0" fillId="0" borderId="10" xfId="0" applyNumberFormat="1" applyFont="1" applyFill="1" applyBorder="1" applyAlignment="1">
      <alignment vertical="top" wrapText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9" fontId="5" fillId="3" borderId="2" xfId="0" applyNumberFormat="1" applyFont="1" applyFill="1" applyBorder="1" applyAlignment="1">
      <alignment horizontal="center" vertical="top" wrapText="1" readingOrder="1"/>
    </xf>
    <xf numFmtId="178" fontId="4" fillId="0" borderId="2" xfId="0" applyNumberFormat="1" applyFont="1" applyFill="1" applyBorder="1" applyAlignment="1">
      <alignment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179" fontId="4" fillId="0" borderId="2" xfId="0" applyNumberFormat="1" applyFont="1" applyFill="1" applyBorder="1" applyAlignment="1">
      <alignment horizontal="center" vertical="top" wrapText="1" readingOrder="1"/>
    </xf>
    <xf numFmtId="179" fontId="10" fillId="0" borderId="2" xfId="0" applyNumberFormat="1" applyFont="1" applyFill="1" applyBorder="1" applyAlignment="1">
      <alignment horizontal="center" vertical="top" wrapText="1" readingOrder="1"/>
    </xf>
    <xf numFmtId="0" fontId="14" fillId="2" borderId="2" xfId="0" applyNumberFormat="1" applyFont="1" applyFill="1" applyBorder="1" applyAlignment="1">
      <alignment vertical="top" wrapText="1" readingOrder="1"/>
    </xf>
    <xf numFmtId="0" fontId="11" fillId="2" borderId="2" xfId="0" applyNumberFormat="1" applyFont="1" applyFill="1" applyBorder="1" applyAlignment="1">
      <alignment horizontal="center" vertical="top" wrapText="1" readingOrder="1"/>
    </xf>
    <xf numFmtId="179" fontId="11" fillId="2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313690</xdr:colOff>
      <xdr:row>1</xdr:row>
      <xdr:rowOff>85725</xdr:rowOff>
    </xdr:from>
    <xdr:to>
      <xdr:col>9</xdr:col>
      <xdr:colOff>823678</xdr:colOff>
      <xdr:row>4</xdr:row>
      <xdr:rowOff>83185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06465" y="2571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266065</xdr:colOff>
      <xdr:row>1</xdr:row>
      <xdr:rowOff>57150</xdr:rowOff>
    </xdr:from>
    <xdr:to>
      <xdr:col>9</xdr:col>
      <xdr:colOff>776053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5884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313690</xdr:colOff>
      <xdr:row>1</xdr:row>
      <xdr:rowOff>76200</xdr:rowOff>
    </xdr:from>
    <xdr:to>
      <xdr:col>9</xdr:col>
      <xdr:colOff>823678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06465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313690</xdr:colOff>
      <xdr:row>1</xdr:row>
      <xdr:rowOff>47625</xdr:rowOff>
    </xdr:from>
    <xdr:to>
      <xdr:col>9</xdr:col>
      <xdr:colOff>823678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0646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199390</xdr:colOff>
      <xdr:row>1</xdr:row>
      <xdr:rowOff>38100</xdr:rowOff>
    </xdr:from>
    <xdr:to>
      <xdr:col>9</xdr:col>
      <xdr:colOff>709378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9216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304165</xdr:colOff>
      <xdr:row>1</xdr:row>
      <xdr:rowOff>28575</xdr:rowOff>
    </xdr:from>
    <xdr:to>
      <xdr:col>9</xdr:col>
      <xdr:colOff>814153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9694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227965</xdr:colOff>
      <xdr:row>1</xdr:row>
      <xdr:rowOff>38100</xdr:rowOff>
    </xdr:from>
    <xdr:to>
      <xdr:col>9</xdr:col>
      <xdr:colOff>737953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2074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332740</xdr:colOff>
      <xdr:row>1</xdr:row>
      <xdr:rowOff>28575</xdr:rowOff>
    </xdr:from>
    <xdr:to>
      <xdr:col>9</xdr:col>
      <xdr:colOff>842728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2551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213360</xdr:colOff>
      <xdr:row>1</xdr:row>
      <xdr:rowOff>104775</xdr:rowOff>
    </xdr:from>
    <xdr:to>
      <xdr:col>8</xdr:col>
      <xdr:colOff>723348</xdr:colOff>
      <xdr:row>4</xdr:row>
      <xdr:rowOff>102235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8178800" y="276225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235585</xdr:colOff>
      <xdr:row>0</xdr:row>
      <xdr:rowOff>133985</xdr:rowOff>
    </xdr:from>
    <xdr:to>
      <xdr:col>6</xdr:col>
      <xdr:colOff>831850</xdr:colOff>
      <xdr:row>3</xdr:row>
      <xdr:rowOff>123825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7055" y="133985"/>
          <a:ext cx="596265" cy="5010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showGridLines="0" view="pageBreakPreview" zoomScaleNormal="100" workbookViewId="0">
      <pane ySplit="6" topLeftCell="A7" activePane="bottomLeft" state="frozen"/>
      <selection/>
      <selection pane="bottomLeft" activeCell="L13" sqref="L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  <col min="12" max="12" width="10.375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64" t="s">
        <v>2</v>
      </c>
      <c r="C7" s="64" t="s">
        <v>2</v>
      </c>
      <c r="D7" s="64" t="s">
        <v>2</v>
      </c>
      <c r="E7" s="64" t="s">
        <v>2</v>
      </c>
      <c r="F7" s="64" t="s">
        <v>2</v>
      </c>
      <c r="G7" s="64" t="s">
        <v>2</v>
      </c>
      <c r="H7" s="64" t="s">
        <v>2</v>
      </c>
      <c r="I7" s="64" t="s">
        <v>2</v>
      </c>
      <c r="J7" s="64" t="s">
        <v>2</v>
      </c>
      <c r="K7" s="64" t="s">
        <v>2</v>
      </c>
    </row>
    <row r="8" ht="15" spans="2:12">
      <c r="C8" s="63" t="s">
        <v>2</v>
      </c>
      <c r="D8" s="75" t="s">
        <v>3</v>
      </c>
      <c r="E8" s="68" t="s">
        <v>2</v>
      </c>
      <c r="F8" s="68" t="s">
        <v>2</v>
      </c>
      <c r="G8" s="68" t="s">
        <v>2</v>
      </c>
      <c r="H8" s="68" t="s">
        <v>2</v>
      </c>
      <c r="I8" s="76"/>
      <c r="J8" s="77"/>
      <c r="K8" s="77"/>
    </row>
    <row r="9" spans="2:12">
      <c r="C9" s="63" t="s">
        <v>2</v>
      </c>
      <c r="D9" s="72" t="s">
        <v>4</v>
      </c>
      <c r="E9" s="72" t="s">
        <v>5</v>
      </c>
      <c r="F9" s="72" t="s">
        <v>6</v>
      </c>
      <c r="G9" s="72" t="s">
        <v>7</v>
      </c>
      <c r="H9" s="72" t="s">
        <v>8</v>
      </c>
      <c r="I9" s="72" t="s">
        <v>9</v>
      </c>
      <c r="J9" s="72" t="s">
        <v>10</v>
      </c>
      <c r="K9" s="72" t="s">
        <v>11</v>
      </c>
    </row>
    <row r="10" ht="14.25" spans="2:12">
      <c r="D10" s="67" t="s">
        <v>12</v>
      </c>
      <c r="E10" s="68" t="s">
        <v>2</v>
      </c>
      <c r="F10" s="68" t="s">
        <v>2</v>
      </c>
      <c r="G10" s="68" t="s">
        <v>2</v>
      </c>
      <c r="H10" s="68" t="s">
        <v>2</v>
      </c>
      <c r="I10" s="69">
        <v>47</v>
      </c>
      <c r="J10" s="70"/>
      <c r="K10" s="70">
        <f>SUM(K11:K35)</f>
        <v>438</v>
      </c>
      <c r="L10">
        <f>K10+妇科!K8+急诊!K8+口腔科!K8+内科!K8+手术室!K8+外科!K8+眼科!K8</f>
        <v>21237.5</v>
      </c>
    </row>
    <row r="11" spans="2:12">
      <c r="D11" s="71">
        <v>46149</v>
      </c>
      <c r="E11" s="17">
        <v>1600866</v>
      </c>
      <c r="F11" s="17" t="s">
        <v>13</v>
      </c>
      <c r="G11" s="72">
        <v>20421286</v>
      </c>
      <c r="H11" s="17" t="s">
        <v>14</v>
      </c>
      <c r="I11" s="72">
        <v>6</v>
      </c>
      <c r="J11" s="73">
        <v>8</v>
      </c>
      <c r="K11" s="73">
        <f>J11*I11</f>
        <v>48</v>
      </c>
      <c r="L11">
        <f>L10-8</f>
        <v>21229.5</v>
      </c>
    </row>
    <row r="12" spans="2:12">
      <c r="D12" s="71">
        <v>46149</v>
      </c>
      <c r="E12" s="17">
        <v>1600866</v>
      </c>
      <c r="F12" s="17" t="s">
        <v>13</v>
      </c>
      <c r="G12" s="72">
        <v>20421274</v>
      </c>
      <c r="H12" s="17" t="s">
        <v>15</v>
      </c>
      <c r="I12" s="72">
        <v>1</v>
      </c>
      <c r="J12" s="73">
        <v>8</v>
      </c>
      <c r="K12" s="73">
        <f t="shared" ref="K12:K35" si="0">J12*I12</f>
        <v>8</v>
      </c>
      <c r="L12">
        <f>K10+妇科!K8+急诊!K8+口腔科!K8+内科!K8+手术室!K8+外科!K8+眼科!K8</f>
        <v>21237.5</v>
      </c>
    </row>
    <row r="13" spans="2:12">
      <c r="D13" s="71">
        <v>46149</v>
      </c>
      <c r="E13" s="17">
        <v>1600866</v>
      </c>
      <c r="F13" s="17" t="s">
        <v>13</v>
      </c>
      <c r="G13" s="72">
        <v>20419014</v>
      </c>
      <c r="H13" s="17" t="s">
        <v>16</v>
      </c>
      <c r="I13" s="72">
        <v>2</v>
      </c>
      <c r="J13" s="73">
        <v>8</v>
      </c>
      <c r="K13" s="73">
        <f t="shared" si="0"/>
        <v>16</v>
      </c>
    </row>
    <row r="14" spans="2:12">
      <c r="D14" s="71">
        <v>46150</v>
      </c>
      <c r="E14" s="17">
        <v>1601373</v>
      </c>
      <c r="F14" s="17" t="s">
        <v>13</v>
      </c>
      <c r="G14" s="72">
        <v>20424565</v>
      </c>
      <c r="H14" s="17" t="s">
        <v>17</v>
      </c>
      <c r="I14" s="72">
        <v>1</v>
      </c>
      <c r="J14" s="73">
        <v>13</v>
      </c>
      <c r="K14" s="73">
        <f t="shared" si="0"/>
        <v>13</v>
      </c>
    </row>
    <row r="15" spans="2:12">
      <c r="D15" s="71">
        <v>46150</v>
      </c>
      <c r="E15" s="17">
        <v>1601373</v>
      </c>
      <c r="F15" s="17" t="s">
        <v>13</v>
      </c>
      <c r="G15" s="72">
        <v>20421286</v>
      </c>
      <c r="H15" s="17" t="s">
        <v>14</v>
      </c>
      <c r="I15" s="72">
        <v>2</v>
      </c>
      <c r="J15" s="73">
        <v>8</v>
      </c>
      <c r="K15" s="73">
        <f t="shared" si="0"/>
        <v>16</v>
      </c>
    </row>
    <row r="16" spans="2:12">
      <c r="D16" s="71">
        <v>46150</v>
      </c>
      <c r="E16" s="17">
        <v>1601373</v>
      </c>
      <c r="F16" s="17" t="s">
        <v>13</v>
      </c>
      <c r="G16" s="72">
        <v>20421274</v>
      </c>
      <c r="H16" s="17" t="s">
        <v>15</v>
      </c>
      <c r="I16" s="72">
        <v>3</v>
      </c>
      <c r="J16" s="73">
        <v>8</v>
      </c>
      <c r="K16" s="73">
        <f t="shared" si="0"/>
        <v>24</v>
      </c>
    </row>
    <row r="17" spans="4:11">
      <c r="D17" s="71">
        <v>46150</v>
      </c>
      <c r="E17" s="17">
        <v>1601373</v>
      </c>
      <c r="F17" s="17" t="s">
        <v>13</v>
      </c>
      <c r="G17" s="72">
        <v>20419014</v>
      </c>
      <c r="H17" s="17" t="s">
        <v>16</v>
      </c>
      <c r="I17" s="72">
        <v>1</v>
      </c>
      <c r="J17" s="73">
        <v>8</v>
      </c>
      <c r="K17" s="73">
        <f t="shared" si="0"/>
        <v>8</v>
      </c>
    </row>
    <row r="18" spans="4:11">
      <c r="D18" s="71">
        <v>46153</v>
      </c>
      <c r="E18" s="17">
        <v>1602051</v>
      </c>
      <c r="F18" s="17" t="s">
        <v>13</v>
      </c>
      <c r="G18" s="72">
        <v>20424565</v>
      </c>
      <c r="H18" s="17" t="s">
        <v>17</v>
      </c>
      <c r="I18" s="72">
        <v>1</v>
      </c>
      <c r="J18" s="73">
        <v>13</v>
      </c>
      <c r="K18" s="73">
        <f t="shared" si="0"/>
        <v>13</v>
      </c>
    </row>
    <row r="19" spans="4:11">
      <c r="D19" s="71">
        <v>46153</v>
      </c>
      <c r="E19" s="17">
        <v>1602051</v>
      </c>
      <c r="F19" s="17" t="s">
        <v>13</v>
      </c>
      <c r="G19" s="72">
        <v>20421286</v>
      </c>
      <c r="H19" s="17" t="s">
        <v>14</v>
      </c>
      <c r="I19" s="72">
        <v>1</v>
      </c>
      <c r="J19" s="73">
        <v>8</v>
      </c>
      <c r="K19" s="73">
        <f t="shared" si="0"/>
        <v>8</v>
      </c>
    </row>
    <row r="20" spans="4:11">
      <c r="D20" s="71">
        <v>46153</v>
      </c>
      <c r="E20" s="17">
        <v>1602051</v>
      </c>
      <c r="F20" s="17" t="s">
        <v>13</v>
      </c>
      <c r="G20" s="72">
        <v>20421274</v>
      </c>
      <c r="H20" s="17" t="s">
        <v>15</v>
      </c>
      <c r="I20" s="72">
        <v>1</v>
      </c>
      <c r="J20" s="73">
        <v>8</v>
      </c>
      <c r="K20" s="73">
        <f t="shared" si="0"/>
        <v>8</v>
      </c>
    </row>
    <row r="21" spans="4:11">
      <c r="D21" s="71">
        <v>46153</v>
      </c>
      <c r="E21" s="17">
        <v>1602051</v>
      </c>
      <c r="F21" s="17" t="s">
        <v>13</v>
      </c>
      <c r="G21" s="72">
        <v>20419014</v>
      </c>
      <c r="H21" s="17" t="s">
        <v>16</v>
      </c>
      <c r="I21" s="72">
        <v>1</v>
      </c>
      <c r="J21" s="73">
        <v>8</v>
      </c>
      <c r="K21" s="73">
        <f t="shared" si="0"/>
        <v>8</v>
      </c>
    </row>
    <row r="22" spans="4:11">
      <c r="D22" s="71">
        <v>46157</v>
      </c>
      <c r="E22" s="17">
        <v>1603554</v>
      </c>
      <c r="F22" s="17" t="s">
        <v>13</v>
      </c>
      <c r="G22" s="72">
        <v>20421275</v>
      </c>
      <c r="H22" s="17" t="s">
        <v>18</v>
      </c>
      <c r="I22" s="72">
        <v>1</v>
      </c>
      <c r="J22" s="73">
        <v>8</v>
      </c>
      <c r="K22" s="73">
        <f t="shared" si="0"/>
        <v>8</v>
      </c>
    </row>
    <row r="23" spans="4:11">
      <c r="D23" s="71">
        <v>46157</v>
      </c>
      <c r="E23" s="17">
        <v>1603554</v>
      </c>
      <c r="F23" s="17" t="s">
        <v>13</v>
      </c>
      <c r="G23" s="72">
        <v>20421286</v>
      </c>
      <c r="H23" s="17" t="s">
        <v>14</v>
      </c>
      <c r="I23" s="72">
        <v>3</v>
      </c>
      <c r="J23" s="73">
        <v>8</v>
      </c>
      <c r="K23" s="73">
        <f t="shared" si="0"/>
        <v>24</v>
      </c>
    </row>
    <row r="24" spans="4:11">
      <c r="D24" s="71">
        <v>46157</v>
      </c>
      <c r="E24" s="17">
        <v>1603554</v>
      </c>
      <c r="F24" s="17" t="s">
        <v>13</v>
      </c>
      <c r="G24" s="72">
        <v>20421274</v>
      </c>
      <c r="H24" s="17" t="s">
        <v>15</v>
      </c>
      <c r="I24" s="72">
        <v>3</v>
      </c>
      <c r="J24" s="73">
        <v>8</v>
      </c>
      <c r="K24" s="73">
        <f t="shared" si="0"/>
        <v>24</v>
      </c>
    </row>
    <row r="25" spans="4:11">
      <c r="D25" s="71">
        <v>46157</v>
      </c>
      <c r="E25" s="17">
        <v>1603554</v>
      </c>
      <c r="F25" s="17" t="s">
        <v>13</v>
      </c>
      <c r="G25" s="72">
        <v>20419014</v>
      </c>
      <c r="H25" s="17" t="s">
        <v>16</v>
      </c>
      <c r="I25" s="72">
        <v>1</v>
      </c>
      <c r="J25" s="73">
        <v>8</v>
      </c>
      <c r="K25" s="73">
        <f t="shared" si="0"/>
        <v>8</v>
      </c>
    </row>
    <row r="26" spans="4:11">
      <c r="D26" s="71">
        <v>46158</v>
      </c>
      <c r="E26" s="17">
        <v>1603698</v>
      </c>
      <c r="F26" s="17" t="s">
        <v>19</v>
      </c>
      <c r="G26" s="72">
        <v>20425757</v>
      </c>
      <c r="H26" s="17" t="s">
        <v>20</v>
      </c>
      <c r="I26" s="72">
        <v>1</v>
      </c>
      <c r="J26" s="74">
        <v>35</v>
      </c>
      <c r="K26" s="73">
        <f t="shared" si="0"/>
        <v>35</v>
      </c>
    </row>
    <row r="27" spans="4:11">
      <c r="D27" s="71">
        <v>46160</v>
      </c>
      <c r="E27" s="17">
        <v>1604073</v>
      </c>
      <c r="F27" s="17" t="s">
        <v>13</v>
      </c>
      <c r="G27" s="72">
        <v>20421286</v>
      </c>
      <c r="H27" s="17" t="s">
        <v>14</v>
      </c>
      <c r="I27" s="72">
        <v>1</v>
      </c>
      <c r="J27" s="73">
        <v>8</v>
      </c>
      <c r="K27" s="73">
        <f t="shared" si="0"/>
        <v>8</v>
      </c>
    </row>
    <row r="28" spans="4:11">
      <c r="D28" s="71">
        <v>46160</v>
      </c>
      <c r="E28" s="17">
        <v>1604087</v>
      </c>
      <c r="F28" s="17" t="s">
        <v>19</v>
      </c>
      <c r="G28" s="72">
        <v>20426001</v>
      </c>
      <c r="H28" s="17" t="s">
        <v>21</v>
      </c>
      <c r="I28" s="72">
        <v>1</v>
      </c>
      <c r="J28" s="73">
        <v>28</v>
      </c>
      <c r="K28" s="73">
        <f t="shared" si="0"/>
        <v>28</v>
      </c>
    </row>
    <row r="29" spans="4:11">
      <c r="D29" s="71">
        <v>46162</v>
      </c>
      <c r="E29" s="17">
        <v>1604850</v>
      </c>
      <c r="F29" s="17" t="s">
        <v>13</v>
      </c>
      <c r="G29" s="72">
        <v>20424565</v>
      </c>
      <c r="H29" s="17" t="s">
        <v>17</v>
      </c>
      <c r="I29" s="72">
        <v>1</v>
      </c>
      <c r="J29" s="73">
        <v>13</v>
      </c>
      <c r="K29" s="73">
        <f t="shared" si="0"/>
        <v>13</v>
      </c>
    </row>
    <row r="30" spans="4:11">
      <c r="D30" s="71">
        <v>46162</v>
      </c>
      <c r="E30" s="17">
        <v>1604850</v>
      </c>
      <c r="F30" s="17" t="s">
        <v>13</v>
      </c>
      <c r="G30" s="72">
        <v>20421275</v>
      </c>
      <c r="H30" s="17" t="s">
        <v>18</v>
      </c>
      <c r="I30" s="72">
        <v>1</v>
      </c>
      <c r="J30" s="73">
        <v>8</v>
      </c>
      <c r="K30" s="73">
        <f t="shared" si="0"/>
        <v>8</v>
      </c>
    </row>
    <row r="31" spans="4:11">
      <c r="D31" s="71">
        <v>46162</v>
      </c>
      <c r="E31" s="17">
        <v>1604850</v>
      </c>
      <c r="F31" s="17" t="s">
        <v>13</v>
      </c>
      <c r="G31" s="72">
        <v>20421286</v>
      </c>
      <c r="H31" s="17" t="s">
        <v>14</v>
      </c>
      <c r="I31" s="72">
        <v>1</v>
      </c>
      <c r="J31" s="73">
        <v>8</v>
      </c>
      <c r="K31" s="73">
        <f t="shared" si="0"/>
        <v>8</v>
      </c>
    </row>
    <row r="32" spans="4:11">
      <c r="D32" s="71">
        <v>46162</v>
      </c>
      <c r="E32" s="17">
        <v>1604850</v>
      </c>
      <c r="F32" s="17" t="s">
        <v>13</v>
      </c>
      <c r="G32" s="72">
        <v>20421274</v>
      </c>
      <c r="H32" s="17" t="s">
        <v>15</v>
      </c>
      <c r="I32" s="72">
        <v>1</v>
      </c>
      <c r="J32" s="73">
        <v>8</v>
      </c>
      <c r="K32" s="73">
        <f t="shared" si="0"/>
        <v>8</v>
      </c>
    </row>
    <row r="33" spans="4:11">
      <c r="D33" s="71">
        <v>46170</v>
      </c>
      <c r="E33" s="17">
        <v>1607304</v>
      </c>
      <c r="F33" s="17" t="s">
        <v>13</v>
      </c>
      <c r="G33" s="72">
        <v>20421286</v>
      </c>
      <c r="H33" s="17" t="s">
        <v>14</v>
      </c>
      <c r="I33" s="72">
        <v>2</v>
      </c>
      <c r="J33" s="73">
        <v>8</v>
      </c>
      <c r="K33" s="73">
        <f t="shared" si="0"/>
        <v>16</v>
      </c>
    </row>
    <row r="34" spans="4:11">
      <c r="D34" s="71">
        <v>46170</v>
      </c>
      <c r="E34" s="17">
        <v>1607304</v>
      </c>
      <c r="F34" s="17" t="s">
        <v>13</v>
      </c>
      <c r="G34" s="72">
        <v>20419014</v>
      </c>
      <c r="H34" s="17" t="s">
        <v>16</v>
      </c>
      <c r="I34" s="72">
        <v>2</v>
      </c>
      <c r="J34" s="73">
        <v>8</v>
      </c>
      <c r="K34" s="73">
        <f t="shared" si="0"/>
        <v>16</v>
      </c>
    </row>
    <row r="35" spans="4:11">
      <c r="D35" s="71">
        <v>46170</v>
      </c>
      <c r="E35" s="17">
        <v>1607312</v>
      </c>
      <c r="F35" s="17" t="s">
        <v>13</v>
      </c>
      <c r="G35" s="72">
        <v>20421274</v>
      </c>
      <c r="H35" s="17" t="s">
        <v>15</v>
      </c>
      <c r="I35" s="72">
        <v>8</v>
      </c>
      <c r="J35" s="73">
        <v>8</v>
      </c>
      <c r="K35" s="73">
        <f t="shared" si="0"/>
        <v>64</v>
      </c>
    </row>
  </sheetData>
  <autoFilter xmlns:etc="http://www.wps.cn/officeDocument/2017/etCustomData" ref="A9:K35" etc:filterBottomFollowUsedRange="0">
    <extLst/>
  </autoFilter>
  <mergeCells count="6">
    <mergeCell ref="D8:H8"/>
    <mergeCell ref="D10:H10"/>
    <mergeCell ref="C9:C35"/>
    <mergeCell ref="B4:H5"/>
    <mergeCell ref="A8:B3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13:39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view="pageBreakPreview" zoomScaleNormal="100" workbookViewId="0">
      <pane ySplit="6" topLeftCell="A7" activePane="bottomLeft" state="frozen"/>
      <selection/>
      <selection pane="bottomLeft" activeCell="K29" sqref="K9:K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63" t="s">
        <v>2</v>
      </c>
      <c r="B7" s="64" t="s">
        <v>2</v>
      </c>
      <c r="C7" s="65" t="s">
        <v>2</v>
      </c>
      <c r="D7" s="66" t="s">
        <v>4</v>
      </c>
      <c r="E7" s="66" t="s">
        <v>5</v>
      </c>
      <c r="F7" s="66" t="s">
        <v>6</v>
      </c>
      <c r="G7" s="66" t="s">
        <v>7</v>
      </c>
      <c r="H7" s="66" t="s">
        <v>8</v>
      </c>
      <c r="I7" s="66" t="s">
        <v>9</v>
      </c>
      <c r="J7" s="66" t="s">
        <v>10</v>
      </c>
      <c r="K7" s="66" t="s">
        <v>11</v>
      </c>
    </row>
    <row r="8" ht="14.25" spans="1:11">
      <c r="D8" s="67" t="s">
        <v>22</v>
      </c>
      <c r="E8" s="68" t="s">
        <v>2</v>
      </c>
      <c r="F8" s="68" t="s">
        <v>2</v>
      </c>
      <c r="G8" s="68" t="s">
        <v>2</v>
      </c>
      <c r="H8" s="68" t="s">
        <v>2</v>
      </c>
      <c r="I8" s="69">
        <v>25</v>
      </c>
      <c r="J8" s="70"/>
      <c r="K8" s="70">
        <f>SUM(K9:K29)</f>
        <v>1074.5</v>
      </c>
    </row>
    <row r="9" spans="1:11">
      <c r="D9" s="71">
        <v>46148</v>
      </c>
      <c r="E9" s="17">
        <v>1600495</v>
      </c>
      <c r="F9" s="17" t="s">
        <v>23</v>
      </c>
      <c r="G9" s="72">
        <v>20419381</v>
      </c>
      <c r="H9" s="17" t="s">
        <v>24</v>
      </c>
      <c r="I9" s="72">
        <v>1</v>
      </c>
      <c r="J9" s="73">
        <v>71.5</v>
      </c>
      <c r="K9" s="73">
        <f>J9*I9</f>
        <v>71.5</v>
      </c>
    </row>
    <row r="10" spans="1:11">
      <c r="D10" s="71">
        <v>46148</v>
      </c>
      <c r="E10" s="17">
        <v>1600495</v>
      </c>
      <c r="F10" s="17" t="s">
        <v>25</v>
      </c>
      <c r="G10" s="72">
        <v>20422615</v>
      </c>
      <c r="H10" s="17" t="s">
        <v>26</v>
      </c>
      <c r="I10" s="72">
        <v>1</v>
      </c>
      <c r="J10" s="73">
        <v>2.5</v>
      </c>
      <c r="K10" s="73">
        <f t="shared" ref="K10:K29" si="0">J10*I10</f>
        <v>2.5</v>
      </c>
    </row>
    <row r="11" spans="1:11">
      <c r="D11" s="71">
        <v>46148</v>
      </c>
      <c r="E11" s="17">
        <v>1600519</v>
      </c>
      <c r="F11" s="17" t="s">
        <v>19</v>
      </c>
      <c r="G11" s="72">
        <v>20424075</v>
      </c>
      <c r="H11" s="17" t="s">
        <v>27</v>
      </c>
      <c r="I11" s="72">
        <v>1</v>
      </c>
      <c r="J11" s="73">
        <v>28</v>
      </c>
      <c r="K11" s="73">
        <f t="shared" si="0"/>
        <v>28</v>
      </c>
    </row>
    <row r="12" spans="1:11">
      <c r="D12" s="71">
        <v>46148</v>
      </c>
      <c r="E12" s="17">
        <v>1600519</v>
      </c>
      <c r="F12" s="17" t="s">
        <v>19</v>
      </c>
      <c r="G12" s="72">
        <v>20418538</v>
      </c>
      <c r="H12" s="17" t="s">
        <v>28</v>
      </c>
      <c r="I12" s="72">
        <v>1</v>
      </c>
      <c r="J12" s="73">
        <v>28</v>
      </c>
      <c r="K12" s="73">
        <f t="shared" si="0"/>
        <v>28</v>
      </c>
    </row>
    <row r="13" spans="1:11">
      <c r="D13" s="71">
        <v>46148</v>
      </c>
      <c r="E13" s="17">
        <v>1600519</v>
      </c>
      <c r="F13" s="17" t="s">
        <v>19</v>
      </c>
      <c r="G13" s="72">
        <v>20418544</v>
      </c>
      <c r="H13" s="17" t="s">
        <v>29</v>
      </c>
      <c r="I13" s="72">
        <v>1</v>
      </c>
      <c r="J13" s="73">
        <v>35</v>
      </c>
      <c r="K13" s="73">
        <f t="shared" si="0"/>
        <v>35</v>
      </c>
    </row>
    <row r="14" spans="1:11">
      <c r="D14" s="71">
        <v>46148</v>
      </c>
      <c r="E14" s="17">
        <v>1600519</v>
      </c>
      <c r="F14" s="17" t="s">
        <v>30</v>
      </c>
      <c r="G14" s="72">
        <v>20424089</v>
      </c>
      <c r="H14" s="17" t="s">
        <v>31</v>
      </c>
      <c r="I14" s="72">
        <v>1</v>
      </c>
      <c r="J14" s="73">
        <v>88</v>
      </c>
      <c r="K14" s="73">
        <f t="shared" si="0"/>
        <v>88</v>
      </c>
    </row>
    <row r="15" spans="1:11">
      <c r="D15" s="71">
        <v>46156</v>
      </c>
      <c r="E15" s="17">
        <v>1603162</v>
      </c>
      <c r="F15" s="17" t="s">
        <v>23</v>
      </c>
      <c r="G15" s="72">
        <v>20419007</v>
      </c>
      <c r="H15" s="17" t="s">
        <v>32</v>
      </c>
      <c r="I15" s="72">
        <v>2</v>
      </c>
      <c r="J15" s="73">
        <v>49.5</v>
      </c>
      <c r="K15" s="73">
        <f t="shared" si="0"/>
        <v>99</v>
      </c>
    </row>
    <row r="16" spans="1:11">
      <c r="D16" s="71">
        <v>46156</v>
      </c>
      <c r="E16" s="17">
        <v>1603162</v>
      </c>
      <c r="F16" s="17" t="s">
        <v>23</v>
      </c>
      <c r="G16" s="72">
        <v>20419381</v>
      </c>
      <c r="H16" s="17" t="s">
        <v>24</v>
      </c>
      <c r="I16" s="72">
        <v>1</v>
      </c>
      <c r="J16" s="73">
        <v>71.5</v>
      </c>
      <c r="K16" s="73">
        <f t="shared" si="0"/>
        <v>71.5</v>
      </c>
    </row>
    <row r="17" spans="4:11">
      <c r="D17" s="71">
        <v>46161</v>
      </c>
      <c r="E17" s="17">
        <v>1604434</v>
      </c>
      <c r="F17" s="17" t="s">
        <v>13</v>
      </c>
      <c r="G17" s="72">
        <v>20419011</v>
      </c>
      <c r="H17" s="17" t="s">
        <v>33</v>
      </c>
      <c r="I17" s="72">
        <v>1</v>
      </c>
      <c r="J17" s="73">
        <v>8</v>
      </c>
      <c r="K17" s="73">
        <f t="shared" si="0"/>
        <v>8</v>
      </c>
    </row>
    <row r="18" spans="4:11">
      <c r="D18" s="71">
        <v>46161</v>
      </c>
      <c r="E18" s="17">
        <v>1604434</v>
      </c>
      <c r="F18" s="17" t="s">
        <v>13</v>
      </c>
      <c r="G18" s="72">
        <v>20426137</v>
      </c>
      <c r="H18" s="17" t="s">
        <v>34</v>
      </c>
      <c r="I18" s="72">
        <v>1</v>
      </c>
      <c r="J18" s="73">
        <v>11</v>
      </c>
      <c r="K18" s="73">
        <f t="shared" si="0"/>
        <v>11</v>
      </c>
    </row>
    <row r="19" spans="4:11">
      <c r="D19" s="71">
        <v>46161</v>
      </c>
      <c r="E19" s="17">
        <v>1604434</v>
      </c>
      <c r="F19" s="17" t="s">
        <v>23</v>
      </c>
      <c r="G19" s="72">
        <v>20419007</v>
      </c>
      <c r="H19" s="17" t="s">
        <v>32</v>
      </c>
      <c r="I19" s="72">
        <v>2</v>
      </c>
      <c r="J19" s="73">
        <v>49.5</v>
      </c>
      <c r="K19" s="73">
        <f t="shared" si="0"/>
        <v>99</v>
      </c>
    </row>
    <row r="20" spans="4:11">
      <c r="D20" s="71">
        <v>46161</v>
      </c>
      <c r="E20" s="17">
        <v>1604434</v>
      </c>
      <c r="F20" s="17" t="s">
        <v>23</v>
      </c>
      <c r="G20" s="72">
        <v>20419381</v>
      </c>
      <c r="H20" s="17" t="s">
        <v>24</v>
      </c>
      <c r="I20" s="72">
        <v>1</v>
      </c>
      <c r="J20" s="73">
        <v>71.5</v>
      </c>
      <c r="K20" s="73">
        <f t="shared" si="0"/>
        <v>71.5</v>
      </c>
    </row>
    <row r="21" spans="4:11">
      <c r="D21" s="71">
        <v>46161</v>
      </c>
      <c r="E21" s="17">
        <v>1604434</v>
      </c>
      <c r="F21" s="17" t="s">
        <v>23</v>
      </c>
      <c r="G21" s="72">
        <v>20426116</v>
      </c>
      <c r="H21" s="17" t="s">
        <v>35</v>
      </c>
      <c r="I21" s="72">
        <v>1</v>
      </c>
      <c r="J21" s="73">
        <v>88</v>
      </c>
      <c r="K21" s="73">
        <f t="shared" si="0"/>
        <v>88</v>
      </c>
    </row>
    <row r="22" spans="4:11">
      <c r="D22" s="71">
        <v>46169</v>
      </c>
      <c r="E22" s="17">
        <v>1606904</v>
      </c>
      <c r="F22" s="17" t="s">
        <v>13</v>
      </c>
      <c r="G22" s="72">
        <v>20419010</v>
      </c>
      <c r="H22" s="17" t="s">
        <v>36</v>
      </c>
      <c r="I22" s="72">
        <v>1</v>
      </c>
      <c r="J22" s="73">
        <v>11</v>
      </c>
      <c r="K22" s="73">
        <f t="shared" si="0"/>
        <v>11</v>
      </c>
    </row>
    <row r="23" spans="4:11">
      <c r="D23" s="71">
        <v>46169</v>
      </c>
      <c r="E23" s="17">
        <v>1606904</v>
      </c>
      <c r="F23" s="17" t="s">
        <v>13</v>
      </c>
      <c r="G23" s="72">
        <v>20419030</v>
      </c>
      <c r="H23" s="17" t="s">
        <v>14</v>
      </c>
      <c r="I23" s="72">
        <v>1</v>
      </c>
      <c r="J23" s="73">
        <v>8</v>
      </c>
      <c r="K23" s="73">
        <f t="shared" si="0"/>
        <v>8</v>
      </c>
    </row>
    <row r="24" spans="4:11">
      <c r="D24" s="71">
        <v>46169</v>
      </c>
      <c r="E24" s="17">
        <v>1606904</v>
      </c>
      <c r="F24" s="17" t="s">
        <v>13</v>
      </c>
      <c r="G24" s="72">
        <v>20419014</v>
      </c>
      <c r="H24" s="17" t="s">
        <v>16</v>
      </c>
      <c r="I24" s="72">
        <v>1</v>
      </c>
      <c r="J24" s="73">
        <v>8</v>
      </c>
      <c r="K24" s="73">
        <f t="shared" si="0"/>
        <v>8</v>
      </c>
    </row>
    <row r="25" spans="4:11">
      <c r="D25" s="71">
        <v>46169</v>
      </c>
      <c r="E25" s="17">
        <v>1606904</v>
      </c>
      <c r="F25" s="17" t="s">
        <v>23</v>
      </c>
      <c r="G25" s="72">
        <v>20419007</v>
      </c>
      <c r="H25" s="17" t="s">
        <v>32</v>
      </c>
      <c r="I25" s="72">
        <v>2</v>
      </c>
      <c r="J25" s="73">
        <v>49.5</v>
      </c>
      <c r="K25" s="73">
        <f t="shared" si="0"/>
        <v>99</v>
      </c>
    </row>
    <row r="26" spans="4:11">
      <c r="D26" s="71">
        <v>46169</v>
      </c>
      <c r="E26" s="17">
        <v>1606904</v>
      </c>
      <c r="F26" s="17" t="s">
        <v>37</v>
      </c>
      <c r="G26" s="72">
        <v>20427315</v>
      </c>
      <c r="H26" s="17" t="s">
        <v>38</v>
      </c>
      <c r="I26" s="72">
        <v>1</v>
      </c>
      <c r="J26" s="73">
        <v>66</v>
      </c>
      <c r="K26" s="73">
        <f t="shared" si="0"/>
        <v>66</v>
      </c>
    </row>
    <row r="27" spans="4:11">
      <c r="D27" s="71">
        <v>46172</v>
      </c>
      <c r="E27" s="17">
        <v>1607897</v>
      </c>
      <c r="F27" s="17" t="s">
        <v>13</v>
      </c>
      <c r="G27" s="72">
        <v>20426137</v>
      </c>
      <c r="H27" s="17" t="s">
        <v>34</v>
      </c>
      <c r="I27" s="72">
        <v>1</v>
      </c>
      <c r="J27" s="73">
        <v>11</v>
      </c>
      <c r="K27" s="73">
        <f t="shared" si="0"/>
        <v>11</v>
      </c>
    </row>
    <row r="28" spans="4:11">
      <c r="D28" s="71">
        <v>46172</v>
      </c>
      <c r="E28" s="17">
        <v>1607897</v>
      </c>
      <c r="F28" s="17" t="s">
        <v>23</v>
      </c>
      <c r="G28" s="72">
        <v>20419007</v>
      </c>
      <c r="H28" s="17" t="s">
        <v>32</v>
      </c>
      <c r="I28" s="72">
        <v>2</v>
      </c>
      <c r="J28" s="73">
        <v>49.5</v>
      </c>
      <c r="K28" s="73">
        <f t="shared" si="0"/>
        <v>99</v>
      </c>
    </row>
    <row r="29" spans="4:11">
      <c r="D29" s="71">
        <v>46172</v>
      </c>
      <c r="E29" s="17">
        <v>1607897</v>
      </c>
      <c r="F29" s="17" t="s">
        <v>23</v>
      </c>
      <c r="G29" s="72">
        <v>20419381</v>
      </c>
      <c r="H29" s="17" t="s">
        <v>24</v>
      </c>
      <c r="I29" s="72">
        <v>1</v>
      </c>
      <c r="J29" s="73">
        <v>71.5</v>
      </c>
      <c r="K29" s="73">
        <f t="shared" si="0"/>
        <v>71.5</v>
      </c>
    </row>
    <row r="30" ht="0.05" customHeight="1"/>
  </sheetData>
  <autoFilter xmlns:etc="http://www.wps.cn/officeDocument/2017/etCustomData" ref="A7:K29" etc:filterBottomFollowUsedRange="0">
    <extLst/>
  </autoFilter>
  <mergeCells count="5">
    <mergeCell ref="D8:H8"/>
    <mergeCell ref="C7:C29"/>
    <mergeCell ref="B4:H5"/>
    <mergeCell ref="A7:B2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13:39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63" t="s">
        <v>2</v>
      </c>
      <c r="B7" s="64" t="s">
        <v>2</v>
      </c>
      <c r="C7" s="65" t="s">
        <v>2</v>
      </c>
      <c r="D7" s="66" t="s">
        <v>4</v>
      </c>
      <c r="E7" s="66" t="s">
        <v>5</v>
      </c>
      <c r="F7" s="66" t="s">
        <v>6</v>
      </c>
      <c r="G7" s="66" t="s">
        <v>7</v>
      </c>
      <c r="H7" s="66" t="s">
        <v>8</v>
      </c>
      <c r="I7" s="66" t="s">
        <v>9</v>
      </c>
      <c r="J7" s="66" t="s">
        <v>10</v>
      </c>
      <c r="K7" s="66" t="s">
        <v>11</v>
      </c>
    </row>
    <row r="8" ht="14.25" spans="1:11">
      <c r="D8" s="67" t="s">
        <v>39</v>
      </c>
      <c r="E8" s="68" t="s">
        <v>2</v>
      </c>
      <c r="F8" s="68" t="s">
        <v>2</v>
      </c>
      <c r="G8" s="68" t="s">
        <v>2</v>
      </c>
      <c r="H8" s="68" t="s">
        <v>2</v>
      </c>
      <c r="I8" s="69">
        <v>68</v>
      </c>
      <c r="J8" s="70"/>
      <c r="K8" s="70">
        <v>2670.5</v>
      </c>
    </row>
    <row r="9" spans="1:11">
      <c r="D9" s="71">
        <v>46148</v>
      </c>
      <c r="E9" s="17">
        <v>1600496</v>
      </c>
      <c r="F9" s="17" t="s">
        <v>13</v>
      </c>
      <c r="G9" s="72">
        <v>20418983</v>
      </c>
      <c r="H9" s="17" t="s">
        <v>40</v>
      </c>
      <c r="I9" s="72">
        <v>3</v>
      </c>
      <c r="J9" s="73">
        <v>16.5</v>
      </c>
      <c r="K9" s="73">
        <v>49.5</v>
      </c>
    </row>
    <row r="10" spans="1:11">
      <c r="D10" s="71">
        <v>46148</v>
      </c>
      <c r="E10" s="17">
        <v>1600496</v>
      </c>
      <c r="F10" s="17" t="s">
        <v>13</v>
      </c>
      <c r="G10" s="72">
        <v>20418998</v>
      </c>
      <c r="H10" s="17" t="s">
        <v>41</v>
      </c>
      <c r="I10" s="72">
        <v>3</v>
      </c>
      <c r="J10" s="73">
        <v>8</v>
      </c>
      <c r="K10" s="73">
        <v>24</v>
      </c>
    </row>
    <row r="11" spans="1:11">
      <c r="D11" s="71">
        <v>46148</v>
      </c>
      <c r="E11" s="17">
        <v>1600496</v>
      </c>
      <c r="F11" s="17" t="s">
        <v>13</v>
      </c>
      <c r="G11" s="72">
        <v>20419014</v>
      </c>
      <c r="H11" s="17" t="s">
        <v>16</v>
      </c>
      <c r="I11" s="72">
        <v>1</v>
      </c>
      <c r="J11" s="73">
        <v>8</v>
      </c>
      <c r="K11" s="73">
        <v>8</v>
      </c>
    </row>
    <row r="12" spans="1:11">
      <c r="D12" s="71">
        <v>46148</v>
      </c>
      <c r="E12" s="17">
        <v>1600496</v>
      </c>
      <c r="F12" s="17" t="s">
        <v>23</v>
      </c>
      <c r="G12" s="72">
        <v>20419727</v>
      </c>
      <c r="H12" s="17" t="s">
        <v>42</v>
      </c>
      <c r="I12" s="72">
        <v>3</v>
      </c>
      <c r="J12" s="73">
        <v>71.5</v>
      </c>
      <c r="K12" s="73">
        <v>214.5</v>
      </c>
    </row>
    <row r="13" spans="1:11">
      <c r="D13" s="71">
        <v>46148</v>
      </c>
      <c r="E13" s="17">
        <v>1600496</v>
      </c>
      <c r="F13" s="17" t="s">
        <v>23</v>
      </c>
      <c r="G13" s="72">
        <v>20418984</v>
      </c>
      <c r="H13" s="17" t="s">
        <v>43</v>
      </c>
      <c r="I13" s="72">
        <v>2</v>
      </c>
      <c r="J13" s="73">
        <v>38.5</v>
      </c>
      <c r="K13" s="73">
        <v>77</v>
      </c>
    </row>
    <row r="14" spans="1:11">
      <c r="D14" s="71">
        <v>46148</v>
      </c>
      <c r="E14" s="17">
        <v>1600496</v>
      </c>
      <c r="F14" s="17" t="s">
        <v>23</v>
      </c>
      <c r="G14" s="72">
        <v>20418980</v>
      </c>
      <c r="H14" s="17" t="s">
        <v>44</v>
      </c>
      <c r="I14" s="72">
        <v>3</v>
      </c>
      <c r="J14" s="73">
        <v>82.5</v>
      </c>
      <c r="K14" s="73">
        <v>247.5</v>
      </c>
    </row>
    <row r="15" spans="1:11">
      <c r="D15" s="71">
        <v>46148</v>
      </c>
      <c r="E15" s="17">
        <v>1600520</v>
      </c>
      <c r="F15" s="17" t="s">
        <v>19</v>
      </c>
      <c r="G15" s="72">
        <v>20420602</v>
      </c>
      <c r="H15" s="17" t="s">
        <v>45</v>
      </c>
      <c r="I15" s="72">
        <v>2</v>
      </c>
      <c r="J15" s="73">
        <v>22</v>
      </c>
      <c r="K15" s="73">
        <v>44</v>
      </c>
    </row>
    <row r="16" spans="1:11">
      <c r="D16" s="71">
        <v>46150</v>
      </c>
      <c r="E16" s="17">
        <v>1601374</v>
      </c>
      <c r="F16" s="17" t="s">
        <v>13</v>
      </c>
      <c r="G16" s="72">
        <v>20418997</v>
      </c>
      <c r="H16" s="17" t="s">
        <v>46</v>
      </c>
      <c r="I16" s="72">
        <v>1</v>
      </c>
      <c r="J16" s="73">
        <v>8</v>
      </c>
      <c r="K16" s="73">
        <v>8</v>
      </c>
    </row>
    <row r="17" spans="4:11">
      <c r="D17" s="71">
        <v>46150</v>
      </c>
      <c r="E17" s="17">
        <v>1601374</v>
      </c>
      <c r="F17" s="17" t="s">
        <v>13</v>
      </c>
      <c r="G17" s="72">
        <v>20419014</v>
      </c>
      <c r="H17" s="17" t="s">
        <v>16</v>
      </c>
      <c r="I17" s="72">
        <v>4</v>
      </c>
      <c r="J17" s="73">
        <v>8</v>
      </c>
      <c r="K17" s="73">
        <v>32</v>
      </c>
    </row>
    <row r="18" spans="4:11">
      <c r="D18" s="71">
        <v>46150</v>
      </c>
      <c r="E18" s="17">
        <v>1601374</v>
      </c>
      <c r="F18" s="17" t="s">
        <v>23</v>
      </c>
      <c r="G18" s="72">
        <v>20419727</v>
      </c>
      <c r="H18" s="17" t="s">
        <v>42</v>
      </c>
      <c r="I18" s="72">
        <v>3</v>
      </c>
      <c r="J18" s="73">
        <v>71.5</v>
      </c>
      <c r="K18" s="73">
        <v>214.5</v>
      </c>
    </row>
    <row r="19" spans="4:11">
      <c r="D19" s="71">
        <v>46150</v>
      </c>
      <c r="E19" s="17">
        <v>1601374</v>
      </c>
      <c r="F19" s="17" t="s">
        <v>23</v>
      </c>
      <c r="G19" s="72">
        <v>20418984</v>
      </c>
      <c r="H19" s="17" t="s">
        <v>43</v>
      </c>
      <c r="I19" s="72">
        <v>1</v>
      </c>
      <c r="J19" s="73">
        <v>38.5</v>
      </c>
      <c r="K19" s="73">
        <v>38.5</v>
      </c>
    </row>
    <row r="20" spans="4:11">
      <c r="D20" s="71">
        <v>46156</v>
      </c>
      <c r="E20" s="17">
        <v>1603163</v>
      </c>
      <c r="F20" s="17" t="s">
        <v>13</v>
      </c>
      <c r="G20" s="72">
        <v>20418983</v>
      </c>
      <c r="H20" s="17" t="s">
        <v>40</v>
      </c>
      <c r="I20" s="72">
        <v>1</v>
      </c>
      <c r="J20" s="73">
        <v>16.5</v>
      </c>
      <c r="K20" s="73">
        <v>16.5</v>
      </c>
    </row>
    <row r="21" spans="4:11">
      <c r="D21" s="71">
        <v>46156</v>
      </c>
      <c r="E21" s="17">
        <v>1603163</v>
      </c>
      <c r="F21" s="17" t="s">
        <v>13</v>
      </c>
      <c r="G21" s="72">
        <v>20418998</v>
      </c>
      <c r="H21" s="17" t="s">
        <v>41</v>
      </c>
      <c r="I21" s="72">
        <v>3</v>
      </c>
      <c r="J21" s="73">
        <v>8</v>
      </c>
      <c r="K21" s="73">
        <v>24</v>
      </c>
    </row>
    <row r="22" spans="4:11">
      <c r="D22" s="71">
        <v>46156</v>
      </c>
      <c r="E22" s="17">
        <v>1603163</v>
      </c>
      <c r="F22" s="17" t="s">
        <v>13</v>
      </c>
      <c r="G22" s="72">
        <v>20419019</v>
      </c>
      <c r="H22" s="17" t="s">
        <v>47</v>
      </c>
      <c r="I22" s="72">
        <v>1</v>
      </c>
      <c r="J22" s="73">
        <v>8</v>
      </c>
      <c r="K22" s="73">
        <v>8</v>
      </c>
    </row>
    <row r="23" spans="4:11">
      <c r="D23" s="71">
        <v>46156</v>
      </c>
      <c r="E23" s="17">
        <v>1603163</v>
      </c>
      <c r="F23" s="17" t="s">
        <v>13</v>
      </c>
      <c r="G23" s="72">
        <v>20425526</v>
      </c>
      <c r="H23" s="17" t="s">
        <v>48</v>
      </c>
      <c r="I23" s="72">
        <v>1</v>
      </c>
      <c r="J23" s="73">
        <v>8</v>
      </c>
      <c r="K23" s="73">
        <v>8</v>
      </c>
    </row>
    <row r="24" spans="4:11">
      <c r="D24" s="71">
        <v>46156</v>
      </c>
      <c r="E24" s="17">
        <v>1603163</v>
      </c>
      <c r="F24" s="17" t="s">
        <v>23</v>
      </c>
      <c r="G24" s="72">
        <v>20419727</v>
      </c>
      <c r="H24" s="17" t="s">
        <v>42</v>
      </c>
      <c r="I24" s="72">
        <v>2</v>
      </c>
      <c r="J24" s="73">
        <v>71.5</v>
      </c>
      <c r="K24" s="73">
        <v>143</v>
      </c>
    </row>
    <row r="25" spans="4:11">
      <c r="D25" s="71">
        <v>46156</v>
      </c>
      <c r="E25" s="17">
        <v>1603163</v>
      </c>
      <c r="F25" s="17" t="s">
        <v>23</v>
      </c>
      <c r="G25" s="72">
        <v>20418984</v>
      </c>
      <c r="H25" s="17" t="s">
        <v>43</v>
      </c>
      <c r="I25" s="72">
        <v>3</v>
      </c>
      <c r="J25" s="73">
        <v>38.5</v>
      </c>
      <c r="K25" s="73">
        <v>115.5</v>
      </c>
    </row>
    <row r="26" spans="4:11">
      <c r="D26" s="71">
        <v>46161</v>
      </c>
      <c r="E26" s="17">
        <v>1604435</v>
      </c>
      <c r="F26" s="17" t="s">
        <v>13</v>
      </c>
      <c r="G26" s="72">
        <v>20418998</v>
      </c>
      <c r="H26" s="17" t="s">
        <v>41</v>
      </c>
      <c r="I26" s="72">
        <v>1</v>
      </c>
      <c r="J26" s="73">
        <v>8</v>
      </c>
      <c r="K26" s="73">
        <v>8</v>
      </c>
    </row>
    <row r="27" spans="4:11">
      <c r="D27" s="71">
        <v>46161</v>
      </c>
      <c r="E27" s="17">
        <v>1604435</v>
      </c>
      <c r="F27" s="17" t="s">
        <v>13</v>
      </c>
      <c r="G27" s="72">
        <v>20420413</v>
      </c>
      <c r="H27" s="17" t="s">
        <v>49</v>
      </c>
      <c r="I27" s="72">
        <v>1</v>
      </c>
      <c r="J27" s="73">
        <v>8</v>
      </c>
      <c r="K27" s="73">
        <v>8</v>
      </c>
    </row>
    <row r="28" spans="4:11">
      <c r="D28" s="71">
        <v>46161</v>
      </c>
      <c r="E28" s="17">
        <v>1604435</v>
      </c>
      <c r="F28" s="17" t="s">
        <v>13</v>
      </c>
      <c r="G28" s="72">
        <v>20418997</v>
      </c>
      <c r="H28" s="17" t="s">
        <v>46</v>
      </c>
      <c r="I28" s="72">
        <v>1</v>
      </c>
      <c r="J28" s="73">
        <v>8</v>
      </c>
      <c r="K28" s="73">
        <v>8</v>
      </c>
    </row>
    <row r="29" spans="4:11">
      <c r="D29" s="71">
        <v>46161</v>
      </c>
      <c r="E29" s="17">
        <v>1604435</v>
      </c>
      <c r="F29" s="17" t="s">
        <v>13</v>
      </c>
      <c r="G29" s="72">
        <v>20419014</v>
      </c>
      <c r="H29" s="17" t="s">
        <v>16</v>
      </c>
      <c r="I29" s="72">
        <v>1</v>
      </c>
      <c r="J29" s="73">
        <v>8</v>
      </c>
      <c r="K29" s="73">
        <v>8</v>
      </c>
    </row>
    <row r="30" spans="4:11">
      <c r="D30" s="71">
        <v>46161</v>
      </c>
      <c r="E30" s="17">
        <v>1604435</v>
      </c>
      <c r="F30" s="17" t="s">
        <v>23</v>
      </c>
      <c r="G30" s="72">
        <v>20419727</v>
      </c>
      <c r="H30" s="17" t="s">
        <v>42</v>
      </c>
      <c r="I30" s="72">
        <v>4</v>
      </c>
      <c r="J30" s="73">
        <v>71.5</v>
      </c>
      <c r="K30" s="73">
        <v>286</v>
      </c>
    </row>
    <row r="31" spans="4:11">
      <c r="D31" s="71">
        <v>46161</v>
      </c>
      <c r="E31" s="17">
        <v>1604435</v>
      </c>
      <c r="F31" s="17" t="s">
        <v>23</v>
      </c>
      <c r="G31" s="72">
        <v>20418984</v>
      </c>
      <c r="H31" s="17" t="s">
        <v>43</v>
      </c>
      <c r="I31" s="72">
        <v>3</v>
      </c>
      <c r="J31" s="73">
        <v>38.5</v>
      </c>
      <c r="K31" s="73">
        <v>115.5</v>
      </c>
    </row>
    <row r="32" spans="4:11">
      <c r="D32" s="71">
        <v>46161</v>
      </c>
      <c r="E32" s="17">
        <v>1604435</v>
      </c>
      <c r="F32" s="17" t="s">
        <v>23</v>
      </c>
      <c r="G32" s="72">
        <v>20418980</v>
      </c>
      <c r="H32" s="17" t="s">
        <v>44</v>
      </c>
      <c r="I32" s="72">
        <v>1</v>
      </c>
      <c r="J32" s="73">
        <v>82.5</v>
      </c>
      <c r="K32" s="73">
        <v>82.5</v>
      </c>
    </row>
    <row r="33" spans="4:11">
      <c r="D33" s="71">
        <v>46161</v>
      </c>
      <c r="E33" s="17">
        <v>1604435</v>
      </c>
      <c r="F33" s="17" t="s">
        <v>23</v>
      </c>
      <c r="G33" s="72">
        <v>20426130</v>
      </c>
      <c r="H33" s="17" t="s">
        <v>50</v>
      </c>
      <c r="I33" s="72">
        <v>1</v>
      </c>
      <c r="J33" s="73">
        <v>71.5</v>
      </c>
      <c r="K33" s="73">
        <v>71.5</v>
      </c>
    </row>
    <row r="34" spans="4:11">
      <c r="D34" s="71">
        <v>46162</v>
      </c>
      <c r="E34" s="17">
        <v>1604611</v>
      </c>
      <c r="F34" s="17" t="s">
        <v>19</v>
      </c>
      <c r="G34" s="72">
        <v>20420602</v>
      </c>
      <c r="H34" s="17" t="s">
        <v>45</v>
      </c>
      <c r="I34" s="72">
        <v>2</v>
      </c>
      <c r="J34" s="73">
        <v>22</v>
      </c>
      <c r="K34" s="73">
        <v>44</v>
      </c>
    </row>
    <row r="35" spans="4:11">
      <c r="D35" s="71">
        <v>46163</v>
      </c>
      <c r="E35" s="17">
        <v>1605205</v>
      </c>
      <c r="F35" s="17" t="s">
        <v>23</v>
      </c>
      <c r="G35" s="72">
        <v>20419727</v>
      </c>
      <c r="H35" s="17" t="s">
        <v>42</v>
      </c>
      <c r="I35" s="72">
        <v>2</v>
      </c>
      <c r="J35" s="73">
        <v>71.5</v>
      </c>
      <c r="K35" s="73">
        <v>143</v>
      </c>
    </row>
    <row r="36" spans="4:11">
      <c r="D36" s="71">
        <v>46164</v>
      </c>
      <c r="E36" s="17">
        <v>1605364</v>
      </c>
      <c r="F36" s="17" t="s">
        <v>13</v>
      </c>
      <c r="G36" s="72">
        <v>20418983</v>
      </c>
      <c r="H36" s="17" t="s">
        <v>40</v>
      </c>
      <c r="I36" s="72">
        <v>1</v>
      </c>
      <c r="J36" s="73">
        <v>16.5</v>
      </c>
      <c r="K36" s="73">
        <v>16.5</v>
      </c>
    </row>
    <row r="37" spans="4:11">
      <c r="D37" s="71">
        <v>46164</v>
      </c>
      <c r="E37" s="17">
        <v>1605364</v>
      </c>
      <c r="F37" s="17" t="s">
        <v>13</v>
      </c>
      <c r="G37" s="72">
        <v>20418998</v>
      </c>
      <c r="H37" s="17" t="s">
        <v>41</v>
      </c>
      <c r="I37" s="72">
        <v>1</v>
      </c>
      <c r="J37" s="73">
        <v>8</v>
      </c>
      <c r="K37" s="73">
        <v>8</v>
      </c>
    </row>
    <row r="38" spans="4:11">
      <c r="D38" s="71">
        <v>46164</v>
      </c>
      <c r="E38" s="17">
        <v>1605364</v>
      </c>
      <c r="F38" s="17" t="s">
        <v>13</v>
      </c>
      <c r="G38" s="72">
        <v>20419014</v>
      </c>
      <c r="H38" s="17" t="s">
        <v>16</v>
      </c>
      <c r="I38" s="72">
        <v>2</v>
      </c>
      <c r="J38" s="73">
        <v>8</v>
      </c>
      <c r="K38" s="73">
        <v>16</v>
      </c>
    </row>
    <row r="39" spans="4:11">
      <c r="D39" s="71">
        <v>46167</v>
      </c>
      <c r="E39" s="17">
        <v>1606147</v>
      </c>
      <c r="F39" s="17" t="s">
        <v>23</v>
      </c>
      <c r="G39" s="72">
        <v>20419727</v>
      </c>
      <c r="H39" s="17" t="s">
        <v>42</v>
      </c>
      <c r="I39" s="72">
        <v>1</v>
      </c>
      <c r="J39" s="73">
        <v>71.5</v>
      </c>
      <c r="K39" s="73">
        <v>71.5</v>
      </c>
    </row>
    <row r="40" spans="4:11">
      <c r="D40" s="71">
        <v>46168</v>
      </c>
      <c r="E40" s="17">
        <v>1606546</v>
      </c>
      <c r="F40" s="17" t="s">
        <v>23</v>
      </c>
      <c r="G40" s="72">
        <v>20419727</v>
      </c>
      <c r="H40" s="17" t="s">
        <v>42</v>
      </c>
      <c r="I40" s="72">
        <v>1</v>
      </c>
      <c r="J40" s="73">
        <v>71.5</v>
      </c>
      <c r="K40" s="73">
        <v>71.5</v>
      </c>
    </row>
    <row r="41" spans="4:11">
      <c r="D41" s="71">
        <v>46168</v>
      </c>
      <c r="E41" s="17">
        <v>1606546</v>
      </c>
      <c r="F41" s="17" t="s">
        <v>23</v>
      </c>
      <c r="G41" s="72">
        <v>20418984</v>
      </c>
      <c r="H41" s="17" t="s">
        <v>43</v>
      </c>
      <c r="I41" s="72">
        <v>3</v>
      </c>
      <c r="J41" s="73">
        <v>38.5</v>
      </c>
      <c r="K41" s="73">
        <v>115.5</v>
      </c>
    </row>
    <row r="42" spans="4:11">
      <c r="D42" s="71">
        <v>46172</v>
      </c>
      <c r="E42" s="17">
        <v>1607898</v>
      </c>
      <c r="F42" s="17" t="s">
        <v>23</v>
      </c>
      <c r="G42" s="72">
        <v>20419727</v>
      </c>
      <c r="H42" s="17" t="s">
        <v>42</v>
      </c>
      <c r="I42" s="72">
        <v>4</v>
      </c>
      <c r="J42" s="73">
        <v>71.5</v>
      </c>
      <c r="K42" s="73">
        <v>286</v>
      </c>
    </row>
    <row r="43" spans="4:11">
      <c r="D43" s="71">
        <v>46172</v>
      </c>
      <c r="E43" s="17">
        <v>1607898</v>
      </c>
      <c r="F43" s="17" t="s">
        <v>23</v>
      </c>
      <c r="G43" s="72">
        <v>20418984</v>
      </c>
      <c r="H43" s="17" t="s">
        <v>43</v>
      </c>
      <c r="I43" s="72">
        <v>1</v>
      </c>
      <c r="J43" s="73">
        <v>38.5</v>
      </c>
      <c r="K43" s="73">
        <v>38.5</v>
      </c>
    </row>
    <row r="44" ht="0.05" customHeight="1"/>
  </sheetData>
  <autoFilter xmlns:etc="http://www.wps.cn/officeDocument/2017/etCustomData" ref="A7:K43" etc:filterBottomFollowUsedRange="0">
    <extLst/>
  </autoFilter>
  <mergeCells count="5">
    <mergeCell ref="D8:H8"/>
    <mergeCell ref="C7:C43"/>
    <mergeCell ref="B4:H5"/>
    <mergeCell ref="A7:B4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13:39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63" t="s">
        <v>2</v>
      </c>
      <c r="B7" s="64" t="s">
        <v>2</v>
      </c>
      <c r="C7" s="65" t="s">
        <v>2</v>
      </c>
      <c r="D7" s="66" t="s">
        <v>4</v>
      </c>
      <c r="E7" s="66" t="s">
        <v>5</v>
      </c>
      <c r="F7" s="66" t="s">
        <v>6</v>
      </c>
      <c r="G7" s="66" t="s">
        <v>7</v>
      </c>
      <c r="H7" s="66" t="s">
        <v>8</v>
      </c>
      <c r="I7" s="66" t="s">
        <v>9</v>
      </c>
      <c r="J7" s="66" t="s">
        <v>10</v>
      </c>
      <c r="K7" s="66" t="s">
        <v>11</v>
      </c>
    </row>
    <row r="8" ht="14.25" spans="1:11">
      <c r="D8" s="67" t="s">
        <v>51</v>
      </c>
      <c r="E8" s="68" t="s">
        <v>2</v>
      </c>
      <c r="F8" s="68" t="s">
        <v>2</v>
      </c>
      <c r="G8" s="68" t="s">
        <v>2</v>
      </c>
      <c r="H8" s="68" t="s">
        <v>2</v>
      </c>
      <c r="I8" s="69">
        <v>174</v>
      </c>
      <c r="J8" s="70"/>
      <c r="K8" s="70">
        <f>SUM(K9:K117)</f>
        <v>1590.5</v>
      </c>
    </row>
    <row r="9" spans="1:11">
      <c r="D9" s="71">
        <v>46148</v>
      </c>
      <c r="E9" s="17">
        <v>1600497</v>
      </c>
      <c r="F9" s="17" t="s">
        <v>13</v>
      </c>
      <c r="G9" s="72">
        <v>20423646</v>
      </c>
      <c r="H9" s="17" t="s">
        <v>52</v>
      </c>
      <c r="I9" s="72">
        <v>1</v>
      </c>
      <c r="J9" s="73">
        <v>13.5</v>
      </c>
      <c r="K9" s="74">
        <f>J9*I9</f>
        <v>13.5</v>
      </c>
    </row>
    <row r="10" spans="1:11">
      <c r="D10" s="71">
        <v>46148</v>
      </c>
      <c r="E10" s="17">
        <v>1600497</v>
      </c>
      <c r="F10" s="17" t="s">
        <v>13</v>
      </c>
      <c r="G10" s="72">
        <v>20418998</v>
      </c>
      <c r="H10" s="17" t="s">
        <v>41</v>
      </c>
      <c r="I10" s="72">
        <v>1</v>
      </c>
      <c r="J10" s="73">
        <v>8</v>
      </c>
      <c r="K10" s="74">
        <f t="shared" ref="K10:K41" si="0">J10*I10</f>
        <v>8</v>
      </c>
    </row>
    <row r="11" spans="1:11">
      <c r="D11" s="71">
        <v>46148</v>
      </c>
      <c r="E11" s="17">
        <v>1600497</v>
      </c>
      <c r="F11" s="17" t="s">
        <v>13</v>
      </c>
      <c r="G11" s="72">
        <v>20420404</v>
      </c>
      <c r="H11" s="17" t="s">
        <v>53</v>
      </c>
      <c r="I11" s="72">
        <v>1</v>
      </c>
      <c r="J11" s="73">
        <v>8</v>
      </c>
      <c r="K11" s="74">
        <f t="shared" si="0"/>
        <v>8</v>
      </c>
    </row>
    <row r="12" spans="1:11">
      <c r="D12" s="71">
        <v>46148</v>
      </c>
      <c r="E12" s="17">
        <v>1600497</v>
      </c>
      <c r="F12" s="17" t="s">
        <v>13</v>
      </c>
      <c r="G12" s="72">
        <v>20421263</v>
      </c>
      <c r="H12" s="17" t="s">
        <v>54</v>
      </c>
      <c r="I12" s="72">
        <v>1</v>
      </c>
      <c r="J12" s="73">
        <v>8</v>
      </c>
      <c r="K12" s="74">
        <f t="shared" si="0"/>
        <v>8</v>
      </c>
    </row>
    <row r="13" spans="1:11">
      <c r="D13" s="71">
        <v>46148</v>
      </c>
      <c r="E13" s="17">
        <v>1600497</v>
      </c>
      <c r="F13" s="17" t="s">
        <v>13</v>
      </c>
      <c r="G13" s="72">
        <v>20419002</v>
      </c>
      <c r="H13" s="17" t="s">
        <v>55</v>
      </c>
      <c r="I13" s="72">
        <v>1</v>
      </c>
      <c r="J13" s="73">
        <v>8</v>
      </c>
      <c r="K13" s="74">
        <f t="shared" si="0"/>
        <v>8</v>
      </c>
    </row>
    <row r="14" spans="1:11">
      <c r="D14" s="71">
        <v>46148</v>
      </c>
      <c r="E14" s="17">
        <v>1600497</v>
      </c>
      <c r="F14" s="17" t="s">
        <v>13</v>
      </c>
      <c r="G14" s="72">
        <v>20420403</v>
      </c>
      <c r="H14" s="17" t="s">
        <v>56</v>
      </c>
      <c r="I14" s="72">
        <v>1</v>
      </c>
      <c r="J14" s="73">
        <v>8</v>
      </c>
      <c r="K14" s="74">
        <f t="shared" si="0"/>
        <v>8</v>
      </c>
    </row>
    <row r="15" spans="1:11">
      <c r="D15" s="71">
        <v>46148</v>
      </c>
      <c r="E15" s="17">
        <v>1600497</v>
      </c>
      <c r="F15" s="17" t="s">
        <v>13</v>
      </c>
      <c r="G15" s="72">
        <v>20418997</v>
      </c>
      <c r="H15" s="17" t="s">
        <v>46</v>
      </c>
      <c r="I15" s="72">
        <v>1</v>
      </c>
      <c r="J15" s="73">
        <v>8</v>
      </c>
      <c r="K15" s="74">
        <f t="shared" si="0"/>
        <v>8</v>
      </c>
    </row>
    <row r="16" spans="1:11">
      <c r="D16" s="71">
        <v>46148</v>
      </c>
      <c r="E16" s="17">
        <v>1600497</v>
      </c>
      <c r="F16" s="17" t="s">
        <v>13</v>
      </c>
      <c r="G16" s="72">
        <v>20420066</v>
      </c>
      <c r="H16" s="17" t="s">
        <v>57</v>
      </c>
      <c r="I16" s="72">
        <v>1</v>
      </c>
      <c r="J16" s="73">
        <v>13.5</v>
      </c>
      <c r="K16" s="74">
        <f t="shared" si="0"/>
        <v>13.5</v>
      </c>
    </row>
    <row r="17" spans="4:11">
      <c r="D17" s="71">
        <v>46148</v>
      </c>
      <c r="E17" s="17">
        <v>1600497</v>
      </c>
      <c r="F17" s="17" t="s">
        <v>13</v>
      </c>
      <c r="G17" s="72">
        <v>20424066</v>
      </c>
      <c r="H17" s="17" t="s">
        <v>58</v>
      </c>
      <c r="I17" s="72">
        <v>2</v>
      </c>
      <c r="J17" s="73">
        <v>16.5</v>
      </c>
      <c r="K17" s="74">
        <f t="shared" si="0"/>
        <v>33</v>
      </c>
    </row>
    <row r="18" spans="4:11">
      <c r="D18" s="71">
        <v>46148</v>
      </c>
      <c r="E18" s="17">
        <v>1600497</v>
      </c>
      <c r="F18" s="17" t="s">
        <v>13</v>
      </c>
      <c r="G18" s="72">
        <v>20418993</v>
      </c>
      <c r="H18" s="17" t="s">
        <v>59</v>
      </c>
      <c r="I18" s="72">
        <v>1</v>
      </c>
      <c r="J18" s="73">
        <v>8</v>
      </c>
      <c r="K18" s="74">
        <f t="shared" si="0"/>
        <v>8</v>
      </c>
    </row>
    <row r="19" spans="4:11">
      <c r="D19" s="71">
        <v>46148</v>
      </c>
      <c r="E19" s="17">
        <v>1600497</v>
      </c>
      <c r="F19" s="17" t="s">
        <v>13</v>
      </c>
      <c r="G19" s="72">
        <v>20418996</v>
      </c>
      <c r="H19" s="17" t="s">
        <v>60</v>
      </c>
      <c r="I19" s="72">
        <v>2</v>
      </c>
      <c r="J19" s="73">
        <v>8</v>
      </c>
      <c r="K19" s="74">
        <f t="shared" si="0"/>
        <v>16</v>
      </c>
    </row>
    <row r="20" spans="4:11">
      <c r="D20" s="71">
        <v>46148</v>
      </c>
      <c r="E20" s="17">
        <v>1600497</v>
      </c>
      <c r="F20" s="17" t="s">
        <v>13</v>
      </c>
      <c r="G20" s="72">
        <v>20420075</v>
      </c>
      <c r="H20" s="17" t="s">
        <v>61</v>
      </c>
      <c r="I20" s="72">
        <v>4</v>
      </c>
      <c r="J20" s="73">
        <v>8</v>
      </c>
      <c r="K20" s="74">
        <f t="shared" si="0"/>
        <v>32</v>
      </c>
    </row>
    <row r="21" spans="4:11">
      <c r="D21" s="71">
        <v>46148</v>
      </c>
      <c r="E21" s="17">
        <v>1600497</v>
      </c>
      <c r="F21" s="17" t="s">
        <v>13</v>
      </c>
      <c r="G21" s="72">
        <v>20421258</v>
      </c>
      <c r="H21" s="17" t="s">
        <v>62</v>
      </c>
      <c r="I21" s="72">
        <v>1</v>
      </c>
      <c r="J21" s="73">
        <v>8</v>
      </c>
      <c r="K21" s="74">
        <f t="shared" si="0"/>
        <v>8</v>
      </c>
    </row>
    <row r="22" spans="4:11">
      <c r="D22" s="71">
        <v>46148</v>
      </c>
      <c r="E22" s="17">
        <v>1600497</v>
      </c>
      <c r="F22" s="17" t="s">
        <v>13</v>
      </c>
      <c r="G22" s="72">
        <v>20419003</v>
      </c>
      <c r="H22" s="17" t="s">
        <v>63</v>
      </c>
      <c r="I22" s="72">
        <v>1</v>
      </c>
      <c r="J22" s="73">
        <v>8</v>
      </c>
      <c r="K22" s="74">
        <f t="shared" si="0"/>
        <v>8</v>
      </c>
    </row>
    <row r="23" spans="4:11">
      <c r="D23" s="71">
        <v>46149</v>
      </c>
      <c r="E23" s="17">
        <v>1600867</v>
      </c>
      <c r="F23" s="17" t="s">
        <v>13</v>
      </c>
      <c r="G23" s="72">
        <v>20423646</v>
      </c>
      <c r="H23" s="17" t="s">
        <v>52</v>
      </c>
      <c r="I23" s="72">
        <v>1</v>
      </c>
      <c r="J23" s="73">
        <v>13.5</v>
      </c>
      <c r="K23" s="74">
        <f t="shared" si="0"/>
        <v>13.5</v>
      </c>
    </row>
    <row r="24" spans="4:11">
      <c r="D24" s="71">
        <v>46149</v>
      </c>
      <c r="E24" s="17">
        <v>1600867</v>
      </c>
      <c r="F24" s="17" t="s">
        <v>13</v>
      </c>
      <c r="G24" s="72">
        <v>20419030</v>
      </c>
      <c r="H24" s="17" t="s">
        <v>14</v>
      </c>
      <c r="I24" s="72">
        <v>1</v>
      </c>
      <c r="J24" s="73">
        <v>8</v>
      </c>
      <c r="K24" s="74">
        <f t="shared" si="0"/>
        <v>8</v>
      </c>
    </row>
    <row r="25" spans="4:11">
      <c r="D25" s="71">
        <v>46149</v>
      </c>
      <c r="E25" s="17">
        <v>1600867</v>
      </c>
      <c r="F25" s="17" t="s">
        <v>13</v>
      </c>
      <c r="G25" s="72">
        <v>20418996</v>
      </c>
      <c r="H25" s="17" t="s">
        <v>60</v>
      </c>
      <c r="I25" s="72">
        <v>3</v>
      </c>
      <c r="J25" s="73">
        <v>8</v>
      </c>
      <c r="K25" s="74">
        <f t="shared" si="0"/>
        <v>24</v>
      </c>
    </row>
    <row r="26" spans="4:11">
      <c r="D26" s="71">
        <v>46149</v>
      </c>
      <c r="E26" s="17">
        <v>1600867</v>
      </c>
      <c r="F26" s="17" t="s">
        <v>13</v>
      </c>
      <c r="G26" s="72">
        <v>20420075</v>
      </c>
      <c r="H26" s="17" t="s">
        <v>61</v>
      </c>
      <c r="I26" s="72">
        <v>4</v>
      </c>
      <c r="J26" s="73">
        <v>8</v>
      </c>
      <c r="K26" s="74">
        <f t="shared" si="0"/>
        <v>32</v>
      </c>
    </row>
    <row r="27" spans="4:11">
      <c r="D27" s="71">
        <v>46153</v>
      </c>
      <c r="E27" s="17">
        <v>1602052</v>
      </c>
      <c r="F27" s="17" t="s">
        <v>13</v>
      </c>
      <c r="G27" s="72">
        <v>20418992</v>
      </c>
      <c r="H27" s="17" t="s">
        <v>64</v>
      </c>
      <c r="I27" s="72">
        <v>1</v>
      </c>
      <c r="J27" s="73">
        <v>8</v>
      </c>
      <c r="K27" s="74">
        <f t="shared" si="0"/>
        <v>8</v>
      </c>
    </row>
    <row r="28" spans="4:11">
      <c r="D28" s="71">
        <v>46153</v>
      </c>
      <c r="E28" s="17">
        <v>1602052</v>
      </c>
      <c r="F28" s="17" t="s">
        <v>13</v>
      </c>
      <c r="G28" s="72">
        <v>20421255</v>
      </c>
      <c r="H28" s="17" t="s">
        <v>65</v>
      </c>
      <c r="I28" s="72">
        <v>1</v>
      </c>
      <c r="J28" s="73">
        <v>8</v>
      </c>
      <c r="K28" s="74">
        <f t="shared" si="0"/>
        <v>8</v>
      </c>
    </row>
    <row r="29" spans="4:11">
      <c r="D29" s="71">
        <v>46153</v>
      </c>
      <c r="E29" s="17">
        <v>1602052</v>
      </c>
      <c r="F29" s="17" t="s">
        <v>13</v>
      </c>
      <c r="G29" s="72">
        <v>20420065</v>
      </c>
      <c r="H29" s="17" t="s">
        <v>66</v>
      </c>
      <c r="I29" s="72">
        <v>1</v>
      </c>
      <c r="J29" s="74">
        <v>22</v>
      </c>
      <c r="K29" s="74">
        <f t="shared" si="0"/>
        <v>22</v>
      </c>
    </row>
    <row r="30" spans="4:11">
      <c r="D30" s="71">
        <v>46153</v>
      </c>
      <c r="E30" s="17">
        <v>1602052</v>
      </c>
      <c r="F30" s="17" t="s">
        <v>13</v>
      </c>
      <c r="G30" s="72">
        <v>20420404</v>
      </c>
      <c r="H30" s="17" t="s">
        <v>53</v>
      </c>
      <c r="I30" s="72">
        <v>1</v>
      </c>
      <c r="J30" s="73">
        <v>8</v>
      </c>
      <c r="K30" s="74">
        <f t="shared" si="0"/>
        <v>8</v>
      </c>
    </row>
    <row r="31" spans="4:11">
      <c r="D31" s="71">
        <v>46153</v>
      </c>
      <c r="E31" s="17">
        <v>1602052</v>
      </c>
      <c r="F31" s="17" t="s">
        <v>13</v>
      </c>
      <c r="G31" s="72">
        <v>20419002</v>
      </c>
      <c r="H31" s="17" t="s">
        <v>55</v>
      </c>
      <c r="I31" s="72">
        <v>1</v>
      </c>
      <c r="J31" s="73">
        <v>8</v>
      </c>
      <c r="K31" s="74">
        <f t="shared" si="0"/>
        <v>8</v>
      </c>
    </row>
    <row r="32" spans="4:11">
      <c r="D32" s="71">
        <v>46153</v>
      </c>
      <c r="E32" s="17">
        <v>1602052</v>
      </c>
      <c r="F32" s="17" t="s">
        <v>13</v>
      </c>
      <c r="G32" s="72">
        <v>20424066</v>
      </c>
      <c r="H32" s="17" t="s">
        <v>58</v>
      </c>
      <c r="I32" s="72">
        <v>2</v>
      </c>
      <c r="J32" s="73">
        <v>16.5</v>
      </c>
      <c r="K32" s="74">
        <f t="shared" si="0"/>
        <v>33</v>
      </c>
    </row>
    <row r="33" spans="4:11">
      <c r="D33" s="71">
        <v>46153</v>
      </c>
      <c r="E33" s="17">
        <v>1602052</v>
      </c>
      <c r="F33" s="17" t="s">
        <v>13</v>
      </c>
      <c r="G33" s="72">
        <v>20418993</v>
      </c>
      <c r="H33" s="17" t="s">
        <v>59</v>
      </c>
      <c r="I33" s="72">
        <v>1</v>
      </c>
      <c r="J33" s="73">
        <v>8</v>
      </c>
      <c r="K33" s="74">
        <f t="shared" si="0"/>
        <v>8</v>
      </c>
    </row>
    <row r="34" spans="4:11">
      <c r="D34" s="71">
        <v>46153</v>
      </c>
      <c r="E34" s="17">
        <v>1602052</v>
      </c>
      <c r="F34" s="17" t="s">
        <v>13</v>
      </c>
      <c r="G34" s="72">
        <v>20419030</v>
      </c>
      <c r="H34" s="17" t="s">
        <v>14</v>
      </c>
      <c r="I34" s="72">
        <v>1</v>
      </c>
      <c r="J34" s="73">
        <v>8</v>
      </c>
      <c r="K34" s="74">
        <f t="shared" si="0"/>
        <v>8</v>
      </c>
    </row>
    <row r="35" spans="4:11">
      <c r="D35" s="71">
        <v>46153</v>
      </c>
      <c r="E35" s="17">
        <v>1602052</v>
      </c>
      <c r="F35" s="17" t="s">
        <v>13</v>
      </c>
      <c r="G35" s="72">
        <v>20418996</v>
      </c>
      <c r="H35" s="17" t="s">
        <v>60</v>
      </c>
      <c r="I35" s="72">
        <v>4</v>
      </c>
      <c r="J35" s="73">
        <v>8</v>
      </c>
      <c r="K35" s="74">
        <f t="shared" si="0"/>
        <v>32</v>
      </c>
    </row>
    <row r="36" spans="4:11">
      <c r="D36" s="71">
        <v>46153</v>
      </c>
      <c r="E36" s="17">
        <v>1602052</v>
      </c>
      <c r="F36" s="17" t="s">
        <v>13</v>
      </c>
      <c r="G36" s="72">
        <v>20420075</v>
      </c>
      <c r="H36" s="17" t="s">
        <v>61</v>
      </c>
      <c r="I36" s="72">
        <v>3</v>
      </c>
      <c r="J36" s="73">
        <v>8</v>
      </c>
      <c r="K36" s="74">
        <f t="shared" si="0"/>
        <v>24</v>
      </c>
    </row>
    <row r="37" spans="4:11">
      <c r="D37" s="71">
        <v>46153</v>
      </c>
      <c r="E37" s="17">
        <v>1602052</v>
      </c>
      <c r="F37" s="17" t="s">
        <v>13</v>
      </c>
      <c r="G37" s="72">
        <v>20421258</v>
      </c>
      <c r="H37" s="17" t="s">
        <v>62</v>
      </c>
      <c r="I37" s="72">
        <v>1</v>
      </c>
      <c r="J37" s="73">
        <v>8</v>
      </c>
      <c r="K37" s="74">
        <f t="shared" si="0"/>
        <v>8</v>
      </c>
    </row>
    <row r="38" spans="4:11">
      <c r="D38" s="71">
        <v>46153</v>
      </c>
      <c r="E38" s="17">
        <v>1602052</v>
      </c>
      <c r="F38" s="17" t="s">
        <v>13</v>
      </c>
      <c r="G38" s="72">
        <v>20418995</v>
      </c>
      <c r="H38" s="17" t="s">
        <v>67</v>
      </c>
      <c r="I38" s="72">
        <v>1</v>
      </c>
      <c r="J38" s="73">
        <v>8</v>
      </c>
      <c r="K38" s="74">
        <f t="shared" si="0"/>
        <v>8</v>
      </c>
    </row>
    <row r="39" spans="4:11">
      <c r="D39" s="71">
        <v>46153</v>
      </c>
      <c r="E39" s="17">
        <v>1602052</v>
      </c>
      <c r="F39" s="17" t="s">
        <v>13</v>
      </c>
      <c r="G39" s="72">
        <v>20419003</v>
      </c>
      <c r="H39" s="17" t="s">
        <v>63</v>
      </c>
      <c r="I39" s="72">
        <v>1</v>
      </c>
      <c r="J39" s="73">
        <v>8</v>
      </c>
      <c r="K39" s="74">
        <f t="shared" si="0"/>
        <v>8</v>
      </c>
    </row>
    <row r="40" spans="4:11">
      <c r="D40" s="71">
        <v>46160</v>
      </c>
      <c r="E40" s="17">
        <v>1604074</v>
      </c>
      <c r="F40" s="17" t="s">
        <v>13</v>
      </c>
      <c r="G40" s="72">
        <v>20421255</v>
      </c>
      <c r="H40" s="17" t="s">
        <v>65</v>
      </c>
      <c r="I40" s="72">
        <v>1</v>
      </c>
      <c r="J40" s="73">
        <v>8</v>
      </c>
      <c r="K40" s="74">
        <f t="shared" si="0"/>
        <v>8</v>
      </c>
    </row>
    <row r="41" spans="4:11">
      <c r="D41" s="71">
        <v>46160</v>
      </c>
      <c r="E41" s="17">
        <v>1604074</v>
      </c>
      <c r="F41" s="17" t="s">
        <v>13</v>
      </c>
      <c r="G41" s="72">
        <v>20420065</v>
      </c>
      <c r="H41" s="17" t="s">
        <v>68</v>
      </c>
      <c r="I41" s="72">
        <v>1</v>
      </c>
      <c r="J41" s="73">
        <v>38.5</v>
      </c>
      <c r="K41" s="74">
        <f t="shared" si="0"/>
        <v>38.5</v>
      </c>
    </row>
    <row r="42" spans="4:11">
      <c r="D42" s="71">
        <v>46160</v>
      </c>
      <c r="E42" s="17">
        <v>1604074</v>
      </c>
      <c r="F42" s="17" t="s">
        <v>13</v>
      </c>
      <c r="G42" s="72">
        <v>20426003</v>
      </c>
      <c r="H42" s="17" t="s">
        <v>69</v>
      </c>
      <c r="I42" s="72">
        <v>1</v>
      </c>
      <c r="J42" s="73">
        <v>8</v>
      </c>
      <c r="K42" s="74">
        <f t="shared" ref="K42:K73" si="1">J42*I42</f>
        <v>8</v>
      </c>
    </row>
    <row r="43" spans="4:11">
      <c r="D43" s="71">
        <v>46160</v>
      </c>
      <c r="E43" s="17">
        <v>1604074</v>
      </c>
      <c r="F43" s="17" t="s">
        <v>13</v>
      </c>
      <c r="G43" s="72">
        <v>20418998</v>
      </c>
      <c r="H43" s="17" t="s">
        <v>41</v>
      </c>
      <c r="I43" s="72">
        <v>1</v>
      </c>
      <c r="J43" s="73">
        <v>8</v>
      </c>
      <c r="K43" s="74">
        <f t="shared" si="1"/>
        <v>8</v>
      </c>
    </row>
    <row r="44" spans="4:11">
      <c r="D44" s="71">
        <v>46160</v>
      </c>
      <c r="E44" s="17">
        <v>1604074</v>
      </c>
      <c r="F44" s="17" t="s">
        <v>13</v>
      </c>
      <c r="G44" s="72">
        <v>20420404</v>
      </c>
      <c r="H44" s="17" t="s">
        <v>53</v>
      </c>
      <c r="I44" s="72">
        <v>1</v>
      </c>
      <c r="J44" s="73">
        <v>8</v>
      </c>
      <c r="K44" s="74">
        <f t="shared" si="1"/>
        <v>8</v>
      </c>
    </row>
    <row r="45" spans="4:11">
      <c r="D45" s="71">
        <v>46160</v>
      </c>
      <c r="E45" s="17">
        <v>1604074</v>
      </c>
      <c r="F45" s="17" t="s">
        <v>13</v>
      </c>
      <c r="G45" s="72">
        <v>20421263</v>
      </c>
      <c r="H45" s="17" t="s">
        <v>54</v>
      </c>
      <c r="I45" s="72">
        <v>2</v>
      </c>
      <c r="J45" s="73">
        <v>8</v>
      </c>
      <c r="K45" s="74">
        <f t="shared" si="1"/>
        <v>16</v>
      </c>
    </row>
    <row r="46" spans="4:11">
      <c r="D46" s="71">
        <v>46160</v>
      </c>
      <c r="E46" s="17">
        <v>1604074</v>
      </c>
      <c r="F46" s="17" t="s">
        <v>13</v>
      </c>
      <c r="G46" s="72">
        <v>20419002</v>
      </c>
      <c r="H46" s="17" t="s">
        <v>55</v>
      </c>
      <c r="I46" s="72">
        <v>2</v>
      </c>
      <c r="J46" s="73">
        <v>8</v>
      </c>
      <c r="K46" s="74">
        <f t="shared" si="1"/>
        <v>16</v>
      </c>
    </row>
    <row r="47" spans="4:11">
      <c r="D47" s="71">
        <v>46160</v>
      </c>
      <c r="E47" s="17">
        <v>1604074</v>
      </c>
      <c r="F47" s="17" t="s">
        <v>13</v>
      </c>
      <c r="G47" s="72">
        <v>20420403</v>
      </c>
      <c r="H47" s="17" t="s">
        <v>56</v>
      </c>
      <c r="I47" s="72">
        <v>2</v>
      </c>
      <c r="J47" s="73">
        <v>8</v>
      </c>
      <c r="K47" s="74">
        <f t="shared" si="1"/>
        <v>16</v>
      </c>
    </row>
    <row r="48" spans="4:11">
      <c r="D48" s="71">
        <v>46160</v>
      </c>
      <c r="E48" s="17">
        <v>1604074</v>
      </c>
      <c r="F48" s="17" t="s">
        <v>13</v>
      </c>
      <c r="G48" s="72">
        <v>20426004</v>
      </c>
      <c r="H48" s="17" t="s">
        <v>70</v>
      </c>
      <c r="I48" s="72">
        <v>1</v>
      </c>
      <c r="J48" s="73">
        <v>8</v>
      </c>
      <c r="K48" s="74">
        <f t="shared" si="1"/>
        <v>8</v>
      </c>
    </row>
    <row r="49" spans="4:11">
      <c r="D49" s="71">
        <v>46160</v>
      </c>
      <c r="E49" s="17">
        <v>1604074</v>
      </c>
      <c r="F49" s="17" t="s">
        <v>13</v>
      </c>
      <c r="G49" s="72">
        <v>20418997</v>
      </c>
      <c r="H49" s="17" t="s">
        <v>46</v>
      </c>
      <c r="I49" s="72">
        <v>2</v>
      </c>
      <c r="J49" s="73">
        <v>8</v>
      </c>
      <c r="K49" s="74">
        <f t="shared" si="1"/>
        <v>16</v>
      </c>
    </row>
    <row r="50" spans="4:11">
      <c r="D50" s="71">
        <v>46160</v>
      </c>
      <c r="E50" s="17">
        <v>1604074</v>
      </c>
      <c r="F50" s="17" t="s">
        <v>13</v>
      </c>
      <c r="G50" s="72">
        <v>20424066</v>
      </c>
      <c r="H50" s="17" t="s">
        <v>58</v>
      </c>
      <c r="I50" s="72">
        <v>1</v>
      </c>
      <c r="J50" s="73">
        <v>16.5</v>
      </c>
      <c r="K50" s="74">
        <f t="shared" si="1"/>
        <v>16.5</v>
      </c>
    </row>
    <row r="51" spans="4:11">
      <c r="D51" s="71">
        <v>46160</v>
      </c>
      <c r="E51" s="17">
        <v>1604074</v>
      </c>
      <c r="F51" s="17" t="s">
        <v>13</v>
      </c>
      <c r="G51" s="72">
        <v>20418996</v>
      </c>
      <c r="H51" s="17" t="s">
        <v>60</v>
      </c>
      <c r="I51" s="72">
        <v>7</v>
      </c>
      <c r="J51" s="73">
        <v>8</v>
      </c>
      <c r="K51" s="74">
        <f t="shared" si="1"/>
        <v>56</v>
      </c>
    </row>
    <row r="52" spans="4:11">
      <c r="D52" s="71">
        <v>46160</v>
      </c>
      <c r="E52" s="17">
        <v>1604074</v>
      </c>
      <c r="F52" s="17" t="s">
        <v>13</v>
      </c>
      <c r="G52" s="72">
        <v>20420075</v>
      </c>
      <c r="H52" s="17" t="s">
        <v>61</v>
      </c>
      <c r="I52" s="72">
        <v>7</v>
      </c>
      <c r="J52" s="73">
        <v>8</v>
      </c>
      <c r="K52" s="74">
        <f t="shared" si="1"/>
        <v>56</v>
      </c>
    </row>
    <row r="53" spans="4:11">
      <c r="D53" s="71">
        <v>46160</v>
      </c>
      <c r="E53" s="17">
        <v>1604074</v>
      </c>
      <c r="F53" s="17" t="s">
        <v>13</v>
      </c>
      <c r="G53" s="72">
        <v>20418995</v>
      </c>
      <c r="H53" s="17" t="s">
        <v>67</v>
      </c>
      <c r="I53" s="72">
        <v>1</v>
      </c>
      <c r="J53" s="73">
        <v>8</v>
      </c>
      <c r="K53" s="74">
        <f t="shared" si="1"/>
        <v>8</v>
      </c>
    </row>
    <row r="54" spans="4:11">
      <c r="D54" s="71">
        <v>46160</v>
      </c>
      <c r="E54" s="17">
        <v>1604074</v>
      </c>
      <c r="F54" s="17" t="s">
        <v>13</v>
      </c>
      <c r="G54" s="72">
        <v>20419003</v>
      </c>
      <c r="H54" s="17" t="s">
        <v>63</v>
      </c>
      <c r="I54" s="72">
        <v>3</v>
      </c>
      <c r="J54" s="73">
        <v>8</v>
      </c>
      <c r="K54" s="74">
        <f t="shared" si="1"/>
        <v>24</v>
      </c>
    </row>
    <row r="55" spans="4:11">
      <c r="D55" s="71">
        <v>46161</v>
      </c>
      <c r="E55" s="17">
        <v>1604436</v>
      </c>
      <c r="F55" s="17" t="s">
        <v>13</v>
      </c>
      <c r="G55" s="72">
        <v>20423646</v>
      </c>
      <c r="H55" s="17" t="s">
        <v>52</v>
      </c>
      <c r="I55" s="72">
        <v>1</v>
      </c>
      <c r="J55" s="73">
        <v>13.5</v>
      </c>
      <c r="K55" s="74">
        <f t="shared" si="1"/>
        <v>13.5</v>
      </c>
    </row>
    <row r="56" spans="4:11">
      <c r="D56" s="71">
        <v>46161</v>
      </c>
      <c r="E56" s="17">
        <v>1604436</v>
      </c>
      <c r="F56" s="17" t="s">
        <v>13</v>
      </c>
      <c r="G56" s="72">
        <v>20418998</v>
      </c>
      <c r="H56" s="17" t="s">
        <v>41</v>
      </c>
      <c r="I56" s="72">
        <v>1</v>
      </c>
      <c r="J56" s="73">
        <v>8</v>
      </c>
      <c r="K56" s="74">
        <f t="shared" si="1"/>
        <v>8</v>
      </c>
    </row>
    <row r="57" spans="4:11">
      <c r="D57" s="71">
        <v>46161</v>
      </c>
      <c r="E57" s="17">
        <v>1604436</v>
      </c>
      <c r="F57" s="17" t="s">
        <v>13</v>
      </c>
      <c r="G57" s="72">
        <v>20421263</v>
      </c>
      <c r="H57" s="17" t="s">
        <v>54</v>
      </c>
      <c r="I57" s="72">
        <v>1</v>
      </c>
      <c r="J57" s="73">
        <v>8</v>
      </c>
      <c r="K57" s="74">
        <f t="shared" si="1"/>
        <v>8</v>
      </c>
    </row>
    <row r="58" spans="4:11">
      <c r="D58" s="71">
        <v>46161</v>
      </c>
      <c r="E58" s="17">
        <v>1604436</v>
      </c>
      <c r="F58" s="17" t="s">
        <v>13</v>
      </c>
      <c r="G58" s="72">
        <v>20418997</v>
      </c>
      <c r="H58" s="17" t="s">
        <v>46</v>
      </c>
      <c r="I58" s="72">
        <v>1</v>
      </c>
      <c r="J58" s="73">
        <v>8</v>
      </c>
      <c r="K58" s="74">
        <f t="shared" si="1"/>
        <v>8</v>
      </c>
    </row>
    <row r="59" spans="4:11">
      <c r="D59" s="71">
        <v>46161</v>
      </c>
      <c r="E59" s="17">
        <v>1604436</v>
      </c>
      <c r="F59" s="17" t="s">
        <v>13</v>
      </c>
      <c r="G59" s="72">
        <v>20420066</v>
      </c>
      <c r="H59" s="17" t="s">
        <v>57</v>
      </c>
      <c r="I59" s="72">
        <v>1</v>
      </c>
      <c r="J59" s="73">
        <v>13.5</v>
      </c>
      <c r="K59" s="74">
        <f t="shared" si="1"/>
        <v>13.5</v>
      </c>
    </row>
    <row r="60" spans="4:11">
      <c r="D60" s="71">
        <v>46161</v>
      </c>
      <c r="E60" s="17">
        <v>1604436</v>
      </c>
      <c r="F60" s="17" t="s">
        <v>13</v>
      </c>
      <c r="G60" s="72">
        <v>20424066</v>
      </c>
      <c r="H60" s="17" t="s">
        <v>58</v>
      </c>
      <c r="I60" s="72">
        <v>2</v>
      </c>
      <c r="J60" s="73">
        <v>16.5</v>
      </c>
      <c r="K60" s="74">
        <f t="shared" si="1"/>
        <v>33</v>
      </c>
    </row>
    <row r="61" spans="4:11">
      <c r="D61" s="71">
        <v>46161</v>
      </c>
      <c r="E61" s="17">
        <v>1604436</v>
      </c>
      <c r="F61" s="17" t="s">
        <v>13</v>
      </c>
      <c r="G61" s="72">
        <v>20418991</v>
      </c>
      <c r="H61" s="17" t="s">
        <v>71</v>
      </c>
      <c r="I61" s="72">
        <v>1</v>
      </c>
      <c r="J61" s="73">
        <v>13.5</v>
      </c>
      <c r="K61" s="74">
        <f t="shared" si="1"/>
        <v>13.5</v>
      </c>
    </row>
    <row r="62" spans="4:11">
      <c r="D62" s="71">
        <v>46161</v>
      </c>
      <c r="E62" s="17">
        <v>1604436</v>
      </c>
      <c r="F62" s="17" t="s">
        <v>13</v>
      </c>
      <c r="G62" s="72">
        <v>20418996</v>
      </c>
      <c r="H62" s="17" t="s">
        <v>60</v>
      </c>
      <c r="I62" s="72">
        <v>2</v>
      </c>
      <c r="J62" s="73">
        <v>8</v>
      </c>
      <c r="K62" s="74">
        <f t="shared" si="1"/>
        <v>16</v>
      </c>
    </row>
    <row r="63" spans="4:11">
      <c r="D63" s="71">
        <v>46161</v>
      </c>
      <c r="E63" s="17">
        <v>1604436</v>
      </c>
      <c r="F63" s="17" t="s">
        <v>13</v>
      </c>
      <c r="G63" s="72">
        <v>20420075</v>
      </c>
      <c r="H63" s="17" t="s">
        <v>61</v>
      </c>
      <c r="I63" s="72">
        <v>4</v>
      </c>
      <c r="J63" s="73">
        <v>8</v>
      </c>
      <c r="K63" s="74">
        <f t="shared" si="1"/>
        <v>32</v>
      </c>
    </row>
    <row r="64" spans="4:11">
      <c r="D64" s="71">
        <v>46161</v>
      </c>
      <c r="E64" s="17">
        <v>1604436</v>
      </c>
      <c r="F64" s="17" t="s">
        <v>13</v>
      </c>
      <c r="G64" s="72">
        <v>20421258</v>
      </c>
      <c r="H64" s="17" t="s">
        <v>62</v>
      </c>
      <c r="I64" s="72">
        <v>1</v>
      </c>
      <c r="J64" s="73">
        <v>8</v>
      </c>
      <c r="K64" s="74">
        <f t="shared" si="1"/>
        <v>8</v>
      </c>
    </row>
    <row r="65" spans="4:11">
      <c r="D65" s="71">
        <v>46162</v>
      </c>
      <c r="E65" s="17">
        <v>1604851</v>
      </c>
      <c r="F65" s="17" t="s">
        <v>13</v>
      </c>
      <c r="G65" s="72">
        <v>20418992</v>
      </c>
      <c r="H65" s="17" t="s">
        <v>64</v>
      </c>
      <c r="I65" s="72">
        <v>1</v>
      </c>
      <c r="J65" s="73">
        <v>8</v>
      </c>
      <c r="K65" s="74">
        <f t="shared" si="1"/>
        <v>8</v>
      </c>
    </row>
    <row r="66" spans="4:11">
      <c r="D66" s="71">
        <v>46162</v>
      </c>
      <c r="E66" s="17">
        <v>1604851</v>
      </c>
      <c r="F66" s="17" t="s">
        <v>13</v>
      </c>
      <c r="G66" s="72">
        <v>20421255</v>
      </c>
      <c r="H66" s="17" t="s">
        <v>65</v>
      </c>
      <c r="I66" s="72">
        <v>2</v>
      </c>
      <c r="J66" s="73">
        <v>8</v>
      </c>
      <c r="K66" s="74">
        <f t="shared" si="1"/>
        <v>16</v>
      </c>
    </row>
    <row r="67" spans="4:11">
      <c r="D67" s="71">
        <v>46162</v>
      </c>
      <c r="E67" s="17">
        <v>1604851</v>
      </c>
      <c r="F67" s="17" t="s">
        <v>13</v>
      </c>
      <c r="G67" s="72">
        <v>20426003</v>
      </c>
      <c r="H67" s="17" t="s">
        <v>72</v>
      </c>
      <c r="I67" s="72">
        <v>1</v>
      </c>
      <c r="J67" s="73">
        <v>8</v>
      </c>
      <c r="K67" s="74">
        <f t="shared" si="1"/>
        <v>8</v>
      </c>
    </row>
    <row r="68" spans="4:11">
      <c r="D68" s="71">
        <v>46162</v>
      </c>
      <c r="E68" s="17">
        <v>1604851</v>
      </c>
      <c r="F68" s="17" t="s">
        <v>13</v>
      </c>
      <c r="G68" s="72">
        <v>20420137</v>
      </c>
      <c r="H68" s="17" t="s">
        <v>73</v>
      </c>
      <c r="I68" s="72">
        <v>1</v>
      </c>
      <c r="J68" s="73">
        <v>8</v>
      </c>
      <c r="K68" s="74">
        <f t="shared" si="1"/>
        <v>8</v>
      </c>
    </row>
    <row r="69" spans="4:11">
      <c r="D69" s="71">
        <v>46162</v>
      </c>
      <c r="E69" s="17">
        <v>1604851</v>
      </c>
      <c r="F69" s="17" t="s">
        <v>13</v>
      </c>
      <c r="G69" s="72">
        <v>20420066</v>
      </c>
      <c r="H69" s="17" t="s">
        <v>57</v>
      </c>
      <c r="I69" s="72">
        <v>1</v>
      </c>
      <c r="J69" s="73">
        <v>13.5</v>
      </c>
      <c r="K69" s="74">
        <f t="shared" si="1"/>
        <v>13.5</v>
      </c>
    </row>
    <row r="70" spans="4:11">
      <c r="D70" s="71">
        <v>46162</v>
      </c>
      <c r="E70" s="17">
        <v>1604851</v>
      </c>
      <c r="F70" s="17" t="s">
        <v>13</v>
      </c>
      <c r="G70" s="72">
        <v>20418993</v>
      </c>
      <c r="H70" s="17" t="s">
        <v>59</v>
      </c>
      <c r="I70" s="72">
        <v>2</v>
      </c>
      <c r="J70" s="73">
        <v>8</v>
      </c>
      <c r="K70" s="74">
        <f t="shared" si="1"/>
        <v>16</v>
      </c>
    </row>
    <row r="71" spans="4:11">
      <c r="D71" s="71">
        <v>46162</v>
      </c>
      <c r="E71" s="17">
        <v>1604851</v>
      </c>
      <c r="F71" s="17" t="s">
        <v>13</v>
      </c>
      <c r="G71" s="72">
        <v>20418996</v>
      </c>
      <c r="H71" s="17" t="s">
        <v>60</v>
      </c>
      <c r="I71" s="72">
        <v>1</v>
      </c>
      <c r="J71" s="73">
        <v>8</v>
      </c>
      <c r="K71" s="74">
        <f t="shared" si="1"/>
        <v>8</v>
      </c>
    </row>
    <row r="72" spans="4:11">
      <c r="D72" s="71">
        <v>46162</v>
      </c>
      <c r="E72" s="17">
        <v>1604851</v>
      </c>
      <c r="F72" s="17" t="s">
        <v>13</v>
      </c>
      <c r="G72" s="72">
        <v>20420075</v>
      </c>
      <c r="H72" s="17" t="s">
        <v>61</v>
      </c>
      <c r="I72" s="72">
        <v>1</v>
      </c>
      <c r="J72" s="73">
        <v>8</v>
      </c>
      <c r="K72" s="74">
        <f t="shared" si="1"/>
        <v>8</v>
      </c>
    </row>
    <row r="73" spans="4:11">
      <c r="D73" s="71">
        <v>46162</v>
      </c>
      <c r="E73" s="17">
        <v>1604851</v>
      </c>
      <c r="F73" s="17" t="s">
        <v>13</v>
      </c>
      <c r="G73" s="72">
        <v>20421258</v>
      </c>
      <c r="H73" s="17" t="s">
        <v>62</v>
      </c>
      <c r="I73" s="72">
        <v>1</v>
      </c>
      <c r="J73" s="73">
        <v>8</v>
      </c>
      <c r="K73" s="74">
        <f t="shared" si="1"/>
        <v>8</v>
      </c>
    </row>
    <row r="74" spans="4:11">
      <c r="D74" s="71">
        <v>46162</v>
      </c>
      <c r="E74" s="17">
        <v>1604851</v>
      </c>
      <c r="F74" s="17" t="s">
        <v>13</v>
      </c>
      <c r="G74" s="72">
        <v>20418995</v>
      </c>
      <c r="H74" s="17" t="s">
        <v>67</v>
      </c>
      <c r="I74" s="72">
        <v>3</v>
      </c>
      <c r="J74" s="73">
        <v>8</v>
      </c>
      <c r="K74" s="74">
        <f t="shared" ref="K74:K117" si="2">J74*I74</f>
        <v>24</v>
      </c>
    </row>
    <row r="75" spans="4:11">
      <c r="D75" s="71">
        <v>46164</v>
      </c>
      <c r="E75" s="17">
        <v>1605647</v>
      </c>
      <c r="F75" s="17" t="s">
        <v>13</v>
      </c>
      <c r="G75" s="72">
        <v>20418992</v>
      </c>
      <c r="H75" s="17" t="s">
        <v>64</v>
      </c>
      <c r="I75" s="72">
        <v>1</v>
      </c>
      <c r="J75" s="73">
        <v>8</v>
      </c>
      <c r="K75" s="74">
        <f t="shared" si="2"/>
        <v>8</v>
      </c>
    </row>
    <row r="76" spans="4:11">
      <c r="D76" s="71">
        <v>46164</v>
      </c>
      <c r="E76" s="17">
        <v>1605647</v>
      </c>
      <c r="F76" s="17" t="s">
        <v>13</v>
      </c>
      <c r="G76" s="72">
        <v>20418998</v>
      </c>
      <c r="H76" s="17" t="s">
        <v>41</v>
      </c>
      <c r="I76" s="72">
        <v>1</v>
      </c>
      <c r="J76" s="73">
        <v>8</v>
      </c>
      <c r="K76" s="74">
        <f t="shared" si="2"/>
        <v>8</v>
      </c>
    </row>
    <row r="77" spans="4:11">
      <c r="D77" s="71">
        <v>46164</v>
      </c>
      <c r="E77" s="17">
        <v>1605647</v>
      </c>
      <c r="F77" s="17" t="s">
        <v>13</v>
      </c>
      <c r="G77" s="72">
        <v>20419019</v>
      </c>
      <c r="H77" s="17" t="s">
        <v>47</v>
      </c>
      <c r="I77" s="72">
        <v>1</v>
      </c>
      <c r="J77" s="73">
        <v>8</v>
      </c>
      <c r="K77" s="74">
        <f t="shared" si="2"/>
        <v>8</v>
      </c>
    </row>
    <row r="78" spans="4:11">
      <c r="D78" s="71">
        <v>46164</v>
      </c>
      <c r="E78" s="17">
        <v>1605647</v>
      </c>
      <c r="F78" s="17" t="s">
        <v>13</v>
      </c>
      <c r="G78" s="72">
        <v>20418997</v>
      </c>
      <c r="H78" s="17" t="s">
        <v>46</v>
      </c>
      <c r="I78" s="72">
        <v>2</v>
      </c>
      <c r="J78" s="73">
        <v>8</v>
      </c>
      <c r="K78" s="74">
        <f t="shared" si="2"/>
        <v>16</v>
      </c>
    </row>
    <row r="79" spans="4:11">
      <c r="D79" s="71">
        <v>46164</v>
      </c>
      <c r="E79" s="17">
        <v>1605647</v>
      </c>
      <c r="F79" s="17" t="s">
        <v>13</v>
      </c>
      <c r="G79" s="72">
        <v>20424066</v>
      </c>
      <c r="H79" s="17" t="s">
        <v>58</v>
      </c>
      <c r="I79" s="72">
        <v>1</v>
      </c>
      <c r="J79" s="73">
        <v>16.5</v>
      </c>
      <c r="K79" s="74">
        <f t="shared" si="2"/>
        <v>16.5</v>
      </c>
    </row>
    <row r="80" spans="4:11">
      <c r="D80" s="71">
        <v>46164</v>
      </c>
      <c r="E80" s="17">
        <v>1605647</v>
      </c>
      <c r="F80" s="17" t="s">
        <v>13</v>
      </c>
      <c r="G80" s="72">
        <v>20421258</v>
      </c>
      <c r="H80" s="17" t="s">
        <v>62</v>
      </c>
      <c r="I80" s="72">
        <v>1</v>
      </c>
      <c r="J80" s="73">
        <v>8</v>
      </c>
      <c r="K80" s="74">
        <f t="shared" si="2"/>
        <v>8</v>
      </c>
    </row>
    <row r="81" spans="4:11">
      <c r="D81" s="71">
        <v>46165</v>
      </c>
      <c r="E81" s="17">
        <v>1605844</v>
      </c>
      <c r="F81" s="17" t="s">
        <v>13</v>
      </c>
      <c r="G81" s="72">
        <v>20418992</v>
      </c>
      <c r="H81" s="17" t="s">
        <v>64</v>
      </c>
      <c r="I81" s="72">
        <v>5</v>
      </c>
      <c r="J81" s="73">
        <v>8</v>
      </c>
      <c r="K81" s="74">
        <f t="shared" si="2"/>
        <v>40</v>
      </c>
    </row>
    <row r="82" spans="4:11">
      <c r="D82" s="71">
        <v>46165</v>
      </c>
      <c r="E82" s="17">
        <v>1605844</v>
      </c>
      <c r="F82" s="17" t="s">
        <v>13</v>
      </c>
      <c r="G82" s="72">
        <v>20421255</v>
      </c>
      <c r="H82" s="17" t="s">
        <v>65</v>
      </c>
      <c r="I82" s="72">
        <v>2</v>
      </c>
      <c r="J82" s="73">
        <v>8</v>
      </c>
      <c r="K82" s="74">
        <f t="shared" si="2"/>
        <v>16</v>
      </c>
    </row>
    <row r="83" spans="4:11">
      <c r="D83" s="71">
        <v>46165</v>
      </c>
      <c r="E83" s="17">
        <v>1605844</v>
      </c>
      <c r="F83" s="17" t="s">
        <v>13</v>
      </c>
      <c r="G83" s="72">
        <v>20423646</v>
      </c>
      <c r="H83" s="17" t="s">
        <v>52</v>
      </c>
      <c r="I83" s="72">
        <v>1</v>
      </c>
      <c r="J83" s="73">
        <v>13.5</v>
      </c>
      <c r="K83" s="74">
        <f t="shared" si="2"/>
        <v>13.5</v>
      </c>
    </row>
    <row r="84" spans="4:11">
      <c r="D84" s="71">
        <v>46165</v>
      </c>
      <c r="E84" s="17">
        <v>1605844</v>
      </c>
      <c r="F84" s="17" t="s">
        <v>13</v>
      </c>
      <c r="G84" s="72">
        <v>20418998</v>
      </c>
      <c r="H84" s="17" t="s">
        <v>41</v>
      </c>
      <c r="I84" s="72">
        <v>1</v>
      </c>
      <c r="J84" s="73">
        <v>8</v>
      </c>
      <c r="K84" s="74">
        <f t="shared" si="2"/>
        <v>8</v>
      </c>
    </row>
    <row r="85" spans="4:11">
      <c r="D85" s="71">
        <v>46165</v>
      </c>
      <c r="E85" s="17">
        <v>1605844</v>
      </c>
      <c r="F85" s="17" t="s">
        <v>13</v>
      </c>
      <c r="G85" s="72">
        <v>20420404</v>
      </c>
      <c r="H85" s="17" t="s">
        <v>53</v>
      </c>
      <c r="I85" s="72">
        <v>1</v>
      </c>
      <c r="J85" s="73">
        <v>8</v>
      </c>
      <c r="K85" s="74">
        <f t="shared" si="2"/>
        <v>8</v>
      </c>
    </row>
    <row r="86" spans="4:11">
      <c r="D86" s="71">
        <v>46165</v>
      </c>
      <c r="E86" s="17">
        <v>1605844</v>
      </c>
      <c r="F86" s="17" t="s">
        <v>13</v>
      </c>
      <c r="G86" s="72">
        <v>20419002</v>
      </c>
      <c r="H86" s="17" t="s">
        <v>55</v>
      </c>
      <c r="I86" s="72">
        <v>1</v>
      </c>
      <c r="J86" s="73">
        <v>8</v>
      </c>
      <c r="K86" s="74">
        <f t="shared" si="2"/>
        <v>8</v>
      </c>
    </row>
    <row r="87" spans="4:11">
      <c r="D87" s="71">
        <v>46165</v>
      </c>
      <c r="E87" s="17">
        <v>1605844</v>
      </c>
      <c r="F87" s="17" t="s">
        <v>13</v>
      </c>
      <c r="G87" s="72">
        <v>20419019</v>
      </c>
      <c r="H87" s="17" t="s">
        <v>47</v>
      </c>
      <c r="I87" s="72">
        <v>3</v>
      </c>
      <c r="J87" s="73">
        <v>8</v>
      </c>
      <c r="K87" s="74">
        <f t="shared" si="2"/>
        <v>24</v>
      </c>
    </row>
    <row r="88" spans="4:11">
      <c r="D88" s="71">
        <v>46165</v>
      </c>
      <c r="E88" s="17">
        <v>1605844</v>
      </c>
      <c r="F88" s="17" t="s">
        <v>13</v>
      </c>
      <c r="G88" s="72">
        <v>20418996</v>
      </c>
      <c r="H88" s="17" t="s">
        <v>60</v>
      </c>
      <c r="I88" s="72">
        <v>1</v>
      </c>
      <c r="J88" s="73">
        <v>8</v>
      </c>
      <c r="K88" s="74">
        <f t="shared" si="2"/>
        <v>8</v>
      </c>
    </row>
    <row r="89" spans="4:11">
      <c r="D89" s="71">
        <v>46165</v>
      </c>
      <c r="E89" s="17">
        <v>1605844</v>
      </c>
      <c r="F89" s="17" t="s">
        <v>13</v>
      </c>
      <c r="G89" s="72">
        <v>20420075</v>
      </c>
      <c r="H89" s="17" t="s">
        <v>61</v>
      </c>
      <c r="I89" s="72">
        <v>1</v>
      </c>
      <c r="J89" s="73">
        <v>8</v>
      </c>
      <c r="K89" s="74">
        <f t="shared" si="2"/>
        <v>8</v>
      </c>
    </row>
    <row r="90" spans="4:11">
      <c r="D90" s="71">
        <v>46165</v>
      </c>
      <c r="E90" s="17">
        <v>1605844</v>
      </c>
      <c r="F90" s="17" t="s">
        <v>13</v>
      </c>
      <c r="G90" s="72">
        <v>20419003</v>
      </c>
      <c r="H90" s="17" t="s">
        <v>63</v>
      </c>
      <c r="I90" s="72">
        <v>1</v>
      </c>
      <c r="J90" s="73">
        <v>8</v>
      </c>
      <c r="K90" s="74">
        <f t="shared" si="2"/>
        <v>8</v>
      </c>
    </row>
    <row r="91" spans="4:11">
      <c r="D91" s="71">
        <v>46167</v>
      </c>
      <c r="E91" s="17">
        <v>1606148</v>
      </c>
      <c r="F91" s="17" t="s">
        <v>13</v>
      </c>
      <c r="G91" s="72">
        <v>20418992</v>
      </c>
      <c r="H91" s="17" t="s">
        <v>64</v>
      </c>
      <c r="I91" s="72">
        <v>2</v>
      </c>
      <c r="J91" s="73">
        <v>8</v>
      </c>
      <c r="K91" s="74">
        <f t="shared" si="2"/>
        <v>16</v>
      </c>
    </row>
    <row r="92" spans="4:11">
      <c r="D92" s="71">
        <v>46167</v>
      </c>
      <c r="E92" s="17">
        <v>1606148</v>
      </c>
      <c r="F92" s="17" t="s">
        <v>13</v>
      </c>
      <c r="G92" s="72">
        <v>20420065</v>
      </c>
      <c r="H92" s="17" t="s">
        <v>74</v>
      </c>
      <c r="I92" s="72">
        <v>1</v>
      </c>
      <c r="J92" s="73">
        <v>13.5</v>
      </c>
      <c r="K92" s="74">
        <f t="shared" si="2"/>
        <v>13.5</v>
      </c>
    </row>
    <row r="93" spans="4:11">
      <c r="D93" s="71">
        <v>46167</v>
      </c>
      <c r="E93" s="17">
        <v>1606148</v>
      </c>
      <c r="F93" s="17" t="s">
        <v>13</v>
      </c>
      <c r="G93" s="72">
        <v>20419019</v>
      </c>
      <c r="H93" s="17" t="s">
        <v>47</v>
      </c>
      <c r="I93" s="72">
        <v>2</v>
      </c>
      <c r="J93" s="73">
        <v>8</v>
      </c>
      <c r="K93" s="74">
        <f t="shared" si="2"/>
        <v>16</v>
      </c>
    </row>
    <row r="94" spans="4:11">
      <c r="D94" s="71">
        <v>46167</v>
      </c>
      <c r="E94" s="17">
        <v>1606148</v>
      </c>
      <c r="F94" s="17" t="s">
        <v>13</v>
      </c>
      <c r="G94" s="72">
        <v>20418997</v>
      </c>
      <c r="H94" s="17" t="s">
        <v>46</v>
      </c>
      <c r="I94" s="72">
        <v>1</v>
      </c>
      <c r="J94" s="73">
        <v>8</v>
      </c>
      <c r="K94" s="74">
        <f t="shared" si="2"/>
        <v>8</v>
      </c>
    </row>
    <row r="95" spans="4:11">
      <c r="D95" s="71">
        <v>46167</v>
      </c>
      <c r="E95" s="17">
        <v>1606148</v>
      </c>
      <c r="F95" s="17" t="s">
        <v>13</v>
      </c>
      <c r="G95" s="72">
        <v>20420066</v>
      </c>
      <c r="H95" s="17" t="s">
        <v>57</v>
      </c>
      <c r="I95" s="72">
        <v>1</v>
      </c>
      <c r="J95" s="73">
        <v>13.5</v>
      </c>
      <c r="K95" s="74">
        <f t="shared" si="2"/>
        <v>13.5</v>
      </c>
    </row>
    <row r="96" spans="4:11">
      <c r="D96" s="71">
        <v>46167</v>
      </c>
      <c r="E96" s="17">
        <v>1606148</v>
      </c>
      <c r="F96" s="17" t="s">
        <v>13</v>
      </c>
      <c r="G96" s="72">
        <v>20424066</v>
      </c>
      <c r="H96" s="17" t="s">
        <v>58</v>
      </c>
      <c r="I96" s="72">
        <v>1</v>
      </c>
      <c r="J96" s="73">
        <v>16.5</v>
      </c>
      <c r="K96" s="74">
        <f t="shared" si="2"/>
        <v>16.5</v>
      </c>
    </row>
    <row r="97" spans="4:11">
      <c r="D97" s="71">
        <v>46167</v>
      </c>
      <c r="E97" s="17">
        <v>1606148</v>
      </c>
      <c r="F97" s="17" t="s">
        <v>13</v>
      </c>
      <c r="G97" s="72">
        <v>20418996</v>
      </c>
      <c r="H97" s="17" t="s">
        <v>60</v>
      </c>
      <c r="I97" s="72">
        <v>1</v>
      </c>
      <c r="J97" s="73">
        <v>8</v>
      </c>
      <c r="K97" s="74">
        <f t="shared" si="2"/>
        <v>8</v>
      </c>
    </row>
    <row r="98" spans="4:11">
      <c r="D98" s="71">
        <v>46167</v>
      </c>
      <c r="E98" s="17">
        <v>1606148</v>
      </c>
      <c r="F98" s="17" t="s">
        <v>13</v>
      </c>
      <c r="G98" s="72">
        <v>20420075</v>
      </c>
      <c r="H98" s="17" t="s">
        <v>61</v>
      </c>
      <c r="I98" s="72">
        <v>2</v>
      </c>
      <c r="J98" s="73">
        <v>8</v>
      </c>
      <c r="K98" s="74">
        <f t="shared" si="2"/>
        <v>16</v>
      </c>
    </row>
    <row r="99" spans="4:11">
      <c r="D99" s="71">
        <v>46167</v>
      </c>
      <c r="E99" s="17">
        <v>1606148</v>
      </c>
      <c r="F99" s="17" t="s">
        <v>13</v>
      </c>
      <c r="G99" s="72">
        <v>20419003</v>
      </c>
      <c r="H99" s="17" t="s">
        <v>63</v>
      </c>
      <c r="I99" s="72">
        <v>1</v>
      </c>
      <c r="J99" s="73">
        <v>8</v>
      </c>
      <c r="K99" s="74">
        <f t="shared" si="2"/>
        <v>8</v>
      </c>
    </row>
    <row r="100" spans="4:11">
      <c r="D100" s="71">
        <v>46168</v>
      </c>
      <c r="E100" s="17">
        <v>1606547</v>
      </c>
      <c r="F100" s="17" t="s">
        <v>13</v>
      </c>
      <c r="G100" s="72">
        <v>20421263</v>
      </c>
      <c r="H100" s="17" t="s">
        <v>54</v>
      </c>
      <c r="I100" s="72">
        <v>1</v>
      </c>
      <c r="J100" s="73">
        <v>8</v>
      </c>
      <c r="K100" s="74">
        <f t="shared" si="2"/>
        <v>8</v>
      </c>
    </row>
    <row r="101" spans="4:11">
      <c r="D101" s="71">
        <v>46168</v>
      </c>
      <c r="E101" s="17">
        <v>1606547</v>
      </c>
      <c r="F101" s="17" t="s">
        <v>13</v>
      </c>
      <c r="G101" s="72">
        <v>20418997</v>
      </c>
      <c r="H101" s="17" t="s">
        <v>46</v>
      </c>
      <c r="I101" s="72">
        <v>1</v>
      </c>
      <c r="J101" s="73">
        <v>8</v>
      </c>
      <c r="K101" s="74">
        <f t="shared" si="2"/>
        <v>8</v>
      </c>
    </row>
    <row r="102" spans="4:11">
      <c r="D102" s="71">
        <v>46168</v>
      </c>
      <c r="E102" s="17">
        <v>1606547</v>
      </c>
      <c r="F102" s="17" t="s">
        <v>13</v>
      </c>
      <c r="G102" s="72">
        <v>20424066</v>
      </c>
      <c r="H102" s="17" t="s">
        <v>58</v>
      </c>
      <c r="I102" s="72">
        <v>1</v>
      </c>
      <c r="J102" s="73">
        <v>16.5</v>
      </c>
      <c r="K102" s="74">
        <f t="shared" si="2"/>
        <v>16.5</v>
      </c>
    </row>
    <row r="103" spans="4:11">
      <c r="D103" s="71">
        <v>46168</v>
      </c>
      <c r="E103" s="17">
        <v>1606547</v>
      </c>
      <c r="F103" s="17" t="s">
        <v>13</v>
      </c>
      <c r="G103" s="72">
        <v>20418996</v>
      </c>
      <c r="H103" s="17" t="s">
        <v>60</v>
      </c>
      <c r="I103" s="72">
        <v>1</v>
      </c>
      <c r="J103" s="73">
        <v>8</v>
      </c>
      <c r="K103" s="74">
        <f t="shared" si="2"/>
        <v>8</v>
      </c>
    </row>
    <row r="104" spans="4:11">
      <c r="D104" s="71">
        <v>46168</v>
      </c>
      <c r="E104" s="17">
        <v>1606547</v>
      </c>
      <c r="F104" s="17" t="s">
        <v>13</v>
      </c>
      <c r="G104" s="72">
        <v>20420075</v>
      </c>
      <c r="H104" s="17" t="s">
        <v>61</v>
      </c>
      <c r="I104" s="72">
        <v>1</v>
      </c>
      <c r="J104" s="73">
        <v>8</v>
      </c>
      <c r="K104" s="74">
        <f t="shared" si="2"/>
        <v>8</v>
      </c>
    </row>
    <row r="105" spans="4:11">
      <c r="D105" s="71">
        <v>46171</v>
      </c>
      <c r="E105" s="17">
        <v>1607629</v>
      </c>
      <c r="F105" s="17" t="s">
        <v>13</v>
      </c>
      <c r="G105" s="72">
        <v>20418992</v>
      </c>
      <c r="H105" s="17" t="s">
        <v>64</v>
      </c>
      <c r="I105" s="72">
        <v>1</v>
      </c>
      <c r="J105" s="73">
        <v>8</v>
      </c>
      <c r="K105" s="74">
        <f t="shared" si="2"/>
        <v>8</v>
      </c>
    </row>
    <row r="106" spans="4:11">
      <c r="D106" s="71">
        <v>46171</v>
      </c>
      <c r="E106" s="17">
        <v>1607629</v>
      </c>
      <c r="F106" s="17" t="s">
        <v>13</v>
      </c>
      <c r="G106" s="72">
        <v>20423646</v>
      </c>
      <c r="H106" s="17" t="s">
        <v>75</v>
      </c>
      <c r="I106" s="72">
        <v>1</v>
      </c>
      <c r="J106" s="73">
        <v>13.5</v>
      </c>
      <c r="K106" s="74">
        <f t="shared" si="2"/>
        <v>13.5</v>
      </c>
    </row>
    <row r="107" spans="4:11">
      <c r="D107" s="71">
        <v>46171</v>
      </c>
      <c r="E107" s="17">
        <v>1607629</v>
      </c>
      <c r="F107" s="17" t="s">
        <v>13</v>
      </c>
      <c r="G107" s="72">
        <v>20420404</v>
      </c>
      <c r="H107" s="17" t="s">
        <v>53</v>
      </c>
      <c r="I107" s="72">
        <v>1</v>
      </c>
      <c r="J107" s="73">
        <v>8</v>
      </c>
      <c r="K107" s="74">
        <f t="shared" si="2"/>
        <v>8</v>
      </c>
    </row>
    <row r="108" spans="4:11">
      <c r="D108" s="71">
        <v>46171</v>
      </c>
      <c r="E108" s="17">
        <v>1607629</v>
      </c>
      <c r="F108" s="17" t="s">
        <v>13</v>
      </c>
      <c r="G108" s="72">
        <v>20421263</v>
      </c>
      <c r="H108" s="17" t="s">
        <v>54</v>
      </c>
      <c r="I108" s="72">
        <v>1</v>
      </c>
      <c r="J108" s="73">
        <v>8</v>
      </c>
      <c r="K108" s="74">
        <f t="shared" si="2"/>
        <v>8</v>
      </c>
    </row>
    <row r="109" spans="4:11">
      <c r="D109" s="71">
        <v>46171</v>
      </c>
      <c r="E109" s="17">
        <v>1607629</v>
      </c>
      <c r="F109" s="17" t="s">
        <v>13</v>
      </c>
      <c r="G109" s="72">
        <v>20419002</v>
      </c>
      <c r="H109" s="17" t="s">
        <v>55</v>
      </c>
      <c r="I109" s="72">
        <v>1</v>
      </c>
      <c r="J109" s="73">
        <v>8</v>
      </c>
      <c r="K109" s="74">
        <f t="shared" si="2"/>
        <v>8</v>
      </c>
    </row>
    <row r="110" spans="4:11">
      <c r="D110" s="71">
        <v>46171</v>
      </c>
      <c r="E110" s="17">
        <v>1607629</v>
      </c>
      <c r="F110" s="17" t="s">
        <v>13</v>
      </c>
      <c r="G110" s="72">
        <v>20420137</v>
      </c>
      <c r="H110" s="17" t="s">
        <v>73</v>
      </c>
      <c r="I110" s="72">
        <v>1</v>
      </c>
      <c r="J110" s="73">
        <v>8</v>
      </c>
      <c r="K110" s="74">
        <f t="shared" si="2"/>
        <v>8</v>
      </c>
    </row>
    <row r="111" spans="4:11">
      <c r="D111" s="71">
        <v>46171</v>
      </c>
      <c r="E111" s="17">
        <v>1607629</v>
      </c>
      <c r="F111" s="17" t="s">
        <v>13</v>
      </c>
      <c r="G111" s="72">
        <v>20418997</v>
      </c>
      <c r="H111" s="17" t="s">
        <v>46</v>
      </c>
      <c r="I111" s="72">
        <v>1</v>
      </c>
      <c r="J111" s="73">
        <v>8</v>
      </c>
      <c r="K111" s="74">
        <f t="shared" si="2"/>
        <v>8</v>
      </c>
    </row>
    <row r="112" spans="4:11">
      <c r="D112" s="71">
        <v>46171</v>
      </c>
      <c r="E112" s="17">
        <v>1607629</v>
      </c>
      <c r="F112" s="17" t="s">
        <v>13</v>
      </c>
      <c r="G112" s="72">
        <v>20424066</v>
      </c>
      <c r="H112" s="17" t="s">
        <v>58</v>
      </c>
      <c r="I112" s="72">
        <v>1</v>
      </c>
      <c r="J112" s="73">
        <v>16.5</v>
      </c>
      <c r="K112" s="74">
        <f t="shared" si="2"/>
        <v>16.5</v>
      </c>
    </row>
    <row r="113" spans="4:11">
      <c r="D113" s="71">
        <v>46171</v>
      </c>
      <c r="E113" s="17">
        <v>1607629</v>
      </c>
      <c r="F113" s="17" t="s">
        <v>13</v>
      </c>
      <c r="G113" s="72">
        <v>20418996</v>
      </c>
      <c r="H113" s="17" t="s">
        <v>60</v>
      </c>
      <c r="I113" s="72">
        <v>5</v>
      </c>
      <c r="J113" s="73">
        <v>8</v>
      </c>
      <c r="K113" s="74">
        <f t="shared" si="2"/>
        <v>40</v>
      </c>
    </row>
    <row r="114" spans="4:11">
      <c r="D114" s="71">
        <v>46171</v>
      </c>
      <c r="E114" s="17">
        <v>1607629</v>
      </c>
      <c r="F114" s="17" t="s">
        <v>13</v>
      </c>
      <c r="G114" s="72">
        <v>20420075</v>
      </c>
      <c r="H114" s="17" t="s">
        <v>61</v>
      </c>
      <c r="I114" s="72">
        <v>3</v>
      </c>
      <c r="J114" s="73">
        <v>8</v>
      </c>
      <c r="K114" s="74">
        <f t="shared" si="2"/>
        <v>24</v>
      </c>
    </row>
    <row r="115" spans="4:11">
      <c r="D115" s="71">
        <v>46171</v>
      </c>
      <c r="E115" s="17">
        <v>1607629</v>
      </c>
      <c r="F115" s="17" t="s">
        <v>13</v>
      </c>
      <c r="G115" s="72">
        <v>20421258</v>
      </c>
      <c r="H115" s="17" t="s">
        <v>62</v>
      </c>
      <c r="I115" s="72">
        <v>1</v>
      </c>
      <c r="J115" s="73">
        <v>8</v>
      </c>
      <c r="K115" s="74">
        <f t="shared" si="2"/>
        <v>8</v>
      </c>
    </row>
    <row r="116" spans="4:11">
      <c r="D116" s="71">
        <v>46171</v>
      </c>
      <c r="E116" s="17">
        <v>1607629</v>
      </c>
      <c r="F116" s="17" t="s">
        <v>13</v>
      </c>
      <c r="G116" s="72">
        <v>20418995</v>
      </c>
      <c r="H116" s="17" t="s">
        <v>67</v>
      </c>
      <c r="I116" s="72">
        <v>4</v>
      </c>
      <c r="J116" s="73">
        <v>8</v>
      </c>
      <c r="K116" s="74">
        <f t="shared" si="2"/>
        <v>32</v>
      </c>
    </row>
    <row r="117" spans="4:11">
      <c r="D117" s="71">
        <v>46171</v>
      </c>
      <c r="E117" s="17">
        <v>1607629</v>
      </c>
      <c r="F117" s="17" t="s">
        <v>13</v>
      </c>
      <c r="G117" s="72">
        <v>20419003</v>
      </c>
      <c r="H117" s="17" t="s">
        <v>63</v>
      </c>
      <c r="I117" s="72">
        <v>3</v>
      </c>
      <c r="J117" s="73">
        <v>8</v>
      </c>
      <c r="K117" s="74">
        <f t="shared" si="2"/>
        <v>24</v>
      </c>
    </row>
  </sheetData>
  <autoFilter xmlns:etc="http://www.wps.cn/officeDocument/2017/etCustomData" ref="A7:K117" etc:filterBottomFollowUsedRange="0">
    <extLst/>
  </autoFilter>
  <mergeCells count="5">
    <mergeCell ref="D8:H8"/>
    <mergeCell ref="C7:C117"/>
    <mergeCell ref="B4:H5"/>
    <mergeCell ref="A7:B11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13:39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63" t="s">
        <v>2</v>
      </c>
      <c r="B7" s="64" t="s">
        <v>2</v>
      </c>
      <c r="C7" s="65" t="s">
        <v>2</v>
      </c>
      <c r="D7" s="66" t="s">
        <v>4</v>
      </c>
      <c r="E7" s="66" t="s">
        <v>5</v>
      </c>
      <c r="F7" s="66" t="s">
        <v>6</v>
      </c>
      <c r="G7" s="66" t="s">
        <v>7</v>
      </c>
      <c r="H7" s="66" t="s">
        <v>8</v>
      </c>
      <c r="I7" s="66" t="s">
        <v>9</v>
      </c>
      <c r="J7" s="66" t="s">
        <v>10</v>
      </c>
      <c r="K7" s="66" t="s">
        <v>11</v>
      </c>
    </row>
    <row r="8" ht="14.25" spans="1:11">
      <c r="D8" s="67" t="s">
        <v>76</v>
      </c>
      <c r="E8" s="68" t="s">
        <v>2</v>
      </c>
      <c r="F8" s="68" t="s">
        <v>2</v>
      </c>
      <c r="G8" s="68" t="s">
        <v>2</v>
      </c>
      <c r="H8" s="68" t="s">
        <v>2</v>
      </c>
      <c r="I8" s="69">
        <v>17</v>
      </c>
      <c r="J8" s="70"/>
      <c r="K8" s="70">
        <v>620</v>
      </c>
    </row>
    <row r="9" spans="1:11">
      <c r="D9" s="71">
        <v>46148</v>
      </c>
      <c r="E9" s="17">
        <v>1600521</v>
      </c>
      <c r="F9" s="17" t="s">
        <v>19</v>
      </c>
      <c r="G9" s="72">
        <v>20421422</v>
      </c>
      <c r="H9" s="17" t="s">
        <v>77</v>
      </c>
      <c r="I9" s="72">
        <v>1</v>
      </c>
      <c r="J9" s="73">
        <v>28</v>
      </c>
      <c r="K9" s="73">
        <v>28</v>
      </c>
    </row>
    <row r="10" spans="1:11">
      <c r="D10" s="71">
        <v>46150</v>
      </c>
      <c r="E10" s="17">
        <v>1601257</v>
      </c>
      <c r="F10" s="17" t="s">
        <v>19</v>
      </c>
      <c r="G10" s="72">
        <v>20421423</v>
      </c>
      <c r="H10" s="17" t="s">
        <v>78</v>
      </c>
      <c r="I10" s="72">
        <v>1</v>
      </c>
      <c r="J10" s="73">
        <v>44</v>
      </c>
      <c r="K10" s="73">
        <v>44</v>
      </c>
    </row>
    <row r="11" spans="1:11">
      <c r="D11" s="71">
        <v>46150</v>
      </c>
      <c r="E11" s="17">
        <v>1601257</v>
      </c>
      <c r="F11" s="17" t="s">
        <v>19</v>
      </c>
      <c r="G11" s="72">
        <v>20421422</v>
      </c>
      <c r="H11" s="17" t="s">
        <v>77</v>
      </c>
      <c r="I11" s="72">
        <v>1</v>
      </c>
      <c r="J11" s="73">
        <v>28</v>
      </c>
      <c r="K11" s="73">
        <v>28</v>
      </c>
    </row>
    <row r="12" spans="1:11">
      <c r="D12" s="71">
        <v>46154</v>
      </c>
      <c r="E12" s="17">
        <v>1602222</v>
      </c>
      <c r="F12" s="17" t="s">
        <v>19</v>
      </c>
      <c r="G12" s="72">
        <v>20421423</v>
      </c>
      <c r="H12" s="17" t="s">
        <v>78</v>
      </c>
      <c r="I12" s="72">
        <v>2</v>
      </c>
      <c r="J12" s="73">
        <v>44</v>
      </c>
      <c r="K12" s="73">
        <v>88</v>
      </c>
    </row>
    <row r="13" spans="1:11">
      <c r="D13" s="71">
        <v>46156</v>
      </c>
      <c r="E13" s="17">
        <v>1603119</v>
      </c>
      <c r="F13" s="17" t="s">
        <v>19</v>
      </c>
      <c r="G13" s="72">
        <v>20421423</v>
      </c>
      <c r="H13" s="17" t="s">
        <v>78</v>
      </c>
      <c r="I13" s="72">
        <v>1</v>
      </c>
      <c r="J13" s="73">
        <v>44</v>
      </c>
      <c r="K13" s="73">
        <v>44</v>
      </c>
    </row>
    <row r="14" spans="1:11">
      <c r="D14" s="71">
        <v>46156</v>
      </c>
      <c r="E14" s="17">
        <v>1603119</v>
      </c>
      <c r="F14" s="17" t="s">
        <v>19</v>
      </c>
      <c r="G14" s="72">
        <v>20421422</v>
      </c>
      <c r="H14" s="17" t="s">
        <v>77</v>
      </c>
      <c r="I14" s="72">
        <v>1</v>
      </c>
      <c r="J14" s="73">
        <v>28</v>
      </c>
      <c r="K14" s="73">
        <v>28</v>
      </c>
    </row>
    <row r="15" spans="1:11">
      <c r="D15" s="71">
        <v>46162</v>
      </c>
      <c r="E15" s="17">
        <v>1604612</v>
      </c>
      <c r="F15" s="17" t="s">
        <v>19</v>
      </c>
      <c r="G15" s="72">
        <v>20421423</v>
      </c>
      <c r="H15" s="17" t="s">
        <v>78</v>
      </c>
      <c r="I15" s="72">
        <v>1</v>
      </c>
      <c r="J15" s="73">
        <v>44</v>
      </c>
      <c r="K15" s="73">
        <v>44</v>
      </c>
    </row>
    <row r="16" spans="1:11">
      <c r="D16" s="71">
        <v>46162</v>
      </c>
      <c r="E16" s="17">
        <v>1604612</v>
      </c>
      <c r="F16" s="17" t="s">
        <v>19</v>
      </c>
      <c r="G16" s="72">
        <v>20421422</v>
      </c>
      <c r="H16" s="17" t="s">
        <v>77</v>
      </c>
      <c r="I16" s="72">
        <v>1</v>
      </c>
      <c r="J16" s="73">
        <v>28</v>
      </c>
      <c r="K16" s="73">
        <v>28</v>
      </c>
    </row>
    <row r="17" spans="4:11">
      <c r="D17" s="71">
        <v>46164</v>
      </c>
      <c r="E17" s="17">
        <v>1605390</v>
      </c>
      <c r="F17" s="17" t="s">
        <v>19</v>
      </c>
      <c r="G17" s="72">
        <v>20421423</v>
      </c>
      <c r="H17" s="17" t="s">
        <v>78</v>
      </c>
      <c r="I17" s="72">
        <v>2</v>
      </c>
      <c r="J17" s="73">
        <v>44</v>
      </c>
      <c r="K17" s="73">
        <v>88</v>
      </c>
    </row>
    <row r="18" spans="4:11">
      <c r="D18" s="71">
        <v>46164</v>
      </c>
      <c r="E18" s="17">
        <v>1605390</v>
      </c>
      <c r="F18" s="17" t="s">
        <v>19</v>
      </c>
      <c r="G18" s="72">
        <v>20421422</v>
      </c>
      <c r="H18" s="17" t="s">
        <v>77</v>
      </c>
      <c r="I18" s="72">
        <v>2</v>
      </c>
      <c r="J18" s="73">
        <v>28</v>
      </c>
      <c r="K18" s="73">
        <v>56</v>
      </c>
    </row>
    <row r="19" spans="4:11">
      <c r="D19" s="71">
        <v>46168</v>
      </c>
      <c r="E19" s="17">
        <v>1606484</v>
      </c>
      <c r="F19" s="17" t="s">
        <v>19</v>
      </c>
      <c r="G19" s="72">
        <v>20421423</v>
      </c>
      <c r="H19" s="17" t="s">
        <v>78</v>
      </c>
      <c r="I19" s="72">
        <v>2</v>
      </c>
      <c r="J19" s="73">
        <v>44</v>
      </c>
      <c r="K19" s="73">
        <v>88</v>
      </c>
    </row>
    <row r="20" spans="4:11">
      <c r="D20" s="71">
        <v>46168</v>
      </c>
      <c r="E20" s="17">
        <v>1606484</v>
      </c>
      <c r="F20" s="17" t="s">
        <v>19</v>
      </c>
      <c r="G20" s="72">
        <v>20421422</v>
      </c>
      <c r="H20" s="17" t="s">
        <v>77</v>
      </c>
      <c r="I20" s="72">
        <v>2</v>
      </c>
      <c r="J20" s="73">
        <v>28</v>
      </c>
      <c r="K20" s="73">
        <v>56</v>
      </c>
    </row>
    <row r="21" ht="0.05" customHeight="1"/>
  </sheetData>
  <autoFilter xmlns:etc="http://www.wps.cn/officeDocument/2017/etCustomData" ref="A7:K20" etc:filterBottomFollowUsedRange="0">
    <extLst/>
  </autoFilter>
  <mergeCells count="5">
    <mergeCell ref="D8:H8"/>
    <mergeCell ref="C7:C20"/>
    <mergeCell ref="B4:H5"/>
    <mergeCell ref="A7:B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13:39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4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63" t="s">
        <v>2</v>
      </c>
      <c r="B7" s="64" t="s">
        <v>2</v>
      </c>
      <c r="C7" s="65" t="s">
        <v>2</v>
      </c>
      <c r="D7" s="66" t="s">
        <v>4</v>
      </c>
      <c r="E7" s="66" t="s">
        <v>5</v>
      </c>
      <c r="F7" s="66" t="s">
        <v>6</v>
      </c>
      <c r="G7" s="66" t="s">
        <v>7</v>
      </c>
      <c r="H7" s="66" t="s">
        <v>8</v>
      </c>
      <c r="I7" s="66" t="s">
        <v>9</v>
      </c>
      <c r="J7" s="66" t="s">
        <v>10</v>
      </c>
      <c r="K7" s="66" t="s">
        <v>11</v>
      </c>
    </row>
    <row r="8" ht="14.25" spans="1:11">
      <c r="D8" s="67" t="s">
        <v>79</v>
      </c>
      <c r="E8" s="68" t="s">
        <v>2</v>
      </c>
      <c r="F8" s="68" t="s">
        <v>2</v>
      </c>
      <c r="G8" s="68" t="s">
        <v>2</v>
      </c>
      <c r="H8" s="68" t="s">
        <v>2</v>
      </c>
      <c r="I8" s="69">
        <f>SUM(I9:I213)</f>
        <v>256</v>
      </c>
      <c r="J8" s="70"/>
      <c r="K8" s="70">
        <f>SUM(K9:K213)</f>
        <v>13893</v>
      </c>
    </row>
    <row r="9" spans="1:11">
      <c r="D9" s="71">
        <v>46146</v>
      </c>
      <c r="E9" s="17">
        <v>1600220</v>
      </c>
      <c r="F9" s="17" t="s">
        <v>19</v>
      </c>
      <c r="G9" s="72">
        <v>20418546</v>
      </c>
      <c r="H9" s="17" t="s">
        <v>80</v>
      </c>
      <c r="I9" s="72">
        <v>1</v>
      </c>
      <c r="J9" s="73">
        <v>22</v>
      </c>
      <c r="K9" s="73">
        <f>J9*I9</f>
        <v>22</v>
      </c>
    </row>
    <row r="10" spans="1:11">
      <c r="D10" s="71">
        <v>46146</v>
      </c>
      <c r="E10" s="17">
        <v>1600220</v>
      </c>
      <c r="F10" s="17" t="s">
        <v>19</v>
      </c>
      <c r="G10" s="72">
        <v>20420445</v>
      </c>
      <c r="H10" s="17" t="s">
        <v>81</v>
      </c>
      <c r="I10" s="72">
        <v>1</v>
      </c>
      <c r="J10" s="73">
        <v>35</v>
      </c>
      <c r="K10" s="73">
        <f t="shared" ref="K10:K73" si="0">J10*I10</f>
        <v>35</v>
      </c>
    </row>
    <row r="11" spans="1:11">
      <c r="D11" s="71">
        <v>46146</v>
      </c>
      <c r="E11" s="17">
        <v>1600220</v>
      </c>
      <c r="F11" s="17" t="s">
        <v>19</v>
      </c>
      <c r="G11" s="72">
        <v>20418545</v>
      </c>
      <c r="H11" s="17" t="s">
        <v>82</v>
      </c>
      <c r="I11" s="72">
        <v>1</v>
      </c>
      <c r="J11" s="73">
        <v>35</v>
      </c>
      <c r="K11" s="73">
        <f t="shared" si="0"/>
        <v>35</v>
      </c>
    </row>
    <row r="12" spans="1:11">
      <c r="D12" s="71">
        <v>46146</v>
      </c>
      <c r="E12" s="17">
        <v>1600220</v>
      </c>
      <c r="F12" s="17" t="s">
        <v>19</v>
      </c>
      <c r="G12" s="72">
        <v>20418558</v>
      </c>
      <c r="H12" s="17" t="s">
        <v>83</v>
      </c>
      <c r="I12" s="72">
        <v>1</v>
      </c>
      <c r="J12" s="73">
        <v>22</v>
      </c>
      <c r="K12" s="73">
        <f t="shared" si="0"/>
        <v>22</v>
      </c>
    </row>
    <row r="13" spans="1:11">
      <c r="D13" s="71">
        <v>46146</v>
      </c>
      <c r="E13" s="17">
        <v>1600220</v>
      </c>
      <c r="F13" s="17" t="s">
        <v>19</v>
      </c>
      <c r="G13" s="72">
        <v>20422867</v>
      </c>
      <c r="H13" s="17" t="s">
        <v>84</v>
      </c>
      <c r="I13" s="72">
        <v>2</v>
      </c>
      <c r="J13" s="73">
        <v>28</v>
      </c>
      <c r="K13" s="73">
        <f t="shared" si="0"/>
        <v>56</v>
      </c>
    </row>
    <row r="14" spans="1:11">
      <c r="D14" s="71">
        <v>46146</v>
      </c>
      <c r="E14" s="17">
        <v>1600220</v>
      </c>
      <c r="F14" s="17" t="s">
        <v>19</v>
      </c>
      <c r="G14" s="72">
        <v>20421602</v>
      </c>
      <c r="H14" s="17" t="s">
        <v>85</v>
      </c>
      <c r="I14" s="72">
        <v>1</v>
      </c>
      <c r="J14" s="73">
        <v>66</v>
      </c>
      <c r="K14" s="73">
        <f t="shared" si="0"/>
        <v>66</v>
      </c>
    </row>
    <row r="15" spans="1:11">
      <c r="D15" s="71">
        <v>46146</v>
      </c>
      <c r="E15" s="17">
        <v>1600220</v>
      </c>
      <c r="F15" s="17" t="s">
        <v>86</v>
      </c>
      <c r="G15" s="72">
        <v>20420203</v>
      </c>
      <c r="H15" s="17" t="s">
        <v>87</v>
      </c>
      <c r="I15" s="72">
        <v>1</v>
      </c>
      <c r="J15" s="73">
        <v>28</v>
      </c>
      <c r="K15" s="73">
        <f t="shared" si="0"/>
        <v>28</v>
      </c>
    </row>
    <row r="16" spans="1:11">
      <c r="D16" s="71">
        <v>46146</v>
      </c>
      <c r="E16" s="17">
        <v>1600220</v>
      </c>
      <c r="F16" s="17" t="s">
        <v>86</v>
      </c>
      <c r="G16" s="72">
        <v>20420067</v>
      </c>
      <c r="H16" s="17" t="s">
        <v>88</v>
      </c>
      <c r="I16" s="72">
        <v>1</v>
      </c>
      <c r="J16" s="73">
        <v>28</v>
      </c>
      <c r="K16" s="73">
        <f t="shared" si="0"/>
        <v>28</v>
      </c>
    </row>
    <row r="17" spans="4:11">
      <c r="D17" s="71">
        <v>46146</v>
      </c>
      <c r="E17" s="17">
        <v>1600225</v>
      </c>
      <c r="F17" s="17" t="s">
        <v>89</v>
      </c>
      <c r="G17" s="72">
        <v>20418553</v>
      </c>
      <c r="H17" s="17" t="s">
        <v>90</v>
      </c>
      <c r="I17" s="72">
        <v>1</v>
      </c>
      <c r="J17" s="73">
        <v>115.5</v>
      </c>
      <c r="K17" s="73">
        <f t="shared" si="0"/>
        <v>115.5</v>
      </c>
    </row>
    <row r="18" spans="4:11">
      <c r="D18" s="71">
        <v>46146</v>
      </c>
      <c r="E18" s="17">
        <v>1600225</v>
      </c>
      <c r="F18" s="17" t="s">
        <v>89</v>
      </c>
      <c r="G18" s="72">
        <v>20418559</v>
      </c>
      <c r="H18" s="17" t="s">
        <v>91</v>
      </c>
      <c r="I18" s="72">
        <v>1</v>
      </c>
      <c r="J18" s="73">
        <v>115.5</v>
      </c>
      <c r="K18" s="73">
        <f t="shared" si="0"/>
        <v>115.5</v>
      </c>
    </row>
    <row r="19" spans="4:11">
      <c r="D19" s="71">
        <v>46146</v>
      </c>
      <c r="E19" s="17">
        <v>1600225</v>
      </c>
      <c r="F19" s="17" t="s">
        <v>89</v>
      </c>
      <c r="G19" s="72">
        <v>20418575</v>
      </c>
      <c r="H19" s="17" t="s">
        <v>92</v>
      </c>
      <c r="I19" s="72">
        <v>1</v>
      </c>
      <c r="J19" s="73">
        <v>60.5</v>
      </c>
      <c r="K19" s="73">
        <f t="shared" si="0"/>
        <v>60.5</v>
      </c>
    </row>
    <row r="20" spans="4:11">
      <c r="D20" s="71">
        <v>46146</v>
      </c>
      <c r="E20" s="17">
        <v>1600225</v>
      </c>
      <c r="F20" s="17" t="s">
        <v>13</v>
      </c>
      <c r="G20" s="72">
        <v>20423392</v>
      </c>
      <c r="H20" s="17" t="s">
        <v>93</v>
      </c>
      <c r="I20" s="72">
        <v>1</v>
      </c>
      <c r="J20" s="73">
        <v>16.5</v>
      </c>
      <c r="K20" s="73">
        <f t="shared" si="0"/>
        <v>16.5</v>
      </c>
    </row>
    <row r="21" spans="4:11">
      <c r="D21" s="71">
        <v>46146</v>
      </c>
      <c r="E21" s="17">
        <v>1600225</v>
      </c>
      <c r="F21" s="17" t="s">
        <v>13</v>
      </c>
      <c r="G21" s="72">
        <v>20419701</v>
      </c>
      <c r="H21" s="17" t="s">
        <v>94</v>
      </c>
      <c r="I21" s="72">
        <v>1</v>
      </c>
      <c r="J21" s="73">
        <v>13.5</v>
      </c>
      <c r="K21" s="73">
        <f t="shared" si="0"/>
        <v>13.5</v>
      </c>
    </row>
    <row r="22" spans="4:11">
      <c r="D22" s="71">
        <v>46146</v>
      </c>
      <c r="E22" s="17">
        <v>1600225</v>
      </c>
      <c r="F22" s="17" t="s">
        <v>13</v>
      </c>
      <c r="G22" s="72">
        <v>20419052</v>
      </c>
      <c r="H22" s="17" t="s">
        <v>95</v>
      </c>
      <c r="I22" s="72">
        <v>1</v>
      </c>
      <c r="J22" s="73">
        <v>13</v>
      </c>
      <c r="K22" s="73">
        <f t="shared" si="0"/>
        <v>13</v>
      </c>
    </row>
    <row r="23" spans="4:11">
      <c r="D23" s="71">
        <v>46146</v>
      </c>
      <c r="E23" s="17">
        <v>1600225</v>
      </c>
      <c r="F23" s="17" t="s">
        <v>13</v>
      </c>
      <c r="G23" s="72">
        <v>20419697</v>
      </c>
      <c r="H23" s="17" t="s">
        <v>96</v>
      </c>
      <c r="I23" s="72">
        <v>1</v>
      </c>
      <c r="J23" s="73">
        <v>22</v>
      </c>
      <c r="K23" s="73">
        <f t="shared" si="0"/>
        <v>22</v>
      </c>
    </row>
    <row r="24" spans="4:11">
      <c r="D24" s="71">
        <v>46146</v>
      </c>
      <c r="E24" s="17">
        <v>1600225</v>
      </c>
      <c r="F24" s="17" t="s">
        <v>37</v>
      </c>
      <c r="G24" s="72">
        <v>20419037</v>
      </c>
      <c r="H24" s="17" t="s">
        <v>97</v>
      </c>
      <c r="I24" s="72">
        <v>1</v>
      </c>
      <c r="J24" s="73">
        <v>16.5</v>
      </c>
      <c r="K24" s="73">
        <f t="shared" si="0"/>
        <v>16.5</v>
      </c>
    </row>
    <row r="25" spans="4:11">
      <c r="D25" s="71">
        <v>46146</v>
      </c>
      <c r="E25" s="17">
        <v>1600225</v>
      </c>
      <c r="F25" s="17" t="s">
        <v>37</v>
      </c>
      <c r="G25" s="72">
        <v>20420069</v>
      </c>
      <c r="H25" s="17" t="s">
        <v>98</v>
      </c>
      <c r="I25" s="72">
        <v>1</v>
      </c>
      <c r="J25" s="73">
        <v>16.5</v>
      </c>
      <c r="K25" s="73">
        <f t="shared" si="0"/>
        <v>16.5</v>
      </c>
    </row>
    <row r="26" spans="4:11">
      <c r="D26" s="71">
        <v>46149</v>
      </c>
      <c r="E26" s="17">
        <v>1600868</v>
      </c>
      <c r="F26" s="17" t="s">
        <v>89</v>
      </c>
      <c r="G26" s="72">
        <v>20418555</v>
      </c>
      <c r="H26" s="17" t="s">
        <v>99</v>
      </c>
      <c r="I26" s="72">
        <v>1</v>
      </c>
      <c r="J26" s="73">
        <v>170.5</v>
      </c>
      <c r="K26" s="73">
        <f t="shared" si="0"/>
        <v>170.5</v>
      </c>
    </row>
    <row r="27" spans="4:11">
      <c r="D27" s="71">
        <v>46149</v>
      </c>
      <c r="E27" s="17">
        <v>1600868</v>
      </c>
      <c r="F27" s="17" t="s">
        <v>89</v>
      </c>
      <c r="G27" s="72">
        <v>20418528</v>
      </c>
      <c r="H27" s="17" t="s">
        <v>100</v>
      </c>
      <c r="I27" s="72">
        <v>1</v>
      </c>
      <c r="J27" s="73">
        <v>242</v>
      </c>
      <c r="K27" s="73">
        <f t="shared" si="0"/>
        <v>242</v>
      </c>
    </row>
    <row r="28" spans="4:11">
      <c r="D28" s="71">
        <v>46149</v>
      </c>
      <c r="E28" s="17">
        <v>1600868</v>
      </c>
      <c r="F28" s="17" t="s">
        <v>13</v>
      </c>
      <c r="G28" s="72">
        <v>20420189</v>
      </c>
      <c r="H28" s="17" t="s">
        <v>101</v>
      </c>
      <c r="I28" s="72">
        <v>1</v>
      </c>
      <c r="J28" s="73">
        <v>13</v>
      </c>
      <c r="K28" s="73">
        <f t="shared" si="0"/>
        <v>13</v>
      </c>
    </row>
    <row r="29" spans="4:11">
      <c r="D29" s="71">
        <v>46149</v>
      </c>
      <c r="E29" s="17">
        <v>1600868</v>
      </c>
      <c r="F29" s="17" t="s">
        <v>37</v>
      </c>
      <c r="G29" s="72">
        <v>20419700</v>
      </c>
      <c r="H29" s="17" t="s">
        <v>102</v>
      </c>
      <c r="I29" s="72">
        <v>1</v>
      </c>
      <c r="J29" s="73">
        <v>16.5</v>
      </c>
      <c r="K29" s="73">
        <f t="shared" si="0"/>
        <v>16.5</v>
      </c>
    </row>
    <row r="30" spans="4:11">
      <c r="D30" s="71">
        <v>46149</v>
      </c>
      <c r="E30" s="17">
        <v>1600868</v>
      </c>
      <c r="F30" s="17" t="s">
        <v>37</v>
      </c>
      <c r="G30" s="72">
        <v>20419037</v>
      </c>
      <c r="H30" s="17" t="s">
        <v>97</v>
      </c>
      <c r="I30" s="72">
        <v>2</v>
      </c>
      <c r="J30" s="73">
        <v>16.5</v>
      </c>
      <c r="K30" s="73">
        <f t="shared" si="0"/>
        <v>33</v>
      </c>
    </row>
    <row r="31" spans="4:11">
      <c r="D31" s="71">
        <v>46149</v>
      </c>
      <c r="E31" s="17">
        <v>1600868</v>
      </c>
      <c r="F31" s="17" t="s">
        <v>37</v>
      </c>
      <c r="G31" s="72">
        <v>20420069</v>
      </c>
      <c r="H31" s="17" t="s">
        <v>98</v>
      </c>
      <c r="I31" s="72">
        <v>1</v>
      </c>
      <c r="J31" s="73">
        <v>16.5</v>
      </c>
      <c r="K31" s="73">
        <f t="shared" si="0"/>
        <v>16.5</v>
      </c>
    </row>
    <row r="32" spans="4:11">
      <c r="D32" s="71">
        <v>46149</v>
      </c>
      <c r="E32" s="17">
        <v>1600868</v>
      </c>
      <c r="F32" s="17" t="s">
        <v>37</v>
      </c>
      <c r="G32" s="72">
        <v>20419721</v>
      </c>
      <c r="H32" s="17" t="s">
        <v>103</v>
      </c>
      <c r="I32" s="72">
        <v>1</v>
      </c>
      <c r="J32" s="73">
        <v>16.5</v>
      </c>
      <c r="K32" s="73">
        <f t="shared" si="0"/>
        <v>16.5</v>
      </c>
    </row>
    <row r="33" spans="4:11">
      <c r="D33" s="71">
        <v>46149</v>
      </c>
      <c r="E33" s="17">
        <v>1600868</v>
      </c>
      <c r="F33" s="17" t="s">
        <v>37</v>
      </c>
      <c r="G33" s="72">
        <v>20419715</v>
      </c>
      <c r="H33" s="17" t="s">
        <v>104</v>
      </c>
      <c r="I33" s="72">
        <v>1</v>
      </c>
      <c r="J33" s="73">
        <v>16.5</v>
      </c>
      <c r="K33" s="73">
        <f t="shared" si="0"/>
        <v>16.5</v>
      </c>
    </row>
    <row r="34" spans="4:11">
      <c r="D34" s="71">
        <v>46149</v>
      </c>
      <c r="E34" s="17">
        <v>1600868</v>
      </c>
      <c r="F34" s="17" t="s">
        <v>37</v>
      </c>
      <c r="G34" s="72">
        <v>20419699</v>
      </c>
      <c r="H34" s="17" t="s">
        <v>105</v>
      </c>
      <c r="I34" s="72">
        <v>1</v>
      </c>
      <c r="J34" s="73">
        <v>16.5</v>
      </c>
      <c r="K34" s="73">
        <f t="shared" si="0"/>
        <v>16.5</v>
      </c>
    </row>
    <row r="35" spans="4:11">
      <c r="D35" s="71">
        <v>46149</v>
      </c>
      <c r="E35" s="17">
        <v>1600935</v>
      </c>
      <c r="F35" s="17" t="s">
        <v>19</v>
      </c>
      <c r="G35" s="72">
        <v>20424381</v>
      </c>
      <c r="H35" s="17" t="s">
        <v>106</v>
      </c>
      <c r="I35" s="72">
        <v>1</v>
      </c>
      <c r="J35" s="73">
        <v>8</v>
      </c>
      <c r="K35" s="73">
        <f t="shared" si="0"/>
        <v>8</v>
      </c>
    </row>
    <row r="36" spans="4:11">
      <c r="D36" s="71">
        <v>46150</v>
      </c>
      <c r="E36" s="17">
        <v>1601375</v>
      </c>
      <c r="F36" s="17" t="s">
        <v>89</v>
      </c>
      <c r="G36" s="72">
        <v>20418525</v>
      </c>
      <c r="H36" s="17" t="s">
        <v>107</v>
      </c>
      <c r="I36" s="72">
        <v>1</v>
      </c>
      <c r="J36" s="73">
        <v>313.5</v>
      </c>
      <c r="K36" s="73">
        <f t="shared" si="0"/>
        <v>313.5</v>
      </c>
    </row>
    <row r="37" spans="4:11">
      <c r="D37" s="71">
        <v>46150</v>
      </c>
      <c r="E37" s="17">
        <v>1601375</v>
      </c>
      <c r="F37" s="17" t="s">
        <v>37</v>
      </c>
      <c r="G37" s="72">
        <v>20419037</v>
      </c>
      <c r="H37" s="17" t="s">
        <v>97</v>
      </c>
      <c r="I37" s="72">
        <v>1</v>
      </c>
      <c r="J37" s="73">
        <v>16.5</v>
      </c>
      <c r="K37" s="73">
        <f t="shared" si="0"/>
        <v>16.5</v>
      </c>
    </row>
    <row r="38" spans="4:11">
      <c r="D38" s="71">
        <v>46153</v>
      </c>
      <c r="E38" s="17">
        <v>1602053</v>
      </c>
      <c r="F38" s="17" t="s">
        <v>89</v>
      </c>
      <c r="G38" s="72">
        <v>20418553</v>
      </c>
      <c r="H38" s="17" t="s">
        <v>90</v>
      </c>
      <c r="I38" s="72">
        <v>3</v>
      </c>
      <c r="J38" s="73">
        <v>115.5</v>
      </c>
      <c r="K38" s="73">
        <f t="shared" si="0"/>
        <v>346.5</v>
      </c>
    </row>
    <row r="39" spans="4:11">
      <c r="D39" s="71">
        <v>46153</v>
      </c>
      <c r="E39" s="17">
        <v>1602053</v>
      </c>
      <c r="F39" s="17" t="s">
        <v>89</v>
      </c>
      <c r="G39" s="72">
        <v>20418568</v>
      </c>
      <c r="H39" s="17" t="s">
        <v>108</v>
      </c>
      <c r="I39" s="72">
        <v>1</v>
      </c>
      <c r="J39" s="73">
        <v>132</v>
      </c>
      <c r="K39" s="73">
        <f t="shared" si="0"/>
        <v>132</v>
      </c>
    </row>
    <row r="40" spans="4:11">
      <c r="D40" s="71">
        <v>46153</v>
      </c>
      <c r="E40" s="17">
        <v>1602053</v>
      </c>
      <c r="F40" s="17" t="s">
        <v>89</v>
      </c>
      <c r="G40" s="72">
        <v>20418555</v>
      </c>
      <c r="H40" s="17" t="s">
        <v>99</v>
      </c>
      <c r="I40" s="72">
        <v>1</v>
      </c>
      <c r="J40" s="73">
        <v>170.5</v>
      </c>
      <c r="K40" s="73">
        <f t="shared" si="0"/>
        <v>170.5</v>
      </c>
    </row>
    <row r="41" spans="4:11">
      <c r="D41" s="71">
        <v>46153</v>
      </c>
      <c r="E41" s="17">
        <v>1602053</v>
      </c>
      <c r="F41" s="17" t="s">
        <v>89</v>
      </c>
      <c r="G41" s="72">
        <v>20418528</v>
      </c>
      <c r="H41" s="17" t="s">
        <v>100</v>
      </c>
      <c r="I41" s="72">
        <v>1</v>
      </c>
      <c r="J41" s="73">
        <v>242</v>
      </c>
      <c r="K41" s="73">
        <f t="shared" si="0"/>
        <v>242</v>
      </c>
    </row>
    <row r="42" spans="4:11">
      <c r="D42" s="71">
        <v>46153</v>
      </c>
      <c r="E42" s="17">
        <v>1602053</v>
      </c>
      <c r="F42" s="17" t="s">
        <v>13</v>
      </c>
      <c r="G42" s="72">
        <v>20420104</v>
      </c>
      <c r="H42" s="17" t="s">
        <v>109</v>
      </c>
      <c r="I42" s="72">
        <v>1</v>
      </c>
      <c r="J42" s="74">
        <v>8</v>
      </c>
      <c r="K42" s="73">
        <f t="shared" si="0"/>
        <v>8</v>
      </c>
    </row>
    <row r="43" spans="4:11">
      <c r="D43" s="71">
        <v>46153</v>
      </c>
      <c r="E43" s="17">
        <v>1602053</v>
      </c>
      <c r="F43" s="17" t="s">
        <v>13</v>
      </c>
      <c r="G43" s="72">
        <v>20424952</v>
      </c>
      <c r="H43" s="17" t="s">
        <v>110</v>
      </c>
      <c r="I43" s="72">
        <v>1</v>
      </c>
      <c r="J43" s="73">
        <v>13.5</v>
      </c>
      <c r="K43" s="73">
        <f t="shared" si="0"/>
        <v>13.5</v>
      </c>
    </row>
    <row r="44" spans="4:11">
      <c r="D44" s="71">
        <v>46153</v>
      </c>
      <c r="E44" s="17">
        <v>1602053</v>
      </c>
      <c r="F44" s="17" t="s">
        <v>13</v>
      </c>
      <c r="G44" s="72">
        <v>20420416</v>
      </c>
      <c r="H44" s="17" t="s">
        <v>111</v>
      </c>
      <c r="I44" s="72">
        <v>1</v>
      </c>
      <c r="J44" s="73">
        <v>16.5</v>
      </c>
      <c r="K44" s="73">
        <f t="shared" si="0"/>
        <v>16.5</v>
      </c>
    </row>
    <row r="45" spans="4:11">
      <c r="D45" s="71">
        <v>46153</v>
      </c>
      <c r="E45" s="17">
        <v>1602053</v>
      </c>
      <c r="F45" s="17" t="s">
        <v>13</v>
      </c>
      <c r="G45" s="72">
        <v>20419019</v>
      </c>
      <c r="H45" s="17" t="s">
        <v>47</v>
      </c>
      <c r="I45" s="72">
        <v>1</v>
      </c>
      <c r="J45" s="73">
        <v>8</v>
      </c>
      <c r="K45" s="73">
        <f t="shared" si="0"/>
        <v>8</v>
      </c>
    </row>
    <row r="46" spans="4:11">
      <c r="D46" s="71">
        <v>46153</v>
      </c>
      <c r="E46" s="17">
        <v>1602053</v>
      </c>
      <c r="F46" s="17" t="s">
        <v>13</v>
      </c>
      <c r="G46" s="72">
        <v>20419711</v>
      </c>
      <c r="H46" s="17" t="s">
        <v>112</v>
      </c>
      <c r="I46" s="72">
        <v>1</v>
      </c>
      <c r="J46" s="73">
        <v>16.5</v>
      </c>
      <c r="K46" s="73">
        <f t="shared" si="0"/>
        <v>16.5</v>
      </c>
    </row>
    <row r="47" spans="4:11">
      <c r="D47" s="71">
        <v>46153</v>
      </c>
      <c r="E47" s="17">
        <v>1602053</v>
      </c>
      <c r="F47" s="17" t="s">
        <v>13</v>
      </c>
      <c r="G47" s="72">
        <v>20421775</v>
      </c>
      <c r="H47" s="17" t="s">
        <v>48</v>
      </c>
      <c r="I47" s="72">
        <v>1</v>
      </c>
      <c r="J47" s="73">
        <v>8</v>
      </c>
      <c r="K47" s="73">
        <f t="shared" si="0"/>
        <v>8</v>
      </c>
    </row>
    <row r="48" spans="4:11">
      <c r="D48" s="71">
        <v>46153</v>
      </c>
      <c r="E48" s="17">
        <v>1602053</v>
      </c>
      <c r="F48" s="17" t="s">
        <v>13</v>
      </c>
      <c r="G48" s="72">
        <v>20420201</v>
      </c>
      <c r="H48" s="17" t="s">
        <v>113</v>
      </c>
      <c r="I48" s="72">
        <v>1</v>
      </c>
      <c r="J48" s="73">
        <v>8</v>
      </c>
      <c r="K48" s="73">
        <f t="shared" si="0"/>
        <v>8</v>
      </c>
    </row>
    <row r="49" spans="4:11">
      <c r="D49" s="71">
        <v>46153</v>
      </c>
      <c r="E49" s="17">
        <v>1602053</v>
      </c>
      <c r="F49" s="17" t="s">
        <v>13</v>
      </c>
      <c r="G49" s="72">
        <v>20421641</v>
      </c>
      <c r="H49" s="17" t="s">
        <v>114</v>
      </c>
      <c r="I49" s="72">
        <v>1</v>
      </c>
      <c r="J49" s="73">
        <v>8</v>
      </c>
      <c r="K49" s="73">
        <f t="shared" si="0"/>
        <v>8</v>
      </c>
    </row>
    <row r="50" spans="4:11">
      <c r="D50" s="71">
        <v>46153</v>
      </c>
      <c r="E50" s="17">
        <v>1602053</v>
      </c>
      <c r="F50" s="17" t="s">
        <v>37</v>
      </c>
      <c r="G50" s="72">
        <v>20419700</v>
      </c>
      <c r="H50" s="17" t="s">
        <v>102</v>
      </c>
      <c r="I50" s="72">
        <v>3</v>
      </c>
      <c r="J50" s="73">
        <v>16.5</v>
      </c>
      <c r="K50" s="73">
        <f t="shared" si="0"/>
        <v>49.5</v>
      </c>
    </row>
    <row r="51" spans="4:11">
      <c r="D51" s="71">
        <v>46153</v>
      </c>
      <c r="E51" s="17">
        <v>1602053</v>
      </c>
      <c r="F51" s="17" t="s">
        <v>37</v>
      </c>
      <c r="G51" s="72">
        <v>20419037</v>
      </c>
      <c r="H51" s="17" t="s">
        <v>97</v>
      </c>
      <c r="I51" s="72">
        <v>4</v>
      </c>
      <c r="J51" s="73">
        <v>16.5</v>
      </c>
      <c r="K51" s="73">
        <f t="shared" si="0"/>
        <v>66</v>
      </c>
    </row>
    <row r="52" spans="4:11">
      <c r="D52" s="71">
        <v>46153</v>
      </c>
      <c r="E52" s="17">
        <v>1602053</v>
      </c>
      <c r="F52" s="17" t="s">
        <v>37</v>
      </c>
      <c r="G52" s="72">
        <v>20420068</v>
      </c>
      <c r="H52" s="17" t="s">
        <v>115</v>
      </c>
      <c r="I52" s="72">
        <v>1</v>
      </c>
      <c r="J52" s="73">
        <v>16.5</v>
      </c>
      <c r="K52" s="73">
        <f t="shared" si="0"/>
        <v>16.5</v>
      </c>
    </row>
    <row r="53" spans="4:11">
      <c r="D53" s="71">
        <v>46153</v>
      </c>
      <c r="E53" s="17">
        <v>1602053</v>
      </c>
      <c r="F53" s="17" t="s">
        <v>37</v>
      </c>
      <c r="G53" s="72">
        <v>20419725</v>
      </c>
      <c r="H53" s="17" t="s">
        <v>116</v>
      </c>
      <c r="I53" s="72">
        <v>1</v>
      </c>
      <c r="J53" s="73">
        <v>16.5</v>
      </c>
      <c r="K53" s="73">
        <f t="shared" si="0"/>
        <v>16.5</v>
      </c>
    </row>
    <row r="54" spans="4:11">
      <c r="D54" s="71">
        <v>46153</v>
      </c>
      <c r="E54" s="17">
        <v>1602053</v>
      </c>
      <c r="F54" s="17" t="s">
        <v>37</v>
      </c>
      <c r="G54" s="72">
        <v>20419715</v>
      </c>
      <c r="H54" s="17" t="s">
        <v>104</v>
      </c>
      <c r="I54" s="72">
        <v>2</v>
      </c>
      <c r="J54" s="73">
        <v>16.5</v>
      </c>
      <c r="K54" s="73">
        <f t="shared" si="0"/>
        <v>33</v>
      </c>
    </row>
    <row r="55" spans="4:11">
      <c r="D55" s="71">
        <v>46153</v>
      </c>
      <c r="E55" s="17">
        <v>1602053</v>
      </c>
      <c r="F55" s="17" t="s">
        <v>37</v>
      </c>
      <c r="G55" s="72">
        <v>20419699</v>
      </c>
      <c r="H55" s="17" t="s">
        <v>105</v>
      </c>
      <c r="I55" s="72">
        <v>2</v>
      </c>
      <c r="J55" s="73">
        <v>16.5</v>
      </c>
      <c r="K55" s="73">
        <f t="shared" si="0"/>
        <v>33</v>
      </c>
    </row>
    <row r="56" spans="4:11">
      <c r="D56" s="71">
        <v>46154</v>
      </c>
      <c r="E56" s="17">
        <v>1602223</v>
      </c>
      <c r="F56" s="17" t="s">
        <v>86</v>
      </c>
      <c r="G56" s="72">
        <v>20418565</v>
      </c>
      <c r="H56" s="17" t="s">
        <v>117</v>
      </c>
      <c r="I56" s="72">
        <v>1</v>
      </c>
      <c r="J56" s="73">
        <v>28</v>
      </c>
      <c r="K56" s="73">
        <f t="shared" si="0"/>
        <v>28</v>
      </c>
    </row>
    <row r="57" spans="4:11">
      <c r="D57" s="71">
        <v>46154</v>
      </c>
      <c r="E57" s="17">
        <v>1602389</v>
      </c>
      <c r="F57" s="17" t="s">
        <v>19</v>
      </c>
      <c r="G57" s="72">
        <v>20418545</v>
      </c>
      <c r="H57" s="17" t="s">
        <v>82</v>
      </c>
      <c r="I57" s="72">
        <v>1</v>
      </c>
      <c r="J57" s="73">
        <v>35</v>
      </c>
      <c r="K57" s="73">
        <f t="shared" si="0"/>
        <v>35</v>
      </c>
    </row>
    <row r="58" spans="4:11">
      <c r="D58" s="71">
        <v>46154</v>
      </c>
      <c r="E58" s="17">
        <v>1602389</v>
      </c>
      <c r="F58" s="17" t="s">
        <v>19</v>
      </c>
      <c r="G58" s="72">
        <v>20422867</v>
      </c>
      <c r="H58" s="17" t="s">
        <v>84</v>
      </c>
      <c r="I58" s="72">
        <v>2</v>
      </c>
      <c r="J58" s="73">
        <v>28</v>
      </c>
      <c r="K58" s="73">
        <f t="shared" si="0"/>
        <v>56</v>
      </c>
    </row>
    <row r="59" spans="4:11">
      <c r="D59" s="71">
        <v>46154</v>
      </c>
      <c r="E59" s="17">
        <v>1602389</v>
      </c>
      <c r="F59" s="17" t="s">
        <v>19</v>
      </c>
      <c r="G59" s="72">
        <v>20421602</v>
      </c>
      <c r="H59" s="17" t="s">
        <v>85</v>
      </c>
      <c r="I59" s="72">
        <v>1</v>
      </c>
      <c r="J59" s="73">
        <v>66</v>
      </c>
      <c r="K59" s="73">
        <f t="shared" si="0"/>
        <v>66</v>
      </c>
    </row>
    <row r="60" spans="4:11">
      <c r="D60" s="71">
        <v>46154</v>
      </c>
      <c r="E60" s="17">
        <v>1602389</v>
      </c>
      <c r="F60" s="17" t="s">
        <v>86</v>
      </c>
      <c r="G60" s="72">
        <v>20420203</v>
      </c>
      <c r="H60" s="17" t="s">
        <v>87</v>
      </c>
      <c r="I60" s="72">
        <v>1</v>
      </c>
      <c r="J60" s="73">
        <v>28</v>
      </c>
      <c r="K60" s="73">
        <f t="shared" si="0"/>
        <v>28</v>
      </c>
    </row>
    <row r="61" spans="4:11">
      <c r="D61" s="71">
        <v>46154</v>
      </c>
      <c r="E61" s="17">
        <v>1602465</v>
      </c>
      <c r="F61" s="17" t="s">
        <v>89</v>
      </c>
      <c r="G61" s="72">
        <v>20418553</v>
      </c>
      <c r="H61" s="17" t="s">
        <v>90</v>
      </c>
      <c r="I61" s="72">
        <v>1</v>
      </c>
      <c r="J61" s="73">
        <v>115.5</v>
      </c>
      <c r="K61" s="73">
        <f t="shared" si="0"/>
        <v>115.5</v>
      </c>
    </row>
    <row r="62" spans="4:11">
      <c r="D62" s="71">
        <v>46154</v>
      </c>
      <c r="E62" s="17">
        <v>1602465</v>
      </c>
      <c r="F62" s="17" t="s">
        <v>89</v>
      </c>
      <c r="G62" s="72">
        <v>20418559</v>
      </c>
      <c r="H62" s="17" t="s">
        <v>91</v>
      </c>
      <c r="I62" s="72">
        <v>1</v>
      </c>
      <c r="J62" s="73">
        <v>115.5</v>
      </c>
      <c r="K62" s="73">
        <f t="shared" si="0"/>
        <v>115.5</v>
      </c>
    </row>
    <row r="63" spans="4:11">
      <c r="D63" s="71">
        <v>46154</v>
      </c>
      <c r="E63" s="17">
        <v>1602465</v>
      </c>
      <c r="F63" s="17" t="s">
        <v>37</v>
      </c>
      <c r="G63" s="72">
        <v>20419037</v>
      </c>
      <c r="H63" s="17" t="s">
        <v>97</v>
      </c>
      <c r="I63" s="72">
        <v>2</v>
      </c>
      <c r="J63" s="73">
        <v>16.5</v>
      </c>
      <c r="K63" s="73">
        <f t="shared" si="0"/>
        <v>33</v>
      </c>
    </row>
    <row r="64" spans="4:11">
      <c r="D64" s="71">
        <v>46156</v>
      </c>
      <c r="E64" s="17">
        <v>1603120</v>
      </c>
      <c r="F64" s="17" t="s">
        <v>19</v>
      </c>
      <c r="G64" s="72">
        <v>20418545</v>
      </c>
      <c r="H64" s="17" t="s">
        <v>82</v>
      </c>
      <c r="I64" s="72">
        <v>1</v>
      </c>
      <c r="J64" s="73">
        <v>35</v>
      </c>
      <c r="K64" s="73">
        <f t="shared" si="0"/>
        <v>35</v>
      </c>
    </row>
    <row r="65" spans="4:11">
      <c r="D65" s="71">
        <v>46156</v>
      </c>
      <c r="E65" s="17">
        <v>1603120</v>
      </c>
      <c r="F65" s="17" t="s">
        <v>19</v>
      </c>
      <c r="G65" s="72">
        <v>20418558</v>
      </c>
      <c r="H65" s="17" t="s">
        <v>83</v>
      </c>
      <c r="I65" s="72">
        <v>1</v>
      </c>
      <c r="J65" s="73">
        <v>22</v>
      </c>
      <c r="K65" s="73">
        <f t="shared" si="0"/>
        <v>22</v>
      </c>
    </row>
    <row r="66" spans="4:11">
      <c r="D66" s="71">
        <v>46156</v>
      </c>
      <c r="E66" s="17">
        <v>1603120</v>
      </c>
      <c r="F66" s="17" t="s">
        <v>19</v>
      </c>
      <c r="G66" s="72">
        <v>20422867</v>
      </c>
      <c r="H66" s="17" t="s">
        <v>84</v>
      </c>
      <c r="I66" s="72">
        <v>2</v>
      </c>
      <c r="J66" s="73">
        <v>28</v>
      </c>
      <c r="K66" s="73">
        <f t="shared" si="0"/>
        <v>56</v>
      </c>
    </row>
    <row r="67" spans="4:11">
      <c r="D67" s="71">
        <v>46156</v>
      </c>
      <c r="E67" s="17">
        <v>1603120</v>
      </c>
      <c r="F67" s="17" t="s">
        <v>19</v>
      </c>
      <c r="G67" s="72">
        <v>20418539</v>
      </c>
      <c r="H67" s="17" t="s">
        <v>118</v>
      </c>
      <c r="I67" s="72">
        <v>1</v>
      </c>
      <c r="J67" s="73">
        <v>28</v>
      </c>
      <c r="K67" s="73">
        <f t="shared" si="0"/>
        <v>28</v>
      </c>
    </row>
    <row r="68" spans="4:11">
      <c r="D68" s="71">
        <v>46156</v>
      </c>
      <c r="E68" s="17">
        <v>1603120</v>
      </c>
      <c r="F68" s="17" t="s">
        <v>19</v>
      </c>
      <c r="G68" s="72">
        <v>20421602</v>
      </c>
      <c r="H68" s="17" t="s">
        <v>85</v>
      </c>
      <c r="I68" s="72">
        <v>1</v>
      </c>
      <c r="J68" s="73">
        <v>66</v>
      </c>
      <c r="K68" s="73">
        <f t="shared" si="0"/>
        <v>66</v>
      </c>
    </row>
    <row r="69" spans="4:11">
      <c r="D69" s="71">
        <v>46156</v>
      </c>
      <c r="E69" s="17">
        <v>1603120</v>
      </c>
      <c r="F69" s="17" t="s">
        <v>86</v>
      </c>
      <c r="G69" s="72">
        <v>20420203</v>
      </c>
      <c r="H69" s="17" t="s">
        <v>87</v>
      </c>
      <c r="I69" s="72">
        <v>1</v>
      </c>
      <c r="J69" s="73">
        <v>28</v>
      </c>
      <c r="K69" s="73">
        <f t="shared" si="0"/>
        <v>28</v>
      </c>
    </row>
    <row r="70" spans="4:11">
      <c r="D70" s="71">
        <v>46156</v>
      </c>
      <c r="E70" s="17">
        <v>1603164</v>
      </c>
      <c r="F70" s="17" t="s">
        <v>89</v>
      </c>
      <c r="G70" s="72">
        <v>20418559</v>
      </c>
      <c r="H70" s="17" t="s">
        <v>91</v>
      </c>
      <c r="I70" s="72">
        <v>1</v>
      </c>
      <c r="J70" s="73">
        <v>115.5</v>
      </c>
      <c r="K70" s="73">
        <f t="shared" si="0"/>
        <v>115.5</v>
      </c>
    </row>
    <row r="71" spans="4:11">
      <c r="D71" s="71">
        <v>46156</v>
      </c>
      <c r="E71" s="17">
        <v>1603164</v>
      </c>
      <c r="F71" s="17" t="s">
        <v>89</v>
      </c>
      <c r="G71" s="72">
        <v>20418528</v>
      </c>
      <c r="H71" s="17" t="s">
        <v>100</v>
      </c>
      <c r="I71" s="72">
        <v>1</v>
      </c>
      <c r="J71" s="73">
        <v>242</v>
      </c>
      <c r="K71" s="73">
        <f t="shared" si="0"/>
        <v>242</v>
      </c>
    </row>
    <row r="72" spans="4:11">
      <c r="D72" s="71">
        <v>46156</v>
      </c>
      <c r="E72" s="17">
        <v>1603164</v>
      </c>
      <c r="F72" s="17" t="s">
        <v>37</v>
      </c>
      <c r="G72" s="72">
        <v>20419037</v>
      </c>
      <c r="H72" s="17" t="s">
        <v>97</v>
      </c>
      <c r="I72" s="72">
        <v>1</v>
      </c>
      <c r="J72" s="73">
        <v>16.5</v>
      </c>
      <c r="K72" s="73">
        <f t="shared" si="0"/>
        <v>16.5</v>
      </c>
    </row>
    <row r="73" spans="4:11">
      <c r="D73" s="71">
        <v>46156</v>
      </c>
      <c r="E73" s="17">
        <v>1603164</v>
      </c>
      <c r="F73" s="17" t="s">
        <v>25</v>
      </c>
      <c r="G73" s="72">
        <v>20425613</v>
      </c>
      <c r="H73" s="17" t="s">
        <v>119</v>
      </c>
      <c r="I73" s="72">
        <v>1</v>
      </c>
      <c r="J73" s="73">
        <v>2.5</v>
      </c>
      <c r="K73" s="73">
        <f t="shared" si="0"/>
        <v>2.5</v>
      </c>
    </row>
    <row r="74" spans="4:11">
      <c r="D74" s="71">
        <v>46157</v>
      </c>
      <c r="E74" s="17">
        <v>1603340</v>
      </c>
      <c r="F74" s="17" t="s">
        <v>89</v>
      </c>
      <c r="G74" s="72">
        <v>20419759</v>
      </c>
      <c r="H74" s="17" t="s">
        <v>120</v>
      </c>
      <c r="I74" s="72">
        <v>1</v>
      </c>
      <c r="J74" s="73">
        <v>275</v>
      </c>
      <c r="K74" s="73">
        <f t="shared" ref="K74:K137" si="1">J74*I74</f>
        <v>275</v>
      </c>
    </row>
    <row r="75" spans="4:11">
      <c r="D75" s="71">
        <v>46157</v>
      </c>
      <c r="E75" s="17">
        <v>1603340</v>
      </c>
      <c r="F75" s="17" t="s">
        <v>89</v>
      </c>
      <c r="G75" s="72">
        <v>20418555</v>
      </c>
      <c r="H75" s="17" t="s">
        <v>99</v>
      </c>
      <c r="I75" s="72">
        <v>1</v>
      </c>
      <c r="J75" s="73">
        <v>170.5</v>
      </c>
      <c r="K75" s="73">
        <f t="shared" si="1"/>
        <v>170.5</v>
      </c>
    </row>
    <row r="76" spans="4:11">
      <c r="D76" s="71">
        <v>46157</v>
      </c>
      <c r="E76" s="17">
        <v>1603340</v>
      </c>
      <c r="F76" s="17" t="s">
        <v>37</v>
      </c>
      <c r="G76" s="72">
        <v>20419700</v>
      </c>
      <c r="H76" s="17" t="s">
        <v>102</v>
      </c>
      <c r="I76" s="72">
        <v>3</v>
      </c>
      <c r="J76" s="73">
        <v>16.5</v>
      </c>
      <c r="K76" s="73">
        <f t="shared" si="1"/>
        <v>49.5</v>
      </c>
    </row>
    <row r="77" spans="4:11">
      <c r="D77" s="71">
        <v>46157</v>
      </c>
      <c r="E77" s="17">
        <v>1603340</v>
      </c>
      <c r="F77" s="17" t="s">
        <v>37</v>
      </c>
      <c r="G77" s="72">
        <v>20419699</v>
      </c>
      <c r="H77" s="17" t="s">
        <v>105</v>
      </c>
      <c r="I77" s="72">
        <v>2</v>
      </c>
      <c r="J77" s="73">
        <v>16.5</v>
      </c>
      <c r="K77" s="73">
        <f t="shared" si="1"/>
        <v>33</v>
      </c>
    </row>
    <row r="78" ht="24" spans="4:11">
      <c r="D78" s="71">
        <v>46157</v>
      </c>
      <c r="E78" s="17">
        <v>1603340</v>
      </c>
      <c r="F78" s="17" t="s">
        <v>121</v>
      </c>
      <c r="G78" s="72">
        <v>20425639</v>
      </c>
      <c r="H78" s="17" t="s">
        <v>122</v>
      </c>
      <c r="I78" s="72">
        <v>1</v>
      </c>
      <c r="J78" s="73">
        <v>49.5</v>
      </c>
      <c r="K78" s="73">
        <f t="shared" si="1"/>
        <v>49.5</v>
      </c>
    </row>
    <row r="79" spans="4:11">
      <c r="D79" s="71">
        <v>46157</v>
      </c>
      <c r="E79" s="17">
        <v>1603555</v>
      </c>
      <c r="F79" s="17" t="s">
        <v>89</v>
      </c>
      <c r="G79" s="72">
        <v>20418553</v>
      </c>
      <c r="H79" s="17" t="s">
        <v>90</v>
      </c>
      <c r="I79" s="72">
        <v>2</v>
      </c>
      <c r="J79" s="73">
        <v>115.5</v>
      </c>
      <c r="K79" s="73">
        <f t="shared" si="1"/>
        <v>231</v>
      </c>
    </row>
    <row r="80" spans="4:11">
      <c r="D80" s="71">
        <v>46157</v>
      </c>
      <c r="E80" s="17">
        <v>1603555</v>
      </c>
      <c r="F80" s="17" t="s">
        <v>13</v>
      </c>
      <c r="G80" s="72">
        <v>20419711</v>
      </c>
      <c r="H80" s="17" t="s">
        <v>112</v>
      </c>
      <c r="I80" s="72">
        <v>1</v>
      </c>
      <c r="J80" s="73">
        <v>16.5</v>
      </c>
      <c r="K80" s="73">
        <f t="shared" si="1"/>
        <v>16.5</v>
      </c>
    </row>
    <row r="81" spans="4:11">
      <c r="D81" s="71">
        <v>46157</v>
      </c>
      <c r="E81" s="17">
        <v>1603555</v>
      </c>
      <c r="F81" s="17" t="s">
        <v>13</v>
      </c>
      <c r="G81" s="72">
        <v>20419701</v>
      </c>
      <c r="H81" s="17" t="s">
        <v>94</v>
      </c>
      <c r="I81" s="72">
        <v>1</v>
      </c>
      <c r="J81" s="73">
        <v>13.5</v>
      </c>
      <c r="K81" s="73">
        <f t="shared" si="1"/>
        <v>13.5</v>
      </c>
    </row>
    <row r="82" spans="4:11">
      <c r="D82" s="71">
        <v>46157</v>
      </c>
      <c r="E82" s="17">
        <v>1603555</v>
      </c>
      <c r="F82" s="17" t="s">
        <v>37</v>
      </c>
      <c r="G82" s="72">
        <v>20419037</v>
      </c>
      <c r="H82" s="17" t="s">
        <v>97</v>
      </c>
      <c r="I82" s="72">
        <v>2</v>
      </c>
      <c r="J82" s="73">
        <v>16.5</v>
      </c>
      <c r="K82" s="73">
        <f t="shared" si="1"/>
        <v>33</v>
      </c>
    </row>
    <row r="83" spans="4:11">
      <c r="D83" s="71">
        <v>46157</v>
      </c>
      <c r="E83" s="17">
        <v>1603555</v>
      </c>
      <c r="F83" s="17" t="s">
        <v>37</v>
      </c>
      <c r="G83" s="72">
        <v>20425786</v>
      </c>
      <c r="H83" s="17" t="s">
        <v>123</v>
      </c>
      <c r="I83" s="72">
        <v>1</v>
      </c>
      <c r="J83" s="73">
        <v>33</v>
      </c>
      <c r="K83" s="73">
        <f t="shared" si="1"/>
        <v>33</v>
      </c>
    </row>
    <row r="84" spans="4:11">
      <c r="D84" s="71">
        <v>46157</v>
      </c>
      <c r="E84" s="17">
        <v>1603555</v>
      </c>
      <c r="F84" s="17" t="s">
        <v>37</v>
      </c>
      <c r="G84" s="72">
        <v>20419715</v>
      </c>
      <c r="H84" s="17" t="s">
        <v>104</v>
      </c>
      <c r="I84" s="72">
        <v>1</v>
      </c>
      <c r="J84" s="73">
        <v>16.5</v>
      </c>
      <c r="K84" s="73">
        <f t="shared" si="1"/>
        <v>16.5</v>
      </c>
    </row>
    <row r="85" spans="4:11">
      <c r="D85" s="71">
        <v>46157</v>
      </c>
      <c r="E85" s="17">
        <v>1603555</v>
      </c>
      <c r="F85" s="17" t="s">
        <v>37</v>
      </c>
      <c r="G85" s="72">
        <v>20419699</v>
      </c>
      <c r="H85" s="17" t="s">
        <v>105</v>
      </c>
      <c r="I85" s="72">
        <v>2</v>
      </c>
      <c r="J85" s="73">
        <v>16.5</v>
      </c>
      <c r="K85" s="73">
        <f t="shared" si="1"/>
        <v>33</v>
      </c>
    </row>
    <row r="86" spans="4:11">
      <c r="D86" s="71">
        <v>46160</v>
      </c>
      <c r="E86" s="17">
        <v>1604044</v>
      </c>
      <c r="F86" s="17" t="s">
        <v>89</v>
      </c>
      <c r="G86" s="72">
        <v>20418553</v>
      </c>
      <c r="H86" s="17" t="s">
        <v>90</v>
      </c>
      <c r="I86" s="72">
        <v>1</v>
      </c>
      <c r="J86" s="73">
        <v>115.5</v>
      </c>
      <c r="K86" s="73">
        <f t="shared" si="1"/>
        <v>115.5</v>
      </c>
    </row>
    <row r="87" spans="4:11">
      <c r="D87" s="71">
        <v>46160</v>
      </c>
      <c r="E87" s="17">
        <v>1604044</v>
      </c>
      <c r="F87" s="17" t="s">
        <v>89</v>
      </c>
      <c r="G87" s="72">
        <v>20418568</v>
      </c>
      <c r="H87" s="17" t="s">
        <v>108</v>
      </c>
      <c r="I87" s="72">
        <v>1</v>
      </c>
      <c r="J87" s="73">
        <v>132</v>
      </c>
      <c r="K87" s="73">
        <f t="shared" si="1"/>
        <v>132</v>
      </c>
    </row>
    <row r="88" spans="4:11">
      <c r="D88" s="71">
        <v>46160</v>
      </c>
      <c r="E88" s="17">
        <v>1604044</v>
      </c>
      <c r="F88" s="17" t="s">
        <v>89</v>
      </c>
      <c r="G88" s="72">
        <v>20418555</v>
      </c>
      <c r="H88" s="17" t="s">
        <v>99</v>
      </c>
      <c r="I88" s="72">
        <v>1</v>
      </c>
      <c r="J88" s="73">
        <v>170.5</v>
      </c>
      <c r="K88" s="73">
        <f t="shared" si="1"/>
        <v>170.5</v>
      </c>
    </row>
    <row r="89" spans="4:11">
      <c r="D89" s="71">
        <v>46160</v>
      </c>
      <c r="E89" s="17">
        <v>1604044</v>
      </c>
      <c r="F89" s="17" t="s">
        <v>89</v>
      </c>
      <c r="G89" s="72">
        <v>20418528</v>
      </c>
      <c r="H89" s="17" t="s">
        <v>100</v>
      </c>
      <c r="I89" s="72">
        <v>1</v>
      </c>
      <c r="J89" s="73">
        <v>242</v>
      </c>
      <c r="K89" s="73">
        <f t="shared" si="1"/>
        <v>242</v>
      </c>
    </row>
    <row r="90" spans="4:11">
      <c r="D90" s="71">
        <v>46160</v>
      </c>
      <c r="E90" s="17">
        <v>1604044</v>
      </c>
      <c r="F90" s="17" t="s">
        <v>13</v>
      </c>
      <c r="G90" s="72">
        <v>20420416</v>
      </c>
      <c r="H90" s="17" t="s">
        <v>111</v>
      </c>
      <c r="I90" s="72">
        <v>1</v>
      </c>
      <c r="J90" s="73">
        <v>16.5</v>
      </c>
      <c r="K90" s="73">
        <f t="shared" si="1"/>
        <v>16.5</v>
      </c>
    </row>
    <row r="91" spans="4:11">
      <c r="D91" s="71">
        <v>46160</v>
      </c>
      <c r="E91" s="17">
        <v>1604044</v>
      </c>
      <c r="F91" s="17" t="s">
        <v>13</v>
      </c>
      <c r="G91" s="72">
        <v>20419019</v>
      </c>
      <c r="H91" s="17" t="s">
        <v>47</v>
      </c>
      <c r="I91" s="72">
        <v>1</v>
      </c>
      <c r="J91" s="73">
        <v>8</v>
      </c>
      <c r="K91" s="73">
        <f t="shared" si="1"/>
        <v>8</v>
      </c>
    </row>
    <row r="92" spans="4:11">
      <c r="D92" s="71">
        <v>46160</v>
      </c>
      <c r="E92" s="17">
        <v>1604044</v>
      </c>
      <c r="F92" s="17" t="s">
        <v>13</v>
      </c>
      <c r="G92" s="72">
        <v>20420201</v>
      </c>
      <c r="H92" s="17" t="s">
        <v>113</v>
      </c>
      <c r="I92" s="72">
        <v>2</v>
      </c>
      <c r="J92" s="73">
        <v>8</v>
      </c>
      <c r="K92" s="73">
        <f t="shared" si="1"/>
        <v>16</v>
      </c>
    </row>
    <row r="93" spans="4:11">
      <c r="D93" s="71">
        <v>46160</v>
      </c>
      <c r="E93" s="17">
        <v>1604044</v>
      </c>
      <c r="F93" s="17" t="s">
        <v>37</v>
      </c>
      <c r="G93" s="72">
        <v>20420068</v>
      </c>
      <c r="H93" s="17" t="s">
        <v>124</v>
      </c>
      <c r="I93" s="72">
        <v>2</v>
      </c>
      <c r="J93" s="73">
        <v>16.5</v>
      </c>
      <c r="K93" s="73">
        <f t="shared" si="1"/>
        <v>33</v>
      </c>
    </row>
    <row r="94" spans="4:11">
      <c r="D94" s="71">
        <v>46160</v>
      </c>
      <c r="E94" s="17">
        <v>1604044</v>
      </c>
      <c r="F94" s="17" t="s">
        <v>37</v>
      </c>
      <c r="G94" s="72">
        <v>20419700</v>
      </c>
      <c r="H94" s="17" t="s">
        <v>102</v>
      </c>
      <c r="I94" s="72">
        <v>2</v>
      </c>
      <c r="J94" s="73">
        <v>16.5</v>
      </c>
      <c r="K94" s="73">
        <f t="shared" si="1"/>
        <v>33</v>
      </c>
    </row>
    <row r="95" spans="4:11">
      <c r="D95" s="71">
        <v>46160</v>
      </c>
      <c r="E95" s="17">
        <v>1604044</v>
      </c>
      <c r="F95" s="17" t="s">
        <v>37</v>
      </c>
      <c r="G95" s="72">
        <v>20419037</v>
      </c>
      <c r="H95" s="17" t="s">
        <v>97</v>
      </c>
      <c r="I95" s="72">
        <v>2</v>
      </c>
      <c r="J95" s="73">
        <v>16.5</v>
      </c>
      <c r="K95" s="73">
        <f t="shared" si="1"/>
        <v>33</v>
      </c>
    </row>
    <row r="96" spans="4:11">
      <c r="D96" s="71">
        <v>46160</v>
      </c>
      <c r="E96" s="17">
        <v>1604044</v>
      </c>
      <c r="F96" s="17" t="s">
        <v>37</v>
      </c>
      <c r="G96" s="72">
        <v>20419721</v>
      </c>
      <c r="H96" s="17" t="s">
        <v>103</v>
      </c>
      <c r="I96" s="72">
        <v>2</v>
      </c>
      <c r="J96" s="73">
        <v>16.5</v>
      </c>
      <c r="K96" s="73">
        <f t="shared" si="1"/>
        <v>33</v>
      </c>
    </row>
    <row r="97" spans="4:11">
      <c r="D97" s="71">
        <v>46160</v>
      </c>
      <c r="E97" s="17">
        <v>1604044</v>
      </c>
      <c r="F97" s="17" t="s">
        <v>37</v>
      </c>
      <c r="G97" s="72">
        <v>20419702</v>
      </c>
      <c r="H97" s="17" t="s">
        <v>125</v>
      </c>
      <c r="I97" s="72">
        <v>1</v>
      </c>
      <c r="J97" s="73">
        <v>55</v>
      </c>
      <c r="K97" s="73">
        <f t="shared" si="1"/>
        <v>55</v>
      </c>
    </row>
    <row r="98" spans="4:11">
      <c r="D98" s="71">
        <v>46160</v>
      </c>
      <c r="E98" s="17">
        <v>1604044</v>
      </c>
      <c r="F98" s="17" t="s">
        <v>37</v>
      </c>
      <c r="G98" s="72">
        <v>20419715</v>
      </c>
      <c r="H98" s="17" t="s">
        <v>104</v>
      </c>
      <c r="I98" s="72">
        <v>2</v>
      </c>
      <c r="J98" s="73">
        <v>16.5</v>
      </c>
      <c r="K98" s="73">
        <f t="shared" si="1"/>
        <v>33</v>
      </c>
    </row>
    <row r="99" spans="4:11">
      <c r="D99" s="71">
        <v>46160</v>
      </c>
      <c r="E99" s="17">
        <v>1604044</v>
      </c>
      <c r="F99" s="17" t="s">
        <v>37</v>
      </c>
      <c r="G99" s="72">
        <v>20419699</v>
      </c>
      <c r="H99" s="17" t="s">
        <v>105</v>
      </c>
      <c r="I99" s="72">
        <v>2</v>
      </c>
      <c r="J99" s="73">
        <v>16.5</v>
      </c>
      <c r="K99" s="73">
        <f t="shared" si="1"/>
        <v>33</v>
      </c>
    </row>
    <row r="100" spans="4:11">
      <c r="D100" s="71">
        <v>46160</v>
      </c>
      <c r="E100" s="17">
        <v>1604075</v>
      </c>
      <c r="F100" s="17" t="s">
        <v>13</v>
      </c>
      <c r="G100" s="72">
        <v>20419698</v>
      </c>
      <c r="H100" s="17" t="s">
        <v>126</v>
      </c>
      <c r="I100" s="72">
        <v>1</v>
      </c>
      <c r="J100" s="73">
        <v>16.5</v>
      </c>
      <c r="K100" s="73">
        <f t="shared" si="1"/>
        <v>16.5</v>
      </c>
    </row>
    <row r="101" spans="4:11">
      <c r="D101" s="71">
        <v>46160</v>
      </c>
      <c r="E101" s="17">
        <v>1604075</v>
      </c>
      <c r="F101" s="17" t="s">
        <v>13</v>
      </c>
      <c r="G101" s="72">
        <v>20421641</v>
      </c>
      <c r="H101" s="17" t="s">
        <v>114</v>
      </c>
      <c r="I101" s="72">
        <v>2</v>
      </c>
      <c r="J101" s="73">
        <v>8</v>
      </c>
      <c r="K101" s="73">
        <f t="shared" si="1"/>
        <v>16</v>
      </c>
    </row>
    <row r="102" spans="4:11">
      <c r="D102" s="71">
        <v>46161</v>
      </c>
      <c r="E102" s="17">
        <v>1604437</v>
      </c>
      <c r="F102" s="17" t="s">
        <v>89</v>
      </c>
      <c r="G102" s="72">
        <v>20418567</v>
      </c>
      <c r="H102" s="17" t="s">
        <v>127</v>
      </c>
      <c r="I102" s="72">
        <v>1</v>
      </c>
      <c r="J102" s="73">
        <v>330</v>
      </c>
      <c r="K102" s="73">
        <f t="shared" si="1"/>
        <v>330</v>
      </c>
    </row>
    <row r="103" spans="4:11">
      <c r="D103" s="71">
        <v>46161</v>
      </c>
      <c r="E103" s="17">
        <v>1604437</v>
      </c>
      <c r="F103" s="17" t="s">
        <v>13</v>
      </c>
      <c r="G103" s="72">
        <v>20420189</v>
      </c>
      <c r="H103" s="17" t="s">
        <v>101</v>
      </c>
      <c r="I103" s="72">
        <v>1</v>
      </c>
      <c r="J103" s="73">
        <v>13</v>
      </c>
      <c r="K103" s="73">
        <f t="shared" si="1"/>
        <v>13</v>
      </c>
    </row>
    <row r="104" spans="4:11">
      <c r="D104" s="71">
        <v>46161</v>
      </c>
      <c r="E104" s="17">
        <v>1604437</v>
      </c>
      <c r="F104" s="17" t="s">
        <v>13</v>
      </c>
      <c r="G104" s="72">
        <v>20419052</v>
      </c>
      <c r="H104" s="17" t="s">
        <v>95</v>
      </c>
      <c r="I104" s="72">
        <v>3</v>
      </c>
      <c r="J104" s="73">
        <v>13</v>
      </c>
      <c r="K104" s="73">
        <f t="shared" si="1"/>
        <v>39</v>
      </c>
    </row>
    <row r="105" spans="4:11">
      <c r="D105" s="71">
        <v>46161</v>
      </c>
      <c r="E105" s="17">
        <v>1604437</v>
      </c>
      <c r="F105" s="17" t="s">
        <v>13</v>
      </c>
      <c r="G105" s="72">
        <v>20419698</v>
      </c>
      <c r="H105" s="17" t="s">
        <v>126</v>
      </c>
      <c r="I105" s="72">
        <v>1</v>
      </c>
      <c r="J105" s="73">
        <v>16.5</v>
      </c>
      <c r="K105" s="73">
        <f t="shared" si="1"/>
        <v>16.5</v>
      </c>
    </row>
    <row r="106" spans="4:11">
      <c r="D106" s="71">
        <v>46161</v>
      </c>
      <c r="E106" s="17">
        <v>1604437</v>
      </c>
      <c r="F106" s="17" t="s">
        <v>37</v>
      </c>
      <c r="G106" s="72">
        <v>20419037</v>
      </c>
      <c r="H106" s="17" t="s">
        <v>97</v>
      </c>
      <c r="I106" s="72">
        <v>1</v>
      </c>
      <c r="J106" s="73">
        <v>16.5</v>
      </c>
      <c r="K106" s="73">
        <f t="shared" si="1"/>
        <v>16.5</v>
      </c>
    </row>
    <row r="107" spans="4:11">
      <c r="D107" s="71">
        <v>46161</v>
      </c>
      <c r="E107" s="17">
        <v>1604437</v>
      </c>
      <c r="F107" s="17" t="s">
        <v>37</v>
      </c>
      <c r="G107" s="72">
        <v>20420069</v>
      </c>
      <c r="H107" s="17" t="s">
        <v>98</v>
      </c>
      <c r="I107" s="72">
        <v>1</v>
      </c>
      <c r="J107" s="73">
        <v>16.5</v>
      </c>
      <c r="K107" s="73">
        <f t="shared" si="1"/>
        <v>16.5</v>
      </c>
    </row>
    <row r="108" spans="4:11">
      <c r="D108" s="71">
        <v>46161</v>
      </c>
      <c r="E108" s="17">
        <v>1604437</v>
      </c>
      <c r="F108" s="17" t="s">
        <v>37</v>
      </c>
      <c r="G108" s="72">
        <v>20419721</v>
      </c>
      <c r="H108" s="17" t="s">
        <v>103</v>
      </c>
      <c r="I108" s="72">
        <v>1</v>
      </c>
      <c r="J108" s="73">
        <v>16.5</v>
      </c>
      <c r="K108" s="73">
        <f t="shared" si="1"/>
        <v>16.5</v>
      </c>
    </row>
    <row r="109" spans="4:11">
      <c r="D109" s="71">
        <v>46161</v>
      </c>
      <c r="E109" s="17">
        <v>1604437</v>
      </c>
      <c r="F109" s="17" t="s">
        <v>37</v>
      </c>
      <c r="G109" s="72">
        <v>20419699</v>
      </c>
      <c r="H109" s="17" t="s">
        <v>105</v>
      </c>
      <c r="I109" s="72">
        <v>1</v>
      </c>
      <c r="J109" s="73">
        <v>16.5</v>
      </c>
      <c r="K109" s="73">
        <f t="shared" si="1"/>
        <v>16.5</v>
      </c>
    </row>
    <row r="110" spans="4:11">
      <c r="D110" s="71">
        <v>46161</v>
      </c>
      <c r="E110" s="17">
        <v>1604475</v>
      </c>
      <c r="F110" s="17" t="s">
        <v>37</v>
      </c>
      <c r="G110" s="72">
        <v>20419700</v>
      </c>
      <c r="H110" s="17" t="s">
        <v>102</v>
      </c>
      <c r="I110" s="72">
        <v>1</v>
      </c>
      <c r="J110" s="73">
        <v>16.5</v>
      </c>
      <c r="K110" s="73">
        <f t="shared" si="1"/>
        <v>16.5</v>
      </c>
    </row>
    <row r="111" spans="4:11">
      <c r="D111" s="71">
        <v>46162</v>
      </c>
      <c r="E111" s="17">
        <v>1604852</v>
      </c>
      <c r="F111" s="17" t="s">
        <v>89</v>
      </c>
      <c r="G111" s="72">
        <v>20418553</v>
      </c>
      <c r="H111" s="17" t="s">
        <v>90</v>
      </c>
      <c r="I111" s="72">
        <v>3</v>
      </c>
      <c r="J111" s="73">
        <v>115.5</v>
      </c>
      <c r="K111" s="73">
        <f t="shared" si="1"/>
        <v>346.5</v>
      </c>
    </row>
    <row r="112" spans="4:11">
      <c r="D112" s="71">
        <v>46162</v>
      </c>
      <c r="E112" s="17">
        <v>1604852</v>
      </c>
      <c r="F112" s="17" t="s">
        <v>37</v>
      </c>
      <c r="G112" s="72">
        <v>20419037</v>
      </c>
      <c r="H112" s="17" t="s">
        <v>97</v>
      </c>
      <c r="I112" s="72">
        <v>1</v>
      </c>
      <c r="J112" s="73">
        <v>16.5</v>
      </c>
      <c r="K112" s="73">
        <f t="shared" si="1"/>
        <v>16.5</v>
      </c>
    </row>
    <row r="113" spans="4:11">
      <c r="D113" s="71">
        <v>46162</v>
      </c>
      <c r="E113" s="17">
        <v>1604852</v>
      </c>
      <c r="F113" s="17" t="s">
        <v>37</v>
      </c>
      <c r="G113" s="72">
        <v>20420069</v>
      </c>
      <c r="H113" s="17" t="s">
        <v>98</v>
      </c>
      <c r="I113" s="72">
        <v>1</v>
      </c>
      <c r="J113" s="73">
        <v>16.5</v>
      </c>
      <c r="K113" s="73">
        <f t="shared" si="1"/>
        <v>16.5</v>
      </c>
    </row>
    <row r="114" spans="4:11">
      <c r="D114" s="71">
        <v>46163</v>
      </c>
      <c r="E114" s="17">
        <v>1605206</v>
      </c>
      <c r="F114" s="17" t="s">
        <v>89</v>
      </c>
      <c r="G114" s="72">
        <v>20418553</v>
      </c>
      <c r="H114" s="17" t="s">
        <v>90</v>
      </c>
      <c r="I114" s="72">
        <v>1</v>
      </c>
      <c r="J114" s="73">
        <v>115.5</v>
      </c>
      <c r="K114" s="73">
        <f t="shared" si="1"/>
        <v>115.5</v>
      </c>
    </row>
    <row r="115" spans="4:11">
      <c r="D115" s="71">
        <v>46163</v>
      </c>
      <c r="E115" s="17">
        <v>1605206</v>
      </c>
      <c r="F115" s="17" t="s">
        <v>89</v>
      </c>
      <c r="G115" s="72">
        <v>20418528</v>
      </c>
      <c r="H115" s="17" t="s">
        <v>100</v>
      </c>
      <c r="I115" s="72">
        <v>1</v>
      </c>
      <c r="J115" s="73">
        <v>242</v>
      </c>
      <c r="K115" s="73">
        <f t="shared" si="1"/>
        <v>242</v>
      </c>
    </row>
    <row r="116" spans="4:11">
      <c r="D116" s="71">
        <v>46163</v>
      </c>
      <c r="E116" s="17">
        <v>1605206</v>
      </c>
      <c r="F116" s="17" t="s">
        <v>13</v>
      </c>
      <c r="G116" s="72">
        <v>20419019</v>
      </c>
      <c r="H116" s="17" t="s">
        <v>47</v>
      </c>
      <c r="I116" s="72">
        <v>1</v>
      </c>
      <c r="J116" s="73">
        <v>8</v>
      </c>
      <c r="K116" s="73">
        <f t="shared" si="1"/>
        <v>8</v>
      </c>
    </row>
    <row r="117" spans="4:11">
      <c r="D117" s="71">
        <v>46163</v>
      </c>
      <c r="E117" s="17">
        <v>1605206</v>
      </c>
      <c r="F117" s="17" t="s">
        <v>13</v>
      </c>
      <c r="G117" s="72">
        <v>20418997</v>
      </c>
      <c r="H117" s="17" t="s">
        <v>46</v>
      </c>
      <c r="I117" s="72">
        <v>1</v>
      </c>
      <c r="J117" s="73">
        <v>8</v>
      </c>
      <c r="K117" s="73">
        <f t="shared" si="1"/>
        <v>8</v>
      </c>
    </row>
    <row r="118" spans="4:11">
      <c r="D118" s="71">
        <v>46163</v>
      </c>
      <c r="E118" s="17">
        <v>1605206</v>
      </c>
      <c r="F118" s="17" t="s">
        <v>37</v>
      </c>
      <c r="G118" s="72">
        <v>20419037</v>
      </c>
      <c r="H118" s="17" t="s">
        <v>97</v>
      </c>
      <c r="I118" s="72">
        <v>2</v>
      </c>
      <c r="J118" s="73">
        <v>16.5</v>
      </c>
      <c r="K118" s="73">
        <f t="shared" si="1"/>
        <v>33</v>
      </c>
    </row>
    <row r="119" spans="4:11">
      <c r="D119" s="71">
        <v>46163</v>
      </c>
      <c r="E119" s="17">
        <v>1605206</v>
      </c>
      <c r="F119" s="17" t="s">
        <v>37</v>
      </c>
      <c r="G119" s="72">
        <v>20419702</v>
      </c>
      <c r="H119" s="17" t="s">
        <v>125</v>
      </c>
      <c r="I119" s="72">
        <v>1</v>
      </c>
      <c r="J119" s="73">
        <v>55</v>
      </c>
      <c r="K119" s="73">
        <f t="shared" si="1"/>
        <v>55</v>
      </c>
    </row>
    <row r="120" spans="4:11">
      <c r="D120" s="71">
        <v>46164</v>
      </c>
      <c r="E120" s="17">
        <v>1605569</v>
      </c>
      <c r="F120" s="17" t="s">
        <v>19</v>
      </c>
      <c r="G120" s="72">
        <v>20418545</v>
      </c>
      <c r="H120" s="17" t="s">
        <v>82</v>
      </c>
      <c r="I120" s="72">
        <v>1</v>
      </c>
      <c r="J120" s="73">
        <v>35</v>
      </c>
      <c r="K120" s="73">
        <f t="shared" si="1"/>
        <v>35</v>
      </c>
    </row>
    <row r="121" spans="4:11">
      <c r="D121" s="71">
        <v>46164</v>
      </c>
      <c r="E121" s="17">
        <v>1605569</v>
      </c>
      <c r="F121" s="17" t="s">
        <v>19</v>
      </c>
      <c r="G121" s="72">
        <v>20418558</v>
      </c>
      <c r="H121" s="17" t="s">
        <v>83</v>
      </c>
      <c r="I121" s="72">
        <v>1</v>
      </c>
      <c r="J121" s="73">
        <v>22</v>
      </c>
      <c r="K121" s="73">
        <f t="shared" si="1"/>
        <v>22</v>
      </c>
    </row>
    <row r="122" spans="4:11">
      <c r="D122" s="71">
        <v>46164</v>
      </c>
      <c r="E122" s="17">
        <v>1605569</v>
      </c>
      <c r="F122" s="17" t="s">
        <v>19</v>
      </c>
      <c r="G122" s="72">
        <v>20422867</v>
      </c>
      <c r="H122" s="17" t="s">
        <v>84</v>
      </c>
      <c r="I122" s="72">
        <v>1</v>
      </c>
      <c r="J122" s="73">
        <v>28</v>
      </c>
      <c r="K122" s="73">
        <f t="shared" si="1"/>
        <v>28</v>
      </c>
    </row>
    <row r="123" spans="4:11">
      <c r="D123" s="71">
        <v>46164</v>
      </c>
      <c r="E123" s="17">
        <v>1605569</v>
      </c>
      <c r="F123" s="17" t="s">
        <v>19</v>
      </c>
      <c r="G123" s="72">
        <v>20418539</v>
      </c>
      <c r="H123" s="17" t="s">
        <v>118</v>
      </c>
      <c r="I123" s="72">
        <v>1</v>
      </c>
      <c r="J123" s="73">
        <v>28</v>
      </c>
      <c r="K123" s="73">
        <f t="shared" si="1"/>
        <v>28</v>
      </c>
    </row>
    <row r="124" spans="4:11">
      <c r="D124" s="71">
        <v>46164</v>
      </c>
      <c r="E124" s="17">
        <v>1605569</v>
      </c>
      <c r="F124" s="17" t="s">
        <v>19</v>
      </c>
      <c r="G124" s="72">
        <v>20421602</v>
      </c>
      <c r="H124" s="17" t="s">
        <v>85</v>
      </c>
      <c r="I124" s="72">
        <v>1</v>
      </c>
      <c r="J124" s="73">
        <v>66</v>
      </c>
      <c r="K124" s="73">
        <f t="shared" si="1"/>
        <v>66</v>
      </c>
    </row>
    <row r="125" spans="4:11">
      <c r="D125" s="71">
        <v>46164</v>
      </c>
      <c r="E125" s="17">
        <v>1605569</v>
      </c>
      <c r="F125" s="17" t="s">
        <v>86</v>
      </c>
      <c r="G125" s="72">
        <v>20420067</v>
      </c>
      <c r="H125" s="17" t="s">
        <v>88</v>
      </c>
      <c r="I125" s="72">
        <v>1</v>
      </c>
      <c r="J125" s="73">
        <v>28</v>
      </c>
      <c r="K125" s="73">
        <f t="shared" si="1"/>
        <v>28</v>
      </c>
    </row>
    <row r="126" spans="4:11">
      <c r="D126" s="71">
        <v>46164</v>
      </c>
      <c r="E126" s="17">
        <v>1605648</v>
      </c>
      <c r="F126" s="17" t="s">
        <v>89</v>
      </c>
      <c r="G126" s="72">
        <v>20418559</v>
      </c>
      <c r="H126" s="17" t="s">
        <v>91</v>
      </c>
      <c r="I126" s="72">
        <v>1</v>
      </c>
      <c r="J126" s="73">
        <v>115.5</v>
      </c>
      <c r="K126" s="73">
        <f t="shared" si="1"/>
        <v>115.5</v>
      </c>
    </row>
    <row r="127" spans="4:11">
      <c r="D127" s="71">
        <v>46164</v>
      </c>
      <c r="E127" s="17">
        <v>1605648</v>
      </c>
      <c r="F127" s="17" t="s">
        <v>37</v>
      </c>
      <c r="G127" s="72">
        <v>20419037</v>
      </c>
      <c r="H127" s="17" t="s">
        <v>97</v>
      </c>
      <c r="I127" s="72">
        <v>1</v>
      </c>
      <c r="J127" s="73">
        <v>16.5</v>
      </c>
      <c r="K127" s="73">
        <f t="shared" si="1"/>
        <v>16.5</v>
      </c>
    </row>
    <row r="128" ht="24.75" spans="4:11">
      <c r="D128" s="71">
        <v>46165</v>
      </c>
      <c r="E128" s="17">
        <v>1605771</v>
      </c>
      <c r="F128" s="17" t="s">
        <v>128</v>
      </c>
      <c r="G128" s="72">
        <v>20426757</v>
      </c>
      <c r="H128" s="17" t="s">
        <v>129</v>
      </c>
      <c r="I128" s="72">
        <v>1</v>
      </c>
      <c r="J128" s="73">
        <v>82.5</v>
      </c>
      <c r="K128" s="73">
        <f t="shared" si="1"/>
        <v>82.5</v>
      </c>
    </row>
    <row r="129" ht="24.75" spans="4:11">
      <c r="D129" s="71">
        <v>46165</v>
      </c>
      <c r="E129" s="17">
        <v>1605771</v>
      </c>
      <c r="F129" s="17" t="s">
        <v>128</v>
      </c>
      <c r="G129" s="72">
        <v>20426758</v>
      </c>
      <c r="H129" s="17" t="s">
        <v>130</v>
      </c>
      <c r="I129" s="72">
        <v>1</v>
      </c>
      <c r="J129" s="73">
        <v>447.5</v>
      </c>
      <c r="K129" s="73">
        <f t="shared" si="1"/>
        <v>447.5</v>
      </c>
    </row>
    <row r="130" spans="4:11">
      <c r="D130" s="71">
        <v>46165</v>
      </c>
      <c r="E130" s="17">
        <v>1605845</v>
      </c>
      <c r="F130" s="17" t="s">
        <v>89</v>
      </c>
      <c r="G130" s="72">
        <v>20419759</v>
      </c>
      <c r="H130" s="17" t="s">
        <v>120</v>
      </c>
      <c r="I130" s="72">
        <v>1</v>
      </c>
      <c r="J130" s="73">
        <v>275</v>
      </c>
      <c r="K130" s="73">
        <f t="shared" si="1"/>
        <v>275</v>
      </c>
    </row>
    <row r="131" spans="4:11">
      <c r="D131" s="71">
        <v>46165</v>
      </c>
      <c r="E131" s="17">
        <v>1605845</v>
      </c>
      <c r="F131" s="17" t="s">
        <v>89</v>
      </c>
      <c r="G131" s="72">
        <v>20418553</v>
      </c>
      <c r="H131" s="17" t="s">
        <v>90</v>
      </c>
      <c r="I131" s="72">
        <v>3</v>
      </c>
      <c r="J131" s="73">
        <v>115.5</v>
      </c>
      <c r="K131" s="73">
        <f t="shared" si="1"/>
        <v>346.5</v>
      </c>
    </row>
    <row r="132" spans="4:11">
      <c r="D132" s="71">
        <v>46165</v>
      </c>
      <c r="E132" s="17">
        <v>1605845</v>
      </c>
      <c r="F132" s="17" t="s">
        <v>89</v>
      </c>
      <c r="G132" s="72">
        <v>20418555</v>
      </c>
      <c r="H132" s="17" t="s">
        <v>99</v>
      </c>
      <c r="I132" s="72">
        <v>1</v>
      </c>
      <c r="J132" s="73">
        <v>170.5</v>
      </c>
      <c r="K132" s="73">
        <f t="shared" si="1"/>
        <v>170.5</v>
      </c>
    </row>
    <row r="133" spans="4:11">
      <c r="D133" s="71">
        <v>46165</v>
      </c>
      <c r="E133" s="17">
        <v>1605845</v>
      </c>
      <c r="F133" s="17" t="s">
        <v>13</v>
      </c>
      <c r="G133" s="72">
        <v>20420422</v>
      </c>
      <c r="H133" s="17" t="s">
        <v>131</v>
      </c>
      <c r="I133" s="72">
        <v>1</v>
      </c>
      <c r="J133" s="73">
        <v>13</v>
      </c>
      <c r="K133" s="73">
        <f t="shared" si="1"/>
        <v>13</v>
      </c>
    </row>
    <row r="134" spans="4:11">
      <c r="D134" s="71">
        <v>46165</v>
      </c>
      <c r="E134" s="17">
        <v>1605845</v>
      </c>
      <c r="F134" s="17" t="s">
        <v>13</v>
      </c>
      <c r="G134" s="72">
        <v>20422856</v>
      </c>
      <c r="H134" s="17" t="s">
        <v>132</v>
      </c>
      <c r="I134" s="72">
        <v>1</v>
      </c>
      <c r="J134" s="73">
        <v>16.5</v>
      </c>
      <c r="K134" s="73">
        <f t="shared" si="1"/>
        <v>16.5</v>
      </c>
    </row>
    <row r="135" spans="4:11">
      <c r="D135" s="71">
        <v>46165</v>
      </c>
      <c r="E135" s="17">
        <v>1605845</v>
      </c>
      <c r="F135" s="17" t="s">
        <v>37</v>
      </c>
      <c r="G135" s="72">
        <v>20419700</v>
      </c>
      <c r="H135" s="17" t="s">
        <v>102</v>
      </c>
      <c r="I135" s="72">
        <v>2</v>
      </c>
      <c r="J135" s="73">
        <v>16.5</v>
      </c>
      <c r="K135" s="73">
        <f t="shared" si="1"/>
        <v>33</v>
      </c>
    </row>
    <row r="136" spans="4:11">
      <c r="D136" s="71">
        <v>46165</v>
      </c>
      <c r="E136" s="17">
        <v>1605845</v>
      </c>
      <c r="F136" s="17" t="s">
        <v>37</v>
      </c>
      <c r="G136" s="72">
        <v>20419037</v>
      </c>
      <c r="H136" s="17" t="s">
        <v>97</v>
      </c>
      <c r="I136" s="72">
        <v>2</v>
      </c>
      <c r="J136" s="73">
        <v>16.5</v>
      </c>
      <c r="K136" s="73">
        <f t="shared" si="1"/>
        <v>33</v>
      </c>
    </row>
    <row r="137" spans="4:11">
      <c r="D137" s="71">
        <v>46165</v>
      </c>
      <c r="E137" s="17">
        <v>1605845</v>
      </c>
      <c r="F137" s="17" t="s">
        <v>37</v>
      </c>
      <c r="G137" s="72">
        <v>20426791</v>
      </c>
      <c r="H137" s="17" t="s">
        <v>133</v>
      </c>
      <c r="I137" s="72">
        <v>1</v>
      </c>
      <c r="J137" s="73">
        <v>33</v>
      </c>
      <c r="K137" s="73">
        <f t="shared" si="1"/>
        <v>33</v>
      </c>
    </row>
    <row r="138" spans="4:11">
      <c r="D138" s="71">
        <v>46165</v>
      </c>
      <c r="E138" s="17">
        <v>1605845</v>
      </c>
      <c r="F138" s="17" t="s">
        <v>37</v>
      </c>
      <c r="G138" s="72">
        <v>20420069</v>
      </c>
      <c r="H138" s="17" t="s">
        <v>98</v>
      </c>
      <c r="I138" s="72">
        <v>1</v>
      </c>
      <c r="J138" s="73">
        <v>16.5</v>
      </c>
      <c r="K138" s="73">
        <f t="shared" ref="K138:K167" si="2">J138*I138</f>
        <v>16.5</v>
      </c>
    </row>
    <row r="139" spans="4:11">
      <c r="D139" s="71">
        <v>46165</v>
      </c>
      <c r="E139" s="17">
        <v>1605845</v>
      </c>
      <c r="F139" s="17" t="s">
        <v>37</v>
      </c>
      <c r="G139" s="72">
        <v>20419715</v>
      </c>
      <c r="H139" s="17" t="s">
        <v>104</v>
      </c>
      <c r="I139" s="72">
        <v>1</v>
      </c>
      <c r="J139" s="73">
        <v>16.5</v>
      </c>
      <c r="K139" s="73">
        <f t="shared" si="2"/>
        <v>16.5</v>
      </c>
    </row>
    <row r="140" spans="4:11">
      <c r="D140" s="71">
        <v>46165</v>
      </c>
      <c r="E140" s="17">
        <v>1605845</v>
      </c>
      <c r="F140" s="17" t="s">
        <v>37</v>
      </c>
      <c r="G140" s="72">
        <v>20419699</v>
      </c>
      <c r="H140" s="17" t="s">
        <v>105</v>
      </c>
      <c r="I140" s="72">
        <v>1</v>
      </c>
      <c r="J140" s="73">
        <v>16.5</v>
      </c>
      <c r="K140" s="73">
        <f t="shared" si="2"/>
        <v>16.5</v>
      </c>
    </row>
    <row r="141" spans="4:11">
      <c r="D141" s="71">
        <v>46165</v>
      </c>
      <c r="E141" s="17">
        <v>1605857</v>
      </c>
      <c r="F141" s="17" t="s">
        <v>37</v>
      </c>
      <c r="G141" s="72">
        <v>20419721</v>
      </c>
      <c r="H141" s="17" t="s">
        <v>103</v>
      </c>
      <c r="I141" s="72">
        <v>1</v>
      </c>
      <c r="J141" s="73">
        <v>16.5</v>
      </c>
      <c r="K141" s="73">
        <f t="shared" si="2"/>
        <v>16.5</v>
      </c>
    </row>
    <row r="142" spans="4:11">
      <c r="D142" s="71">
        <v>46167</v>
      </c>
      <c r="E142" s="17">
        <v>1606149</v>
      </c>
      <c r="F142" s="17" t="s">
        <v>89</v>
      </c>
      <c r="G142" s="72">
        <v>20418553</v>
      </c>
      <c r="H142" s="17" t="s">
        <v>90</v>
      </c>
      <c r="I142" s="72">
        <v>1</v>
      </c>
      <c r="J142" s="73">
        <v>115.5</v>
      </c>
      <c r="K142" s="73">
        <f t="shared" si="2"/>
        <v>115.5</v>
      </c>
    </row>
    <row r="143" spans="4:11">
      <c r="D143" s="71">
        <v>46167</v>
      </c>
      <c r="E143" s="17">
        <v>1606149</v>
      </c>
      <c r="F143" s="17" t="s">
        <v>89</v>
      </c>
      <c r="G143" s="72">
        <v>20418528</v>
      </c>
      <c r="H143" s="17" t="s">
        <v>100</v>
      </c>
      <c r="I143" s="72">
        <v>1</v>
      </c>
      <c r="J143" s="73">
        <v>242</v>
      </c>
      <c r="K143" s="73">
        <f t="shared" si="2"/>
        <v>242</v>
      </c>
    </row>
    <row r="144" spans="4:11">
      <c r="D144" s="71">
        <v>46167</v>
      </c>
      <c r="E144" s="17">
        <v>1606149</v>
      </c>
      <c r="F144" s="17" t="s">
        <v>13</v>
      </c>
      <c r="G144" s="72">
        <v>20419711</v>
      </c>
      <c r="H144" s="17" t="s">
        <v>112</v>
      </c>
      <c r="I144" s="72">
        <v>1</v>
      </c>
      <c r="J144" s="73">
        <v>16.5</v>
      </c>
      <c r="K144" s="73">
        <f t="shared" si="2"/>
        <v>16.5</v>
      </c>
    </row>
    <row r="145" spans="4:11">
      <c r="D145" s="71">
        <v>46167</v>
      </c>
      <c r="E145" s="17">
        <v>1606149</v>
      </c>
      <c r="F145" s="17" t="s">
        <v>13</v>
      </c>
      <c r="G145" s="72">
        <v>20419701</v>
      </c>
      <c r="H145" s="17" t="s">
        <v>94</v>
      </c>
      <c r="I145" s="72">
        <v>1</v>
      </c>
      <c r="J145" s="73">
        <v>13.5</v>
      </c>
      <c r="K145" s="73">
        <f t="shared" si="2"/>
        <v>13.5</v>
      </c>
    </row>
    <row r="146" spans="4:11">
      <c r="D146" s="71">
        <v>46167</v>
      </c>
      <c r="E146" s="17">
        <v>1606149</v>
      </c>
      <c r="F146" s="17" t="s">
        <v>13</v>
      </c>
      <c r="G146" s="72">
        <v>20419698</v>
      </c>
      <c r="H146" s="17" t="s">
        <v>126</v>
      </c>
      <c r="I146" s="72">
        <v>1</v>
      </c>
      <c r="J146" s="73">
        <v>16.5</v>
      </c>
      <c r="K146" s="73">
        <f t="shared" si="2"/>
        <v>16.5</v>
      </c>
    </row>
    <row r="147" spans="4:11">
      <c r="D147" s="71">
        <v>46167</v>
      </c>
      <c r="E147" s="17">
        <v>1606149</v>
      </c>
      <c r="F147" s="17" t="s">
        <v>37</v>
      </c>
      <c r="G147" s="72">
        <v>20420068</v>
      </c>
      <c r="H147" s="17" t="s">
        <v>124</v>
      </c>
      <c r="I147" s="72">
        <v>1</v>
      </c>
      <c r="J147" s="73">
        <v>16.5</v>
      </c>
      <c r="K147" s="73">
        <f t="shared" si="2"/>
        <v>16.5</v>
      </c>
    </row>
    <row r="148" spans="4:11">
      <c r="D148" s="71">
        <v>46167</v>
      </c>
      <c r="E148" s="17">
        <v>1606149</v>
      </c>
      <c r="F148" s="17" t="s">
        <v>37</v>
      </c>
      <c r="G148" s="72">
        <v>20419700</v>
      </c>
      <c r="H148" s="17" t="s">
        <v>102</v>
      </c>
      <c r="I148" s="72">
        <v>1</v>
      </c>
      <c r="J148" s="73">
        <v>16.5</v>
      </c>
      <c r="K148" s="73">
        <f t="shared" si="2"/>
        <v>16.5</v>
      </c>
    </row>
    <row r="149" spans="4:11">
      <c r="D149" s="71">
        <v>46167</v>
      </c>
      <c r="E149" s="17">
        <v>1606149</v>
      </c>
      <c r="F149" s="17" t="s">
        <v>37</v>
      </c>
      <c r="G149" s="72">
        <v>20419037</v>
      </c>
      <c r="H149" s="17" t="s">
        <v>97</v>
      </c>
      <c r="I149" s="72">
        <v>2</v>
      </c>
      <c r="J149" s="73">
        <v>16.5</v>
      </c>
      <c r="K149" s="73">
        <f t="shared" si="2"/>
        <v>33</v>
      </c>
    </row>
    <row r="150" spans="4:11">
      <c r="D150" s="71">
        <v>46167</v>
      </c>
      <c r="E150" s="17">
        <v>1606149</v>
      </c>
      <c r="F150" s="17" t="s">
        <v>37</v>
      </c>
      <c r="G150" s="72">
        <v>20420069</v>
      </c>
      <c r="H150" s="17" t="s">
        <v>98</v>
      </c>
      <c r="I150" s="72">
        <v>1</v>
      </c>
      <c r="J150" s="73">
        <v>16.5</v>
      </c>
      <c r="K150" s="73">
        <f t="shared" si="2"/>
        <v>16.5</v>
      </c>
    </row>
    <row r="151" spans="4:11">
      <c r="D151" s="71">
        <v>46167</v>
      </c>
      <c r="E151" s="17">
        <v>1606149</v>
      </c>
      <c r="F151" s="17" t="s">
        <v>37</v>
      </c>
      <c r="G151" s="72">
        <v>20419721</v>
      </c>
      <c r="H151" s="17" t="s">
        <v>103</v>
      </c>
      <c r="I151" s="72">
        <v>1</v>
      </c>
      <c r="J151" s="73">
        <v>16.5</v>
      </c>
      <c r="K151" s="73">
        <f t="shared" si="2"/>
        <v>16.5</v>
      </c>
    </row>
    <row r="152" spans="4:11">
      <c r="D152" s="71">
        <v>46167</v>
      </c>
      <c r="E152" s="17">
        <v>1606149</v>
      </c>
      <c r="F152" s="17" t="s">
        <v>37</v>
      </c>
      <c r="G152" s="72">
        <v>20419715</v>
      </c>
      <c r="H152" s="17" t="s">
        <v>104</v>
      </c>
      <c r="I152" s="72">
        <v>1</v>
      </c>
      <c r="J152" s="73">
        <v>16.5</v>
      </c>
      <c r="K152" s="73">
        <f t="shared" si="2"/>
        <v>16.5</v>
      </c>
    </row>
    <row r="153" spans="4:11">
      <c r="D153" s="71">
        <v>46167</v>
      </c>
      <c r="E153" s="17">
        <v>1606149</v>
      </c>
      <c r="F153" s="17" t="s">
        <v>37</v>
      </c>
      <c r="G153" s="72">
        <v>20419699</v>
      </c>
      <c r="H153" s="17" t="s">
        <v>105</v>
      </c>
      <c r="I153" s="72">
        <v>1</v>
      </c>
      <c r="J153" s="73">
        <v>16.5</v>
      </c>
      <c r="K153" s="73">
        <f t="shared" si="2"/>
        <v>16.5</v>
      </c>
    </row>
    <row r="154" spans="4:11">
      <c r="D154" s="71">
        <v>46168</v>
      </c>
      <c r="E154" s="17">
        <v>1606485</v>
      </c>
      <c r="F154" s="17" t="s">
        <v>19</v>
      </c>
      <c r="G154" s="72">
        <v>20418552</v>
      </c>
      <c r="H154" s="17" t="s">
        <v>134</v>
      </c>
      <c r="I154" s="72">
        <v>2</v>
      </c>
      <c r="J154" s="73">
        <v>28</v>
      </c>
      <c r="K154" s="73">
        <f t="shared" si="2"/>
        <v>56</v>
      </c>
    </row>
    <row r="155" spans="4:11">
      <c r="D155" s="71">
        <v>46168</v>
      </c>
      <c r="E155" s="17">
        <v>1606485</v>
      </c>
      <c r="F155" s="17" t="s">
        <v>19</v>
      </c>
      <c r="G155" s="72">
        <v>20420445</v>
      </c>
      <c r="H155" s="17" t="s">
        <v>81</v>
      </c>
      <c r="I155" s="72">
        <v>1</v>
      </c>
      <c r="J155" s="73">
        <v>35</v>
      </c>
      <c r="K155" s="73">
        <f t="shared" si="2"/>
        <v>35</v>
      </c>
    </row>
    <row r="156" spans="4:11">
      <c r="D156" s="71">
        <v>46168</v>
      </c>
      <c r="E156" s="17">
        <v>1606485</v>
      </c>
      <c r="F156" s="17" t="s">
        <v>19</v>
      </c>
      <c r="G156" s="72">
        <v>20421604</v>
      </c>
      <c r="H156" s="17" t="s">
        <v>135</v>
      </c>
      <c r="I156" s="72">
        <v>1</v>
      </c>
      <c r="J156" s="73">
        <v>22</v>
      </c>
      <c r="K156" s="73">
        <f t="shared" si="2"/>
        <v>22</v>
      </c>
    </row>
    <row r="157" spans="4:11">
      <c r="D157" s="71">
        <v>46168</v>
      </c>
      <c r="E157" s="17">
        <v>1606485</v>
      </c>
      <c r="F157" s="17" t="s">
        <v>19</v>
      </c>
      <c r="G157" s="72">
        <v>20418545</v>
      </c>
      <c r="H157" s="17" t="s">
        <v>82</v>
      </c>
      <c r="I157" s="72">
        <v>1</v>
      </c>
      <c r="J157" s="73">
        <v>35</v>
      </c>
      <c r="K157" s="73">
        <f t="shared" si="2"/>
        <v>35</v>
      </c>
    </row>
    <row r="158" spans="4:11">
      <c r="D158" s="71">
        <v>46168</v>
      </c>
      <c r="E158" s="17">
        <v>1606485</v>
      </c>
      <c r="F158" s="17" t="s">
        <v>19</v>
      </c>
      <c r="G158" s="72">
        <v>20421602</v>
      </c>
      <c r="H158" s="17" t="s">
        <v>85</v>
      </c>
      <c r="I158" s="72">
        <v>1</v>
      </c>
      <c r="J158" s="73">
        <v>66</v>
      </c>
      <c r="K158" s="73">
        <f t="shared" si="2"/>
        <v>66</v>
      </c>
    </row>
    <row r="159" spans="4:11">
      <c r="D159" s="71">
        <v>46168</v>
      </c>
      <c r="E159" s="17">
        <v>1606485</v>
      </c>
      <c r="F159" s="17" t="s">
        <v>86</v>
      </c>
      <c r="G159" s="72">
        <v>20420067</v>
      </c>
      <c r="H159" s="17" t="s">
        <v>88</v>
      </c>
      <c r="I159" s="72">
        <v>1</v>
      </c>
      <c r="J159" s="73">
        <v>28</v>
      </c>
      <c r="K159" s="73">
        <f t="shared" si="2"/>
        <v>28</v>
      </c>
    </row>
    <row r="160" spans="4:11">
      <c r="D160" s="71">
        <v>46168</v>
      </c>
      <c r="E160" s="17">
        <v>1606548</v>
      </c>
      <c r="F160" s="17" t="s">
        <v>89</v>
      </c>
      <c r="G160" s="72">
        <v>20418553</v>
      </c>
      <c r="H160" s="17" t="s">
        <v>90</v>
      </c>
      <c r="I160" s="72">
        <v>1</v>
      </c>
      <c r="J160" s="73">
        <v>115.5</v>
      </c>
      <c r="K160" s="73">
        <f t="shared" si="2"/>
        <v>115.5</v>
      </c>
    </row>
    <row r="161" spans="4:11">
      <c r="D161" s="71">
        <v>46168</v>
      </c>
      <c r="E161" s="17">
        <v>1606548</v>
      </c>
      <c r="F161" s="17" t="s">
        <v>89</v>
      </c>
      <c r="G161" s="72">
        <v>20418559</v>
      </c>
      <c r="H161" s="17" t="s">
        <v>91</v>
      </c>
      <c r="I161" s="72">
        <v>1</v>
      </c>
      <c r="J161" s="73">
        <v>115.5</v>
      </c>
      <c r="K161" s="73">
        <f t="shared" si="2"/>
        <v>115.5</v>
      </c>
    </row>
    <row r="162" spans="4:11">
      <c r="D162" s="71">
        <v>46168</v>
      </c>
      <c r="E162" s="17">
        <v>1606548</v>
      </c>
      <c r="F162" s="17" t="s">
        <v>89</v>
      </c>
      <c r="G162" s="72">
        <v>20418526</v>
      </c>
      <c r="H162" s="17" t="s">
        <v>136</v>
      </c>
      <c r="I162" s="72">
        <v>1</v>
      </c>
      <c r="J162" s="73">
        <v>214.5</v>
      </c>
      <c r="K162" s="73">
        <f t="shared" si="2"/>
        <v>214.5</v>
      </c>
    </row>
    <row r="163" spans="4:11">
      <c r="D163" s="71">
        <v>46168</v>
      </c>
      <c r="E163" s="17">
        <v>1606548</v>
      </c>
      <c r="F163" s="17" t="s">
        <v>13</v>
      </c>
      <c r="G163" s="72">
        <v>20419701</v>
      </c>
      <c r="H163" s="17" t="s">
        <v>94</v>
      </c>
      <c r="I163" s="72">
        <v>1</v>
      </c>
      <c r="J163" s="73">
        <v>13.5</v>
      </c>
      <c r="K163" s="73">
        <f t="shared" si="2"/>
        <v>13.5</v>
      </c>
    </row>
    <row r="164" spans="4:11">
      <c r="D164" s="71">
        <v>46168</v>
      </c>
      <c r="E164" s="17">
        <v>1606548</v>
      </c>
      <c r="F164" s="17" t="s">
        <v>37</v>
      </c>
      <c r="G164" s="72">
        <v>20419037</v>
      </c>
      <c r="H164" s="17" t="s">
        <v>97</v>
      </c>
      <c r="I164" s="72">
        <v>3</v>
      </c>
      <c r="J164" s="73">
        <v>16.5</v>
      </c>
      <c r="K164" s="73">
        <f t="shared" si="2"/>
        <v>49.5</v>
      </c>
    </row>
    <row r="165" spans="4:11">
      <c r="D165" s="71">
        <v>46168</v>
      </c>
      <c r="E165" s="17">
        <v>1606548</v>
      </c>
      <c r="F165" s="17" t="s">
        <v>37</v>
      </c>
      <c r="G165" s="72">
        <v>20419715</v>
      </c>
      <c r="H165" s="17" t="s">
        <v>104</v>
      </c>
      <c r="I165" s="72">
        <v>1</v>
      </c>
      <c r="J165" s="73">
        <v>16.5</v>
      </c>
      <c r="K165" s="73">
        <f t="shared" si="2"/>
        <v>16.5</v>
      </c>
    </row>
    <row r="166" spans="4:11">
      <c r="D166" s="71">
        <v>46169</v>
      </c>
      <c r="E166" s="17">
        <v>1606905</v>
      </c>
      <c r="F166" s="17" t="s">
        <v>89</v>
      </c>
      <c r="G166" s="72">
        <v>20418525</v>
      </c>
      <c r="H166" s="17" t="s">
        <v>107</v>
      </c>
      <c r="I166" s="72">
        <v>1</v>
      </c>
      <c r="J166" s="73">
        <v>313.5</v>
      </c>
      <c r="K166" s="73">
        <f t="shared" si="2"/>
        <v>313.5</v>
      </c>
    </row>
    <row r="167" spans="4:11">
      <c r="D167" s="71">
        <v>46169</v>
      </c>
      <c r="E167" s="17">
        <v>1606905</v>
      </c>
      <c r="F167" s="17" t="s">
        <v>37</v>
      </c>
      <c r="G167" s="72">
        <v>20419037</v>
      </c>
      <c r="H167" s="17" t="s">
        <v>97</v>
      </c>
      <c r="I167" s="72">
        <v>1</v>
      </c>
      <c r="J167" s="73">
        <v>16.5</v>
      </c>
      <c r="K167" s="73">
        <f t="shared" si="2"/>
        <v>16.5</v>
      </c>
    </row>
    <row r="168" spans="4:11">
      <c r="D168" s="71">
        <v>46170</v>
      </c>
      <c r="E168" s="17">
        <v>1607305</v>
      </c>
      <c r="F168" s="17" t="s">
        <v>89</v>
      </c>
      <c r="G168" s="72">
        <v>20418555</v>
      </c>
      <c r="H168" s="17" t="s">
        <v>99</v>
      </c>
      <c r="I168" s="72">
        <v>1</v>
      </c>
      <c r="J168" s="73">
        <v>170.5</v>
      </c>
      <c r="K168" s="73">
        <f t="shared" ref="K168:K213" si="3">J168*I168</f>
        <v>170.5</v>
      </c>
    </row>
    <row r="169" spans="4:11">
      <c r="D169" s="71">
        <v>46170</v>
      </c>
      <c r="E169" s="17">
        <v>1607305</v>
      </c>
      <c r="F169" s="17" t="s">
        <v>89</v>
      </c>
      <c r="G169" s="72">
        <v>20418528</v>
      </c>
      <c r="H169" s="17" t="s">
        <v>100</v>
      </c>
      <c r="I169" s="72">
        <v>1</v>
      </c>
      <c r="J169" s="73">
        <v>242</v>
      </c>
      <c r="K169" s="73">
        <f t="shared" si="3"/>
        <v>242</v>
      </c>
    </row>
    <row r="170" spans="4:11">
      <c r="D170" s="71">
        <v>46170</v>
      </c>
      <c r="E170" s="17">
        <v>1607305</v>
      </c>
      <c r="F170" s="17" t="s">
        <v>37</v>
      </c>
      <c r="G170" s="72">
        <v>20419700</v>
      </c>
      <c r="H170" s="17" t="s">
        <v>102</v>
      </c>
      <c r="I170" s="72">
        <v>1</v>
      </c>
      <c r="J170" s="73">
        <v>16.5</v>
      </c>
      <c r="K170" s="73">
        <f t="shared" si="3"/>
        <v>16.5</v>
      </c>
    </row>
    <row r="171" spans="4:11">
      <c r="D171" s="71">
        <v>46170</v>
      </c>
      <c r="E171" s="17">
        <v>1607305</v>
      </c>
      <c r="F171" s="17" t="s">
        <v>37</v>
      </c>
      <c r="G171" s="72">
        <v>20419037</v>
      </c>
      <c r="H171" s="17" t="s">
        <v>97</v>
      </c>
      <c r="I171" s="72">
        <v>2</v>
      </c>
      <c r="J171" s="73">
        <v>16.5</v>
      </c>
      <c r="K171" s="73">
        <f t="shared" si="3"/>
        <v>33</v>
      </c>
    </row>
    <row r="172" spans="4:11">
      <c r="D172" s="71">
        <v>46170</v>
      </c>
      <c r="E172" s="17">
        <v>1607305</v>
      </c>
      <c r="F172" s="17" t="s">
        <v>37</v>
      </c>
      <c r="G172" s="72">
        <v>20420069</v>
      </c>
      <c r="H172" s="17" t="s">
        <v>98</v>
      </c>
      <c r="I172" s="72">
        <v>1</v>
      </c>
      <c r="J172" s="73">
        <v>16.5</v>
      </c>
      <c r="K172" s="73">
        <f t="shared" si="3"/>
        <v>16.5</v>
      </c>
    </row>
    <row r="173" spans="4:11">
      <c r="D173" s="71">
        <v>46170</v>
      </c>
      <c r="E173" s="17">
        <v>1607305</v>
      </c>
      <c r="F173" s="17" t="s">
        <v>37</v>
      </c>
      <c r="G173" s="72">
        <v>20419699</v>
      </c>
      <c r="H173" s="17" t="s">
        <v>105</v>
      </c>
      <c r="I173" s="72">
        <v>1</v>
      </c>
      <c r="J173" s="73">
        <v>16.5</v>
      </c>
      <c r="K173" s="73">
        <f t="shared" si="3"/>
        <v>16.5</v>
      </c>
    </row>
    <row r="174" spans="4:11">
      <c r="D174" s="71">
        <v>46171</v>
      </c>
      <c r="E174" s="17">
        <v>1607630</v>
      </c>
      <c r="F174" s="17" t="s">
        <v>89</v>
      </c>
      <c r="G174" s="72">
        <v>20418559</v>
      </c>
      <c r="H174" s="17" t="s">
        <v>91</v>
      </c>
      <c r="I174" s="72">
        <v>1</v>
      </c>
      <c r="J174" s="73">
        <v>115.5</v>
      </c>
      <c r="K174" s="73">
        <f t="shared" si="3"/>
        <v>115.5</v>
      </c>
    </row>
    <row r="175" spans="4:11">
      <c r="D175" s="71">
        <v>46171</v>
      </c>
      <c r="E175" s="17">
        <v>1607630</v>
      </c>
      <c r="F175" s="17" t="s">
        <v>89</v>
      </c>
      <c r="G175" s="72">
        <v>20418567</v>
      </c>
      <c r="H175" s="17" t="s">
        <v>127</v>
      </c>
      <c r="I175" s="72">
        <v>1</v>
      </c>
      <c r="J175" s="73">
        <v>330</v>
      </c>
      <c r="K175" s="73">
        <f t="shared" si="3"/>
        <v>330</v>
      </c>
    </row>
    <row r="176" spans="4:11">
      <c r="D176" s="71">
        <v>46171</v>
      </c>
      <c r="E176" s="17">
        <v>1607630</v>
      </c>
      <c r="F176" s="17" t="s">
        <v>89</v>
      </c>
      <c r="G176" s="72">
        <v>20418575</v>
      </c>
      <c r="H176" s="17" t="s">
        <v>92</v>
      </c>
      <c r="I176" s="72">
        <v>1</v>
      </c>
      <c r="J176" s="73">
        <v>60.5</v>
      </c>
      <c r="K176" s="73">
        <f t="shared" si="3"/>
        <v>60.5</v>
      </c>
    </row>
    <row r="177" spans="4:11">
      <c r="D177" s="71">
        <v>46171</v>
      </c>
      <c r="E177" s="17">
        <v>1607630</v>
      </c>
      <c r="F177" s="17" t="s">
        <v>13</v>
      </c>
      <c r="G177" s="72">
        <v>20423392</v>
      </c>
      <c r="H177" s="17" t="s">
        <v>93</v>
      </c>
      <c r="I177" s="72">
        <v>1</v>
      </c>
      <c r="J177" s="73">
        <v>16.5</v>
      </c>
      <c r="K177" s="73">
        <f t="shared" si="3"/>
        <v>16.5</v>
      </c>
    </row>
    <row r="178" spans="4:11">
      <c r="D178" s="71">
        <v>46171</v>
      </c>
      <c r="E178" s="17">
        <v>1607630</v>
      </c>
      <c r="F178" s="17" t="s">
        <v>37</v>
      </c>
      <c r="G178" s="72">
        <v>20419037</v>
      </c>
      <c r="H178" s="17" t="s">
        <v>97</v>
      </c>
      <c r="I178" s="72">
        <v>1</v>
      </c>
      <c r="J178" s="73">
        <v>16.5</v>
      </c>
      <c r="K178" s="73">
        <f t="shared" si="3"/>
        <v>16.5</v>
      </c>
    </row>
    <row r="179" spans="4:11">
      <c r="D179" s="71">
        <v>46171</v>
      </c>
      <c r="E179" s="17">
        <v>1607630</v>
      </c>
      <c r="F179" s="17" t="s">
        <v>37</v>
      </c>
      <c r="G179" s="72">
        <v>20427645</v>
      </c>
      <c r="H179" s="17" t="s">
        <v>137</v>
      </c>
      <c r="I179" s="72">
        <v>1</v>
      </c>
      <c r="J179" s="73">
        <v>16.5</v>
      </c>
      <c r="K179" s="73">
        <f t="shared" si="3"/>
        <v>16.5</v>
      </c>
    </row>
    <row r="180" spans="4:11">
      <c r="D180" s="71">
        <v>46172</v>
      </c>
      <c r="E180" s="17">
        <v>1607804</v>
      </c>
      <c r="F180" s="17" t="s">
        <v>19</v>
      </c>
      <c r="G180" s="72">
        <v>20418552</v>
      </c>
      <c r="H180" s="17" t="s">
        <v>134</v>
      </c>
      <c r="I180" s="72">
        <v>2</v>
      </c>
      <c r="J180" s="73">
        <v>28</v>
      </c>
      <c r="K180" s="73">
        <f t="shared" si="3"/>
        <v>56</v>
      </c>
    </row>
    <row r="181" spans="4:11">
      <c r="D181" s="71">
        <v>46172</v>
      </c>
      <c r="E181" s="17">
        <v>1607804</v>
      </c>
      <c r="F181" s="17" t="s">
        <v>19</v>
      </c>
      <c r="G181" s="72">
        <v>20420445</v>
      </c>
      <c r="H181" s="17" t="s">
        <v>81</v>
      </c>
      <c r="I181" s="72">
        <v>2</v>
      </c>
      <c r="J181" s="73">
        <v>35</v>
      </c>
      <c r="K181" s="73">
        <f t="shared" si="3"/>
        <v>70</v>
      </c>
    </row>
    <row r="182" spans="4:11">
      <c r="D182" s="71">
        <v>46172</v>
      </c>
      <c r="E182" s="17">
        <v>1607804</v>
      </c>
      <c r="F182" s="17" t="s">
        <v>19</v>
      </c>
      <c r="G182" s="72">
        <v>20421604</v>
      </c>
      <c r="H182" s="17" t="s">
        <v>135</v>
      </c>
      <c r="I182" s="72">
        <v>2</v>
      </c>
      <c r="J182" s="73">
        <v>22</v>
      </c>
      <c r="K182" s="73">
        <f t="shared" si="3"/>
        <v>44</v>
      </c>
    </row>
    <row r="183" spans="4:11">
      <c r="D183" s="71">
        <v>46172</v>
      </c>
      <c r="E183" s="17">
        <v>1607804</v>
      </c>
      <c r="F183" s="17" t="s">
        <v>19</v>
      </c>
      <c r="G183" s="72">
        <v>20418545</v>
      </c>
      <c r="H183" s="17" t="s">
        <v>82</v>
      </c>
      <c r="I183" s="72">
        <v>1</v>
      </c>
      <c r="J183" s="73">
        <v>35</v>
      </c>
      <c r="K183" s="73">
        <f t="shared" si="3"/>
        <v>35</v>
      </c>
    </row>
    <row r="184" spans="4:11">
      <c r="D184" s="71">
        <v>46172</v>
      </c>
      <c r="E184" s="17">
        <v>1607804</v>
      </c>
      <c r="F184" s="17" t="s">
        <v>19</v>
      </c>
      <c r="G184" s="72">
        <v>20421602</v>
      </c>
      <c r="H184" s="17" t="s">
        <v>85</v>
      </c>
      <c r="I184" s="72">
        <v>1</v>
      </c>
      <c r="J184" s="73">
        <v>66</v>
      </c>
      <c r="K184" s="73">
        <f t="shared" si="3"/>
        <v>66</v>
      </c>
    </row>
    <row r="185" spans="4:11">
      <c r="D185" s="71">
        <v>46172</v>
      </c>
      <c r="E185" s="17">
        <v>1607804</v>
      </c>
      <c r="F185" s="17" t="s">
        <v>86</v>
      </c>
      <c r="G185" s="72">
        <v>20420203</v>
      </c>
      <c r="H185" s="17" t="s">
        <v>87</v>
      </c>
      <c r="I185" s="72">
        <v>1</v>
      </c>
      <c r="J185" s="73">
        <v>28</v>
      </c>
      <c r="K185" s="73">
        <f t="shared" si="3"/>
        <v>28</v>
      </c>
    </row>
    <row r="186" spans="4:11">
      <c r="D186" s="71">
        <v>46172</v>
      </c>
      <c r="E186" s="17">
        <v>1607804</v>
      </c>
      <c r="F186" s="17" t="s">
        <v>86</v>
      </c>
      <c r="G186" s="72">
        <v>20420067</v>
      </c>
      <c r="H186" s="17" t="s">
        <v>88</v>
      </c>
      <c r="I186" s="72">
        <v>1</v>
      </c>
      <c r="J186" s="73">
        <v>28</v>
      </c>
      <c r="K186" s="73">
        <f t="shared" si="3"/>
        <v>28</v>
      </c>
    </row>
    <row r="187" spans="4:11">
      <c r="D187" s="71">
        <v>46172</v>
      </c>
      <c r="E187" s="17">
        <v>1607899</v>
      </c>
      <c r="F187" s="17" t="s">
        <v>89</v>
      </c>
      <c r="G187" s="72">
        <v>20418559</v>
      </c>
      <c r="H187" s="17" t="s">
        <v>91</v>
      </c>
      <c r="I187" s="72">
        <v>1</v>
      </c>
      <c r="J187" s="73">
        <v>115.5</v>
      </c>
      <c r="K187" s="73">
        <f t="shared" si="3"/>
        <v>115.5</v>
      </c>
    </row>
    <row r="188" spans="4:11">
      <c r="D188" s="71">
        <v>46172</v>
      </c>
      <c r="E188" s="17">
        <v>1607899</v>
      </c>
      <c r="F188" s="17" t="s">
        <v>89</v>
      </c>
      <c r="G188" s="72">
        <v>20418574</v>
      </c>
      <c r="H188" s="17" t="s">
        <v>138</v>
      </c>
      <c r="I188" s="72">
        <v>1</v>
      </c>
      <c r="J188" s="73">
        <v>159.5</v>
      </c>
      <c r="K188" s="73">
        <f t="shared" si="3"/>
        <v>159.5</v>
      </c>
    </row>
    <row r="189" spans="4:11">
      <c r="D189" s="71">
        <v>46172</v>
      </c>
      <c r="E189" s="17">
        <v>1607899</v>
      </c>
      <c r="F189" s="17" t="s">
        <v>89</v>
      </c>
      <c r="G189" s="72">
        <v>20418526</v>
      </c>
      <c r="H189" s="17" t="s">
        <v>136</v>
      </c>
      <c r="I189" s="72">
        <v>1</v>
      </c>
      <c r="J189" s="73">
        <v>214.5</v>
      </c>
      <c r="K189" s="73">
        <f t="shared" si="3"/>
        <v>214.5</v>
      </c>
    </row>
    <row r="190" spans="4:11">
      <c r="D190" s="71">
        <v>46172</v>
      </c>
      <c r="E190" s="17">
        <v>1607899</v>
      </c>
      <c r="F190" s="17" t="s">
        <v>89</v>
      </c>
      <c r="G190" s="72">
        <v>20418567</v>
      </c>
      <c r="H190" s="17" t="s">
        <v>127</v>
      </c>
      <c r="I190" s="72">
        <v>2</v>
      </c>
      <c r="J190" s="73">
        <v>330</v>
      </c>
      <c r="K190" s="73">
        <f t="shared" si="3"/>
        <v>660</v>
      </c>
    </row>
    <row r="191" spans="4:11">
      <c r="D191" s="71">
        <v>46172</v>
      </c>
      <c r="E191" s="17">
        <v>1607899</v>
      </c>
      <c r="F191" s="17" t="s">
        <v>13</v>
      </c>
      <c r="G191" s="72">
        <v>20427711</v>
      </c>
      <c r="H191" s="17" t="s">
        <v>139</v>
      </c>
      <c r="I191" s="72">
        <v>1</v>
      </c>
      <c r="J191" s="73">
        <v>22</v>
      </c>
      <c r="K191" s="73">
        <f t="shared" si="3"/>
        <v>22</v>
      </c>
    </row>
    <row r="192" spans="4:11">
      <c r="D192" s="71">
        <v>46172</v>
      </c>
      <c r="E192" s="17">
        <v>1607899</v>
      </c>
      <c r="F192" s="17" t="s">
        <v>13</v>
      </c>
      <c r="G192" s="72">
        <v>20419019</v>
      </c>
      <c r="H192" s="17" t="s">
        <v>47</v>
      </c>
      <c r="I192" s="72">
        <v>2</v>
      </c>
      <c r="J192" s="73">
        <v>8</v>
      </c>
      <c r="K192" s="73">
        <f t="shared" si="3"/>
        <v>16</v>
      </c>
    </row>
    <row r="193" spans="4:11">
      <c r="D193" s="71">
        <v>46172</v>
      </c>
      <c r="E193" s="17">
        <v>1607899</v>
      </c>
      <c r="F193" s="17" t="s">
        <v>13</v>
      </c>
      <c r="G193" s="72">
        <v>20422854</v>
      </c>
      <c r="H193" s="17" t="s">
        <v>140</v>
      </c>
      <c r="I193" s="72">
        <v>1</v>
      </c>
      <c r="J193" s="73">
        <v>13.5</v>
      </c>
      <c r="K193" s="73">
        <f t="shared" si="3"/>
        <v>13.5</v>
      </c>
    </row>
    <row r="194" spans="4:11">
      <c r="D194" s="71">
        <v>46172</v>
      </c>
      <c r="E194" s="17">
        <v>1607899</v>
      </c>
      <c r="F194" s="17" t="s">
        <v>13</v>
      </c>
      <c r="G194" s="72">
        <v>20420433</v>
      </c>
      <c r="H194" s="17" t="s">
        <v>141</v>
      </c>
      <c r="I194" s="72">
        <v>1</v>
      </c>
      <c r="J194" s="73">
        <v>27.5</v>
      </c>
      <c r="K194" s="73">
        <f t="shared" si="3"/>
        <v>27.5</v>
      </c>
    </row>
    <row r="195" spans="4:11">
      <c r="D195" s="71">
        <v>46172</v>
      </c>
      <c r="E195" s="17">
        <v>1607899</v>
      </c>
      <c r="F195" s="17" t="s">
        <v>13</v>
      </c>
      <c r="G195" s="72">
        <v>20419697</v>
      </c>
      <c r="H195" s="17" t="s">
        <v>96</v>
      </c>
      <c r="I195" s="72">
        <v>1</v>
      </c>
      <c r="J195" s="73">
        <v>22</v>
      </c>
      <c r="K195" s="73">
        <f t="shared" si="3"/>
        <v>22</v>
      </c>
    </row>
    <row r="196" spans="4:11">
      <c r="D196" s="71">
        <v>46172</v>
      </c>
      <c r="E196" s="17">
        <v>1607899</v>
      </c>
      <c r="F196" s="17" t="s">
        <v>37</v>
      </c>
      <c r="G196" s="72">
        <v>20420068</v>
      </c>
      <c r="H196" s="17" t="s">
        <v>124</v>
      </c>
      <c r="I196" s="72">
        <v>1</v>
      </c>
      <c r="J196" s="73">
        <v>16.5</v>
      </c>
      <c r="K196" s="73">
        <f t="shared" si="3"/>
        <v>16.5</v>
      </c>
    </row>
    <row r="197" spans="4:11">
      <c r="D197" s="71">
        <v>46172</v>
      </c>
      <c r="E197" s="17">
        <v>1607899</v>
      </c>
      <c r="F197" s="17" t="s">
        <v>37</v>
      </c>
      <c r="G197" s="72">
        <v>20419700</v>
      </c>
      <c r="H197" s="17" t="s">
        <v>102</v>
      </c>
      <c r="I197" s="72">
        <v>3</v>
      </c>
      <c r="J197" s="73">
        <v>16.5</v>
      </c>
      <c r="K197" s="73">
        <f t="shared" si="3"/>
        <v>49.5</v>
      </c>
    </row>
    <row r="198" spans="4:11">
      <c r="D198" s="71">
        <v>46172</v>
      </c>
      <c r="E198" s="17">
        <v>1607899</v>
      </c>
      <c r="F198" s="17" t="s">
        <v>37</v>
      </c>
      <c r="G198" s="72">
        <v>20419037</v>
      </c>
      <c r="H198" s="17" t="s">
        <v>97</v>
      </c>
      <c r="I198" s="72">
        <v>2</v>
      </c>
      <c r="J198" s="73">
        <v>16.5</v>
      </c>
      <c r="K198" s="73">
        <f t="shared" si="3"/>
        <v>33</v>
      </c>
    </row>
    <row r="199" spans="4:11">
      <c r="D199" s="71">
        <v>46172</v>
      </c>
      <c r="E199" s="17">
        <v>1607899</v>
      </c>
      <c r="F199" s="17" t="s">
        <v>37</v>
      </c>
      <c r="G199" s="72">
        <v>20419725</v>
      </c>
      <c r="H199" s="17" t="s">
        <v>116</v>
      </c>
      <c r="I199" s="72">
        <v>1</v>
      </c>
      <c r="J199" s="73">
        <v>16.5</v>
      </c>
      <c r="K199" s="73">
        <f t="shared" si="3"/>
        <v>16.5</v>
      </c>
    </row>
    <row r="200" spans="4:11">
      <c r="D200" s="71">
        <v>46172</v>
      </c>
      <c r="E200" s="17">
        <v>1607899</v>
      </c>
      <c r="F200" s="17" t="s">
        <v>37</v>
      </c>
      <c r="G200" s="72">
        <v>20419715</v>
      </c>
      <c r="H200" s="17" t="s">
        <v>104</v>
      </c>
      <c r="I200" s="72">
        <v>1</v>
      </c>
      <c r="J200" s="73">
        <v>16.5</v>
      </c>
      <c r="K200" s="73">
        <f t="shared" si="3"/>
        <v>16.5</v>
      </c>
    </row>
    <row r="201" spans="4:11">
      <c r="D201" s="71">
        <v>46172</v>
      </c>
      <c r="E201" s="17">
        <v>1607899</v>
      </c>
      <c r="F201" s="17" t="s">
        <v>37</v>
      </c>
      <c r="G201" s="72">
        <v>20419699</v>
      </c>
      <c r="H201" s="17" t="s">
        <v>105</v>
      </c>
      <c r="I201" s="72">
        <v>2</v>
      </c>
      <c r="J201" s="73">
        <v>16.5</v>
      </c>
      <c r="K201" s="73">
        <f t="shared" si="3"/>
        <v>33</v>
      </c>
    </row>
    <row r="202" spans="4:11">
      <c r="D202" s="71">
        <v>46172</v>
      </c>
      <c r="E202" s="17">
        <v>1607899</v>
      </c>
      <c r="F202" s="17" t="s">
        <v>37</v>
      </c>
      <c r="G202" s="72">
        <v>20420409</v>
      </c>
      <c r="H202" s="17" t="s">
        <v>142</v>
      </c>
      <c r="I202" s="72">
        <v>1</v>
      </c>
      <c r="J202" s="73">
        <v>16.5</v>
      </c>
      <c r="K202" s="73">
        <f t="shared" si="3"/>
        <v>16.5</v>
      </c>
    </row>
    <row r="203" spans="4:11">
      <c r="D203" s="71">
        <v>46172</v>
      </c>
      <c r="E203" s="17">
        <v>1607904</v>
      </c>
      <c r="F203" s="17" t="s">
        <v>19</v>
      </c>
      <c r="G203" s="72">
        <v>20418560</v>
      </c>
      <c r="H203" s="17" t="s">
        <v>143</v>
      </c>
      <c r="I203" s="72">
        <v>1</v>
      </c>
      <c r="J203" s="73">
        <v>25</v>
      </c>
      <c r="K203" s="73">
        <f t="shared" si="3"/>
        <v>25</v>
      </c>
    </row>
    <row r="204" spans="4:11">
      <c r="D204" s="71">
        <v>46172</v>
      </c>
      <c r="E204" s="17">
        <v>1607904</v>
      </c>
      <c r="F204" s="17" t="s">
        <v>19</v>
      </c>
      <c r="G204" s="72">
        <v>20420445</v>
      </c>
      <c r="H204" s="17" t="s">
        <v>81</v>
      </c>
      <c r="I204" s="72">
        <v>1</v>
      </c>
      <c r="J204" s="73">
        <v>35</v>
      </c>
      <c r="K204" s="73">
        <f t="shared" si="3"/>
        <v>35</v>
      </c>
    </row>
    <row r="205" spans="4:11">
      <c r="D205" s="71">
        <v>46172</v>
      </c>
      <c r="E205" s="17">
        <v>1607904</v>
      </c>
      <c r="F205" s="17" t="s">
        <v>19</v>
      </c>
      <c r="G205" s="72">
        <v>20422869</v>
      </c>
      <c r="H205" s="17" t="s">
        <v>144</v>
      </c>
      <c r="I205" s="72">
        <v>1</v>
      </c>
      <c r="J205" s="73">
        <v>28</v>
      </c>
      <c r="K205" s="73">
        <f t="shared" si="3"/>
        <v>28</v>
      </c>
    </row>
    <row r="206" spans="4:11">
      <c r="D206" s="71">
        <v>46172</v>
      </c>
      <c r="E206" s="17">
        <v>1607904</v>
      </c>
      <c r="F206" s="17" t="s">
        <v>19</v>
      </c>
      <c r="G206" s="72">
        <v>20421604</v>
      </c>
      <c r="H206" s="17" t="s">
        <v>135</v>
      </c>
      <c r="I206" s="72">
        <v>1</v>
      </c>
      <c r="J206" s="73">
        <v>22</v>
      </c>
      <c r="K206" s="73">
        <f t="shared" si="3"/>
        <v>22</v>
      </c>
    </row>
    <row r="207" ht="25.5" spans="4:11">
      <c r="D207" s="71">
        <v>46172</v>
      </c>
      <c r="E207" s="17">
        <v>1607904</v>
      </c>
      <c r="F207" s="17" t="s">
        <v>19</v>
      </c>
      <c r="G207" s="72">
        <v>20427710</v>
      </c>
      <c r="H207" s="17" t="s">
        <v>145</v>
      </c>
      <c r="I207" s="72">
        <v>1</v>
      </c>
      <c r="J207" s="73">
        <v>165</v>
      </c>
      <c r="K207" s="73">
        <f t="shared" si="3"/>
        <v>165</v>
      </c>
    </row>
    <row r="208" spans="4:11">
      <c r="D208" s="71">
        <v>46172</v>
      </c>
      <c r="E208" s="17">
        <v>1607904</v>
      </c>
      <c r="F208" s="17" t="s">
        <v>19</v>
      </c>
      <c r="G208" s="72">
        <v>20418545</v>
      </c>
      <c r="H208" s="17" t="s">
        <v>82</v>
      </c>
      <c r="I208" s="72">
        <v>1</v>
      </c>
      <c r="J208" s="73">
        <v>35</v>
      </c>
      <c r="K208" s="73">
        <f t="shared" si="3"/>
        <v>35</v>
      </c>
    </row>
    <row r="209" spans="4:11">
      <c r="D209" s="71">
        <v>46172</v>
      </c>
      <c r="E209" s="17">
        <v>1607904</v>
      </c>
      <c r="F209" s="17" t="s">
        <v>19</v>
      </c>
      <c r="G209" s="72">
        <v>20418548</v>
      </c>
      <c r="H209" s="17" t="s">
        <v>146</v>
      </c>
      <c r="I209" s="72">
        <v>1</v>
      </c>
      <c r="J209" s="73">
        <v>28</v>
      </c>
      <c r="K209" s="73">
        <f t="shared" si="3"/>
        <v>28</v>
      </c>
    </row>
    <row r="210" spans="4:11">
      <c r="D210" s="71">
        <v>46172</v>
      </c>
      <c r="E210" s="17">
        <v>1607904</v>
      </c>
      <c r="F210" s="17" t="s">
        <v>19</v>
      </c>
      <c r="G210" s="72">
        <v>20420444</v>
      </c>
      <c r="H210" s="17" t="s">
        <v>147</v>
      </c>
      <c r="I210" s="72">
        <v>1</v>
      </c>
      <c r="J210" s="73">
        <v>35</v>
      </c>
      <c r="K210" s="73">
        <f t="shared" si="3"/>
        <v>35</v>
      </c>
    </row>
    <row r="211" spans="4:11">
      <c r="D211" s="71">
        <v>46172</v>
      </c>
      <c r="E211" s="17">
        <v>1607904</v>
      </c>
      <c r="F211" s="17" t="s">
        <v>19</v>
      </c>
      <c r="G211" s="72">
        <v>20418561</v>
      </c>
      <c r="H211" s="17" t="s">
        <v>148</v>
      </c>
      <c r="I211" s="72">
        <v>1</v>
      </c>
      <c r="J211" s="73">
        <v>25</v>
      </c>
      <c r="K211" s="73">
        <f t="shared" si="3"/>
        <v>25</v>
      </c>
    </row>
    <row r="212" spans="4:11">
      <c r="D212" s="71">
        <v>46172</v>
      </c>
      <c r="E212" s="17">
        <v>1607904</v>
      </c>
      <c r="F212" s="17" t="s">
        <v>19</v>
      </c>
      <c r="G212" s="72">
        <v>20421602</v>
      </c>
      <c r="H212" s="17" t="s">
        <v>85</v>
      </c>
      <c r="I212" s="72">
        <v>1</v>
      </c>
      <c r="J212" s="73">
        <v>66</v>
      </c>
      <c r="K212" s="73">
        <f t="shared" si="3"/>
        <v>66</v>
      </c>
    </row>
    <row r="213" spans="4:11">
      <c r="D213" s="71">
        <v>46172</v>
      </c>
      <c r="E213" s="17">
        <v>1607904</v>
      </c>
      <c r="F213" s="17" t="s">
        <v>86</v>
      </c>
      <c r="G213" s="72">
        <v>20420203</v>
      </c>
      <c r="H213" s="17" t="s">
        <v>87</v>
      </c>
      <c r="I213" s="72">
        <v>1</v>
      </c>
      <c r="J213" s="73">
        <v>28</v>
      </c>
      <c r="K213" s="73">
        <f t="shared" si="3"/>
        <v>28</v>
      </c>
    </row>
    <row r="214" ht="0.05" customHeight="1"/>
  </sheetData>
  <autoFilter xmlns:etc="http://www.wps.cn/officeDocument/2017/etCustomData" ref="A7:K213" etc:filterBottomFollowUsedRange="0">
    <extLst/>
  </autoFilter>
  <mergeCells count="5">
    <mergeCell ref="D8:H8"/>
    <mergeCell ref="C7:C213"/>
    <mergeCell ref="B4:H5"/>
    <mergeCell ref="C1:H2"/>
    <mergeCell ref="A7:B213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13:39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63" t="s">
        <v>2</v>
      </c>
      <c r="B7" s="64" t="s">
        <v>2</v>
      </c>
      <c r="C7" s="65" t="s">
        <v>2</v>
      </c>
      <c r="D7" s="66" t="s">
        <v>4</v>
      </c>
      <c r="E7" s="66" t="s">
        <v>5</v>
      </c>
      <c r="F7" s="66" t="s">
        <v>6</v>
      </c>
      <c r="G7" s="66" t="s">
        <v>7</v>
      </c>
      <c r="H7" s="66" t="s">
        <v>8</v>
      </c>
      <c r="I7" s="66" t="s">
        <v>9</v>
      </c>
      <c r="J7" s="66" t="s">
        <v>10</v>
      </c>
      <c r="K7" s="66" t="s">
        <v>11</v>
      </c>
    </row>
    <row r="8" ht="14.25" spans="1:11">
      <c r="D8" s="67" t="s">
        <v>149</v>
      </c>
      <c r="E8" s="68" t="s">
        <v>2</v>
      </c>
      <c r="F8" s="68" t="s">
        <v>2</v>
      </c>
      <c r="G8" s="68" t="s">
        <v>2</v>
      </c>
      <c r="H8" s="68" t="s">
        <v>2</v>
      </c>
      <c r="I8" s="69">
        <v>7</v>
      </c>
      <c r="J8" s="70"/>
      <c r="K8" s="70">
        <v>183</v>
      </c>
    </row>
    <row r="9" spans="1:11">
      <c r="D9" s="71">
        <v>46149</v>
      </c>
      <c r="E9" s="17">
        <v>1600869</v>
      </c>
      <c r="F9" s="17" t="s">
        <v>13</v>
      </c>
      <c r="G9" s="72">
        <v>20418983</v>
      </c>
      <c r="H9" s="17" t="s">
        <v>40</v>
      </c>
      <c r="I9" s="72">
        <v>1</v>
      </c>
      <c r="J9" s="73">
        <v>16.5</v>
      </c>
      <c r="K9" s="73">
        <v>16.5</v>
      </c>
    </row>
    <row r="10" spans="1:11">
      <c r="D10" s="71">
        <v>46149</v>
      </c>
      <c r="E10" s="17">
        <v>1600869</v>
      </c>
      <c r="F10" s="17" t="s">
        <v>13</v>
      </c>
      <c r="G10" s="72">
        <v>20419012</v>
      </c>
      <c r="H10" s="17" t="s">
        <v>150</v>
      </c>
      <c r="I10" s="72">
        <v>1</v>
      </c>
      <c r="J10" s="73">
        <v>8</v>
      </c>
      <c r="K10" s="73">
        <v>8</v>
      </c>
    </row>
    <row r="11" spans="1:11">
      <c r="D11" s="71">
        <v>46149</v>
      </c>
      <c r="E11" s="17">
        <v>1600869</v>
      </c>
      <c r="F11" s="17" t="s">
        <v>13</v>
      </c>
      <c r="G11" s="72">
        <v>20419014</v>
      </c>
      <c r="H11" s="17" t="s">
        <v>16</v>
      </c>
      <c r="I11" s="72">
        <v>2</v>
      </c>
      <c r="J11" s="73">
        <v>8</v>
      </c>
      <c r="K11" s="73">
        <v>16</v>
      </c>
    </row>
    <row r="12" spans="1:11">
      <c r="D12" s="71">
        <v>46162</v>
      </c>
      <c r="E12" s="17">
        <v>1604853</v>
      </c>
      <c r="F12" s="17" t="s">
        <v>13</v>
      </c>
      <c r="G12" s="72">
        <v>20419014</v>
      </c>
      <c r="H12" s="17" t="s">
        <v>16</v>
      </c>
      <c r="I12" s="72">
        <v>2</v>
      </c>
      <c r="J12" s="73">
        <v>8</v>
      </c>
      <c r="K12" s="73">
        <v>16</v>
      </c>
    </row>
    <row r="13" spans="1:11">
      <c r="D13" s="71">
        <v>46165</v>
      </c>
      <c r="E13" s="17">
        <v>1605846</v>
      </c>
      <c r="F13" s="17" t="s">
        <v>23</v>
      </c>
      <c r="G13" s="72">
        <v>20419442</v>
      </c>
      <c r="H13" s="17" t="s">
        <v>151</v>
      </c>
      <c r="I13" s="72">
        <v>1</v>
      </c>
      <c r="J13" s="73">
        <v>126.5</v>
      </c>
      <c r="K13" s="73">
        <v>126.5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13:39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63" t="s">
        <v>2</v>
      </c>
      <c r="B7" s="64" t="s">
        <v>2</v>
      </c>
      <c r="C7" s="65" t="s">
        <v>2</v>
      </c>
      <c r="D7" s="66" t="s">
        <v>4</v>
      </c>
      <c r="E7" s="66" t="s">
        <v>5</v>
      </c>
      <c r="F7" s="66" t="s">
        <v>6</v>
      </c>
      <c r="G7" s="66" t="s">
        <v>7</v>
      </c>
      <c r="H7" s="66" t="s">
        <v>8</v>
      </c>
      <c r="I7" s="66" t="s">
        <v>9</v>
      </c>
      <c r="J7" s="66" t="s">
        <v>10</v>
      </c>
      <c r="K7" s="66" t="s">
        <v>11</v>
      </c>
    </row>
    <row r="8" ht="14.25" spans="1:11">
      <c r="D8" s="67" t="s">
        <v>152</v>
      </c>
      <c r="E8" s="68" t="s">
        <v>2</v>
      </c>
      <c r="F8" s="68" t="s">
        <v>2</v>
      </c>
      <c r="G8" s="68" t="s">
        <v>2</v>
      </c>
      <c r="H8" s="68" t="s">
        <v>2</v>
      </c>
      <c r="I8" s="69">
        <v>82</v>
      </c>
      <c r="J8" s="70"/>
      <c r="K8" s="70">
        <f>SUM(K9:K44)</f>
        <v>768</v>
      </c>
    </row>
    <row r="9" spans="1:11">
      <c r="D9" s="71">
        <v>46148</v>
      </c>
      <c r="E9" s="17">
        <v>1600498</v>
      </c>
      <c r="F9" s="17" t="s">
        <v>13</v>
      </c>
      <c r="G9" s="72">
        <v>20419050</v>
      </c>
      <c r="H9" s="17" t="s">
        <v>153</v>
      </c>
      <c r="I9" s="72">
        <v>7</v>
      </c>
      <c r="J9" s="73">
        <v>8</v>
      </c>
      <c r="K9" s="73">
        <f>J9*I9</f>
        <v>56</v>
      </c>
    </row>
    <row r="10" spans="1:11">
      <c r="D10" s="71">
        <v>46149</v>
      </c>
      <c r="E10" s="17">
        <v>1600870</v>
      </c>
      <c r="F10" s="17" t="s">
        <v>13</v>
      </c>
      <c r="G10" s="72">
        <v>20419050</v>
      </c>
      <c r="H10" s="17" t="s">
        <v>153</v>
      </c>
      <c r="I10" s="72">
        <v>2</v>
      </c>
      <c r="J10" s="73">
        <v>8</v>
      </c>
      <c r="K10" s="73">
        <f t="shared" ref="K10:K44" si="0">J10*I10</f>
        <v>16</v>
      </c>
    </row>
    <row r="11" spans="1:11">
      <c r="D11" s="71">
        <v>46149</v>
      </c>
      <c r="E11" s="17">
        <v>1600870</v>
      </c>
      <c r="F11" s="17" t="s">
        <v>13</v>
      </c>
      <c r="G11" s="72">
        <v>20420200</v>
      </c>
      <c r="H11" s="17" t="s">
        <v>154</v>
      </c>
      <c r="I11" s="72">
        <v>1</v>
      </c>
      <c r="J11" s="73">
        <v>16.5</v>
      </c>
      <c r="K11" s="73">
        <f t="shared" si="0"/>
        <v>16.5</v>
      </c>
    </row>
    <row r="12" spans="1:11">
      <c r="D12" s="71">
        <v>46149</v>
      </c>
      <c r="E12" s="17">
        <v>1600870</v>
      </c>
      <c r="F12" s="17" t="s">
        <v>155</v>
      </c>
      <c r="G12" s="72">
        <v>20421782</v>
      </c>
      <c r="H12" s="17" t="s">
        <v>156</v>
      </c>
      <c r="I12" s="72">
        <v>5</v>
      </c>
      <c r="J12" s="73">
        <v>4</v>
      </c>
      <c r="K12" s="73">
        <f t="shared" si="0"/>
        <v>20</v>
      </c>
    </row>
    <row r="13" spans="1:11">
      <c r="D13" s="71">
        <v>46149</v>
      </c>
      <c r="E13" s="17">
        <v>1600870</v>
      </c>
      <c r="F13" s="17" t="s">
        <v>23</v>
      </c>
      <c r="G13" s="72">
        <v>20421664</v>
      </c>
      <c r="H13" s="17" t="s">
        <v>157</v>
      </c>
      <c r="I13" s="72">
        <v>1</v>
      </c>
      <c r="J13" s="73">
        <v>49.5</v>
      </c>
      <c r="K13" s="73">
        <f t="shared" si="0"/>
        <v>49.5</v>
      </c>
    </row>
    <row r="14" spans="1:11">
      <c r="D14" s="71">
        <v>46150</v>
      </c>
      <c r="E14" s="17">
        <v>1601376</v>
      </c>
      <c r="F14" s="17" t="s">
        <v>13</v>
      </c>
      <c r="G14" s="72">
        <v>20419050</v>
      </c>
      <c r="H14" s="17" t="s">
        <v>153</v>
      </c>
      <c r="I14" s="72">
        <v>2</v>
      </c>
      <c r="J14" s="73">
        <v>8</v>
      </c>
      <c r="K14" s="73">
        <f t="shared" si="0"/>
        <v>16</v>
      </c>
    </row>
    <row r="15" spans="1:11">
      <c r="D15" s="71">
        <v>46150</v>
      </c>
      <c r="E15" s="17">
        <v>1601376</v>
      </c>
      <c r="F15" s="17" t="s">
        <v>13</v>
      </c>
      <c r="G15" s="72">
        <v>20419052</v>
      </c>
      <c r="H15" s="17" t="s">
        <v>95</v>
      </c>
      <c r="I15" s="72">
        <v>1</v>
      </c>
      <c r="J15" s="73">
        <v>13</v>
      </c>
      <c r="K15" s="73">
        <f t="shared" si="0"/>
        <v>13</v>
      </c>
    </row>
    <row r="16" spans="1:11">
      <c r="D16" s="71">
        <v>46150</v>
      </c>
      <c r="E16" s="17">
        <v>1601376</v>
      </c>
      <c r="F16" s="17" t="s">
        <v>13</v>
      </c>
      <c r="G16" s="72">
        <v>20424514</v>
      </c>
      <c r="H16" s="17" t="s">
        <v>158</v>
      </c>
      <c r="I16" s="72">
        <v>1</v>
      </c>
      <c r="J16" s="73">
        <v>8</v>
      </c>
      <c r="K16" s="73">
        <f t="shared" si="0"/>
        <v>8</v>
      </c>
    </row>
    <row r="17" spans="4:11">
      <c r="D17" s="71">
        <v>46150</v>
      </c>
      <c r="E17" s="17">
        <v>1601376</v>
      </c>
      <c r="F17" s="17" t="s">
        <v>13</v>
      </c>
      <c r="G17" s="72">
        <v>20424515</v>
      </c>
      <c r="H17" s="17" t="s">
        <v>159</v>
      </c>
      <c r="I17" s="72">
        <v>2</v>
      </c>
      <c r="J17" s="73">
        <v>8</v>
      </c>
      <c r="K17" s="73">
        <f t="shared" si="0"/>
        <v>16</v>
      </c>
    </row>
    <row r="18" spans="4:11">
      <c r="D18" s="71">
        <v>46150</v>
      </c>
      <c r="E18" s="17">
        <v>1601376</v>
      </c>
      <c r="F18" s="17" t="s">
        <v>13</v>
      </c>
      <c r="G18" s="72">
        <v>20424523</v>
      </c>
      <c r="H18" s="17" t="s">
        <v>160</v>
      </c>
      <c r="I18" s="72">
        <v>2</v>
      </c>
      <c r="J18" s="73">
        <v>8</v>
      </c>
      <c r="K18" s="73">
        <f t="shared" si="0"/>
        <v>16</v>
      </c>
    </row>
    <row r="19" spans="4:11">
      <c r="D19" s="71">
        <v>46153</v>
      </c>
      <c r="E19" s="17">
        <v>1602054</v>
      </c>
      <c r="F19" s="17" t="s">
        <v>13</v>
      </c>
      <c r="G19" s="72">
        <v>20419050</v>
      </c>
      <c r="H19" s="17" t="s">
        <v>153</v>
      </c>
      <c r="I19" s="72">
        <v>4</v>
      </c>
      <c r="J19" s="73">
        <v>8</v>
      </c>
      <c r="K19" s="73">
        <f t="shared" si="0"/>
        <v>32</v>
      </c>
    </row>
    <row r="20" spans="4:11">
      <c r="D20" s="71">
        <v>46155</v>
      </c>
      <c r="E20" s="17">
        <v>1602783</v>
      </c>
      <c r="F20" s="17" t="s">
        <v>13</v>
      </c>
      <c r="G20" s="72">
        <v>20419050</v>
      </c>
      <c r="H20" s="17" t="s">
        <v>153</v>
      </c>
      <c r="I20" s="72">
        <v>6</v>
      </c>
      <c r="J20" s="73">
        <v>8</v>
      </c>
      <c r="K20" s="73">
        <f t="shared" si="0"/>
        <v>48</v>
      </c>
    </row>
    <row r="21" spans="4:11">
      <c r="D21" s="71">
        <v>46156</v>
      </c>
      <c r="E21" s="17">
        <v>1603165</v>
      </c>
      <c r="F21" s="17" t="s">
        <v>13</v>
      </c>
      <c r="G21" s="72">
        <v>20419050</v>
      </c>
      <c r="H21" s="17" t="s">
        <v>153</v>
      </c>
      <c r="I21" s="72">
        <v>3</v>
      </c>
      <c r="J21" s="73">
        <v>8</v>
      </c>
      <c r="K21" s="73">
        <f t="shared" si="0"/>
        <v>24</v>
      </c>
    </row>
    <row r="22" spans="4:11">
      <c r="D22" s="71">
        <v>46156</v>
      </c>
      <c r="E22" s="17">
        <v>1603165</v>
      </c>
      <c r="F22" s="17" t="s">
        <v>13</v>
      </c>
      <c r="G22" s="72">
        <v>20419048</v>
      </c>
      <c r="H22" s="17" t="s">
        <v>161</v>
      </c>
      <c r="I22" s="72">
        <v>3</v>
      </c>
      <c r="J22" s="73">
        <v>8</v>
      </c>
      <c r="K22" s="73">
        <f t="shared" si="0"/>
        <v>24</v>
      </c>
    </row>
    <row r="23" spans="4:11">
      <c r="D23" s="71">
        <v>46156</v>
      </c>
      <c r="E23" s="17">
        <v>1603165</v>
      </c>
      <c r="F23" s="17" t="s">
        <v>13</v>
      </c>
      <c r="G23" s="72">
        <v>20419043</v>
      </c>
      <c r="H23" s="17" t="s">
        <v>162</v>
      </c>
      <c r="I23" s="72">
        <v>1</v>
      </c>
      <c r="J23" s="73">
        <v>8</v>
      </c>
      <c r="K23" s="73">
        <f t="shared" si="0"/>
        <v>8</v>
      </c>
    </row>
    <row r="24" spans="4:11">
      <c r="D24" s="71">
        <v>46156</v>
      </c>
      <c r="E24" s="17">
        <v>1603165</v>
      </c>
      <c r="F24" s="17" t="s">
        <v>13</v>
      </c>
      <c r="G24" s="72">
        <v>20420200</v>
      </c>
      <c r="H24" s="17" t="s">
        <v>154</v>
      </c>
      <c r="I24" s="72">
        <v>1</v>
      </c>
      <c r="J24" s="73">
        <v>16.5</v>
      </c>
      <c r="K24" s="73">
        <f t="shared" si="0"/>
        <v>16.5</v>
      </c>
    </row>
    <row r="25" spans="4:11">
      <c r="D25" s="71">
        <v>46157</v>
      </c>
      <c r="E25" s="17">
        <v>1603556</v>
      </c>
      <c r="F25" s="17" t="s">
        <v>13</v>
      </c>
      <c r="G25" s="72">
        <v>20419050</v>
      </c>
      <c r="H25" s="17" t="s">
        <v>153</v>
      </c>
      <c r="I25" s="72">
        <v>1</v>
      </c>
      <c r="J25" s="73">
        <v>8</v>
      </c>
      <c r="K25" s="73">
        <f t="shared" si="0"/>
        <v>8</v>
      </c>
    </row>
    <row r="26" spans="4:11">
      <c r="D26" s="71">
        <v>46160</v>
      </c>
      <c r="E26" s="17">
        <v>1604076</v>
      </c>
      <c r="F26" s="17" t="s">
        <v>13</v>
      </c>
      <c r="G26" s="72">
        <v>20419050</v>
      </c>
      <c r="H26" s="17" t="s">
        <v>153</v>
      </c>
      <c r="I26" s="72">
        <v>6</v>
      </c>
      <c r="J26" s="73">
        <v>8</v>
      </c>
      <c r="K26" s="73">
        <f t="shared" si="0"/>
        <v>48</v>
      </c>
    </row>
    <row r="27" spans="4:11">
      <c r="D27" s="71">
        <v>46162</v>
      </c>
      <c r="E27" s="17">
        <v>1604854</v>
      </c>
      <c r="F27" s="17" t="s">
        <v>13</v>
      </c>
      <c r="G27" s="72">
        <v>20419050</v>
      </c>
      <c r="H27" s="17" t="s">
        <v>153</v>
      </c>
      <c r="I27" s="72">
        <v>4</v>
      </c>
      <c r="J27" s="73">
        <v>8</v>
      </c>
      <c r="K27" s="73">
        <f t="shared" si="0"/>
        <v>32</v>
      </c>
    </row>
    <row r="28" spans="4:11">
      <c r="D28" s="71">
        <v>46163</v>
      </c>
      <c r="E28" s="17">
        <v>1605207</v>
      </c>
      <c r="F28" s="17" t="s">
        <v>13</v>
      </c>
      <c r="G28" s="72">
        <v>20419050</v>
      </c>
      <c r="H28" s="17" t="s">
        <v>153</v>
      </c>
      <c r="I28" s="72">
        <v>2</v>
      </c>
      <c r="J28" s="73">
        <v>8</v>
      </c>
      <c r="K28" s="73">
        <f t="shared" si="0"/>
        <v>16</v>
      </c>
    </row>
    <row r="29" spans="4:11">
      <c r="D29" s="71">
        <v>46163</v>
      </c>
      <c r="E29" s="17">
        <v>1605207</v>
      </c>
      <c r="F29" s="17" t="s">
        <v>13</v>
      </c>
      <c r="G29" s="72">
        <v>20419052</v>
      </c>
      <c r="H29" s="17" t="s">
        <v>95</v>
      </c>
      <c r="I29" s="72">
        <v>1</v>
      </c>
      <c r="J29" s="73">
        <v>13</v>
      </c>
      <c r="K29" s="73">
        <f t="shared" si="0"/>
        <v>13</v>
      </c>
    </row>
    <row r="30" spans="4:11">
      <c r="D30" s="71">
        <v>46163</v>
      </c>
      <c r="E30" s="17">
        <v>1605207</v>
      </c>
      <c r="F30" s="17" t="s">
        <v>155</v>
      </c>
      <c r="G30" s="72">
        <v>20421782</v>
      </c>
      <c r="H30" s="17" t="s">
        <v>156</v>
      </c>
      <c r="I30" s="72">
        <v>1</v>
      </c>
      <c r="J30" s="73">
        <v>4</v>
      </c>
      <c r="K30" s="73">
        <f t="shared" si="0"/>
        <v>4</v>
      </c>
    </row>
    <row r="31" spans="4:11">
      <c r="D31" s="71">
        <v>46163</v>
      </c>
      <c r="E31" s="17">
        <v>1605207</v>
      </c>
      <c r="F31" s="17" t="s">
        <v>23</v>
      </c>
      <c r="G31" s="72">
        <v>20426513</v>
      </c>
      <c r="H31" s="17" t="s">
        <v>163</v>
      </c>
      <c r="I31" s="72">
        <v>1</v>
      </c>
      <c r="J31" s="73">
        <v>44</v>
      </c>
      <c r="K31" s="73">
        <f t="shared" si="0"/>
        <v>44</v>
      </c>
    </row>
    <row r="32" spans="4:11">
      <c r="D32" s="71">
        <v>46163</v>
      </c>
      <c r="E32" s="17">
        <v>1605207</v>
      </c>
      <c r="F32" s="17" t="s">
        <v>25</v>
      </c>
      <c r="G32" s="72">
        <v>20421783</v>
      </c>
      <c r="H32" s="17" t="s">
        <v>164</v>
      </c>
      <c r="I32" s="72">
        <v>1</v>
      </c>
      <c r="J32" s="73">
        <v>4</v>
      </c>
      <c r="K32" s="73">
        <f t="shared" si="0"/>
        <v>4</v>
      </c>
    </row>
    <row r="33" spans="4:11">
      <c r="D33" s="71">
        <v>46164</v>
      </c>
      <c r="E33" s="17">
        <v>1605649</v>
      </c>
      <c r="F33" s="17" t="s">
        <v>13</v>
      </c>
      <c r="G33" s="72">
        <v>20419050</v>
      </c>
      <c r="H33" s="17" t="s">
        <v>153</v>
      </c>
      <c r="I33" s="72">
        <v>5</v>
      </c>
      <c r="J33" s="73">
        <v>8</v>
      </c>
      <c r="K33" s="73">
        <f t="shared" si="0"/>
        <v>40</v>
      </c>
    </row>
    <row r="34" spans="4:11">
      <c r="D34" s="71">
        <v>46167</v>
      </c>
      <c r="E34" s="17">
        <v>1606150</v>
      </c>
      <c r="F34" s="17" t="s">
        <v>13</v>
      </c>
      <c r="G34" s="72">
        <v>20419050</v>
      </c>
      <c r="H34" s="17" t="s">
        <v>153</v>
      </c>
      <c r="I34" s="72">
        <v>2</v>
      </c>
      <c r="J34" s="73">
        <v>8</v>
      </c>
      <c r="K34" s="73">
        <f t="shared" si="0"/>
        <v>16</v>
      </c>
    </row>
    <row r="35" spans="4:11">
      <c r="D35" s="71">
        <v>46168</v>
      </c>
      <c r="E35" s="17">
        <v>1606549</v>
      </c>
      <c r="F35" s="17" t="s">
        <v>13</v>
      </c>
      <c r="G35" s="72">
        <v>20419050</v>
      </c>
      <c r="H35" s="17" t="s">
        <v>153</v>
      </c>
      <c r="I35" s="72">
        <v>2</v>
      </c>
      <c r="J35" s="73">
        <v>8</v>
      </c>
      <c r="K35" s="73">
        <f t="shared" si="0"/>
        <v>16</v>
      </c>
    </row>
    <row r="36" spans="4:11">
      <c r="D36" s="71">
        <v>46168</v>
      </c>
      <c r="E36" s="17">
        <v>1606549</v>
      </c>
      <c r="F36" s="17" t="s">
        <v>13</v>
      </c>
      <c r="G36" s="72">
        <v>20419048</v>
      </c>
      <c r="H36" s="17" t="s">
        <v>161</v>
      </c>
      <c r="I36" s="72">
        <v>1</v>
      </c>
      <c r="J36" s="73">
        <v>8</v>
      </c>
      <c r="K36" s="73">
        <f t="shared" si="0"/>
        <v>8</v>
      </c>
    </row>
    <row r="37" spans="4:11">
      <c r="D37" s="71">
        <v>46168</v>
      </c>
      <c r="E37" s="17">
        <v>1606549</v>
      </c>
      <c r="F37" s="17" t="s">
        <v>13</v>
      </c>
      <c r="G37" s="72">
        <v>20419043</v>
      </c>
      <c r="H37" s="17" t="s">
        <v>162</v>
      </c>
      <c r="I37" s="72">
        <v>1</v>
      </c>
      <c r="J37" s="73">
        <v>8</v>
      </c>
      <c r="K37" s="73">
        <f t="shared" si="0"/>
        <v>8</v>
      </c>
    </row>
    <row r="38" spans="4:11">
      <c r="D38" s="71">
        <v>46169</v>
      </c>
      <c r="E38" s="17">
        <v>1606906</v>
      </c>
      <c r="F38" s="17" t="s">
        <v>13</v>
      </c>
      <c r="G38" s="72">
        <v>20419050</v>
      </c>
      <c r="H38" s="17" t="s">
        <v>153</v>
      </c>
      <c r="I38" s="72">
        <v>1</v>
      </c>
      <c r="J38" s="73">
        <v>8</v>
      </c>
      <c r="K38" s="73">
        <f t="shared" si="0"/>
        <v>8</v>
      </c>
    </row>
    <row r="39" spans="4:11">
      <c r="D39" s="71">
        <v>46170</v>
      </c>
      <c r="E39" s="17">
        <v>1607306</v>
      </c>
      <c r="F39" s="17" t="s">
        <v>13</v>
      </c>
      <c r="G39" s="72">
        <v>20419050</v>
      </c>
      <c r="H39" s="17" t="s">
        <v>153</v>
      </c>
      <c r="I39" s="72">
        <v>5</v>
      </c>
      <c r="J39" s="73">
        <v>8</v>
      </c>
      <c r="K39" s="73">
        <f t="shared" si="0"/>
        <v>40</v>
      </c>
    </row>
    <row r="40" spans="4:11">
      <c r="D40" s="71">
        <v>46170</v>
      </c>
      <c r="E40" s="17">
        <v>1607306</v>
      </c>
      <c r="F40" s="17" t="s">
        <v>13</v>
      </c>
      <c r="G40" s="72">
        <v>20419048</v>
      </c>
      <c r="H40" s="17" t="s">
        <v>161</v>
      </c>
      <c r="I40" s="72">
        <v>2</v>
      </c>
      <c r="J40" s="73">
        <v>8</v>
      </c>
      <c r="K40" s="73">
        <f t="shared" si="0"/>
        <v>16</v>
      </c>
    </row>
    <row r="41" spans="4:11">
      <c r="D41" s="71">
        <v>46170</v>
      </c>
      <c r="E41" s="17">
        <v>1607306</v>
      </c>
      <c r="F41" s="17" t="s">
        <v>13</v>
      </c>
      <c r="G41" s="72">
        <v>20419043</v>
      </c>
      <c r="H41" s="17" t="s">
        <v>162</v>
      </c>
      <c r="I41" s="72">
        <v>1</v>
      </c>
      <c r="J41" s="73">
        <v>8</v>
      </c>
      <c r="K41" s="73">
        <f t="shared" si="0"/>
        <v>8</v>
      </c>
    </row>
    <row r="42" spans="4:11">
      <c r="D42" s="71">
        <v>46171</v>
      </c>
      <c r="E42" s="17">
        <v>1607631</v>
      </c>
      <c r="F42" s="17" t="s">
        <v>13</v>
      </c>
      <c r="G42" s="72">
        <v>20419048</v>
      </c>
      <c r="H42" s="17" t="s">
        <v>161</v>
      </c>
      <c r="I42" s="72">
        <v>1</v>
      </c>
      <c r="J42" s="73">
        <v>8</v>
      </c>
      <c r="K42" s="73">
        <f t="shared" si="0"/>
        <v>8</v>
      </c>
    </row>
    <row r="43" spans="4:11">
      <c r="D43" s="71">
        <v>46171</v>
      </c>
      <c r="E43" s="17">
        <v>1607631</v>
      </c>
      <c r="F43" s="17" t="s">
        <v>13</v>
      </c>
      <c r="G43" s="72">
        <v>20419052</v>
      </c>
      <c r="H43" s="17" t="s">
        <v>95</v>
      </c>
      <c r="I43" s="72">
        <v>1</v>
      </c>
      <c r="J43" s="73">
        <v>13</v>
      </c>
      <c r="K43" s="73">
        <f t="shared" si="0"/>
        <v>13</v>
      </c>
    </row>
    <row r="44" spans="4:11">
      <c r="D44" s="71">
        <v>46171</v>
      </c>
      <c r="E44" s="17">
        <v>1607631</v>
      </c>
      <c r="F44" s="17" t="s">
        <v>23</v>
      </c>
      <c r="G44" s="72">
        <v>20421664</v>
      </c>
      <c r="H44" s="17" t="s">
        <v>157</v>
      </c>
      <c r="I44" s="72">
        <v>1</v>
      </c>
      <c r="J44" s="73">
        <v>38.5</v>
      </c>
      <c r="K44" s="73">
        <f t="shared" si="0"/>
        <v>38.5</v>
      </c>
    </row>
    <row r="45" ht="0.05" customHeight="1"/>
  </sheetData>
  <autoFilter xmlns:etc="http://www.wps.cn/officeDocument/2017/etCustomData" ref="A7:K44" etc:filterBottomFollowUsedRange="0">
    <extLst/>
  </autoFilter>
  <mergeCells count="5">
    <mergeCell ref="D8:H8"/>
    <mergeCell ref="C7:C44"/>
    <mergeCell ref="B4:H5"/>
    <mergeCell ref="A7:B4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13:39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view="pageBreakPreview" zoomScaleNormal="100" topLeftCell="B1" workbookViewId="0">
      <selection activeCell="I12" sqref="I12:I25"/>
    </sheetView>
  </sheetViews>
  <sheetFormatPr defaultColWidth="9" defaultRowHeight="13.5"/>
  <cols>
    <col min="1" max="1" width="10.5" style="45" customWidth="1"/>
    <col min="2" max="2" width="9.8" style="45" customWidth="1"/>
    <col min="3" max="3" width="9.4" style="45" customWidth="1"/>
    <col min="4" max="4" width="15.4333333333333" style="45" customWidth="1"/>
    <col min="5" max="5" width="10.5" style="45" customWidth="1"/>
    <col min="6" max="6" width="27.875" style="45" customWidth="1"/>
    <col min="7" max="7" width="10.625" style="45" customWidth="1"/>
    <col min="8" max="8" width="10.4" style="45" customWidth="1"/>
    <col min="9" max="9" width="11.8416666666667" style="45" customWidth="1"/>
    <col min="10" max="16384" width="9" style="45"/>
  </cols>
  <sheetData>
    <row r="1" s="45" customFormat="1" spans="1:9">
      <c r="A1" s="46" t="s">
        <v>165</v>
      </c>
    </row>
    <row r="2" s="45" customFormat="1" ht="23.05" customHeight="1"/>
    <row r="3" s="45" customFormat="1" ht="2" customHeight="1"/>
    <row r="4" s="45" customFormat="1" ht="15.2" customHeight="1" spans="1:9">
      <c r="A4" s="47" t="s">
        <v>166</v>
      </c>
    </row>
    <row r="6" s="45" customFormat="1" ht="2.05" customHeight="1"/>
    <row r="7" s="45" customFormat="1" ht="1.9" customHeight="1" spans="1:9">
      <c r="A7" s="48" t="s">
        <v>2</v>
      </c>
      <c r="B7" s="48" t="s">
        <v>2</v>
      </c>
      <c r="C7" s="48" t="s">
        <v>2</v>
      </c>
      <c r="D7" s="48" t="s">
        <v>2</v>
      </c>
      <c r="E7" s="48" t="s">
        <v>2</v>
      </c>
      <c r="F7" s="48" t="s">
        <v>2</v>
      </c>
      <c r="G7" s="48" t="s">
        <v>2</v>
      </c>
    </row>
    <row r="9" s="45" customFormat="1" spans="1:9">
      <c r="A9" s="49" t="s">
        <v>4</v>
      </c>
      <c r="B9" s="49" t="s">
        <v>5</v>
      </c>
      <c r="C9" s="49" t="s">
        <v>167</v>
      </c>
      <c r="D9" s="49" t="s">
        <v>6</v>
      </c>
      <c r="E9" s="49" t="s">
        <v>168</v>
      </c>
      <c r="F9" s="49" t="s">
        <v>8</v>
      </c>
      <c r="G9" s="50" t="s">
        <v>169</v>
      </c>
      <c r="H9" s="50" t="s">
        <v>10</v>
      </c>
      <c r="I9" s="50" t="s">
        <v>170</v>
      </c>
    </row>
    <row r="10" s="45" customFormat="1" ht="15" spans="1:9">
      <c r="A10" s="51" t="s">
        <v>171</v>
      </c>
      <c r="B10" s="52" t="s">
        <v>2</v>
      </c>
      <c r="C10" s="52" t="s">
        <v>2</v>
      </c>
      <c r="D10" s="52" t="s">
        <v>2</v>
      </c>
      <c r="E10" s="52" t="s">
        <v>2</v>
      </c>
      <c r="F10" s="51" t="s">
        <v>2</v>
      </c>
      <c r="G10" s="53"/>
      <c r="H10" s="51" t="s">
        <v>2</v>
      </c>
      <c r="I10" s="54"/>
    </row>
    <row r="11" s="45" customFormat="1" ht="14.25" spans="1:9">
      <c r="A11" s="55" t="s">
        <v>3</v>
      </c>
      <c r="B11" s="52" t="s">
        <v>2</v>
      </c>
      <c r="C11" s="52" t="s">
        <v>2</v>
      </c>
      <c r="D11" s="52" t="s">
        <v>2</v>
      </c>
      <c r="E11" s="52" t="s">
        <v>2</v>
      </c>
      <c r="F11" s="55" t="s">
        <v>2</v>
      </c>
      <c r="G11" s="56">
        <v>8</v>
      </c>
      <c r="H11" s="55" t="s">
        <v>2</v>
      </c>
      <c r="I11" s="57">
        <f>SUM(I12:I19)</f>
        <v>1399</v>
      </c>
    </row>
    <row r="12" s="45" customFormat="1" ht="24.75" spans="1:9">
      <c r="A12" s="58">
        <v>46162</v>
      </c>
      <c r="B12" s="59">
        <v>1604890</v>
      </c>
      <c r="C12" s="59" t="s">
        <v>172</v>
      </c>
      <c r="D12" s="60" t="s">
        <v>173</v>
      </c>
      <c r="E12" s="59">
        <v>20426289</v>
      </c>
      <c r="F12" s="60" t="s">
        <v>174</v>
      </c>
      <c r="G12" s="61">
        <v>1</v>
      </c>
      <c r="H12" s="62">
        <v>165</v>
      </c>
      <c r="I12" s="62">
        <f t="shared" ref="I12:I19" si="0">H12*G12</f>
        <v>165</v>
      </c>
    </row>
    <row r="13" s="45" customFormat="1" ht="24.75" spans="1:9">
      <c r="A13" s="58">
        <v>46162</v>
      </c>
      <c r="B13" s="59">
        <v>1604890</v>
      </c>
      <c r="C13" s="59" t="s">
        <v>172</v>
      </c>
      <c r="D13" s="60" t="s">
        <v>173</v>
      </c>
      <c r="E13" s="59">
        <v>20426290</v>
      </c>
      <c r="F13" s="60" t="s">
        <v>175</v>
      </c>
      <c r="G13" s="61">
        <v>1</v>
      </c>
      <c r="H13" s="62">
        <v>401.5</v>
      </c>
      <c r="I13" s="62">
        <f t="shared" si="0"/>
        <v>401.5</v>
      </c>
    </row>
    <row r="14" s="45" customFormat="1" ht="24.75" spans="1:9">
      <c r="A14" s="58">
        <v>46162</v>
      </c>
      <c r="B14" s="59">
        <v>1604890</v>
      </c>
      <c r="C14" s="59" t="s">
        <v>172</v>
      </c>
      <c r="D14" s="60" t="s">
        <v>173</v>
      </c>
      <c r="E14" s="59">
        <v>20426291</v>
      </c>
      <c r="F14" s="60" t="s">
        <v>176</v>
      </c>
      <c r="G14" s="61">
        <v>1</v>
      </c>
      <c r="H14" s="62">
        <v>148.5</v>
      </c>
      <c r="I14" s="62">
        <f t="shared" si="0"/>
        <v>148.5</v>
      </c>
    </row>
    <row r="15" s="45" customFormat="1" ht="24.75" spans="1:9">
      <c r="A15" s="58">
        <v>46162</v>
      </c>
      <c r="B15" s="59">
        <v>1604890</v>
      </c>
      <c r="C15" s="59" t="s">
        <v>172</v>
      </c>
      <c r="D15" s="60" t="s">
        <v>173</v>
      </c>
      <c r="E15" s="59">
        <v>20426292</v>
      </c>
      <c r="F15" s="60" t="s">
        <v>177</v>
      </c>
      <c r="G15" s="61">
        <v>1</v>
      </c>
      <c r="H15" s="62">
        <v>110</v>
      </c>
      <c r="I15" s="62">
        <f t="shared" si="0"/>
        <v>110</v>
      </c>
    </row>
    <row r="16" s="45" customFormat="1" ht="24.75" spans="1:9">
      <c r="A16" s="58">
        <v>46162</v>
      </c>
      <c r="B16" s="59">
        <v>1604890</v>
      </c>
      <c r="C16" s="59" t="s">
        <v>172</v>
      </c>
      <c r="D16" s="60" t="s">
        <v>173</v>
      </c>
      <c r="E16" s="59">
        <v>20426298</v>
      </c>
      <c r="F16" s="60" t="s">
        <v>178</v>
      </c>
      <c r="G16" s="61">
        <v>1</v>
      </c>
      <c r="H16" s="62">
        <v>16.5</v>
      </c>
      <c r="I16" s="62">
        <f t="shared" si="0"/>
        <v>16.5</v>
      </c>
    </row>
    <row r="17" s="45" customFormat="1" ht="24.75" spans="1:9">
      <c r="A17" s="58">
        <v>46162</v>
      </c>
      <c r="B17" s="59">
        <v>1604890</v>
      </c>
      <c r="C17" s="59" t="s">
        <v>172</v>
      </c>
      <c r="D17" s="60" t="s">
        <v>173</v>
      </c>
      <c r="E17" s="59">
        <v>20426329</v>
      </c>
      <c r="F17" s="60" t="s">
        <v>179</v>
      </c>
      <c r="G17" s="61">
        <v>1</v>
      </c>
      <c r="H17" s="62">
        <v>44</v>
      </c>
      <c r="I17" s="62">
        <f t="shared" si="0"/>
        <v>44</v>
      </c>
    </row>
    <row r="18" s="45" customFormat="1" ht="24.75" spans="1:9">
      <c r="A18" s="58">
        <v>46162</v>
      </c>
      <c r="B18" s="59">
        <v>1604890</v>
      </c>
      <c r="C18" s="59" t="s">
        <v>172</v>
      </c>
      <c r="D18" s="60" t="s">
        <v>128</v>
      </c>
      <c r="E18" s="59">
        <v>20426330</v>
      </c>
      <c r="F18" s="60" t="s">
        <v>180</v>
      </c>
      <c r="G18" s="61">
        <v>1</v>
      </c>
      <c r="H18" s="62">
        <v>447.5</v>
      </c>
      <c r="I18" s="62">
        <f t="shared" si="0"/>
        <v>447.5</v>
      </c>
    </row>
    <row r="19" s="45" customFormat="1" ht="24.75" spans="1:9">
      <c r="A19" s="58">
        <v>46162</v>
      </c>
      <c r="B19" s="59">
        <v>1604890</v>
      </c>
      <c r="C19" s="59" t="s">
        <v>172</v>
      </c>
      <c r="D19" s="60" t="s">
        <v>173</v>
      </c>
      <c r="E19" s="59">
        <v>20426288</v>
      </c>
      <c r="F19" s="60" t="s">
        <v>181</v>
      </c>
      <c r="G19" s="61">
        <v>1</v>
      </c>
      <c r="H19" s="62">
        <v>66</v>
      </c>
      <c r="I19" s="62">
        <f t="shared" si="0"/>
        <v>66</v>
      </c>
    </row>
  </sheetData>
  <mergeCells count="4">
    <mergeCell ref="A10:E10"/>
    <mergeCell ref="A11:E11"/>
    <mergeCell ref="A1:G2"/>
    <mergeCell ref="A4:G5"/>
  </mergeCells>
  <pageMargins left="0.25" right="0.25" top="0.75" bottom="0.75" header="0.298611111111111" footer="0.298611111111111"/>
  <pageSetup paperSize="9" scale="80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5"/>
  <sheetViews>
    <sheetView view="pageBreakPreview" zoomScaleNormal="100" workbookViewId="0">
      <selection activeCell="I10" sqref="I10:I11"/>
    </sheetView>
  </sheetViews>
  <sheetFormatPr defaultColWidth="9" defaultRowHeight="13.5"/>
  <cols>
    <col min="1" max="1" width="10" customWidth="1"/>
    <col min="3" max="3" width="15.75" customWidth="1"/>
    <col min="4" max="4" width="10" customWidth="1"/>
    <col min="5" max="5" width="24.875" customWidth="1"/>
    <col min="6" max="6" width="7.75" customWidth="1"/>
    <col min="7" max="7" width="8.875" customWidth="1"/>
    <col min="8" max="8" width="13.375" customWidth="1"/>
    <col min="9" max="9" width="10.375"/>
    <col min="10" max="11" width="9.375"/>
    <col min="13" max="14" width="9.375"/>
  </cols>
  <sheetData>
    <row r="1" customFormat="1" ht="40" customHeight="1" spans="1:9">
      <c r="A1" s="19" t="s">
        <v>182</v>
      </c>
      <c r="B1" s="19"/>
      <c r="C1" s="19"/>
      <c r="D1" s="19"/>
      <c r="E1" s="19"/>
      <c r="F1" s="19"/>
      <c r="G1" s="19"/>
      <c r="H1" s="19"/>
      <c r="I1">
        <f>I5+I6+1200</f>
        <v>10093.125</v>
      </c>
    </row>
    <row r="2" customFormat="1" customHeight="1" spans="1:9">
      <c r="A2" s="20" t="s">
        <v>183</v>
      </c>
      <c r="B2" s="20"/>
      <c r="C2" s="20"/>
      <c r="D2" s="20"/>
      <c r="E2" s="20"/>
      <c r="F2" s="20"/>
      <c r="G2" s="20"/>
      <c r="H2" s="20"/>
    </row>
    <row r="3" customFormat="1" customHeight="1" spans="1:9">
      <c r="A3" s="20"/>
      <c r="B3" s="20"/>
      <c r="C3" s="20"/>
      <c r="D3" s="20"/>
      <c r="E3" s="20"/>
      <c r="F3" s="20"/>
      <c r="G3" s="20"/>
      <c r="H3" s="20"/>
    </row>
    <row r="4" customFormat="1" customHeight="1" spans="1:9">
      <c r="A4" s="20"/>
      <c r="B4" s="20"/>
      <c r="C4" s="20"/>
      <c r="D4" s="20"/>
      <c r="E4" s="20"/>
      <c r="F4" s="20"/>
      <c r="G4" s="20"/>
      <c r="H4" s="20"/>
    </row>
    <row r="5" customFormat="1" customHeight="1" spans="1:9">
      <c r="A5" s="21" t="s">
        <v>4</v>
      </c>
      <c r="B5" s="21" t="s">
        <v>5</v>
      </c>
      <c r="C5" s="21" t="s">
        <v>6</v>
      </c>
      <c r="D5" s="21" t="s">
        <v>7</v>
      </c>
      <c r="E5" s="21" t="s">
        <v>8</v>
      </c>
      <c r="F5" s="21" t="s">
        <v>9</v>
      </c>
      <c r="G5" s="21" t="s">
        <v>10</v>
      </c>
      <c r="H5" s="21" t="s">
        <v>11</v>
      </c>
      <c r="I5">
        <f>H11+H21+H34+H50+H63+H73+H85+H95</f>
        <v>7114.5</v>
      </c>
    </row>
    <row r="6" spans="1:9">
      <c r="A6" s="29">
        <v>46147</v>
      </c>
      <c r="B6" s="30">
        <v>1600343</v>
      </c>
      <c r="C6" s="31" t="s">
        <v>172</v>
      </c>
      <c r="D6" s="30">
        <v>20423975</v>
      </c>
      <c r="E6" s="32" t="s">
        <v>184</v>
      </c>
      <c r="F6" s="33">
        <v>1</v>
      </c>
      <c r="G6" s="34">
        <v>319</v>
      </c>
      <c r="H6" s="34">
        <f t="shared" ref="H6:H10" si="0">G6*F6</f>
        <v>319</v>
      </c>
      <c r="I6" s="35">
        <f>I5*25%</f>
        <v>1778.625</v>
      </c>
    </row>
    <row r="7" spans="1:9">
      <c r="A7" s="29">
        <v>46147</v>
      </c>
      <c r="B7" s="30">
        <v>1600343</v>
      </c>
      <c r="C7" s="31" t="s">
        <v>172</v>
      </c>
      <c r="D7" s="30">
        <v>20423976</v>
      </c>
      <c r="E7" s="32" t="s">
        <v>185</v>
      </c>
      <c r="F7" s="33">
        <v>1</v>
      </c>
      <c r="G7" s="34">
        <v>66</v>
      </c>
      <c r="H7" s="34">
        <f t="shared" si="0"/>
        <v>66</v>
      </c>
    </row>
    <row r="8" spans="1:9">
      <c r="A8" s="29">
        <v>46147</v>
      </c>
      <c r="B8" s="30">
        <v>1600343</v>
      </c>
      <c r="C8" s="31" t="s">
        <v>172</v>
      </c>
      <c r="D8" s="30">
        <v>20423978</v>
      </c>
      <c r="E8" s="32" t="s">
        <v>186</v>
      </c>
      <c r="F8" s="33">
        <v>1</v>
      </c>
      <c r="G8" s="34">
        <v>121</v>
      </c>
      <c r="H8" s="34">
        <f t="shared" si="0"/>
        <v>121</v>
      </c>
      <c r="I8">
        <f>H11*25%+H11</f>
        <v>1267.5</v>
      </c>
    </row>
    <row r="9" spans="1:9">
      <c r="A9" s="29">
        <v>46147</v>
      </c>
      <c r="B9" s="30">
        <v>1600343</v>
      </c>
      <c r="C9" s="31" t="s">
        <v>172</v>
      </c>
      <c r="D9" s="30">
        <v>20423979</v>
      </c>
      <c r="E9" s="32" t="s">
        <v>187</v>
      </c>
      <c r="F9" s="33">
        <v>1</v>
      </c>
      <c r="G9" s="34">
        <v>315.5</v>
      </c>
      <c r="H9" s="34">
        <f t="shared" si="0"/>
        <v>315.5</v>
      </c>
      <c r="I9">
        <f>H11+H21+H34+H50+H63+H73+H85+H95</f>
        <v>7114.5</v>
      </c>
    </row>
    <row r="10" spans="1:9">
      <c r="A10" s="29">
        <v>46147</v>
      </c>
      <c r="B10" s="30">
        <v>1600343</v>
      </c>
      <c r="C10" s="31" t="s">
        <v>172</v>
      </c>
      <c r="D10" s="30">
        <v>20423977</v>
      </c>
      <c r="E10" s="32" t="s">
        <v>188</v>
      </c>
      <c r="F10" s="33">
        <v>1</v>
      </c>
      <c r="G10" s="34">
        <v>192.5</v>
      </c>
      <c r="H10" s="34">
        <f t="shared" si="0"/>
        <v>192.5</v>
      </c>
      <c r="I10">
        <f>I9*1.25</f>
        <v>8893.125</v>
      </c>
    </row>
    <row r="11" customFormat="1" spans="1:9">
      <c r="A11" s="36" t="s">
        <v>170</v>
      </c>
      <c r="B11" s="36"/>
      <c r="C11" s="36"/>
      <c r="D11" s="36"/>
      <c r="E11" s="36"/>
      <c r="F11" s="36"/>
      <c r="G11" s="36"/>
      <c r="H11" s="37">
        <f>SUM(H2:H10)</f>
        <v>1014</v>
      </c>
      <c r="I11">
        <v>1200</v>
      </c>
    </row>
    <row r="14" customFormat="1" customHeight="1" spans="1:9">
      <c r="A14" s="20" t="s">
        <v>189</v>
      </c>
      <c r="B14" s="20"/>
      <c r="C14" s="20"/>
      <c r="D14" s="20"/>
      <c r="E14" s="20"/>
      <c r="F14" s="20"/>
      <c r="G14" s="20"/>
      <c r="H14" s="20"/>
    </row>
    <row r="15" customFormat="1" customHeight="1" spans="1:9">
      <c r="A15" s="20"/>
      <c r="B15" s="20"/>
      <c r="C15" s="20"/>
      <c r="D15" s="20"/>
      <c r="E15" s="20"/>
      <c r="F15" s="20"/>
      <c r="G15" s="20"/>
      <c r="H15" s="20"/>
    </row>
    <row r="16" customFormat="1" customHeight="1" spans="1:9">
      <c r="A16" s="20"/>
      <c r="B16" s="20"/>
      <c r="C16" s="20"/>
      <c r="D16" s="20"/>
      <c r="E16" s="20"/>
      <c r="F16" s="20"/>
      <c r="G16" s="20"/>
      <c r="H16" s="20"/>
    </row>
    <row r="17" customFormat="1" customHeight="1" spans="1:9">
      <c r="A17" s="21" t="s">
        <v>4</v>
      </c>
      <c r="B17" s="21" t="s">
        <v>5</v>
      </c>
      <c r="C17" s="21" t="s">
        <v>6</v>
      </c>
      <c r="D17" s="21" t="s">
        <v>7</v>
      </c>
      <c r="E17" s="21" t="s">
        <v>8</v>
      </c>
      <c r="F17" s="21" t="s">
        <v>9</v>
      </c>
      <c r="G17" s="21" t="s">
        <v>10</v>
      </c>
      <c r="H17" s="21" t="s">
        <v>11</v>
      </c>
    </row>
    <row r="18" spans="1:9">
      <c r="A18" s="29">
        <v>46150</v>
      </c>
      <c r="B18" s="30">
        <v>1601016</v>
      </c>
      <c r="C18" s="31" t="s">
        <v>172</v>
      </c>
      <c r="D18" s="30">
        <v>20424444</v>
      </c>
      <c r="E18" s="32" t="s">
        <v>190</v>
      </c>
      <c r="F18" s="33">
        <v>1</v>
      </c>
      <c r="G18" s="34">
        <v>392.5</v>
      </c>
      <c r="H18" s="34">
        <f t="shared" ref="H18:H20" si="1">G18*F18</f>
        <v>392.5</v>
      </c>
    </row>
    <row r="19" spans="1:9">
      <c r="A19" s="29">
        <v>46150</v>
      </c>
      <c r="B19" s="30">
        <v>1601016</v>
      </c>
      <c r="C19" s="31" t="s">
        <v>172</v>
      </c>
      <c r="D19" s="30">
        <v>20424445</v>
      </c>
      <c r="E19" s="32" t="s">
        <v>191</v>
      </c>
      <c r="F19" s="33">
        <v>1</v>
      </c>
      <c r="G19" s="34">
        <v>192.5</v>
      </c>
      <c r="H19" s="34">
        <f t="shared" si="1"/>
        <v>192.5</v>
      </c>
    </row>
    <row r="20" spans="1:9">
      <c r="A20" s="29">
        <v>46150</v>
      </c>
      <c r="B20" s="30">
        <v>1601016</v>
      </c>
      <c r="C20" s="31" t="s">
        <v>172</v>
      </c>
      <c r="D20" s="30">
        <v>20424446</v>
      </c>
      <c r="E20" s="32" t="s">
        <v>192</v>
      </c>
      <c r="F20" s="33">
        <v>1</v>
      </c>
      <c r="G20" s="34">
        <v>49.5</v>
      </c>
      <c r="H20" s="34">
        <f t="shared" si="1"/>
        <v>49.5</v>
      </c>
      <c r="I20" s="35">
        <f>H21*25%+H21</f>
        <v>793.125</v>
      </c>
    </row>
    <row r="21" customFormat="1" spans="1:9">
      <c r="A21" s="38" t="s">
        <v>170</v>
      </c>
      <c r="B21" s="38"/>
      <c r="C21" s="38"/>
      <c r="D21" s="38"/>
      <c r="E21" s="38"/>
      <c r="F21" s="38"/>
      <c r="G21" s="38"/>
      <c r="H21" s="37">
        <f>SUM(H14:H20)</f>
        <v>634.5</v>
      </c>
    </row>
    <row r="24" customFormat="1" customHeight="1" spans="1:9">
      <c r="A24" s="20" t="s">
        <v>193</v>
      </c>
      <c r="B24" s="20"/>
      <c r="C24" s="20"/>
      <c r="D24" s="20"/>
      <c r="E24" s="20"/>
      <c r="F24" s="20"/>
      <c r="G24" s="20"/>
      <c r="H24" s="20"/>
    </row>
    <row r="25" customFormat="1" customHeight="1" spans="1:9">
      <c r="A25" s="20"/>
      <c r="B25" s="20"/>
      <c r="C25" s="20"/>
      <c r="D25" s="20"/>
      <c r="E25" s="20"/>
      <c r="F25" s="20"/>
      <c r="G25" s="20"/>
      <c r="H25" s="20"/>
    </row>
    <row r="26" customFormat="1" customHeight="1" spans="1:9">
      <c r="A26" s="20"/>
      <c r="B26" s="20"/>
      <c r="C26" s="20"/>
      <c r="D26" s="20"/>
      <c r="E26" s="20"/>
      <c r="F26" s="20"/>
      <c r="G26" s="20"/>
      <c r="H26" s="20"/>
    </row>
    <row r="27" customFormat="1" customHeight="1" spans="1:9">
      <c r="A27" s="21" t="s">
        <v>4</v>
      </c>
      <c r="B27" s="21" t="s">
        <v>5</v>
      </c>
      <c r="C27" s="21" t="s">
        <v>6</v>
      </c>
      <c r="D27" s="21" t="s">
        <v>7</v>
      </c>
      <c r="E27" s="21" t="s">
        <v>8</v>
      </c>
      <c r="F27" s="21" t="s">
        <v>9</v>
      </c>
      <c r="G27" s="21" t="s">
        <v>10</v>
      </c>
      <c r="H27" s="21" t="s">
        <v>11</v>
      </c>
    </row>
    <row r="28" spans="1:9">
      <c r="A28" s="29">
        <v>46155</v>
      </c>
      <c r="B28" s="30">
        <v>1602735</v>
      </c>
      <c r="C28" s="31" t="s">
        <v>172</v>
      </c>
      <c r="D28" s="30">
        <v>20425358</v>
      </c>
      <c r="E28" s="32" t="s">
        <v>194</v>
      </c>
      <c r="F28" s="33">
        <v>1</v>
      </c>
      <c r="G28" s="34">
        <v>253</v>
      </c>
      <c r="H28" s="34">
        <f t="shared" ref="H28:H33" si="2">G28*F28</f>
        <v>253</v>
      </c>
    </row>
    <row r="29" spans="1:9">
      <c r="A29" s="29">
        <v>46155</v>
      </c>
      <c r="B29" s="30">
        <v>1602735</v>
      </c>
      <c r="C29" s="31" t="s">
        <v>172</v>
      </c>
      <c r="D29" s="30">
        <v>20425359</v>
      </c>
      <c r="E29" s="32" t="s">
        <v>195</v>
      </c>
      <c r="F29" s="33">
        <v>1</v>
      </c>
      <c r="G29" s="34">
        <v>165</v>
      </c>
      <c r="H29" s="34">
        <f t="shared" si="2"/>
        <v>165</v>
      </c>
    </row>
    <row r="30" spans="1:9">
      <c r="A30" s="29">
        <v>46155</v>
      </c>
      <c r="B30" s="30">
        <v>1602735</v>
      </c>
      <c r="C30" s="31" t="s">
        <v>172</v>
      </c>
      <c r="D30" s="30">
        <v>20425360</v>
      </c>
      <c r="E30" s="32" t="s">
        <v>196</v>
      </c>
      <c r="F30" s="33">
        <v>1</v>
      </c>
      <c r="G30" s="34">
        <v>66</v>
      </c>
      <c r="H30" s="34">
        <f t="shared" si="2"/>
        <v>66</v>
      </c>
      <c r="I30" s="35">
        <f>H34*25%+H34</f>
        <v>1384.375</v>
      </c>
    </row>
    <row r="31" spans="1:9">
      <c r="A31" s="29">
        <v>46155</v>
      </c>
      <c r="B31" s="30">
        <v>1602735</v>
      </c>
      <c r="C31" s="31" t="s">
        <v>172</v>
      </c>
      <c r="D31" s="30">
        <v>20425365</v>
      </c>
      <c r="E31" s="32" t="s">
        <v>197</v>
      </c>
      <c r="F31" s="33">
        <v>1</v>
      </c>
      <c r="G31" s="34">
        <v>49.5</v>
      </c>
      <c r="H31" s="34">
        <f t="shared" si="2"/>
        <v>49.5</v>
      </c>
    </row>
    <row r="32" spans="1:9">
      <c r="A32" s="29">
        <v>46155</v>
      </c>
      <c r="B32" s="30">
        <v>1602735</v>
      </c>
      <c r="C32" s="31" t="s">
        <v>172</v>
      </c>
      <c r="D32" s="30">
        <v>20425366</v>
      </c>
      <c r="E32" s="32" t="s">
        <v>198</v>
      </c>
      <c r="F32" s="33">
        <v>1</v>
      </c>
      <c r="G32" s="34">
        <v>170.5</v>
      </c>
      <c r="H32" s="34">
        <f t="shared" si="2"/>
        <v>170.5</v>
      </c>
    </row>
    <row r="33" spans="1:9">
      <c r="A33" s="29">
        <v>46155</v>
      </c>
      <c r="B33" s="30">
        <v>1602735</v>
      </c>
      <c r="C33" s="31" t="s">
        <v>172</v>
      </c>
      <c r="D33" s="30">
        <v>20425353</v>
      </c>
      <c r="E33" s="32" t="s">
        <v>199</v>
      </c>
      <c r="F33" s="33">
        <v>1</v>
      </c>
      <c r="G33" s="34">
        <v>403.5</v>
      </c>
      <c r="H33" s="34">
        <f t="shared" si="2"/>
        <v>403.5</v>
      </c>
    </row>
    <row r="34" customFormat="1" spans="1:9">
      <c r="A34" s="38" t="s">
        <v>170</v>
      </c>
      <c r="B34" s="38"/>
      <c r="C34" s="38"/>
      <c r="D34" s="38"/>
      <c r="E34" s="38"/>
      <c r="F34" s="38"/>
      <c r="G34" s="38"/>
      <c r="H34" s="37">
        <f>SUM(H24:H33)</f>
        <v>1107.5</v>
      </c>
    </row>
    <row r="37" customFormat="1" customHeight="1" spans="1:9">
      <c r="A37" s="20" t="s">
        <v>200</v>
      </c>
      <c r="B37" s="20"/>
      <c r="C37" s="20"/>
      <c r="D37" s="20"/>
      <c r="E37" s="20"/>
      <c r="F37" s="20"/>
      <c r="G37" s="20"/>
      <c r="H37" s="20"/>
    </row>
    <row r="38" customFormat="1" customHeight="1" spans="1:9">
      <c r="A38" s="20"/>
      <c r="B38" s="20"/>
      <c r="C38" s="20"/>
      <c r="D38" s="20"/>
      <c r="E38" s="20"/>
      <c r="F38" s="20"/>
      <c r="G38" s="20"/>
      <c r="H38" s="20"/>
    </row>
    <row r="39" customFormat="1" customHeight="1" spans="1:9">
      <c r="A39" s="20"/>
      <c r="B39" s="20"/>
      <c r="C39" s="20"/>
      <c r="D39" s="20"/>
      <c r="E39" s="20"/>
      <c r="F39" s="20"/>
      <c r="G39" s="20"/>
      <c r="H39" s="20"/>
    </row>
    <row r="40" customFormat="1" customHeight="1" spans="1:9">
      <c r="A40" s="21" t="s">
        <v>4</v>
      </c>
      <c r="B40" s="21" t="s">
        <v>5</v>
      </c>
      <c r="C40" s="21" t="s">
        <v>6</v>
      </c>
      <c r="D40" s="21" t="s">
        <v>7</v>
      </c>
      <c r="E40" s="21" t="s">
        <v>8</v>
      </c>
      <c r="F40" s="21" t="s">
        <v>9</v>
      </c>
      <c r="G40" s="21" t="s">
        <v>10</v>
      </c>
      <c r="H40" s="21" t="s">
        <v>11</v>
      </c>
    </row>
    <row r="41" ht="25.5" spans="1:9">
      <c r="A41" s="39">
        <v>46157</v>
      </c>
      <c r="B41" s="40">
        <v>1603338</v>
      </c>
      <c r="C41" s="41" t="s">
        <v>172</v>
      </c>
      <c r="D41" s="40">
        <v>20425650</v>
      </c>
      <c r="E41" s="42" t="s">
        <v>201</v>
      </c>
      <c r="F41" s="43">
        <v>1</v>
      </c>
      <c r="G41" s="44">
        <v>170.5</v>
      </c>
      <c r="H41" s="44">
        <f t="shared" ref="H41:H49" si="3">G41*F41</f>
        <v>170.5</v>
      </c>
    </row>
    <row r="42" ht="25.5" spans="1:9">
      <c r="A42" s="39">
        <v>46157</v>
      </c>
      <c r="B42" s="40">
        <v>1603338</v>
      </c>
      <c r="C42" s="41" t="s">
        <v>172</v>
      </c>
      <c r="D42" s="40">
        <v>20425651</v>
      </c>
      <c r="E42" s="42" t="s">
        <v>202</v>
      </c>
      <c r="F42" s="43">
        <v>1</v>
      </c>
      <c r="G42" s="44">
        <v>330</v>
      </c>
      <c r="H42" s="44">
        <f t="shared" si="3"/>
        <v>330</v>
      </c>
      <c r="I42" s="35">
        <f>H50*25%+H50</f>
        <v>1838.125</v>
      </c>
    </row>
    <row r="43" ht="25.5" spans="1:9">
      <c r="A43" s="39">
        <v>46157</v>
      </c>
      <c r="B43" s="40">
        <v>1603338</v>
      </c>
      <c r="C43" s="41" t="s">
        <v>172</v>
      </c>
      <c r="D43" s="40">
        <v>20425652</v>
      </c>
      <c r="E43" s="42" t="s">
        <v>203</v>
      </c>
      <c r="F43" s="43">
        <v>1</v>
      </c>
      <c r="G43" s="44">
        <v>115.5</v>
      </c>
      <c r="H43" s="44">
        <f t="shared" si="3"/>
        <v>115.5</v>
      </c>
    </row>
    <row r="44" ht="25.5" spans="1:9">
      <c r="A44" s="39">
        <v>46157</v>
      </c>
      <c r="B44" s="40">
        <v>1603338</v>
      </c>
      <c r="C44" s="41" t="s">
        <v>172</v>
      </c>
      <c r="D44" s="40">
        <v>20425653</v>
      </c>
      <c r="E44" s="42" t="s">
        <v>204</v>
      </c>
      <c r="F44" s="43">
        <v>1</v>
      </c>
      <c r="G44" s="44">
        <v>159.5</v>
      </c>
      <c r="H44" s="44">
        <f t="shared" si="3"/>
        <v>159.5</v>
      </c>
    </row>
    <row r="45" ht="25.5" spans="1:9">
      <c r="A45" s="39">
        <v>46157</v>
      </c>
      <c r="B45" s="40">
        <v>1603338</v>
      </c>
      <c r="C45" s="41" t="s">
        <v>172</v>
      </c>
      <c r="D45" s="40">
        <v>20425654</v>
      </c>
      <c r="E45" s="42" t="s">
        <v>205</v>
      </c>
      <c r="F45" s="43">
        <v>1</v>
      </c>
      <c r="G45" s="44">
        <v>11</v>
      </c>
      <c r="H45" s="44">
        <f t="shared" si="3"/>
        <v>11</v>
      </c>
    </row>
    <row r="46" ht="25.5" spans="1:9">
      <c r="A46" s="39">
        <v>46157</v>
      </c>
      <c r="B46" s="40">
        <v>1603338</v>
      </c>
      <c r="C46" s="41" t="s">
        <v>172</v>
      </c>
      <c r="D46" s="40">
        <v>20425655</v>
      </c>
      <c r="E46" s="42" t="s">
        <v>206</v>
      </c>
      <c r="F46" s="43">
        <v>1</v>
      </c>
      <c r="G46" s="44">
        <v>16.5</v>
      </c>
      <c r="H46" s="44">
        <f t="shared" si="3"/>
        <v>16.5</v>
      </c>
    </row>
    <row r="47" ht="25.5" spans="1:9">
      <c r="A47" s="39">
        <v>46157</v>
      </c>
      <c r="B47" s="40">
        <v>1603338</v>
      </c>
      <c r="C47" s="41" t="s">
        <v>172</v>
      </c>
      <c r="D47" s="40">
        <v>20425642</v>
      </c>
      <c r="E47" s="42" t="s">
        <v>207</v>
      </c>
      <c r="F47" s="43">
        <v>1</v>
      </c>
      <c r="G47" s="44">
        <v>425.5</v>
      </c>
      <c r="H47" s="44">
        <f t="shared" si="3"/>
        <v>425.5</v>
      </c>
    </row>
    <row r="48" ht="25.5" spans="1:9">
      <c r="A48" s="39">
        <v>46157</v>
      </c>
      <c r="B48" s="40">
        <v>1603338</v>
      </c>
      <c r="C48" s="41" t="s">
        <v>172</v>
      </c>
      <c r="D48" s="40">
        <v>20425645</v>
      </c>
      <c r="E48" s="42" t="s">
        <v>208</v>
      </c>
      <c r="F48" s="43">
        <v>1</v>
      </c>
      <c r="G48" s="44">
        <v>44</v>
      </c>
      <c r="H48" s="44">
        <f t="shared" si="3"/>
        <v>44</v>
      </c>
    </row>
    <row r="49" ht="25.5" spans="1:9">
      <c r="A49" s="39">
        <v>46157</v>
      </c>
      <c r="B49" s="40">
        <v>1603338</v>
      </c>
      <c r="C49" s="41" t="s">
        <v>172</v>
      </c>
      <c r="D49" s="40">
        <v>20425644</v>
      </c>
      <c r="E49" s="42" t="s">
        <v>209</v>
      </c>
      <c r="F49" s="43">
        <v>1</v>
      </c>
      <c r="G49" s="44">
        <v>198</v>
      </c>
      <c r="H49" s="44">
        <f t="shared" si="3"/>
        <v>198</v>
      </c>
    </row>
    <row r="50" customFormat="1" spans="1:9">
      <c r="A50" s="38" t="s">
        <v>170</v>
      </c>
      <c r="B50" s="38"/>
      <c r="C50" s="38"/>
      <c r="D50" s="38"/>
      <c r="E50" s="38"/>
      <c r="F50" s="38"/>
      <c r="G50" s="38"/>
      <c r="H50" s="37">
        <f>SUM(H37:H49)</f>
        <v>1470.5</v>
      </c>
    </row>
    <row r="53" customFormat="1" customHeight="1" spans="1:9">
      <c r="A53" s="20" t="s">
        <v>210</v>
      </c>
      <c r="B53" s="20"/>
      <c r="C53" s="20"/>
      <c r="D53" s="20"/>
      <c r="E53" s="20"/>
      <c r="F53" s="20"/>
      <c r="G53" s="20"/>
      <c r="H53" s="20"/>
    </row>
    <row r="54" customFormat="1" customHeight="1" spans="1:9">
      <c r="A54" s="20"/>
      <c r="B54" s="20"/>
      <c r="C54" s="20"/>
      <c r="D54" s="20"/>
      <c r="E54" s="20"/>
      <c r="F54" s="20"/>
      <c r="G54" s="20"/>
      <c r="H54" s="20"/>
    </row>
    <row r="55" customFormat="1" customHeight="1" spans="1:9">
      <c r="A55" s="20"/>
      <c r="B55" s="20"/>
      <c r="C55" s="20"/>
      <c r="D55" s="20"/>
      <c r="E55" s="20"/>
      <c r="F55" s="20"/>
      <c r="G55" s="20"/>
      <c r="H55" s="20"/>
    </row>
    <row r="56" customFormat="1" customHeight="1" spans="1:9">
      <c r="A56" s="21" t="s">
        <v>4</v>
      </c>
      <c r="B56" s="21" t="s">
        <v>5</v>
      </c>
      <c r="C56" s="21" t="s">
        <v>6</v>
      </c>
      <c r="D56" s="21" t="s">
        <v>7</v>
      </c>
      <c r="E56" s="21" t="s">
        <v>8</v>
      </c>
      <c r="F56" s="21" t="s">
        <v>9</v>
      </c>
      <c r="G56" s="21" t="s">
        <v>10</v>
      </c>
      <c r="H56" s="21" t="s">
        <v>11</v>
      </c>
      <c r="I56">
        <f>H63*25%+H63</f>
        <v>921.25</v>
      </c>
    </row>
    <row r="57" spans="1:9">
      <c r="A57" s="29">
        <v>46159</v>
      </c>
      <c r="B57" s="30">
        <v>1603874</v>
      </c>
      <c r="C57" s="30" t="s">
        <v>172</v>
      </c>
      <c r="D57" s="30">
        <v>20425860</v>
      </c>
      <c r="E57" s="32" t="s">
        <v>211</v>
      </c>
      <c r="F57" s="33">
        <v>1</v>
      </c>
      <c r="G57" s="34">
        <v>154</v>
      </c>
      <c r="H57" s="34">
        <f t="shared" ref="H57:H62" si="4">G57*F57</f>
        <v>154</v>
      </c>
    </row>
    <row r="58" spans="1:9">
      <c r="A58" s="29">
        <v>46159</v>
      </c>
      <c r="B58" s="30">
        <v>1603874</v>
      </c>
      <c r="C58" s="30" t="s">
        <v>172</v>
      </c>
      <c r="D58" s="30">
        <v>20425861</v>
      </c>
      <c r="E58" s="32" t="s">
        <v>212</v>
      </c>
      <c r="F58" s="33">
        <v>1</v>
      </c>
      <c r="G58" s="34">
        <v>88</v>
      </c>
      <c r="H58" s="34">
        <f t="shared" si="4"/>
        <v>88</v>
      </c>
    </row>
    <row r="59" spans="1:9">
      <c r="A59" s="29">
        <v>46159</v>
      </c>
      <c r="B59" s="30">
        <v>1603874</v>
      </c>
      <c r="C59" s="30" t="s">
        <v>172</v>
      </c>
      <c r="D59" s="30">
        <v>20425862</v>
      </c>
      <c r="E59" s="32" t="s">
        <v>213</v>
      </c>
      <c r="F59" s="33">
        <v>1</v>
      </c>
      <c r="G59" s="34">
        <v>104.5</v>
      </c>
      <c r="H59" s="34">
        <f t="shared" si="4"/>
        <v>104.5</v>
      </c>
    </row>
    <row r="60" spans="1:9">
      <c r="A60" s="29">
        <v>46159</v>
      </c>
      <c r="B60" s="30">
        <v>1603874</v>
      </c>
      <c r="C60" s="30" t="s">
        <v>172</v>
      </c>
      <c r="D60" s="30">
        <v>20425863</v>
      </c>
      <c r="E60" s="32" t="s">
        <v>214</v>
      </c>
      <c r="F60" s="33">
        <v>1</v>
      </c>
      <c r="G60" s="34">
        <v>82.5</v>
      </c>
      <c r="H60" s="34">
        <f t="shared" si="4"/>
        <v>82.5</v>
      </c>
    </row>
    <row r="61" spans="1:9">
      <c r="A61" s="29">
        <v>46159</v>
      </c>
      <c r="B61" s="30">
        <v>1603874</v>
      </c>
      <c r="C61" s="30" t="s">
        <v>172</v>
      </c>
      <c r="D61" s="30">
        <v>20425864</v>
      </c>
      <c r="E61" s="32" t="s">
        <v>215</v>
      </c>
      <c r="F61" s="33">
        <v>1</v>
      </c>
      <c r="G61" s="34">
        <v>187</v>
      </c>
      <c r="H61" s="34">
        <f t="shared" si="4"/>
        <v>187</v>
      </c>
    </row>
    <row r="62" spans="1:9">
      <c r="A62" s="29">
        <v>46159</v>
      </c>
      <c r="B62" s="30">
        <v>1603874</v>
      </c>
      <c r="C62" s="30" t="s">
        <v>172</v>
      </c>
      <c r="D62" s="30">
        <v>20425865</v>
      </c>
      <c r="E62" s="32" t="s">
        <v>216</v>
      </c>
      <c r="F62" s="33">
        <v>1</v>
      </c>
      <c r="G62" s="34">
        <v>121</v>
      </c>
      <c r="H62" s="34">
        <f t="shared" si="4"/>
        <v>121</v>
      </c>
    </row>
    <row r="63" customFormat="1" spans="1:9">
      <c r="A63" s="38" t="s">
        <v>170</v>
      </c>
      <c r="B63" s="38"/>
      <c r="C63" s="38"/>
      <c r="D63" s="38"/>
      <c r="E63" s="38"/>
      <c r="F63" s="38"/>
      <c r="G63" s="38"/>
      <c r="H63" s="37">
        <f>SUM(H53:H62)</f>
        <v>737</v>
      </c>
    </row>
    <row r="66" customFormat="1" customHeight="1" spans="1:9">
      <c r="A66" s="20" t="s">
        <v>217</v>
      </c>
      <c r="B66" s="20"/>
      <c r="C66" s="20"/>
      <c r="D66" s="20"/>
      <c r="E66" s="20"/>
      <c r="F66" s="20"/>
      <c r="G66" s="20"/>
      <c r="H66" s="20"/>
    </row>
    <row r="67" customFormat="1" customHeight="1" spans="1:9">
      <c r="A67" s="20"/>
      <c r="B67" s="20"/>
      <c r="C67" s="20"/>
      <c r="D67" s="20"/>
      <c r="E67" s="20"/>
      <c r="F67" s="20"/>
      <c r="G67" s="20"/>
      <c r="H67" s="20"/>
    </row>
    <row r="68" customFormat="1" customHeight="1" spans="1:9">
      <c r="A68" s="20"/>
      <c r="B68" s="20"/>
      <c r="C68" s="20"/>
      <c r="D68" s="20"/>
      <c r="E68" s="20"/>
      <c r="F68" s="20"/>
      <c r="G68" s="20"/>
      <c r="H68" s="20"/>
    </row>
    <row r="69" customFormat="1" customHeight="1" spans="1:9">
      <c r="A69" s="21" t="s">
        <v>4</v>
      </c>
      <c r="B69" s="21" t="s">
        <v>5</v>
      </c>
      <c r="C69" s="21" t="s">
        <v>6</v>
      </c>
      <c r="D69" s="21" t="s">
        <v>7</v>
      </c>
      <c r="E69" s="21" t="s">
        <v>8</v>
      </c>
      <c r="F69" s="21" t="s">
        <v>9</v>
      </c>
      <c r="G69" s="21" t="s">
        <v>10</v>
      </c>
      <c r="H69" s="21" t="s">
        <v>11</v>
      </c>
    </row>
    <row r="70" spans="1:9">
      <c r="A70" s="29">
        <v>46164</v>
      </c>
      <c r="B70" s="30">
        <v>1605773</v>
      </c>
      <c r="C70" s="31" t="s">
        <v>172</v>
      </c>
      <c r="D70" s="30">
        <v>20426754</v>
      </c>
      <c r="E70" s="32" t="s">
        <v>218</v>
      </c>
      <c r="F70" s="33">
        <v>1</v>
      </c>
      <c r="G70" s="34">
        <v>447.5</v>
      </c>
      <c r="H70" s="34">
        <f t="shared" ref="H70:H72" si="5">G70*F70</f>
        <v>447.5</v>
      </c>
    </row>
    <row r="71" spans="1:9">
      <c r="A71" s="29">
        <v>46164</v>
      </c>
      <c r="B71" s="30">
        <v>1605773</v>
      </c>
      <c r="C71" s="31" t="s">
        <v>172</v>
      </c>
      <c r="D71" s="30">
        <v>20426755</v>
      </c>
      <c r="E71" s="32" t="s">
        <v>219</v>
      </c>
      <c r="F71" s="33">
        <v>1</v>
      </c>
      <c r="G71" s="34">
        <v>126.5</v>
      </c>
      <c r="H71" s="34">
        <f t="shared" si="5"/>
        <v>126.5</v>
      </c>
      <c r="I71" s="35">
        <f>H73*25%+H73</f>
        <v>779.375</v>
      </c>
    </row>
    <row r="72" spans="1:9">
      <c r="A72" s="29">
        <v>46164</v>
      </c>
      <c r="B72" s="30">
        <v>1605773</v>
      </c>
      <c r="C72" s="31" t="s">
        <v>172</v>
      </c>
      <c r="D72" s="30">
        <v>20426756</v>
      </c>
      <c r="E72" s="32" t="s">
        <v>220</v>
      </c>
      <c r="F72" s="33">
        <v>1</v>
      </c>
      <c r="G72" s="34">
        <v>49.5</v>
      </c>
      <c r="H72" s="34">
        <f t="shared" si="5"/>
        <v>49.5</v>
      </c>
    </row>
    <row r="73" customFormat="1" spans="1:9">
      <c r="A73" s="38" t="s">
        <v>170</v>
      </c>
      <c r="B73" s="38"/>
      <c r="C73" s="38"/>
      <c r="D73" s="38"/>
      <c r="E73" s="38"/>
      <c r="F73" s="38"/>
      <c r="G73" s="38"/>
      <c r="H73" s="37">
        <f>SUM(H66:H72)</f>
        <v>623.5</v>
      </c>
    </row>
    <row r="76" customFormat="1" customHeight="1" spans="1:9">
      <c r="A76" s="20" t="s">
        <v>221</v>
      </c>
      <c r="B76" s="20"/>
      <c r="C76" s="20"/>
      <c r="D76" s="20"/>
      <c r="E76" s="20"/>
      <c r="F76" s="20"/>
      <c r="G76" s="20"/>
      <c r="H76" s="20"/>
    </row>
    <row r="77" customFormat="1" customHeight="1" spans="1:9">
      <c r="A77" s="20"/>
      <c r="B77" s="20"/>
      <c r="C77" s="20"/>
      <c r="D77" s="20"/>
      <c r="E77" s="20"/>
      <c r="F77" s="20"/>
      <c r="G77" s="20"/>
      <c r="H77" s="20"/>
    </row>
    <row r="78" customFormat="1" customHeight="1" spans="1:9">
      <c r="A78" s="20"/>
      <c r="B78" s="20"/>
      <c r="C78" s="20"/>
      <c r="D78" s="20"/>
      <c r="E78" s="20"/>
      <c r="F78" s="20"/>
      <c r="G78" s="20"/>
      <c r="H78" s="20"/>
    </row>
    <row r="79" customFormat="1" customHeight="1" spans="1:9">
      <c r="A79" s="21" t="s">
        <v>4</v>
      </c>
      <c r="B79" s="21" t="s">
        <v>5</v>
      </c>
      <c r="C79" s="21" t="s">
        <v>6</v>
      </c>
      <c r="D79" s="21" t="s">
        <v>7</v>
      </c>
      <c r="E79" s="21" t="s">
        <v>8</v>
      </c>
      <c r="F79" s="21" t="s">
        <v>9</v>
      </c>
      <c r="G79" s="21" t="s">
        <v>10</v>
      </c>
      <c r="H79" s="21" t="s">
        <v>11</v>
      </c>
    </row>
    <row r="80" spans="1:9">
      <c r="A80" s="29">
        <v>46168</v>
      </c>
      <c r="B80" s="30">
        <v>1606722</v>
      </c>
      <c r="C80" s="31" t="s">
        <v>172</v>
      </c>
      <c r="D80" s="30">
        <v>20427213</v>
      </c>
      <c r="E80" s="32" t="s">
        <v>222</v>
      </c>
      <c r="F80" s="33">
        <v>1</v>
      </c>
      <c r="G80" s="34">
        <v>49.5</v>
      </c>
      <c r="H80" s="34">
        <f t="shared" ref="H80:H84" si="6">G80*F80</f>
        <v>49.5</v>
      </c>
    </row>
    <row r="81" spans="1:9">
      <c r="A81" s="29">
        <v>46168</v>
      </c>
      <c r="B81" s="30">
        <v>1606722</v>
      </c>
      <c r="C81" s="31" t="s">
        <v>172</v>
      </c>
      <c r="D81" s="30">
        <v>20427214</v>
      </c>
      <c r="E81" s="32" t="s">
        <v>223</v>
      </c>
      <c r="F81" s="33">
        <v>1</v>
      </c>
      <c r="G81" s="34">
        <v>110</v>
      </c>
      <c r="H81" s="34">
        <f t="shared" si="6"/>
        <v>110</v>
      </c>
      <c r="I81">
        <f>H85*25%+H85</f>
        <v>1116.25</v>
      </c>
    </row>
    <row r="82" spans="1:9">
      <c r="A82" s="29">
        <v>46168</v>
      </c>
      <c r="B82" s="30">
        <v>1606722</v>
      </c>
      <c r="C82" s="31" t="s">
        <v>172</v>
      </c>
      <c r="D82" s="30">
        <v>20427215</v>
      </c>
      <c r="E82" s="32" t="s">
        <v>224</v>
      </c>
      <c r="F82" s="33">
        <v>1</v>
      </c>
      <c r="G82" s="34">
        <v>132</v>
      </c>
      <c r="H82" s="34">
        <f t="shared" si="6"/>
        <v>132</v>
      </c>
    </row>
    <row r="83" spans="1:9">
      <c r="A83" s="29">
        <v>46168</v>
      </c>
      <c r="B83" s="30">
        <v>1606722</v>
      </c>
      <c r="C83" s="31" t="s">
        <v>172</v>
      </c>
      <c r="D83" s="30">
        <v>20427216</v>
      </c>
      <c r="E83" s="32" t="s">
        <v>225</v>
      </c>
      <c r="F83" s="33">
        <v>1</v>
      </c>
      <c r="G83" s="34">
        <v>198</v>
      </c>
      <c r="H83" s="34">
        <f t="shared" si="6"/>
        <v>198</v>
      </c>
    </row>
    <row r="84" spans="1:9">
      <c r="A84" s="29">
        <v>46168</v>
      </c>
      <c r="B84" s="30">
        <v>1606722</v>
      </c>
      <c r="C84" s="31" t="s">
        <v>172</v>
      </c>
      <c r="D84" s="30">
        <v>20427217</v>
      </c>
      <c r="E84" s="32" t="s">
        <v>226</v>
      </c>
      <c r="F84" s="33">
        <v>1</v>
      </c>
      <c r="G84" s="34">
        <v>403.5</v>
      </c>
      <c r="H84" s="34">
        <f t="shared" si="6"/>
        <v>403.5</v>
      </c>
    </row>
    <row r="85" customFormat="1" spans="1:9">
      <c r="A85" s="38" t="s">
        <v>170</v>
      </c>
      <c r="B85" s="38"/>
      <c r="C85" s="38"/>
      <c r="D85" s="38"/>
      <c r="E85" s="38"/>
      <c r="F85" s="38"/>
      <c r="G85" s="38"/>
      <c r="H85" s="37">
        <f>SUM(H76:H84)</f>
        <v>893</v>
      </c>
    </row>
    <row r="88" customFormat="1" customHeight="1" spans="1:9">
      <c r="A88" s="20" t="s">
        <v>227</v>
      </c>
      <c r="B88" s="20"/>
      <c r="C88" s="20"/>
      <c r="D88" s="20"/>
      <c r="E88" s="20"/>
      <c r="F88" s="20"/>
      <c r="G88" s="20"/>
      <c r="H88" s="20"/>
    </row>
    <row r="89" customFormat="1" customHeight="1" spans="1:9">
      <c r="A89" s="20"/>
      <c r="B89" s="20"/>
      <c r="C89" s="20"/>
      <c r="D89" s="20"/>
      <c r="E89" s="20"/>
      <c r="F89" s="20"/>
      <c r="G89" s="20"/>
      <c r="H89" s="20"/>
    </row>
    <row r="90" customFormat="1" customHeight="1" spans="1:9">
      <c r="A90" s="20"/>
      <c r="B90" s="20"/>
      <c r="C90" s="20"/>
      <c r="D90" s="20"/>
      <c r="E90" s="20"/>
      <c r="F90" s="20"/>
      <c r="G90" s="20"/>
      <c r="H90" s="20"/>
    </row>
    <row r="91" customFormat="1" customHeight="1" spans="1:9">
      <c r="A91" s="21" t="s">
        <v>4</v>
      </c>
      <c r="B91" s="21" t="s">
        <v>5</v>
      </c>
      <c r="C91" s="21" t="s">
        <v>6</v>
      </c>
      <c r="D91" s="21" t="s">
        <v>7</v>
      </c>
      <c r="E91" s="21" t="s">
        <v>8</v>
      </c>
      <c r="F91" s="21" t="s">
        <v>9</v>
      </c>
      <c r="G91" s="21" t="s">
        <v>10</v>
      </c>
      <c r="H91" s="21" t="s">
        <v>11</v>
      </c>
    </row>
    <row r="92" spans="1:9">
      <c r="A92" s="29">
        <v>46170</v>
      </c>
      <c r="B92" s="30">
        <v>1607451</v>
      </c>
      <c r="C92" s="31" t="s">
        <v>172</v>
      </c>
      <c r="D92" s="30">
        <v>20427534</v>
      </c>
      <c r="E92" s="32" t="s">
        <v>228</v>
      </c>
      <c r="F92" s="33">
        <v>1</v>
      </c>
      <c r="G92" s="34">
        <v>82.5</v>
      </c>
      <c r="H92" s="34">
        <f t="shared" ref="H92:H94" si="7">G92*F92</f>
        <v>82.5</v>
      </c>
    </row>
    <row r="93" spans="1:9">
      <c r="A93" s="29">
        <v>46170</v>
      </c>
      <c r="B93" s="30">
        <v>1607451</v>
      </c>
      <c r="C93" s="31" t="s">
        <v>172</v>
      </c>
      <c r="D93" s="30">
        <v>20427535</v>
      </c>
      <c r="E93" s="32" t="s">
        <v>229</v>
      </c>
      <c r="F93" s="33">
        <v>1</v>
      </c>
      <c r="G93" s="34">
        <v>535.5</v>
      </c>
      <c r="H93" s="34">
        <f t="shared" si="7"/>
        <v>535.5</v>
      </c>
    </row>
    <row r="94" spans="1:9">
      <c r="A94" s="29">
        <v>46170</v>
      </c>
      <c r="B94" s="30">
        <v>1607451</v>
      </c>
      <c r="C94" s="31" t="s">
        <v>172</v>
      </c>
      <c r="D94" s="30">
        <v>20427536</v>
      </c>
      <c r="E94" s="32" t="s">
        <v>230</v>
      </c>
      <c r="F94" s="33">
        <v>1</v>
      </c>
      <c r="G94" s="34">
        <v>16.5</v>
      </c>
      <c r="H94" s="34">
        <f t="shared" si="7"/>
        <v>16.5</v>
      </c>
      <c r="I94" s="35">
        <f>H95*25%+H95</f>
        <v>793.125</v>
      </c>
    </row>
    <row r="95" customFormat="1" spans="1:9">
      <c r="A95" s="38" t="s">
        <v>170</v>
      </c>
      <c r="B95" s="38"/>
      <c r="C95" s="38"/>
      <c r="D95" s="38"/>
      <c r="E95" s="38"/>
      <c r="F95" s="38"/>
      <c r="G95" s="38"/>
      <c r="H95" s="37">
        <f>SUM(H88:H94)</f>
        <v>634.5</v>
      </c>
    </row>
  </sheetData>
  <mergeCells count="17">
    <mergeCell ref="A1:H1"/>
    <mergeCell ref="A11:G11"/>
    <mergeCell ref="A21:G21"/>
    <mergeCell ref="A34:G34"/>
    <mergeCell ref="A50:G50"/>
    <mergeCell ref="A63:G63"/>
    <mergeCell ref="A73:G73"/>
    <mergeCell ref="A85:G85"/>
    <mergeCell ref="A95:G95"/>
    <mergeCell ref="A2:H4"/>
    <mergeCell ref="A14:H16"/>
    <mergeCell ref="A24:H26"/>
    <mergeCell ref="A37:H39"/>
    <mergeCell ref="A53:H55"/>
    <mergeCell ref="A66:H68"/>
    <mergeCell ref="A76:H78"/>
    <mergeCell ref="A88:H90"/>
  </mergeCells>
  <pageMargins left="0.25" right="0.25" top="0.75" bottom="0.75" header="0.298611111111111" footer="0.298611111111111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view="pageBreakPreview" zoomScaleNormal="100" workbookViewId="0">
      <selection activeCell="I34" sqref="I34"/>
    </sheetView>
  </sheetViews>
  <sheetFormatPr defaultColWidth="9" defaultRowHeight="13.5" outlineLevelRow="6" outlineLevelCol="7"/>
  <cols>
    <col min="3" max="3" width="11.875" customWidth="1"/>
    <col min="5" max="5" width="22.125" customWidth="1"/>
    <col min="7" max="7" width="13.75" customWidth="1"/>
    <col min="8" max="8" width="14.25" customWidth="1"/>
    <col min="11" max="11" width="9.375"/>
  </cols>
  <sheetData>
    <row r="1" customFormat="1" ht="40" customHeight="1" spans="1:8">
      <c r="A1" s="19" t="s">
        <v>231</v>
      </c>
      <c r="B1" s="19"/>
      <c r="C1" s="19"/>
      <c r="D1" s="19"/>
      <c r="E1" s="19"/>
      <c r="F1" s="19"/>
      <c r="G1" s="19"/>
      <c r="H1" s="19"/>
    </row>
    <row r="2" customFormat="1" spans="1:8">
      <c r="A2" s="20" t="s">
        <v>232</v>
      </c>
      <c r="B2" s="20"/>
      <c r="C2" s="20"/>
      <c r="D2" s="20"/>
      <c r="E2" s="20"/>
      <c r="F2" s="20"/>
      <c r="G2" s="20"/>
      <c r="H2" s="20"/>
    </row>
    <row r="3" customFormat="1" spans="1:8">
      <c r="A3" s="20"/>
      <c r="B3" s="20"/>
      <c r="C3" s="20"/>
      <c r="D3" s="20"/>
      <c r="E3" s="20"/>
      <c r="F3" s="20"/>
      <c r="G3" s="20"/>
      <c r="H3" s="20"/>
    </row>
    <row r="4" customFormat="1" spans="1:8">
      <c r="A4" s="20"/>
      <c r="B4" s="20"/>
      <c r="C4" s="20"/>
      <c r="D4" s="20"/>
      <c r="E4" s="20"/>
      <c r="F4" s="20"/>
      <c r="G4" s="20"/>
      <c r="H4" s="20"/>
    </row>
    <row r="5" customFormat="1" spans="1:8">
      <c r="A5" s="21" t="s">
        <v>4</v>
      </c>
      <c r="B5" s="21" t="s">
        <v>5</v>
      </c>
      <c r="C5" s="21" t="s">
        <v>6</v>
      </c>
      <c r="D5" s="21" t="s">
        <v>7</v>
      </c>
      <c r="E5" s="21" t="s">
        <v>8</v>
      </c>
      <c r="F5" s="21" t="s">
        <v>9</v>
      </c>
      <c r="G5" s="21" t="s">
        <v>10</v>
      </c>
      <c r="H5" s="21" t="s">
        <v>11</v>
      </c>
    </row>
    <row r="6" customFormat="1" spans="1:8">
      <c r="A6" s="22">
        <v>46170</v>
      </c>
      <c r="B6" s="23">
        <v>1607149</v>
      </c>
      <c r="C6" s="23" t="s">
        <v>37</v>
      </c>
      <c r="D6" s="24">
        <v>20427460</v>
      </c>
      <c r="E6" s="23" t="s">
        <v>233</v>
      </c>
      <c r="F6" s="24">
        <v>1</v>
      </c>
      <c r="G6" s="25">
        <v>38.5</v>
      </c>
      <c r="H6" s="25">
        <f>G6*F6</f>
        <v>38.5</v>
      </c>
    </row>
    <row r="7" customFormat="1" spans="1:8">
      <c r="A7" s="26" t="s">
        <v>170</v>
      </c>
      <c r="B7" s="27"/>
      <c r="C7" s="27"/>
      <c r="D7" s="27"/>
      <c r="E7" s="27"/>
      <c r="F7" s="27"/>
      <c r="G7" s="28"/>
      <c r="H7" s="25">
        <f>SUM(H6:H6)</f>
        <v>38.5</v>
      </c>
    </row>
  </sheetData>
  <mergeCells count="3">
    <mergeCell ref="A1:H1"/>
    <mergeCell ref="A7:G7"/>
    <mergeCell ref="A2:H4"/>
  </mergeCells>
  <pageMargins left="0.25" right="0.25" top="0.75" bottom="0.75" header="0.298611111111111" footer="0.298611111111111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view="pageBreakPreview" zoomScaleNormal="100" workbookViewId="0">
      <selection activeCell="G22" sqref="G22"/>
    </sheetView>
  </sheetViews>
  <sheetFormatPr defaultColWidth="9" defaultRowHeight="13.5" outlineLevelCol="6"/>
  <cols>
    <col min="1" max="1" width="13.7083333333333" customWidth="1"/>
    <col min="2" max="2" width="17.025" customWidth="1"/>
    <col min="3" max="3" width="8.25" customWidth="1"/>
    <col min="4" max="4" width="20.225" customWidth="1"/>
    <col min="5" max="5" width="13.85" customWidth="1"/>
    <col min="6" max="6" width="14.625" customWidth="1"/>
    <col min="7" max="7" width="14.75" customWidth="1"/>
  </cols>
  <sheetData>
    <row r="1" customFormat="1" ht="25.5" customHeight="1" spans="1:7">
      <c r="A1" s="1" t="s">
        <v>234</v>
      </c>
    </row>
    <row r="2" ht="2" customHeight="1"/>
    <row r="3" customFormat="1" ht="12.75" customHeight="1" spans="1:7">
      <c r="A3" s="2" t="s">
        <v>235</v>
      </c>
    </row>
    <row r="5" ht="2.05" customHeight="1"/>
    <row r="6" ht="1.95" customHeight="1"/>
    <row r="7" customFormat="1" ht="15.75" spans="1:7">
      <c r="A7" s="3" t="s">
        <v>3</v>
      </c>
      <c r="B7" s="4" t="s">
        <v>2</v>
      </c>
      <c r="C7" s="4" t="s">
        <v>2</v>
      </c>
      <c r="D7" s="4" t="s">
        <v>2</v>
      </c>
      <c r="E7" s="4" t="s">
        <v>2</v>
      </c>
      <c r="F7" s="5" t="s">
        <v>2</v>
      </c>
      <c r="G7" s="6">
        <v>-8</v>
      </c>
    </row>
    <row r="8" customFormat="1" spans="1:7">
      <c r="A8" s="7" t="s">
        <v>236</v>
      </c>
      <c r="B8" s="7" t="s">
        <v>237</v>
      </c>
      <c r="C8" s="7" t="s">
        <v>238</v>
      </c>
      <c r="D8" s="7" t="s">
        <v>239</v>
      </c>
      <c r="E8" s="7" t="s">
        <v>7</v>
      </c>
      <c r="F8" s="7" t="s">
        <v>240</v>
      </c>
      <c r="G8" s="7" t="s">
        <v>241</v>
      </c>
    </row>
    <row r="9" customFormat="1" ht="14.25" spans="1:7">
      <c r="A9" s="8" t="s">
        <v>79</v>
      </c>
      <c r="B9" s="4" t="s">
        <v>2</v>
      </c>
      <c r="C9" s="4" t="s">
        <v>2</v>
      </c>
      <c r="D9" s="4" t="s">
        <v>2</v>
      </c>
      <c r="E9" s="4" t="s">
        <v>2</v>
      </c>
      <c r="F9" s="7" t="s">
        <v>2</v>
      </c>
      <c r="G9" s="9">
        <v>-8</v>
      </c>
    </row>
    <row r="10" customFormat="1" spans="1:7">
      <c r="A10" s="10" t="s">
        <v>242</v>
      </c>
      <c r="B10" s="4" t="s">
        <v>2</v>
      </c>
      <c r="C10" s="4" t="s">
        <v>2</v>
      </c>
      <c r="D10" s="4" t="s">
        <v>2</v>
      </c>
      <c r="E10" s="4" t="s">
        <v>2</v>
      </c>
      <c r="F10" s="11" t="s">
        <v>2</v>
      </c>
      <c r="G10" s="12">
        <v>-8</v>
      </c>
    </row>
    <row r="11" customFormat="1" spans="1:7">
      <c r="A11" s="13">
        <v>3006209974</v>
      </c>
      <c r="B11" s="14">
        <v>46175.3928465278</v>
      </c>
      <c r="C11" s="15" t="s">
        <v>243</v>
      </c>
      <c r="D11" s="16">
        <v>46160.7728770023</v>
      </c>
      <c r="E11" s="17">
        <v>20421641</v>
      </c>
      <c r="F11" s="17" t="s">
        <v>114</v>
      </c>
      <c r="G11" s="18">
        <v>-8</v>
      </c>
    </row>
    <row r="12" ht="0.05" customHeight="1"/>
    <row r="13" ht="11.6" customHeight="1"/>
  </sheetData>
  <mergeCells count="5">
    <mergeCell ref="A1:G1"/>
    <mergeCell ref="A7:E7"/>
    <mergeCell ref="A9:E9"/>
    <mergeCell ref="A10:E10"/>
    <mergeCell ref="A3:C4"/>
  </mergeCells>
  <pageMargins left="0.25" right="0.25" top="0.75" bottom="0.75" header="0.298611111111111" footer="0.298611111111111"/>
  <pageSetup paperSize="9" scale="9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耳鼻喉</vt:lpstr>
      <vt:lpstr>妇科</vt:lpstr>
      <vt:lpstr>急诊</vt:lpstr>
      <vt:lpstr>口腔科</vt:lpstr>
      <vt:lpstr>内科</vt:lpstr>
      <vt:lpstr>手术室</vt:lpstr>
      <vt:lpstr>外科</vt:lpstr>
      <vt:lpstr>眼科</vt:lpstr>
      <vt:lpstr>外来器械</vt:lpstr>
      <vt:lpstr>外来器械加急</vt:lpstr>
      <vt:lpstr>加急</vt:lpstr>
      <vt:lpstr>费用调整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2026-06-01T05:39:00Z</dcterms:created>
  <dcterms:modified xsi:type="dcterms:W3CDTF">2026-06-05T01:42:58Z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473C0918D6A9443EA78DFEC2FCE79932_13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