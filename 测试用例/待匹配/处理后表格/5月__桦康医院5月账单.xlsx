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手术室" sheetId="1" r:id="rId1"/>
    <sheet name="外科" sheetId="2" r:id="rId2"/>
  </sheets>
  <definedNames>
    <definedName name="_xlnm._FilterDatabase" localSheetId="0" hidden="1">手术室!$A$9:$K$22</definedName>
    <definedName name="_xlnm.Print_Titles" localSheetId="0">手术室!$1:$6</definedName>
    <definedName name="_xlnm.Print_Titles" localSheetId="1">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<sst xmlns="http://schemas.openxmlformats.org/spreadsheetml/2006/main" count="82" uniqueCount="25">
  <si>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</si>
  <si>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</si>
  <si>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</si>
  <si>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哈尔滨桦康医院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</si>
  <si>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</si>
  <si>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</si>
  <si>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</si>
  <si>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</si>
  <si>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</si>
  <si>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</si>
  <si>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</si>
  <si>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</si>
  <si>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</si>
  <si>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</t>
  </si>
  <si>
    <t>静脉包22件</t>
  </si>
  <si>
    <t>额外包(纸塑袋)</t>
  </si>
  <si>
    <t>持物钳罐-2/Z2044</t>
  </si>
  <si>
    <t>大镊子-1/z7534</t>
  </si>
  <si>
    <t>刀柄-1/Z7520</t>
  </si>
  <si>
    <t>换药碗-2/Z2530</t>
  </si>
  <si>
    <t>止血钳-1/Z1026</t>
  </si>
  <si>
    <t>外科</t>
  </si>
  <si>
    <t>器械包(ZSD)</t>
  </si>
  <si>
    <t>换药包</t>
  </si>
  <si>
    <t>舌钳子.开口器-2/Z1526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</si>
</sst>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304165</xdr:colOff>
      <xdr:row>1</xdr:row>
      <xdr:rowOff>47625</xdr:rowOff>
    </xdr:from>
    <xdr:to>
      <xdr:col>9</xdr:col>
      <xdr:colOff>814153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9694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256540</xdr:colOff>
      <xdr:row>1</xdr:row>
      <xdr:rowOff>85725</xdr:rowOff>
    </xdr:from>
    <xdr:to>
      <xdr:col>9</xdr:col>
      <xdr:colOff>766528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49315" y="2571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2" sqref="L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52</v>
      </c>
      <c r="J10" s="10"/>
      <c r="K10" s="10">
        <f>SUM(K11:K22)</f>
        <v>2340.5</v>
      </c>
    </row>
    <row r="11" spans="2:12">
      <c r="D11" s="11">
        <v>46150</v>
      </c>
      <c r="E11" s="12">
        <v>1601396</v>
      </c>
      <c r="F11" s="12" t="s">
        <v>13</v>
      </c>
      <c r="G11" s="13">
        <v>20424593</v>
      </c>
      <c r="H11" s="12" t="s">
        <v>14</v>
      </c>
      <c r="I11" s="13">
        <v>9</v>
      </c>
      <c r="J11" s="14">
        <v>121</v>
      </c>
      <c r="K11" s="14">
        <f>J11*I11</f>
        <v>1089</v>
      </c>
      <c r="L11">
        <f>2340.5+324.5</f>
        <v>2665</v>
      </c>
    </row>
    <row r="12" spans="2:12">
      <c r="D12" s="11">
        <v>46150</v>
      </c>
      <c r="E12" s="12">
        <v>1601396</v>
      </c>
      <c r="F12" s="12" t="s">
        <v>15</v>
      </c>
      <c r="G12" s="13">
        <v>20424597</v>
      </c>
      <c r="H12" s="12" t="s">
        <v>16</v>
      </c>
      <c r="I12" s="13">
        <v>8</v>
      </c>
      <c r="J12" s="14">
        <v>16.5</v>
      </c>
      <c r="K12" s="14">
        <f t="shared" ref="K12:K22" si="0">J12*I12</f>
        <v>132</v>
      </c>
    </row>
    <row r="13" spans="2:12">
      <c r="D13" s="11">
        <v>46150</v>
      </c>
      <c r="E13" s="12">
        <v>1601396</v>
      </c>
      <c r="F13" s="12" t="s">
        <v>15</v>
      </c>
      <c r="G13" s="13">
        <v>20424600</v>
      </c>
      <c r="H13" s="12" t="s">
        <v>17</v>
      </c>
      <c r="I13" s="13">
        <v>4</v>
      </c>
      <c r="J13" s="14">
        <v>8</v>
      </c>
      <c r="K13" s="14">
        <f t="shared" si="0"/>
        <v>32</v>
      </c>
    </row>
    <row r="14" spans="2:12">
      <c r="D14" s="11">
        <v>46150</v>
      </c>
      <c r="E14" s="12">
        <v>1601396</v>
      </c>
      <c r="F14" s="12" t="s">
        <v>15</v>
      </c>
      <c r="G14" s="13">
        <v>20424598</v>
      </c>
      <c r="H14" s="12" t="s">
        <v>18</v>
      </c>
      <c r="I14" s="13">
        <v>2</v>
      </c>
      <c r="J14" s="14">
        <v>8</v>
      </c>
      <c r="K14" s="14">
        <f t="shared" si="0"/>
        <v>16</v>
      </c>
    </row>
    <row r="15" spans="2:12">
      <c r="D15" s="11">
        <v>46150</v>
      </c>
      <c r="E15" s="12">
        <v>1601396</v>
      </c>
      <c r="F15" s="12" t="s">
        <v>15</v>
      </c>
      <c r="G15" s="13">
        <v>20424594</v>
      </c>
      <c r="H15" s="12" t="s">
        <v>19</v>
      </c>
      <c r="I15" s="13">
        <v>9</v>
      </c>
      <c r="J15" s="14">
        <v>16.5</v>
      </c>
      <c r="K15" s="14">
        <f t="shared" si="0"/>
        <v>148.5</v>
      </c>
    </row>
    <row r="16" spans="2:12">
      <c r="D16" s="11">
        <v>46150</v>
      </c>
      <c r="E16" s="12">
        <v>1601396</v>
      </c>
      <c r="F16" s="12" t="s">
        <v>15</v>
      </c>
      <c r="G16" s="13">
        <v>20424599</v>
      </c>
      <c r="H16" s="12" t="s">
        <v>20</v>
      </c>
      <c r="I16" s="13">
        <v>4</v>
      </c>
      <c r="J16" s="14">
        <v>8</v>
      </c>
      <c r="K16" s="14">
        <f t="shared" si="0"/>
        <v>32</v>
      </c>
    </row>
    <row r="17" spans="4:11">
      <c r="D17" s="11">
        <v>46157</v>
      </c>
      <c r="E17" s="12">
        <v>1603615</v>
      </c>
      <c r="F17" s="12" t="s">
        <v>13</v>
      </c>
      <c r="G17" s="13">
        <v>20424593</v>
      </c>
      <c r="H17" s="12" t="s">
        <v>14</v>
      </c>
      <c r="I17" s="13">
        <v>4</v>
      </c>
      <c r="J17" s="14">
        <v>121</v>
      </c>
      <c r="K17" s="14">
        <f t="shared" si="0"/>
        <v>484</v>
      </c>
    </row>
    <row r="18" spans="4:11">
      <c r="D18" s="11">
        <v>46157</v>
      </c>
      <c r="E18" s="12">
        <v>1603615</v>
      </c>
      <c r="F18" s="12" t="s">
        <v>15</v>
      </c>
      <c r="G18" s="13">
        <v>20424597</v>
      </c>
      <c r="H18" s="12" t="s">
        <v>16</v>
      </c>
      <c r="I18" s="13">
        <v>3</v>
      </c>
      <c r="J18" s="14">
        <v>16.5</v>
      </c>
      <c r="K18" s="14">
        <f t="shared" si="0"/>
        <v>49.5</v>
      </c>
    </row>
    <row r="19" spans="4:11">
      <c r="D19" s="11">
        <v>46157</v>
      </c>
      <c r="E19" s="12">
        <v>1603615</v>
      </c>
      <c r="F19" s="12" t="s">
        <v>15</v>
      </c>
      <c r="G19" s="13">
        <v>20424594</v>
      </c>
      <c r="H19" s="12" t="s">
        <v>19</v>
      </c>
      <c r="I19" s="13">
        <v>4</v>
      </c>
      <c r="J19" s="14">
        <v>16.5</v>
      </c>
      <c r="K19" s="14">
        <f t="shared" si="0"/>
        <v>66</v>
      </c>
    </row>
    <row r="20" spans="4:11">
      <c r="D20" s="11">
        <v>46161</v>
      </c>
      <c r="E20" s="12">
        <v>1604530</v>
      </c>
      <c r="F20" s="12" t="s">
        <v>13</v>
      </c>
      <c r="G20" s="13">
        <v>20424593</v>
      </c>
      <c r="H20" s="12" t="s">
        <v>14</v>
      </c>
      <c r="I20" s="13">
        <v>2</v>
      </c>
      <c r="J20" s="14">
        <v>121</v>
      </c>
      <c r="K20" s="14">
        <f t="shared" si="0"/>
        <v>242</v>
      </c>
    </row>
    <row r="21" spans="4:11">
      <c r="D21" s="11">
        <v>46161</v>
      </c>
      <c r="E21" s="12">
        <v>1604530</v>
      </c>
      <c r="F21" s="12" t="s">
        <v>15</v>
      </c>
      <c r="G21" s="13">
        <v>20424597</v>
      </c>
      <c r="H21" s="12" t="s">
        <v>16</v>
      </c>
      <c r="I21" s="13">
        <v>1</v>
      </c>
      <c r="J21" s="14">
        <v>16.5</v>
      </c>
      <c r="K21" s="14">
        <f t="shared" si="0"/>
        <v>16.5</v>
      </c>
    </row>
    <row r="22" spans="4:11">
      <c r="D22" s="11">
        <v>46161</v>
      </c>
      <c r="E22" s="12">
        <v>1604530</v>
      </c>
      <c r="F22" s="12" t="s">
        <v>15</v>
      </c>
      <c r="G22" s="13">
        <v>20424594</v>
      </c>
      <c r="H22" s="12" t="s">
        <v>19</v>
      </c>
      <c r="I22" s="13">
        <v>2</v>
      </c>
      <c r="J22" s="14">
        <v>16.5</v>
      </c>
      <c r="K22" s="14">
        <f t="shared" si="0"/>
        <v>33</v>
      </c>
    </row>
    <row r="23" ht="0.05" customHeight="1"/>
  </sheetData>
  <autoFilter xmlns:etc="http://www.wps.cn/officeDocument/2017/etCustomData" ref="A9:K22" etc:filterBottomFollowUsedRange="0">
    <extLst/>
  </autoFilter>
  <mergeCells count="6">
    <mergeCell ref="D8:H8"/>
    <mergeCell ref="D10:H10"/>
    <mergeCell ref="C9:C22"/>
    <mergeCell ref="B4:H5"/>
    <mergeCell ref="A8:B2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10:11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15</v>
      </c>
      <c r="J8" s="10"/>
      <c r="K8" s="10">
        <v>324.5</v>
      </c>
    </row>
    <row r="9" spans="1:11">
      <c r="D9" s="11">
        <v>46150</v>
      </c>
      <c r="E9" s="12">
        <v>1601397</v>
      </c>
      <c r="F9" s="12" t="s">
        <v>22</v>
      </c>
      <c r="G9" s="13">
        <v>20424595</v>
      </c>
      <c r="H9" s="12" t="s">
        <v>23</v>
      </c>
      <c r="I9" s="13">
        <v>6</v>
      </c>
      <c r="J9" s="14">
        <v>22</v>
      </c>
      <c r="K9" s="14">
        <v>132</v>
      </c>
    </row>
    <row r="10" spans="1:11">
      <c r="D10" s="11">
        <v>46151</v>
      </c>
      <c r="E10" s="12">
        <v>1601446</v>
      </c>
      <c r="F10" s="12" t="s">
        <v>15</v>
      </c>
      <c r="G10" s="13">
        <v>20424596</v>
      </c>
      <c r="H10" s="12" t="s">
        <v>24</v>
      </c>
      <c r="I10" s="13">
        <v>1</v>
      </c>
      <c r="J10" s="14">
        <v>16.5</v>
      </c>
      <c r="K10" s="14">
        <v>16.5</v>
      </c>
    </row>
    <row r="11" spans="1:11">
      <c r="D11" s="11">
        <v>46157</v>
      </c>
      <c r="E11" s="12">
        <v>1603616</v>
      </c>
      <c r="F11" s="12" t="s">
        <v>22</v>
      </c>
      <c r="G11" s="13">
        <v>20424595</v>
      </c>
      <c r="H11" s="12" t="s">
        <v>23</v>
      </c>
      <c r="I11" s="13">
        <v>3</v>
      </c>
      <c r="J11" s="14">
        <v>22</v>
      </c>
      <c r="K11" s="14">
        <v>66</v>
      </c>
    </row>
    <row r="12" spans="1:11">
      <c r="D12" s="11">
        <v>46161</v>
      </c>
      <c r="E12" s="12">
        <v>1604531</v>
      </c>
      <c r="F12" s="12" t="s">
        <v>22</v>
      </c>
      <c r="G12" s="13">
        <v>20424595</v>
      </c>
      <c r="H12" s="12" t="s">
        <v>23</v>
      </c>
      <c r="I12" s="13">
        <v>5</v>
      </c>
      <c r="J12" s="14">
        <v>22</v>
      </c>
      <c r="K12" s="14">
        <v>110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10:11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手术室</vt:lpstr>
      <vt:lpstr>外科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2026-06-02T04:02:00Z</dcterms:created>
  <dcterms:modified xsi:type="dcterms:W3CDTF">2026-06-08T06:37:55Z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4E741C146CA94794863AD530F69566CC_13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