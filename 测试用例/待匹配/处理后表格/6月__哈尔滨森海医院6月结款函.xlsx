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哈尔滨森海医院" sheetId="1" r:id="rId1"/>
  </sheets>
  <externalReferences>
    <externalReference r:id="rId2"/>
  </externalReferences>
  <definedNames>
    <definedName name="_xlnm.Print_Titles" localSheetId="0">哈尔滨森海医院!$1:$4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<sst xmlns="http://schemas.openxmlformats.org/spreadsheetml/2006/main" count="45" uniqueCount="23">
  <si>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/>
  </si>
  <si>
    <r>
      <rPr>
        <b/>
        <sz val="14"/>
        <color rgb="FF000000"/>
        <rFont val="宋体"/>
        <charset val="134"/>
      </rPr>
      <t>哈尔滨森海医院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</si>
  <si>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哈尔滨森海医院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</si>
  <si>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</si>
  <si>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</si>
  <si>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</si>
  <si>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</si>
  <si>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</si>
  <si>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</si>
  <si>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</si>
  <si>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外来器械费用</t>
  </si>
  <si>
    <t>加急外来器械费用</t>
  </si>
  <si>
    <t>加急灭菌费用</t>
  </si>
  <si>
    <t>加急灭菌物流费用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</si>
  <si>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</si>
  <si>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物流费用</t>
  </si>
  <si>
    <t>50元/次</t>
  </si>
  <si>
    <t>费用调整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</si>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</sst>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3" xfId="0" applyNumberFormat="1" applyFont="1" applyFill="1" applyBorder="1" applyAlignment="1">
      <alignment horizontal="center" vertical="top" wrapText="1" readingOrder="1"/>
    </xf>
    <xf numFmtId="178" fontId="4" fillId="0" borderId="2" xfId="0" applyNumberFormat="1" applyFont="1" applyFill="1" applyBorder="1" applyAlignment="1">
      <alignment horizontal="center" vertical="top" wrapText="1" readingOrder="1"/>
    </xf>
    <xf numFmtId="178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7604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704;&#23572;&#28392;&#26862;&#28023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耳鼻喉"/>
      <sheetName val="妇科"/>
      <sheetName val="急诊"/>
      <sheetName val="口腔科"/>
      <sheetName val="内科"/>
      <sheetName val="手术室"/>
      <sheetName val="透析科"/>
      <sheetName val="外科"/>
      <sheetName val="眼科"/>
      <sheetName val="外来器械"/>
      <sheetName val="加急"/>
      <sheetName val="外来加急"/>
      <sheetName val="费用调整"/>
    </sheetNames>
    <sheetDataSet>
      <sheetData sheetId="0">
        <row r="10">
          <cell r="K10">
            <v>256</v>
          </cell>
        </row>
      </sheetData>
      <sheetData sheetId="1">
        <row r="8">
          <cell r="K8">
            <v>993</v>
          </cell>
        </row>
      </sheetData>
      <sheetData sheetId="2">
        <row r="8">
          <cell r="K8">
            <v>1178</v>
          </cell>
        </row>
      </sheetData>
      <sheetData sheetId="3">
        <row r="8">
          <cell r="K8">
            <v>2317.5</v>
          </cell>
        </row>
      </sheetData>
      <sheetData sheetId="4">
        <row r="8">
          <cell r="K8">
            <v>548</v>
          </cell>
        </row>
      </sheetData>
      <sheetData sheetId="5">
        <row r="8">
          <cell r="K8">
            <v>17977.5</v>
          </cell>
        </row>
      </sheetData>
      <sheetData sheetId="6">
        <row r="8">
          <cell r="K8">
            <v>8</v>
          </cell>
        </row>
      </sheetData>
      <sheetData sheetId="7">
        <row r="8">
          <cell r="K8">
            <v>326</v>
          </cell>
        </row>
      </sheetData>
      <sheetData sheetId="8">
        <row r="8">
          <cell r="K8">
            <v>807</v>
          </cell>
        </row>
      </sheetData>
      <sheetData sheetId="9">
        <row r="10">
          <cell r="L10">
            <v>3119</v>
          </cell>
        </row>
      </sheetData>
      <sheetData sheetId="10"/>
      <sheetData sheetId="11"/>
      <sheetData sheetId="12">
        <row r="7">
          <cell r="J7">
            <v>-72</v>
          </cell>
        </row>
        <row r="15">
          <cell r="J15">
            <v>-539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5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8" sqref="F12:G18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6.25" customWidth="1"/>
    <col min="6" max="6" width="14.725" customWidth="1"/>
    <col min="7" max="7" width="22" customWidth="1"/>
    <col min="8" max="8" width="24.975" customWidth="1"/>
    <col min="10" max="10" width="9.375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[1]耳鼻喉!$K$10+[1]妇科!$K$8+[1]急诊!$K$8+[1]口腔科!$K$8+[1]内科!$K$8+[1]手术室!$K$8+[1]透析科!$K$8+[1]外科!$K$8+[1]眼科!$K$8</f>
        <v>24411</v>
      </c>
      <c r="G12" s="7"/>
      <c r="H12" s="6"/>
    </row>
    <row r="13" ht="30" customHeight="1" spans="3:8">
      <c r="D13" s="8">
        <v>2</v>
      </c>
      <c r="E13" s="8" t="s">
        <v>10</v>
      </c>
      <c r="F13" s="10">
        <f>[1]外来器械!$L$10</f>
        <v>3119</v>
      </c>
      <c r="G13" s="11"/>
      <c r="H13" s="6"/>
    </row>
    <row r="14" ht="30" customHeight="1" spans="3:8">
      <c r="D14" s="8">
        <v>3</v>
      </c>
      <c r="E14" s="8" t="s">
        <v>11</v>
      </c>
      <c r="F14" s="10">
        <v>4928.75</v>
      </c>
      <c r="G14" s="11"/>
      <c r="H14" s="6"/>
    </row>
    <row r="15" ht="30" customHeight="1" spans="3:8">
      <c r="D15" s="8">
        <v>4</v>
      </c>
      <c r="E15" s="8" t="s">
        <v>12</v>
      </c>
      <c r="F15" s="10">
        <v>3085.63</v>
      </c>
      <c r="G15" s="11"/>
      <c r="H15" s="6"/>
    </row>
    <row r="16" ht="30" customHeight="1" spans="3:8">
      <c r="D16" s="8">
        <v>5</v>
      </c>
      <c r="E16" s="8" t="s">
        <v>13</v>
      </c>
      <c r="F16" s="10">
        <f>600+1050</f>
        <v>1650</v>
      </c>
      <c r="G16" s="11"/>
      <c r="H16" s="6" t="s">
        <v>14</v>
      </c>
    </row>
    <row r="17" ht="30" customHeight="1" spans="4:8">
      <c r="D17" s="8">
        <v>6</v>
      </c>
      <c r="E17" s="6" t="s">
        <v>15</v>
      </c>
      <c r="F17" s="9">
        <f>24*50</f>
        <v>1200</v>
      </c>
      <c r="G17" s="7"/>
      <c r="H17" s="6" t="s">
        <v>16</v>
      </c>
    </row>
    <row r="18" ht="30" customHeight="1" spans="4:8">
      <c r="D18" s="8">
        <v>7</v>
      </c>
      <c r="E18" s="8" t="s">
        <v>17</v>
      </c>
      <c r="F18" s="12">
        <f>[1]费用调整!$J$7+[1]费用调整!$J$15</f>
        <v>-611</v>
      </c>
      <c r="G18" s="13"/>
      <c r="H18" s="6"/>
    </row>
    <row r="19" ht="30" customHeight="1" spans="4:8">
      <c r="D19" s="6" t="s">
        <v>18</v>
      </c>
      <c r="E19" s="7" t="s">
        <v>0</v>
      </c>
      <c r="F19" s="9">
        <f>F12+F13+F14+F15+F16+F17+F18</f>
        <v>37783.38</v>
      </c>
      <c r="G19" s="7" t="s">
        <v>0</v>
      </c>
      <c r="H19" s="6"/>
    </row>
    <row r="20" ht="30" customHeight="1" spans="4:8">
      <c r="D20" s="6" t="s">
        <v>19</v>
      </c>
      <c r="E20" s="7" t="s">
        <v>0</v>
      </c>
      <c r="F20" s="14">
        <f>F19</f>
        <v>37783.38</v>
      </c>
      <c r="G20" s="15" t="s">
        <v>0</v>
      </c>
      <c r="H20" s="6"/>
    </row>
    <row r="21" ht="12" customHeight="1" spans="4:8">
      <c r="D21" s="4" t="s">
        <v>0</v>
      </c>
    </row>
    <row r="22" ht="188.7" customHeight="1" spans="4:8">
      <c r="D22" s="5" t="s">
        <v>20</v>
      </c>
    </row>
    <row r="23" ht="18.75" spans="4:8">
      <c r="D23" s="16" t="s">
        <v>0</v>
      </c>
      <c r="E23" s="16" t="s">
        <v>0</v>
      </c>
      <c r="F23" s="17" t="s">
        <v>21</v>
      </c>
      <c r="H23" s="16" t="s">
        <v>0</v>
      </c>
    </row>
    <row r="24" ht="36" customHeight="1" spans="4:8">
      <c r="D24" s="18" t="s">
        <v>22</v>
      </c>
    </row>
    <row r="25" ht="67.5" customHeight="1"/>
  </sheetData>
  <mergeCells count="22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D19:E19"/>
    <mergeCell ref="F19:G19"/>
    <mergeCell ref="D20:E20"/>
    <mergeCell ref="F20:G20"/>
    <mergeCell ref="D21:H21"/>
    <mergeCell ref="D22:H22"/>
    <mergeCell ref="F23:G23"/>
    <mergeCell ref="D24:H24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哈尔滨森海医院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2026-05-08T08:17:00Z</dcterms:created>
  <dcterms:modified xsi:type="dcterms:W3CDTF">2026-07-06T05:14:31Z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A4A5A2B6DE5942B294E17F69D89F7480_13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