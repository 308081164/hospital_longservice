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T室" sheetId="1" r:id="rId1"/>
    <sheet name="DSA" sheetId="2" r:id="rId2"/>
    <sheet name="彩超室" sheetId="3" r:id="rId3"/>
    <sheet name="放疗科" sheetId="4" r:id="rId4"/>
    <sheet name="供应室" sheetId="5" r:id="rId5"/>
    <sheet name="结核2" sheetId="17" r:id="rId6"/>
    <sheet name="呼吸三病区" sheetId="6" r:id="rId7"/>
    <sheet name="呼吸一病区" sheetId="7" r:id="rId8"/>
    <sheet name="外1" sheetId="18" r:id="rId9"/>
    <sheet name="外2" sheetId="19" r:id="rId10"/>
    <sheet name="外3" sheetId="20" r:id="rId11"/>
    <sheet name="结核三病区" sheetId="9" r:id="rId12"/>
    <sheet name="门急诊" sheetId="10" r:id="rId13"/>
    <sheet name="腔镜室" sheetId="11" r:id="rId14"/>
    <sheet name="手术室" sheetId="12" r:id="rId15"/>
    <sheet name="术后监护病房" sheetId="13" r:id="rId16"/>
    <sheet name="心内科" sheetId="14" r:id="rId17"/>
    <sheet name="肿一" sheetId="15" r:id="rId18"/>
    <sheet name="外来" sheetId="16" r:id="rId19"/>
  </sheets>
  <definedNames>
    <definedName name="_xlnm._FilterDatabase" localSheetId="8" hidden="1">外1!$A$7:$K$13</definedName>
    <definedName name="_xlnm._FilterDatabase" localSheetId="9" hidden="1">外2!$A$7:$K$22</definedName>
    <definedName name="_xlnm._FilterDatabase" localSheetId="10" hidden="1">外3!$A$7:$K$18</definedName>
    <definedName name="_xlnm._FilterDatabase" localSheetId="13" hidden="1">腔镜室!$A$7:$K$59</definedName>
    <definedName name="_xlnm._FilterDatabase" localSheetId="14" hidden="1">手术室!$A$7:$K$87</definedName>
    <definedName name="_xlnm.Print_Titles" localSheetId="0">CT室!$1:$6</definedName>
    <definedName name="_xlnm.Print_Titles" localSheetId="1">DSA!$1:$6</definedName>
    <definedName name="_xlnm.Print_Titles" localSheetId="2">彩超室!$1:$6</definedName>
    <definedName name="_xlnm.Print_Titles" localSheetId="3">放疗科!$1:$6</definedName>
    <definedName name="_xlnm.Print_Titles" localSheetId="4">供应室!$1:$6</definedName>
    <definedName name="_xlnm.Print_Titles" localSheetId="6">呼吸三病区!$1:$6</definedName>
    <definedName name="_xlnm.Print_Titles" localSheetId="7">呼吸一病区!$1:$6</definedName>
    <definedName name="_xlnm.Print_Titles" localSheetId="11">结核三病区!$1:$6</definedName>
    <definedName name="_xlnm.Print_Titles" localSheetId="12">门急诊!$1:$6</definedName>
    <definedName name="_xlnm.Print_Titles" localSheetId="13">腔镜室!$1:$6</definedName>
    <definedName name="_xlnm.Print_Titles" localSheetId="14">手术室!$1:$6</definedName>
    <definedName name="_xlnm.Print_Titles" localSheetId="15">术后监护病房!$1:$6</definedName>
    <definedName name="_xlnm.Print_Titles" localSheetId="16">心内科!$1:$6</definedName>
    <definedName name="_xlnm.Print_Titles" localSheetId="17">肿一!$1:$6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<sst xmlns="http://schemas.openxmlformats.org/spreadsheetml/2006/main" count="805" uniqueCount="111">
  <si>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</si>
  <si>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</si>
  <si>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</si>
  <si>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哈尔滨市胸科医院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</si>
  <si>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</si>
  <si>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</si>
  <si>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</si>
  <si>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</si>
  <si>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</si>
  <si>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</si>
  <si>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</si>
  <si>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</si>
  <si>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CT室</t>
  </si>
  <si>
    <t>敷料包(纸塑袋)</t>
  </si>
  <si>
    <t>纸卡/Z1020</t>
  </si>
  <si>
    <t>DSA</t>
  </si>
  <si>
    <t>额外包(无纺布)</t>
  </si>
  <si>
    <t>开口器，压舌板-2/W6050</t>
  </si>
  <si>
    <t>开口器-1件/W6050</t>
  </si>
  <si>
    <t>彩超室</t>
  </si>
  <si>
    <t>放疗科</t>
  </si>
  <si>
    <t>供应室</t>
  </si>
  <si>
    <t>敷料包</t>
  </si>
  <si>
    <t>大敷料包/棉布（标签贴胶带上！）</t>
  </si>
  <si>
    <t>孔巾/Z1530</t>
  </si>
  <si>
    <t>干纱条/Z1029</t>
  </si>
  <si>
    <t>结核二</t>
  </si>
  <si>
    <t>额外包(纸塑袋)</t>
  </si>
  <si>
    <t>刮勺1 探针1/保Z7537</t>
  </si>
  <si>
    <t>呼吸三病区</t>
  </si>
  <si>
    <t>呼吸一病区</t>
  </si>
  <si>
    <t>外一</t>
  </si>
  <si>
    <t>剪刀-1（高温）/Z1029</t>
  </si>
  <si>
    <t>器械包(ZSD)</t>
  </si>
  <si>
    <t>缝切包</t>
  </si>
  <si>
    <t>缝合针-3/Z1026</t>
  </si>
  <si>
    <t>外二</t>
  </si>
  <si>
    <t>外三</t>
  </si>
  <si>
    <t>结核三病区</t>
  </si>
  <si>
    <t>门急诊</t>
  </si>
  <si>
    <t>缝合包</t>
  </si>
  <si>
    <t>骨穿包</t>
  </si>
  <si>
    <t>静脉切开包</t>
  </si>
  <si>
    <t>气管切开包</t>
  </si>
  <si>
    <t>拆线-3件/W6050</t>
  </si>
  <si>
    <t>气管套管-6件/W6050</t>
  </si>
  <si>
    <t>胸穿包</t>
  </si>
  <si>
    <t>腔镜室</t>
  </si>
  <si>
    <t>额外包(低温等离子)</t>
  </si>
  <si>
    <t>冷冻探头(低温)-1/Z3040</t>
  </si>
  <si>
    <t>探头手柄(低温)-1/Z3040</t>
  </si>
  <si>
    <t>带盖方盘-1/w9050</t>
  </si>
  <si>
    <t>带盖平皿-1件/Z1526</t>
  </si>
  <si>
    <t>氩气喷管-1/z3040</t>
  </si>
  <si>
    <t>手术室</t>
  </si>
  <si>
    <t>敷料包(无纺布包)</t>
  </si>
  <si>
    <t>手术衣/W9050</t>
  </si>
  <si>
    <t>毛巾（一个一叠）袋/Z2025</t>
  </si>
  <si>
    <t>刷手海绵（袋）/Z1526</t>
  </si>
  <si>
    <t>线单 垫单/Z1530</t>
  </si>
  <si>
    <t>器械包</t>
  </si>
  <si>
    <t>儿童卡介苗异常缝合包</t>
  </si>
  <si>
    <t>胸壁结核</t>
  </si>
  <si>
    <t>刮勺-1/Z1029</t>
  </si>
  <si>
    <t>手柄-1/Z2535</t>
  </si>
  <si>
    <t>持物钳罐3套-6/W9050</t>
  </si>
  <si>
    <t>盘2碗2杯1/W7050</t>
  </si>
  <si>
    <t>腔镜开胸包</t>
  </si>
  <si>
    <t>腔镜肺切</t>
  </si>
  <si>
    <t>盆1碗2盘2杯1/W9050</t>
  </si>
  <si>
    <t>舌钳子-1/W6050</t>
  </si>
  <si>
    <t>腔镜吸引器-1件/Z7530</t>
  </si>
  <si>
    <t>吸引器金属头-1件/Z7520</t>
  </si>
  <si>
    <t>额外包(ETO)</t>
  </si>
  <si>
    <t>LOCK钳-1/z2060</t>
  </si>
  <si>
    <t>超声刀线-1/z3040</t>
  </si>
  <si>
    <t>电凝钩-1/Z7550</t>
  </si>
  <si>
    <t>电凝钩导线-1/z3044</t>
  </si>
  <si>
    <t>喉镜片（大）/z1026</t>
  </si>
  <si>
    <t>喉镜片（小）/z1026</t>
  </si>
  <si>
    <t>喉镜片（中）/z1026</t>
  </si>
  <si>
    <t>单包装包(EO)</t>
  </si>
  <si>
    <t>外科胸腔镜头/z2060</t>
  </si>
  <si>
    <t>开口器-1（高温）/Z1526</t>
  </si>
  <si>
    <t>舌钳子-1（高温）/z1526</t>
  </si>
  <si>
    <t>铁头吸引器-1件/Z1029</t>
  </si>
  <si>
    <t>喉镜片EO-1/Z1029</t>
  </si>
  <si>
    <t>颈淋巴包</t>
  </si>
  <si>
    <t>外科腔镜器械（一）</t>
  </si>
  <si>
    <t>刷手服（标签贴胶带上！）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</si>
  <si>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</si>
  <si>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2026/5/6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</si>
  <si>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</si>
  <si>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</si>
  <si>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</si>
  <si>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</si>
  <si>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</si>
  <si>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</si>
  <si>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</si>
  <si>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</si>
  <si>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术后监护病房</t>
  </si>
  <si>
    <t>敷料包/w15050</t>
  </si>
  <si>
    <t>心内科</t>
  </si>
  <si>
    <t>肿一</t>
  </si>
  <si>
    <t>哈尔滨鸿继贸易有限公司</t>
  </si>
  <si>
    <t>骨科租赁器械包-带植入物</t>
  </si>
  <si>
    <t>王供英-椎体感染3/3</t>
  </si>
  <si>
    <t>骨科租赁器械包-不带植入物</t>
  </si>
  <si>
    <t>王供英-椎体感染1/3</t>
  </si>
  <si>
    <t>王供英-椎体感染2/3</t>
  </si>
  <si>
    <t>王供英-椎体感染1/1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</si>
</sst>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0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/>
  </cellStyleXfs>
  <cellXfs count="50">
    <xf numFmtId="0" fontId="0" fillId="0" borderId="0" xfId="49" applyFont="1" applyFill="1" applyBorder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176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176" fontId="3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left" vertical="top" wrapText="1" readingOrder="1"/>
    </xf>
    <xf numFmtId="0" fontId="5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1" fillId="0" borderId="3" xfId="49" applyNumberFormat="1" applyFont="1" applyFill="1" applyBorder="1" applyAlignment="1">
      <alignment vertical="top" wrapText="1" readingOrder="1"/>
    </xf>
    <xf numFmtId="0" fontId="1" fillId="0" borderId="4" xfId="49" applyNumberFormat="1" applyFont="1" applyFill="1" applyBorder="1" applyAlignment="1">
      <alignment horizontal="center" vertical="top" wrapText="1" readingOrder="1"/>
    </xf>
    <xf numFmtId="0" fontId="3" fillId="3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3" fillId="3" borderId="1" xfId="49" applyNumberFormat="1" applyFont="1" applyFill="1" applyBorder="1" applyAlignment="1">
      <alignment horizontal="center" vertical="top" wrapText="1" readingOrder="1"/>
    </xf>
    <xf numFmtId="176" fontId="3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horizontal="center"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6" fillId="2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 readingOrder="1"/>
    </xf>
    <xf numFmtId="178" fontId="1" fillId="2" borderId="5" xfId="0" applyNumberFormat="1" applyFont="1" applyFill="1" applyBorder="1" applyAlignment="1">
      <alignment vertical="top" wrapText="1" readingOrder="1"/>
    </xf>
    <xf numFmtId="0" fontId="3" fillId="3" borderId="5" xfId="0" applyNumberFormat="1" applyFont="1" applyFill="1" applyBorder="1" applyAlignment="1">
      <alignment vertical="top" wrapText="1" readingOrder="1"/>
    </xf>
    <xf numFmtId="0" fontId="1" fillId="3" borderId="5" xfId="0" applyNumberFormat="1" applyFont="1" applyFill="1" applyBorder="1" applyAlignment="1">
      <alignment vertical="top" wrapText="1" readingOrder="1"/>
    </xf>
    <xf numFmtId="178" fontId="1" fillId="3" borderId="5" xfId="0" applyNumberFormat="1" applyFont="1" applyFill="1" applyBorder="1" applyAlignment="1">
      <alignment vertical="top" wrapText="1" readingOrder="1"/>
    </xf>
    <xf numFmtId="0" fontId="1" fillId="4" borderId="5" xfId="0" applyNumberFormat="1" applyFont="1" applyFill="1" applyBorder="1" applyAlignment="1">
      <alignment horizontal="left" vertical="top" wrapText="1" readingOrder="1"/>
    </xf>
    <xf numFmtId="0" fontId="1" fillId="4" borderId="5" xfId="0" applyNumberFormat="1" applyFont="1" applyFill="1" applyBorder="1" applyAlignment="1">
      <alignment vertical="top" wrapText="1" readingOrder="1"/>
    </xf>
    <xf numFmtId="178" fontId="1" fillId="4" borderId="5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9" fontId="1" fillId="0" borderId="1" xfId="0" applyNumberFormat="1" applyFont="1" applyFill="1" applyBorder="1" applyAlignment="1">
      <alignment horizontal="left"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 readingOrder="1"/>
    </xf>
    <xf numFmtId="179" fontId="1" fillId="0" borderId="1" xfId="0" applyNumberFormat="1" applyFont="1" applyFill="1" applyBorder="1" applyAlignment="1">
      <alignment vertical="top" wrapText="1" readingOrder="1"/>
    </xf>
    <xf numFmtId="178" fontId="1" fillId="0" borderId="1" xfId="0" applyNumberFormat="1" applyFont="1" applyFill="1" applyBorder="1" applyAlignment="1">
      <alignment vertical="top" wrapText="1" readingOrder="1"/>
    </xf>
    <xf numFmtId="0" fontId="8" fillId="3" borderId="1" xfId="49" applyNumberFormat="1" applyFont="1" applyFill="1" applyBorder="1" applyAlignment="1">
      <alignment vertical="top" wrapText="1" readingOrder="1"/>
    </xf>
    <xf numFmtId="0" fontId="2" fillId="2" borderId="1" xfId="49" applyNumberFormat="1" applyFont="1" applyFill="1" applyBorder="1" applyAlignment="1">
      <alignment vertical="top" wrapText="1" readingOrder="1"/>
    </xf>
    <xf numFmtId="0" fontId="2" fillId="2" borderId="1" xfId="49" applyNumberFormat="1" applyFont="1" applyFill="1" applyBorder="1" applyAlignment="1">
      <alignment horizontal="center" vertical="top" wrapText="1" readingOrder="1"/>
    </xf>
    <xf numFmtId="176" fontId="2" fillId="2" borderId="1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2:12">
      <c r="C1" s="12" t="s">
        <v>0</v>
      </c>
    </row>
    <row r="2" ht="23.05" customHeight="1"/>
    <row r="3" ht="2" customHeight="1"/>
    <row r="4" ht="15.2" customHeight="1" spans="2:12">
      <c r="B4" s="13" t="s">
        <v>1</v>
      </c>
    </row>
    <row r="6" ht="2.95" customHeight="1"/>
    <row r="7" ht="3.95" customHeight="1" spans="2:12">
      <c r="B7" s="15" t="s">
        <v>2</v>
      </c>
      <c r="C7" s="15" t="s">
        <v>2</v>
      </c>
      <c r="D7" s="15" t="s">
        <v>2</v>
      </c>
      <c r="E7" s="15" t="s">
        <v>2</v>
      </c>
      <c r="F7" s="15" t="s">
        <v>2</v>
      </c>
      <c r="G7" s="15" t="s">
        <v>2</v>
      </c>
      <c r="H7" s="15" t="s">
        <v>2</v>
      </c>
      <c r="I7" s="15" t="s">
        <v>2</v>
      </c>
      <c r="J7" s="15" t="s">
        <v>2</v>
      </c>
      <c r="K7" s="15" t="s">
        <v>2</v>
      </c>
    </row>
    <row r="8" ht="15" spans="2:12">
      <c r="C8" s="14" t="s">
        <v>2</v>
      </c>
      <c r="D8" s="47" t="s">
        <v>3</v>
      </c>
      <c r="E8" s="19" t="s">
        <v>2</v>
      </c>
      <c r="F8" s="19" t="s">
        <v>2</v>
      </c>
      <c r="G8" s="19" t="s">
        <v>2</v>
      </c>
      <c r="H8" s="19" t="s">
        <v>2</v>
      </c>
      <c r="I8" s="48"/>
      <c r="J8" s="49"/>
      <c r="K8" s="49"/>
    </row>
    <row r="9" spans="2:12">
      <c r="C9" s="14" t="s">
        <v>2</v>
      </c>
      <c r="D9" s="24" t="s">
        <v>4</v>
      </c>
      <c r="E9" s="24" t="s">
        <v>5</v>
      </c>
      <c r="F9" s="24" t="s">
        <v>6</v>
      </c>
      <c r="G9" s="24" t="s">
        <v>7</v>
      </c>
      <c r="H9" s="24" t="s">
        <v>8</v>
      </c>
      <c r="I9" s="24" t="s">
        <v>9</v>
      </c>
      <c r="J9" s="24" t="s">
        <v>10</v>
      </c>
      <c r="K9" s="24" t="s">
        <v>11</v>
      </c>
    </row>
    <row r="10" ht="14.25" spans="2:12">
      <c r="D10" s="18" t="s">
        <v>12</v>
      </c>
      <c r="E10" s="19" t="s">
        <v>2</v>
      </c>
      <c r="F10" s="19" t="s">
        <v>2</v>
      </c>
      <c r="G10" s="19" t="s">
        <v>2</v>
      </c>
      <c r="H10" s="19" t="s">
        <v>2</v>
      </c>
      <c r="I10" s="20">
        <v>40</v>
      </c>
      <c r="J10" s="21"/>
      <c r="K10" s="21">
        <v>100</v>
      </c>
      <c r="L10">
        <f>K10+DSA!K8+彩超室!K8+放疗科!K8+供应室!K8+结核2!K8+呼吸三病区!K8+呼吸一病区!K8+外1!K8+外2!K8+外3!K8+结核三病区!K8+门急诊!K8+腔镜室!K8+手术室!K8+术后监护病房!K8+心内科!K8+肿一!K8+外来!H2</f>
        <v>9380.5</v>
      </c>
    </row>
    <row r="11" spans="2:12">
      <c r="D11" s="22">
        <v>46113</v>
      </c>
      <c r="E11" s="23">
        <v>1591226</v>
      </c>
      <c r="F11" s="23" t="s">
        <v>13</v>
      </c>
      <c r="G11" s="24">
        <v>20407048</v>
      </c>
      <c r="H11" s="23" t="s">
        <v>14</v>
      </c>
      <c r="I11" s="24">
        <v>10</v>
      </c>
      <c r="J11" s="25">
        <v>2.5</v>
      </c>
      <c r="K11" s="25">
        <v>25</v>
      </c>
    </row>
    <row r="12" spans="2:12">
      <c r="D12" s="22">
        <v>46134</v>
      </c>
      <c r="E12" s="23">
        <v>1597296</v>
      </c>
      <c r="F12" s="23" t="s">
        <v>13</v>
      </c>
      <c r="G12" s="24">
        <v>20407048</v>
      </c>
      <c r="H12" s="23" t="s">
        <v>14</v>
      </c>
      <c r="I12" s="24">
        <v>30</v>
      </c>
      <c r="J12" s="25">
        <v>2.5</v>
      </c>
      <c r="K12" s="25">
        <v>75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15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2</v>
      </c>
      <c r="J8" s="21"/>
      <c r="K8" s="21">
        <v>33</v>
      </c>
    </row>
    <row r="9" spans="1:11">
      <c r="D9" s="22">
        <v>46137</v>
      </c>
      <c r="E9" s="23">
        <v>1598080</v>
      </c>
      <c r="F9" s="23" t="s">
        <v>16</v>
      </c>
      <c r="G9" s="24">
        <v>20013166</v>
      </c>
      <c r="H9" s="23" t="s">
        <v>17</v>
      </c>
      <c r="I9" s="24">
        <v>1</v>
      </c>
      <c r="J9" s="25">
        <v>16.5</v>
      </c>
      <c r="K9" s="25">
        <v>16.5</v>
      </c>
    </row>
    <row r="10" spans="1:11">
      <c r="D10" s="22">
        <v>46137</v>
      </c>
      <c r="E10" s="23">
        <v>1598080</v>
      </c>
      <c r="F10" s="23" t="s">
        <v>16</v>
      </c>
      <c r="G10" s="24">
        <v>20313403</v>
      </c>
      <c r="H10" s="23" t="s">
        <v>18</v>
      </c>
      <c r="I10" s="24">
        <v>1</v>
      </c>
      <c r="J10" s="25">
        <v>16.5</v>
      </c>
      <c r="K10" s="25">
        <v>16.5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13" sqref="M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19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30</v>
      </c>
      <c r="J8" s="21"/>
      <c r="K8" s="21">
        <v>75</v>
      </c>
    </row>
    <row r="9" spans="1:11">
      <c r="D9" s="22">
        <v>46122</v>
      </c>
      <c r="E9" s="23">
        <v>1593849</v>
      </c>
      <c r="F9" s="23" t="s">
        <v>13</v>
      </c>
      <c r="G9" s="24">
        <v>20407048</v>
      </c>
      <c r="H9" s="23" t="s">
        <v>14</v>
      </c>
      <c r="I9" s="24">
        <v>30</v>
      </c>
      <c r="J9" s="25">
        <v>2.5</v>
      </c>
      <c r="K9" s="25">
        <v>75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9" sqref="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20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</v>
      </c>
      <c r="J8" s="21"/>
      <c r="K8" s="21">
        <v>16.5</v>
      </c>
    </row>
    <row r="9" spans="1:11">
      <c r="D9" s="22">
        <v>46121</v>
      </c>
      <c r="E9" s="23">
        <v>1593116</v>
      </c>
      <c r="F9" s="23" t="s">
        <v>16</v>
      </c>
      <c r="G9" s="24">
        <v>20013166</v>
      </c>
      <c r="H9" s="23" t="s">
        <v>17</v>
      </c>
      <c r="I9" s="24">
        <v>1</v>
      </c>
      <c r="J9" s="25">
        <v>16.5</v>
      </c>
      <c r="K9" s="25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21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17</v>
      </c>
      <c r="J8" s="21"/>
      <c r="K8" s="21">
        <v>222.5</v>
      </c>
    </row>
    <row r="9" ht="24.75" spans="1:11">
      <c r="D9" s="22">
        <v>46113</v>
      </c>
      <c r="E9" s="23">
        <v>1590942</v>
      </c>
      <c r="F9" s="23" t="s">
        <v>22</v>
      </c>
      <c r="G9" s="24">
        <v>20013126</v>
      </c>
      <c r="H9" s="23" t="s">
        <v>23</v>
      </c>
      <c r="I9" s="24">
        <v>2</v>
      </c>
      <c r="J9" s="25">
        <v>25</v>
      </c>
      <c r="K9" s="25">
        <v>50</v>
      </c>
    </row>
    <row r="10" ht="24.75" spans="1:11">
      <c r="D10" s="22">
        <v>46113</v>
      </c>
      <c r="E10" s="23">
        <v>1591227</v>
      </c>
      <c r="F10" s="23" t="s">
        <v>22</v>
      </c>
      <c r="G10" s="24">
        <v>20013126</v>
      </c>
      <c r="H10" s="23" t="s">
        <v>23</v>
      </c>
      <c r="I10" s="24">
        <v>1</v>
      </c>
      <c r="J10" s="25">
        <v>25</v>
      </c>
      <c r="K10" s="25">
        <v>25</v>
      </c>
    </row>
    <row r="11" ht="24.75" spans="1:11">
      <c r="D11" s="22">
        <v>46120</v>
      </c>
      <c r="E11" s="23">
        <v>1593040</v>
      </c>
      <c r="F11" s="23" t="s">
        <v>22</v>
      </c>
      <c r="G11" s="24">
        <v>20013126</v>
      </c>
      <c r="H11" s="23" t="s">
        <v>23</v>
      </c>
      <c r="I11" s="24">
        <v>1</v>
      </c>
      <c r="J11" s="25">
        <v>25</v>
      </c>
      <c r="K11" s="25">
        <v>25</v>
      </c>
    </row>
    <row r="12" spans="1:11">
      <c r="D12" s="22">
        <v>46120</v>
      </c>
      <c r="E12" s="23">
        <v>1593040</v>
      </c>
      <c r="F12" s="23" t="s">
        <v>13</v>
      </c>
      <c r="G12" s="24">
        <v>20313477</v>
      </c>
      <c r="H12" s="23" t="s">
        <v>24</v>
      </c>
      <c r="I12" s="24">
        <v>4</v>
      </c>
      <c r="J12" s="25">
        <v>2.5</v>
      </c>
      <c r="K12" s="25">
        <f>J12*I12</f>
        <v>10</v>
      </c>
    </row>
    <row r="13" ht="24.75" spans="1:11">
      <c r="D13" s="22">
        <v>46126</v>
      </c>
      <c r="E13" s="23">
        <v>1594849</v>
      </c>
      <c r="F13" s="23" t="s">
        <v>22</v>
      </c>
      <c r="G13" s="24">
        <v>20013126</v>
      </c>
      <c r="H13" s="23" t="s">
        <v>23</v>
      </c>
      <c r="I13" s="24">
        <v>1</v>
      </c>
      <c r="J13" s="25">
        <v>25</v>
      </c>
      <c r="K13" s="25">
        <v>25</v>
      </c>
    </row>
    <row r="14" ht="24.75" spans="1:11">
      <c r="D14" s="22">
        <v>46133</v>
      </c>
      <c r="E14" s="23">
        <v>1596588</v>
      </c>
      <c r="F14" s="23" t="s">
        <v>22</v>
      </c>
      <c r="G14" s="24">
        <v>20013126</v>
      </c>
      <c r="H14" s="23" t="s">
        <v>23</v>
      </c>
      <c r="I14" s="24">
        <v>1</v>
      </c>
      <c r="J14" s="25">
        <v>25</v>
      </c>
      <c r="K14" s="25">
        <v>25</v>
      </c>
    </row>
    <row r="15" ht="24.75" spans="1:11">
      <c r="D15" s="22">
        <v>46134</v>
      </c>
      <c r="E15" s="23">
        <v>1597297</v>
      </c>
      <c r="F15" s="23" t="s">
        <v>22</v>
      </c>
      <c r="G15" s="24">
        <v>20013126</v>
      </c>
      <c r="H15" s="23" t="s">
        <v>23</v>
      </c>
      <c r="I15" s="24">
        <v>1</v>
      </c>
      <c r="J15" s="25">
        <v>25</v>
      </c>
      <c r="K15" s="25">
        <v>25</v>
      </c>
    </row>
    <row r="16" spans="1:11">
      <c r="D16" s="22">
        <v>46134</v>
      </c>
      <c r="E16" s="23">
        <v>1597297</v>
      </c>
      <c r="F16" s="23" t="s">
        <v>13</v>
      </c>
      <c r="G16" s="24">
        <v>20313478</v>
      </c>
      <c r="H16" s="23" t="s">
        <v>25</v>
      </c>
      <c r="I16" s="24">
        <v>5</v>
      </c>
      <c r="J16" s="25">
        <v>2.5</v>
      </c>
      <c r="K16" s="25">
        <v>12.5</v>
      </c>
    </row>
    <row r="17" ht="24.75" spans="4:11">
      <c r="D17" s="22">
        <v>46141</v>
      </c>
      <c r="E17" s="23">
        <v>1599020</v>
      </c>
      <c r="F17" s="23" t="s">
        <v>22</v>
      </c>
      <c r="G17" s="24">
        <v>20013126</v>
      </c>
      <c r="H17" s="23" t="s">
        <v>23</v>
      </c>
      <c r="I17" s="24">
        <v>1</v>
      </c>
      <c r="J17" s="25">
        <v>25</v>
      </c>
      <c r="K17" s="25">
        <v>25</v>
      </c>
    </row>
    <row r="18" ht="0.05" customHeight="1"/>
  </sheetData>
  <mergeCells count="5">
    <mergeCell ref="D8:H8"/>
    <mergeCell ref="C7:C17"/>
    <mergeCell ref="B4:H5"/>
    <mergeCell ref="C1:H2"/>
    <mergeCell ref="A7:B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view="pageBreakPreview" zoomScaleNormal="100" workbookViewId="0">
      <selection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customFormat="1" spans="1:11">
      <c r="C1" s="12" t="s">
        <v>0</v>
      </c>
    </row>
    <row r="2" ht="23.05" customHeight="1"/>
    <row r="3" ht="2" customHeight="1"/>
    <row r="4" customFormat="1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customFormat="1" ht="14.25" spans="1:11">
      <c r="D8" s="46" t="s">
        <v>26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3</v>
      </c>
      <c r="J8" s="21"/>
      <c r="K8" s="21">
        <v>40.5</v>
      </c>
    </row>
    <row r="9" customFormat="1" spans="1:11">
      <c r="D9" s="22">
        <v>46113</v>
      </c>
      <c r="E9" s="23">
        <v>1590942</v>
      </c>
      <c r="F9" s="23" t="s">
        <v>27</v>
      </c>
      <c r="G9" s="24">
        <v>20313449</v>
      </c>
      <c r="H9" s="23" t="s">
        <v>28</v>
      </c>
      <c r="I9" s="24">
        <v>1</v>
      </c>
      <c r="J9" s="25">
        <v>13.5</v>
      </c>
      <c r="K9" s="25">
        <v>13.5</v>
      </c>
    </row>
    <row r="10" customFormat="1" spans="1:11">
      <c r="D10" s="22">
        <v>46115</v>
      </c>
      <c r="E10" s="23">
        <v>1591666</v>
      </c>
      <c r="F10" s="23" t="s">
        <v>27</v>
      </c>
      <c r="G10" s="24">
        <v>20313449</v>
      </c>
      <c r="H10" s="23" t="s">
        <v>28</v>
      </c>
      <c r="I10" s="24">
        <v>1</v>
      </c>
      <c r="J10" s="25">
        <v>13.5</v>
      </c>
      <c r="K10" s="25">
        <v>13.5</v>
      </c>
    </row>
    <row r="11" customFormat="1" spans="1:11">
      <c r="D11" s="22">
        <v>46115</v>
      </c>
      <c r="E11" s="23">
        <v>1592000</v>
      </c>
      <c r="F11" s="23" t="s">
        <v>27</v>
      </c>
      <c r="G11" s="24">
        <v>20313449</v>
      </c>
      <c r="H11" s="23" t="s">
        <v>28</v>
      </c>
      <c r="I11" s="24">
        <v>1</v>
      </c>
      <c r="J11" s="25">
        <v>13.5</v>
      </c>
      <c r="K11" s="25">
        <v>13.5</v>
      </c>
    </row>
  </sheetData>
  <mergeCells count="5">
    <mergeCell ref="D8:H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29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</v>
      </c>
      <c r="J8" s="21"/>
      <c r="K8" s="21">
        <v>16.5</v>
      </c>
    </row>
    <row r="9" spans="1:11">
      <c r="D9" s="22">
        <v>46120</v>
      </c>
      <c r="E9" s="23">
        <v>1592698</v>
      </c>
      <c r="F9" s="23" t="s">
        <v>16</v>
      </c>
      <c r="G9" s="24">
        <v>20013166</v>
      </c>
      <c r="H9" s="23" t="s">
        <v>17</v>
      </c>
      <c r="I9" s="24">
        <v>1</v>
      </c>
      <c r="J9" s="25">
        <v>16.5</v>
      </c>
      <c r="K9" s="25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30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</v>
      </c>
      <c r="J8" s="21"/>
      <c r="K8" s="21">
        <v>16.5</v>
      </c>
    </row>
    <row r="9" spans="1:11">
      <c r="D9" s="22">
        <v>46135</v>
      </c>
      <c r="E9" s="23">
        <v>1597652</v>
      </c>
      <c r="F9" s="23" t="s">
        <v>16</v>
      </c>
      <c r="G9" s="24">
        <v>20013166</v>
      </c>
      <c r="H9" s="23" t="s">
        <v>17</v>
      </c>
      <c r="I9" s="24">
        <v>1</v>
      </c>
      <c r="J9" s="25">
        <v>16.5</v>
      </c>
      <c r="K9" s="25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view="pageBreakPreview" zoomScaleNormal="100" workbookViewId="0">
      <selection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customFormat="1" spans="1:11">
      <c r="C1" s="12" t="s">
        <v>0</v>
      </c>
    </row>
    <row r="2" ht="23.05" customHeight="1"/>
    <row r="3" ht="2" customHeight="1"/>
    <row r="4" customFormat="1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customFormat="1" ht="14.25" spans="1:11">
      <c r="D8" s="46" t="s">
        <v>31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10</v>
      </c>
      <c r="J8" s="21"/>
      <c r="K8" s="21">
        <v>185</v>
      </c>
    </row>
    <row r="9" customFormat="1" spans="1:11">
      <c r="D9" s="22">
        <v>46113</v>
      </c>
      <c r="E9" s="23">
        <v>1591228</v>
      </c>
      <c r="F9" s="23" t="s">
        <v>13</v>
      </c>
      <c r="G9" s="24">
        <v>20313478</v>
      </c>
      <c r="H9" s="23" t="s">
        <v>25</v>
      </c>
      <c r="I9" s="24">
        <v>5</v>
      </c>
      <c r="J9" s="25">
        <v>2.5</v>
      </c>
      <c r="K9" s="25">
        <f>J9*I9</f>
        <v>12.5</v>
      </c>
    </row>
    <row r="10" customFormat="1" spans="1:11">
      <c r="D10" s="22">
        <v>46115</v>
      </c>
      <c r="E10" s="23">
        <v>1592001</v>
      </c>
      <c r="F10" s="23" t="s">
        <v>27</v>
      </c>
      <c r="G10" s="24">
        <v>20313449</v>
      </c>
      <c r="H10" s="23" t="s">
        <v>28</v>
      </c>
      <c r="I10" s="24">
        <v>1</v>
      </c>
      <c r="J10" s="25">
        <v>13.5</v>
      </c>
      <c r="K10" s="25">
        <v>13.5</v>
      </c>
    </row>
    <row r="11" customFormat="1" spans="1:11">
      <c r="D11" s="22">
        <v>46125</v>
      </c>
      <c r="E11" s="23">
        <v>1594454</v>
      </c>
      <c r="F11" s="23" t="s">
        <v>27</v>
      </c>
      <c r="G11" s="24">
        <v>20313740</v>
      </c>
      <c r="H11" s="23" t="s">
        <v>32</v>
      </c>
      <c r="I11" s="24">
        <v>1</v>
      </c>
      <c r="J11" s="25">
        <v>8</v>
      </c>
      <c r="K11" s="25">
        <v>8</v>
      </c>
    </row>
    <row r="12" customFormat="1" spans="1:11">
      <c r="D12" s="22">
        <v>46134</v>
      </c>
      <c r="E12" s="23">
        <v>1596913</v>
      </c>
      <c r="F12" s="23" t="s">
        <v>33</v>
      </c>
      <c r="G12" s="24">
        <v>20013122</v>
      </c>
      <c r="H12" s="23" t="s">
        <v>34</v>
      </c>
      <c r="I12" s="24">
        <v>2</v>
      </c>
      <c r="J12" s="25">
        <v>71.5</v>
      </c>
      <c r="K12" s="25">
        <v>143</v>
      </c>
    </row>
    <row r="13" customFormat="1" spans="1:11">
      <c r="D13" s="22">
        <v>46140</v>
      </c>
      <c r="E13" s="23">
        <v>1598586</v>
      </c>
      <c r="F13" s="23" t="s">
        <v>13</v>
      </c>
      <c r="G13" s="24">
        <v>20313459</v>
      </c>
      <c r="H13" s="23" t="s">
        <v>35</v>
      </c>
      <c r="I13" s="24">
        <v>1</v>
      </c>
      <c r="J13" s="25">
        <v>8</v>
      </c>
      <c r="K13" s="25">
        <v>8</v>
      </c>
    </row>
  </sheetData>
  <autoFilter xmlns:etc="http://www.wps.cn/officeDocument/2017/etCustomData" ref="A7:K13" etc:filterBottomFollowUsedRange="0">
    <extLst/>
  </autoFilter>
  <mergeCells count="5">
    <mergeCell ref="D8:H8"/>
    <mergeCell ref="C7:C13"/>
    <mergeCell ref="C1:H2"/>
    <mergeCell ref="B4:H5"/>
    <mergeCell ref="A7:B13"/>
  </mergeCells>
  <pageMargins left="0.25" right="0.25" top="0.75" bottom="0.75" header="0.298611111111111" footer="0.298611111111111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view="pageBreakPreview" zoomScaleNormal="100" workbookViewId="0">
      <selection activeCell="K22" sqref="K9: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customFormat="1" spans="1:11">
      <c r="C1" s="12" t="s">
        <v>0</v>
      </c>
    </row>
    <row r="2" ht="23.05" customHeight="1"/>
    <row r="3" ht="2" customHeight="1"/>
    <row r="4" customFormat="1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customFormat="1" ht="14.25" spans="1:11">
      <c r="D8" s="46" t="s">
        <v>36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32</v>
      </c>
      <c r="J8" s="21"/>
      <c r="K8" s="21">
        <v>891</v>
      </c>
    </row>
    <row r="9" customFormat="1" spans="1:11">
      <c r="D9" s="22">
        <v>46113</v>
      </c>
      <c r="E9" s="23">
        <v>1590943</v>
      </c>
      <c r="F9" s="23" t="s">
        <v>33</v>
      </c>
      <c r="G9" s="24">
        <v>20013122</v>
      </c>
      <c r="H9" s="23" t="s">
        <v>34</v>
      </c>
      <c r="I9" s="24">
        <v>4</v>
      </c>
      <c r="J9" s="25">
        <v>71.5</v>
      </c>
      <c r="K9" s="25">
        <v>286</v>
      </c>
    </row>
    <row r="10" customFormat="1" spans="1:11">
      <c r="D10" s="22">
        <v>46113</v>
      </c>
      <c r="E10" s="23">
        <v>1591228</v>
      </c>
      <c r="F10" s="23" t="s">
        <v>27</v>
      </c>
      <c r="G10" s="24">
        <v>20313449</v>
      </c>
      <c r="H10" s="23" t="s">
        <v>28</v>
      </c>
      <c r="I10" s="24">
        <v>2</v>
      </c>
      <c r="J10" s="25">
        <v>13.5</v>
      </c>
      <c r="K10" s="25">
        <v>27</v>
      </c>
    </row>
    <row r="11" customFormat="1" spans="1:11">
      <c r="D11" s="22">
        <v>46113</v>
      </c>
      <c r="E11" s="23">
        <v>1591228</v>
      </c>
      <c r="F11" s="23" t="s">
        <v>33</v>
      </c>
      <c r="G11" s="24">
        <v>20013122</v>
      </c>
      <c r="H11" s="23" t="s">
        <v>34</v>
      </c>
      <c r="I11" s="24">
        <v>1</v>
      </c>
      <c r="J11" s="25">
        <v>71.5</v>
      </c>
      <c r="K11" s="25">
        <v>71.5</v>
      </c>
    </row>
    <row r="12" customFormat="1" spans="1:11">
      <c r="D12" s="22">
        <v>46113</v>
      </c>
      <c r="E12" s="23">
        <v>1591228</v>
      </c>
      <c r="F12" s="23" t="s">
        <v>13</v>
      </c>
      <c r="G12" s="24">
        <v>20313478</v>
      </c>
      <c r="H12" s="23" t="s">
        <v>25</v>
      </c>
      <c r="I12" s="24">
        <v>10</v>
      </c>
      <c r="J12" s="25">
        <v>2.5</v>
      </c>
      <c r="K12" s="25">
        <f>J12*I12</f>
        <v>25</v>
      </c>
    </row>
    <row r="13" customFormat="1" spans="1:11">
      <c r="D13" s="22">
        <v>46115</v>
      </c>
      <c r="E13" s="23">
        <v>1591667</v>
      </c>
      <c r="F13" s="23" t="s">
        <v>27</v>
      </c>
      <c r="G13" s="24">
        <v>20313449</v>
      </c>
      <c r="H13" s="23" t="s">
        <v>28</v>
      </c>
      <c r="I13" s="24">
        <v>3</v>
      </c>
      <c r="J13" s="25">
        <v>13.5</v>
      </c>
      <c r="K13" s="25">
        <v>40.5</v>
      </c>
    </row>
    <row r="14" customFormat="1" spans="1:11">
      <c r="D14" s="22">
        <v>46120</v>
      </c>
      <c r="E14" s="23">
        <v>1593039</v>
      </c>
      <c r="F14" s="23" t="s">
        <v>33</v>
      </c>
      <c r="G14" s="24">
        <v>20013122</v>
      </c>
      <c r="H14" s="23" t="s">
        <v>34</v>
      </c>
      <c r="I14" s="24">
        <v>2</v>
      </c>
      <c r="J14" s="25">
        <v>71.5</v>
      </c>
      <c r="K14" s="25">
        <v>143</v>
      </c>
    </row>
    <row r="15" customFormat="1" spans="1:11">
      <c r="D15" s="22">
        <v>46121</v>
      </c>
      <c r="E15" s="23">
        <v>1593117</v>
      </c>
      <c r="F15" s="23" t="s">
        <v>27</v>
      </c>
      <c r="G15" s="24">
        <v>20313449</v>
      </c>
      <c r="H15" s="23" t="s">
        <v>28</v>
      </c>
      <c r="I15" s="24">
        <v>2</v>
      </c>
      <c r="J15" s="25">
        <v>13.5</v>
      </c>
      <c r="K15" s="25">
        <v>27</v>
      </c>
    </row>
    <row r="16" customFormat="1" spans="1:11">
      <c r="D16" s="22">
        <v>46125</v>
      </c>
      <c r="E16" s="23">
        <v>1594454</v>
      </c>
      <c r="F16" s="23" t="s">
        <v>27</v>
      </c>
      <c r="G16" s="24">
        <v>20313449</v>
      </c>
      <c r="H16" s="23" t="s">
        <v>28</v>
      </c>
      <c r="I16" s="24">
        <v>1</v>
      </c>
      <c r="J16" s="25">
        <v>13.5</v>
      </c>
      <c r="K16" s="25">
        <v>13.5</v>
      </c>
    </row>
    <row r="17" customFormat="1" spans="4:11">
      <c r="D17" s="22">
        <v>46125</v>
      </c>
      <c r="E17" s="23">
        <v>1594454</v>
      </c>
      <c r="F17" s="23" t="s">
        <v>33</v>
      </c>
      <c r="G17" s="24">
        <v>20013122</v>
      </c>
      <c r="H17" s="23" t="s">
        <v>34</v>
      </c>
      <c r="I17" s="24">
        <v>1</v>
      </c>
      <c r="J17" s="25">
        <v>71.5</v>
      </c>
      <c r="K17" s="25">
        <v>71.5</v>
      </c>
    </row>
    <row r="18" customFormat="1" spans="4:11">
      <c r="D18" s="22">
        <v>46126</v>
      </c>
      <c r="E18" s="23">
        <v>1594850</v>
      </c>
      <c r="F18" s="23" t="s">
        <v>27</v>
      </c>
      <c r="G18" s="24">
        <v>20313449</v>
      </c>
      <c r="H18" s="23" t="s">
        <v>28</v>
      </c>
      <c r="I18" s="24">
        <v>1</v>
      </c>
      <c r="J18" s="25">
        <v>13.5</v>
      </c>
      <c r="K18" s="25">
        <v>13.5</v>
      </c>
    </row>
    <row r="19" customFormat="1" spans="4:11">
      <c r="D19" s="22">
        <v>46126</v>
      </c>
      <c r="E19" s="23">
        <v>1594850</v>
      </c>
      <c r="F19" s="23" t="s">
        <v>33</v>
      </c>
      <c r="G19" s="24">
        <v>20013122</v>
      </c>
      <c r="H19" s="23" t="s">
        <v>34</v>
      </c>
      <c r="I19" s="24">
        <v>1</v>
      </c>
      <c r="J19" s="25">
        <v>71.5</v>
      </c>
      <c r="K19" s="25">
        <v>71.5</v>
      </c>
    </row>
    <row r="20" customFormat="1" spans="4:11">
      <c r="D20" s="22">
        <v>46129</v>
      </c>
      <c r="E20" s="23">
        <v>1595947</v>
      </c>
      <c r="F20" s="23" t="s">
        <v>33</v>
      </c>
      <c r="G20" s="24">
        <v>20013122</v>
      </c>
      <c r="H20" s="23" t="s">
        <v>34</v>
      </c>
      <c r="I20" s="24">
        <v>1</v>
      </c>
      <c r="J20" s="25">
        <v>71.5</v>
      </c>
      <c r="K20" s="25">
        <v>71.5</v>
      </c>
    </row>
    <row r="21" customFormat="1" spans="4:11">
      <c r="D21" s="22">
        <v>46140</v>
      </c>
      <c r="E21" s="23">
        <v>1598586</v>
      </c>
      <c r="F21" s="23" t="s">
        <v>13</v>
      </c>
      <c r="G21" s="24">
        <v>20313459</v>
      </c>
      <c r="H21" s="23" t="s">
        <v>35</v>
      </c>
      <c r="I21" s="24">
        <v>2</v>
      </c>
      <c r="J21" s="25">
        <v>8</v>
      </c>
      <c r="K21" s="25">
        <v>16</v>
      </c>
    </row>
    <row r="22" customFormat="1" spans="4:11">
      <c r="D22" s="22">
        <v>46142</v>
      </c>
      <c r="E22" s="23">
        <v>1599811</v>
      </c>
      <c r="F22" s="23" t="s">
        <v>27</v>
      </c>
      <c r="G22" s="24">
        <v>20313449</v>
      </c>
      <c r="H22" s="23" t="s">
        <v>28</v>
      </c>
      <c r="I22" s="24">
        <v>1</v>
      </c>
      <c r="J22" s="25">
        <v>13.5</v>
      </c>
      <c r="K22" s="25">
        <v>13.5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C1:H2"/>
    <mergeCell ref="B4:H5"/>
    <mergeCell ref="A7:B22"/>
  </mergeCells>
  <pageMargins left="0.25" right="0.25" top="0.75" bottom="0.75" header="0.298611111111111" footer="0.298611111111111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view="pageBreakPreview" zoomScaleNormal="100" workbookViewId="0">
      <selection activeCell="K18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customFormat="1" spans="1:11">
      <c r="C1" s="12" t="s">
        <v>0</v>
      </c>
    </row>
    <row r="2" ht="23.05" customHeight="1"/>
    <row r="3" ht="2" customHeight="1"/>
    <row r="4" customFormat="1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customFormat="1" ht="14.25" spans="1:11">
      <c r="D8" s="46" t="s">
        <v>37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19</v>
      </c>
      <c r="J8" s="21"/>
      <c r="K8" s="21">
        <v>306.5</v>
      </c>
    </row>
    <row r="9" customFormat="1" spans="1:11">
      <c r="D9" s="22">
        <v>46113</v>
      </c>
      <c r="E9" s="23">
        <v>1591228</v>
      </c>
      <c r="F9" s="23" t="s">
        <v>13</v>
      </c>
      <c r="G9" s="24">
        <v>20313478</v>
      </c>
      <c r="H9" s="23" t="s">
        <v>25</v>
      </c>
      <c r="I9" s="24">
        <v>4</v>
      </c>
      <c r="J9" s="25">
        <v>2.5</v>
      </c>
      <c r="K9" s="25">
        <f>J9*I9</f>
        <v>10</v>
      </c>
    </row>
    <row r="10" customFormat="1" spans="1:11">
      <c r="D10" s="22">
        <v>46113</v>
      </c>
      <c r="E10" s="23">
        <v>1591244</v>
      </c>
      <c r="F10" s="23" t="s">
        <v>13</v>
      </c>
      <c r="G10" s="24">
        <v>20313478</v>
      </c>
      <c r="H10" s="23" t="s">
        <v>25</v>
      </c>
      <c r="I10" s="24">
        <v>1</v>
      </c>
      <c r="J10" s="25">
        <v>2.5</v>
      </c>
      <c r="K10" s="25">
        <v>2.5</v>
      </c>
    </row>
    <row r="11" customFormat="1" spans="1:11">
      <c r="D11" s="22">
        <v>46120</v>
      </c>
      <c r="E11" s="23">
        <v>1592699</v>
      </c>
      <c r="F11" s="23" t="s">
        <v>27</v>
      </c>
      <c r="G11" s="24">
        <v>20313449</v>
      </c>
      <c r="H11" s="23" t="s">
        <v>28</v>
      </c>
      <c r="I11" s="24">
        <v>3</v>
      </c>
      <c r="J11" s="25">
        <v>13.5</v>
      </c>
      <c r="K11" s="25">
        <v>40.5</v>
      </c>
    </row>
    <row r="12" customFormat="1" spans="1:11">
      <c r="D12" s="22">
        <v>46127</v>
      </c>
      <c r="E12" s="23">
        <v>1595206</v>
      </c>
      <c r="F12" s="23" t="s">
        <v>27</v>
      </c>
      <c r="G12" s="24">
        <v>20313449</v>
      </c>
      <c r="H12" s="23" t="s">
        <v>28</v>
      </c>
      <c r="I12" s="24">
        <v>2</v>
      </c>
      <c r="J12" s="25">
        <v>13.5</v>
      </c>
      <c r="K12" s="25">
        <v>27</v>
      </c>
    </row>
    <row r="13" customFormat="1" spans="1:11">
      <c r="D13" s="22">
        <v>46133</v>
      </c>
      <c r="E13" s="23">
        <v>1596589</v>
      </c>
      <c r="F13" s="23" t="s">
        <v>33</v>
      </c>
      <c r="G13" s="24">
        <v>20013122</v>
      </c>
      <c r="H13" s="23" t="s">
        <v>34</v>
      </c>
      <c r="I13" s="24">
        <v>1</v>
      </c>
      <c r="J13" s="25">
        <v>71.5</v>
      </c>
      <c r="K13" s="25">
        <v>71.5</v>
      </c>
    </row>
    <row r="14" customFormat="1" spans="1:11">
      <c r="D14" s="22">
        <v>46134</v>
      </c>
      <c r="E14" s="23">
        <v>1596913</v>
      </c>
      <c r="F14" s="23" t="s">
        <v>27</v>
      </c>
      <c r="G14" s="24">
        <v>20313449</v>
      </c>
      <c r="H14" s="23" t="s">
        <v>28</v>
      </c>
      <c r="I14" s="24">
        <v>1</v>
      </c>
      <c r="J14" s="25">
        <v>13.5</v>
      </c>
      <c r="K14" s="25">
        <v>13.5</v>
      </c>
    </row>
    <row r="15" customFormat="1" spans="1:11">
      <c r="D15" s="22">
        <v>46140</v>
      </c>
      <c r="E15" s="23">
        <v>1598586</v>
      </c>
      <c r="F15" s="23" t="s">
        <v>27</v>
      </c>
      <c r="G15" s="24">
        <v>20313449</v>
      </c>
      <c r="H15" s="23" t="s">
        <v>28</v>
      </c>
      <c r="I15" s="24">
        <v>2</v>
      </c>
      <c r="J15" s="25">
        <v>13.5</v>
      </c>
      <c r="K15" s="25">
        <v>27</v>
      </c>
    </row>
    <row r="16" customFormat="1" spans="1:11">
      <c r="D16" s="22">
        <v>46140</v>
      </c>
      <c r="E16" s="23">
        <v>1598586</v>
      </c>
      <c r="F16" s="23" t="s">
        <v>13</v>
      </c>
      <c r="G16" s="24">
        <v>20313459</v>
      </c>
      <c r="H16" s="23" t="s">
        <v>35</v>
      </c>
      <c r="I16" s="24">
        <v>2</v>
      </c>
      <c r="J16" s="25">
        <v>8</v>
      </c>
      <c r="K16" s="25">
        <v>16</v>
      </c>
    </row>
    <row r="17" customFormat="1" spans="4:11">
      <c r="D17" s="22">
        <v>46141</v>
      </c>
      <c r="E17" s="23">
        <v>1599021</v>
      </c>
      <c r="F17" s="23" t="s">
        <v>27</v>
      </c>
      <c r="G17" s="24">
        <v>20313449</v>
      </c>
      <c r="H17" s="23" t="s">
        <v>28</v>
      </c>
      <c r="I17" s="24">
        <v>2</v>
      </c>
      <c r="J17" s="25">
        <v>13.5</v>
      </c>
      <c r="K17" s="25">
        <v>27</v>
      </c>
    </row>
    <row r="18" customFormat="1" spans="4:11">
      <c r="D18" s="22">
        <v>46141</v>
      </c>
      <c r="E18" s="23">
        <v>1599021</v>
      </c>
      <c r="F18" s="23" t="s">
        <v>33</v>
      </c>
      <c r="G18" s="24">
        <v>20013122</v>
      </c>
      <c r="H18" s="23" t="s">
        <v>34</v>
      </c>
      <c r="I18" s="24">
        <v>1</v>
      </c>
      <c r="J18" s="25">
        <v>71.5</v>
      </c>
      <c r="K18" s="25">
        <v>71.5</v>
      </c>
    </row>
  </sheetData>
  <autoFilter xmlns:etc="http://www.wps.cn/officeDocument/2017/etCustomData" ref="A7:K18" etc:filterBottomFollowUsedRange="0">
    <extLst/>
  </autoFilter>
  <mergeCells count="5">
    <mergeCell ref="D8:H8"/>
    <mergeCell ref="C7:C18"/>
    <mergeCell ref="C1:H2"/>
    <mergeCell ref="B4:H5"/>
    <mergeCell ref="A7:B18"/>
  </mergeCells>
  <pageMargins left="0.25" right="0.25" top="0.75" bottom="0.75" header="0.298611111111111" footer="0.298611111111111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0" sqref="M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38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</v>
      </c>
      <c r="J8" s="21"/>
      <c r="K8" s="21">
        <v>16.5</v>
      </c>
    </row>
    <row r="9" spans="1:11">
      <c r="D9" s="22">
        <v>46141</v>
      </c>
      <c r="E9" s="23">
        <v>1599022</v>
      </c>
      <c r="F9" s="23" t="s">
        <v>16</v>
      </c>
      <c r="G9" s="24">
        <v>20313403</v>
      </c>
      <c r="H9" s="23" t="s">
        <v>18</v>
      </c>
      <c r="I9" s="24">
        <v>1</v>
      </c>
      <c r="J9" s="25">
        <v>16.5</v>
      </c>
      <c r="K9" s="25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18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39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11</v>
      </c>
      <c r="J8" s="21"/>
      <c r="K8" s="21">
        <v>514</v>
      </c>
    </row>
    <row r="9" spans="1:11">
      <c r="D9" s="22">
        <v>46114</v>
      </c>
      <c r="E9" s="23">
        <v>1591562</v>
      </c>
      <c r="F9" s="23" t="s">
        <v>27</v>
      </c>
      <c r="G9" s="24">
        <v>20313449</v>
      </c>
      <c r="H9" s="23" t="s">
        <v>28</v>
      </c>
      <c r="I9" s="24">
        <v>1</v>
      </c>
      <c r="J9" s="25">
        <v>13.5</v>
      </c>
      <c r="K9" s="25">
        <v>13.5</v>
      </c>
    </row>
    <row r="10" spans="1:11">
      <c r="D10" s="22">
        <v>46114</v>
      </c>
      <c r="E10" s="23">
        <v>1591562</v>
      </c>
      <c r="F10" s="23" t="s">
        <v>33</v>
      </c>
      <c r="G10" s="24">
        <v>20419967</v>
      </c>
      <c r="H10" s="23" t="s">
        <v>40</v>
      </c>
      <c r="I10" s="24">
        <v>1</v>
      </c>
      <c r="J10" s="25">
        <v>66</v>
      </c>
      <c r="K10" s="25">
        <v>66</v>
      </c>
    </row>
    <row r="11" spans="1:11">
      <c r="D11" s="22">
        <v>46114</v>
      </c>
      <c r="E11" s="23">
        <v>1591562</v>
      </c>
      <c r="F11" s="23" t="s">
        <v>33</v>
      </c>
      <c r="G11" s="24">
        <v>20419969</v>
      </c>
      <c r="H11" s="23" t="s">
        <v>34</v>
      </c>
      <c r="I11" s="24">
        <v>1</v>
      </c>
      <c r="J11" s="25">
        <v>71.5</v>
      </c>
      <c r="K11" s="25">
        <v>71.5</v>
      </c>
    </row>
    <row r="12" spans="1:11">
      <c r="D12" s="22">
        <v>46114</v>
      </c>
      <c r="E12" s="23">
        <v>1591562</v>
      </c>
      <c r="F12" s="23" t="s">
        <v>33</v>
      </c>
      <c r="G12" s="24">
        <v>20419964</v>
      </c>
      <c r="H12" s="23" t="s">
        <v>41</v>
      </c>
      <c r="I12" s="24">
        <v>1</v>
      </c>
      <c r="J12" s="25">
        <v>55</v>
      </c>
      <c r="K12" s="25">
        <v>55</v>
      </c>
    </row>
    <row r="13" spans="1:11">
      <c r="D13" s="22">
        <v>46114</v>
      </c>
      <c r="E13" s="23">
        <v>1591562</v>
      </c>
      <c r="F13" s="23" t="s">
        <v>33</v>
      </c>
      <c r="G13" s="24">
        <v>20313607</v>
      </c>
      <c r="H13" s="23" t="s">
        <v>42</v>
      </c>
      <c r="I13" s="24">
        <v>1</v>
      </c>
      <c r="J13" s="25">
        <v>66</v>
      </c>
      <c r="K13" s="25">
        <v>66</v>
      </c>
    </row>
    <row r="14" spans="1:11">
      <c r="D14" s="22">
        <v>46114</v>
      </c>
      <c r="E14" s="23">
        <v>1591562</v>
      </c>
      <c r="F14" s="23" t="s">
        <v>33</v>
      </c>
      <c r="G14" s="24">
        <v>20313606</v>
      </c>
      <c r="H14" s="23" t="s">
        <v>43</v>
      </c>
      <c r="I14" s="24">
        <v>1</v>
      </c>
      <c r="J14" s="25">
        <v>104.5</v>
      </c>
      <c r="K14" s="25">
        <v>104.5</v>
      </c>
    </row>
    <row r="15" spans="1:11">
      <c r="D15" s="22">
        <v>46114</v>
      </c>
      <c r="E15" s="23">
        <v>1591562</v>
      </c>
      <c r="F15" s="23" t="s">
        <v>16</v>
      </c>
      <c r="G15" s="24">
        <v>20416827</v>
      </c>
      <c r="H15" s="23" t="s">
        <v>44</v>
      </c>
      <c r="I15" s="24">
        <v>1</v>
      </c>
      <c r="J15" s="25">
        <v>16.5</v>
      </c>
      <c r="K15" s="25">
        <v>16.5</v>
      </c>
    </row>
    <row r="16" spans="1:11">
      <c r="D16" s="22">
        <v>46114</v>
      </c>
      <c r="E16" s="23">
        <v>1591562</v>
      </c>
      <c r="F16" s="23" t="s">
        <v>16</v>
      </c>
      <c r="G16" s="24">
        <v>20013166</v>
      </c>
      <c r="H16" s="23" t="s">
        <v>17</v>
      </c>
      <c r="I16" s="24">
        <v>2</v>
      </c>
      <c r="J16" s="25">
        <v>16.5</v>
      </c>
      <c r="K16" s="25">
        <v>33</v>
      </c>
    </row>
    <row r="17" spans="4:11">
      <c r="D17" s="22">
        <v>46114</v>
      </c>
      <c r="E17" s="23">
        <v>1591562</v>
      </c>
      <c r="F17" s="23" t="s">
        <v>16</v>
      </c>
      <c r="G17" s="24">
        <v>20419965</v>
      </c>
      <c r="H17" s="23" t="s">
        <v>45</v>
      </c>
      <c r="I17" s="24">
        <v>1</v>
      </c>
      <c r="J17" s="25">
        <v>33</v>
      </c>
      <c r="K17" s="25">
        <v>33</v>
      </c>
    </row>
    <row r="18" spans="4:11">
      <c r="D18" s="22">
        <v>46115</v>
      </c>
      <c r="E18" s="23">
        <v>1592002</v>
      </c>
      <c r="F18" s="23" t="s">
        <v>33</v>
      </c>
      <c r="G18" s="24">
        <v>20313848</v>
      </c>
      <c r="H18" s="23" t="s">
        <v>46</v>
      </c>
      <c r="I18" s="24">
        <v>1</v>
      </c>
      <c r="J18" s="25">
        <v>55</v>
      </c>
      <c r="K18" s="25">
        <v>55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47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121</v>
      </c>
      <c r="J8" s="21"/>
      <c r="K8" s="21">
        <v>3084.5</v>
      </c>
    </row>
    <row r="9" spans="1:11">
      <c r="D9" s="22">
        <v>46113</v>
      </c>
      <c r="E9" s="23">
        <v>1590962</v>
      </c>
      <c r="F9" s="23" t="s">
        <v>48</v>
      </c>
      <c r="G9" s="24">
        <v>20014157</v>
      </c>
      <c r="H9" s="23" t="s">
        <v>49</v>
      </c>
      <c r="I9" s="24">
        <v>3</v>
      </c>
      <c r="J9" s="25">
        <v>35</v>
      </c>
      <c r="K9" s="25">
        <v>105</v>
      </c>
    </row>
    <row r="10" spans="1:11">
      <c r="D10" s="22">
        <v>46113</v>
      </c>
      <c r="E10" s="23">
        <v>1590962</v>
      </c>
      <c r="F10" s="23" t="s">
        <v>48</v>
      </c>
      <c r="G10" s="24">
        <v>20013998</v>
      </c>
      <c r="H10" s="23" t="s">
        <v>50</v>
      </c>
      <c r="I10" s="24">
        <v>1</v>
      </c>
      <c r="J10" s="25">
        <v>35</v>
      </c>
      <c r="K10" s="25">
        <v>35</v>
      </c>
    </row>
    <row r="11" spans="1:11">
      <c r="D11" s="22">
        <v>46114</v>
      </c>
      <c r="E11" s="23">
        <v>1591305</v>
      </c>
      <c r="F11" s="23" t="s">
        <v>48</v>
      </c>
      <c r="G11" s="24">
        <v>20014157</v>
      </c>
      <c r="H11" s="23" t="s">
        <v>49</v>
      </c>
      <c r="I11" s="24">
        <v>3</v>
      </c>
      <c r="J11" s="25">
        <v>35</v>
      </c>
      <c r="K11" s="25">
        <v>105</v>
      </c>
    </row>
    <row r="12" spans="1:11">
      <c r="D12" s="22">
        <v>46114</v>
      </c>
      <c r="E12" s="23">
        <v>1591305</v>
      </c>
      <c r="F12" s="23" t="s">
        <v>48</v>
      </c>
      <c r="G12" s="24">
        <v>20013998</v>
      </c>
      <c r="H12" s="23" t="s">
        <v>50</v>
      </c>
      <c r="I12" s="24">
        <v>1</v>
      </c>
      <c r="J12" s="25">
        <v>35</v>
      </c>
      <c r="K12" s="25">
        <v>35</v>
      </c>
    </row>
    <row r="13" spans="1:11">
      <c r="D13" s="22">
        <v>46114</v>
      </c>
      <c r="E13" s="23">
        <v>1591563</v>
      </c>
      <c r="F13" s="23" t="s">
        <v>16</v>
      </c>
      <c r="G13" s="24">
        <v>20404917</v>
      </c>
      <c r="H13" s="23" t="s">
        <v>51</v>
      </c>
      <c r="I13" s="24">
        <v>6</v>
      </c>
      <c r="J13" s="25">
        <v>16.5</v>
      </c>
      <c r="K13" s="25">
        <v>99</v>
      </c>
    </row>
    <row r="14" spans="1:11">
      <c r="D14" s="22">
        <v>46115</v>
      </c>
      <c r="E14" s="23">
        <v>1591668</v>
      </c>
      <c r="F14" s="23" t="s">
        <v>27</v>
      </c>
      <c r="G14" s="24">
        <v>20404916</v>
      </c>
      <c r="H14" s="23" t="s">
        <v>52</v>
      </c>
      <c r="I14" s="24">
        <v>1</v>
      </c>
      <c r="J14" s="25">
        <v>11</v>
      </c>
      <c r="K14" s="25">
        <v>11</v>
      </c>
    </row>
    <row r="15" spans="1:11">
      <c r="D15" s="22">
        <v>46115</v>
      </c>
      <c r="E15" s="23">
        <v>1591728</v>
      </c>
      <c r="F15" s="23" t="s">
        <v>48</v>
      </c>
      <c r="G15" s="24">
        <v>20014157</v>
      </c>
      <c r="H15" s="23" t="s">
        <v>49</v>
      </c>
      <c r="I15" s="24">
        <v>3</v>
      </c>
      <c r="J15" s="25">
        <v>35</v>
      </c>
      <c r="K15" s="25">
        <v>105</v>
      </c>
    </row>
    <row r="16" spans="1:11">
      <c r="D16" s="22">
        <v>46115</v>
      </c>
      <c r="E16" s="23">
        <v>1591728</v>
      </c>
      <c r="F16" s="23" t="s">
        <v>48</v>
      </c>
      <c r="G16" s="24">
        <v>20013998</v>
      </c>
      <c r="H16" s="23" t="s">
        <v>50</v>
      </c>
      <c r="I16" s="24">
        <v>1</v>
      </c>
      <c r="J16" s="25">
        <v>35</v>
      </c>
      <c r="K16" s="25">
        <v>35</v>
      </c>
    </row>
    <row r="17" spans="4:11">
      <c r="D17" s="22">
        <v>46116</v>
      </c>
      <c r="E17" s="23">
        <v>1592089</v>
      </c>
      <c r="F17" s="23" t="s">
        <v>48</v>
      </c>
      <c r="G17" s="24">
        <v>20014157</v>
      </c>
      <c r="H17" s="23" t="s">
        <v>49</v>
      </c>
      <c r="I17" s="24">
        <v>1</v>
      </c>
      <c r="J17" s="25">
        <v>35</v>
      </c>
      <c r="K17" s="25">
        <v>35</v>
      </c>
    </row>
    <row r="18" spans="4:11">
      <c r="D18" s="22">
        <v>46116</v>
      </c>
      <c r="E18" s="23">
        <v>1592089</v>
      </c>
      <c r="F18" s="23" t="s">
        <v>48</v>
      </c>
      <c r="G18" s="24">
        <v>20013998</v>
      </c>
      <c r="H18" s="23" t="s">
        <v>50</v>
      </c>
      <c r="I18" s="24">
        <v>1</v>
      </c>
      <c r="J18" s="25">
        <v>35</v>
      </c>
      <c r="K18" s="25">
        <v>35</v>
      </c>
    </row>
    <row r="19" spans="4:11">
      <c r="D19" s="22">
        <v>46116</v>
      </c>
      <c r="E19" s="23">
        <v>1592089</v>
      </c>
      <c r="F19" s="23" t="s">
        <v>48</v>
      </c>
      <c r="G19" s="24">
        <v>20365899</v>
      </c>
      <c r="H19" s="23" t="s">
        <v>53</v>
      </c>
      <c r="I19" s="24">
        <v>1</v>
      </c>
      <c r="J19" s="25">
        <v>35</v>
      </c>
      <c r="K19" s="25">
        <v>35</v>
      </c>
    </row>
    <row r="20" spans="4:11">
      <c r="D20" s="22">
        <v>46120</v>
      </c>
      <c r="E20" s="23">
        <v>1592731</v>
      </c>
      <c r="F20" s="23" t="s">
        <v>48</v>
      </c>
      <c r="G20" s="24">
        <v>20014157</v>
      </c>
      <c r="H20" s="23" t="s">
        <v>49</v>
      </c>
      <c r="I20" s="24">
        <v>2</v>
      </c>
      <c r="J20" s="25">
        <v>35</v>
      </c>
      <c r="K20" s="25">
        <v>70</v>
      </c>
    </row>
    <row r="21" spans="4:11">
      <c r="D21" s="22">
        <v>46120</v>
      </c>
      <c r="E21" s="23">
        <v>1592731</v>
      </c>
      <c r="F21" s="23" t="s">
        <v>48</v>
      </c>
      <c r="G21" s="24">
        <v>20013998</v>
      </c>
      <c r="H21" s="23" t="s">
        <v>50</v>
      </c>
      <c r="I21" s="24">
        <v>1</v>
      </c>
      <c r="J21" s="25">
        <v>35</v>
      </c>
      <c r="K21" s="25">
        <v>35</v>
      </c>
    </row>
    <row r="22" spans="4:11">
      <c r="D22" s="22">
        <v>46120</v>
      </c>
      <c r="E22" s="23">
        <v>1593038</v>
      </c>
      <c r="F22" s="23" t="s">
        <v>16</v>
      </c>
      <c r="G22" s="24">
        <v>20404917</v>
      </c>
      <c r="H22" s="23" t="s">
        <v>51</v>
      </c>
      <c r="I22" s="24">
        <v>8</v>
      </c>
      <c r="J22" s="25">
        <v>16.5</v>
      </c>
      <c r="K22" s="25">
        <v>132</v>
      </c>
    </row>
    <row r="23" spans="4:11">
      <c r="D23" s="22">
        <v>46121</v>
      </c>
      <c r="E23" s="23">
        <v>1593130</v>
      </c>
      <c r="F23" s="23" t="s">
        <v>48</v>
      </c>
      <c r="G23" s="24">
        <v>20014157</v>
      </c>
      <c r="H23" s="23" t="s">
        <v>49</v>
      </c>
      <c r="I23" s="24">
        <v>1</v>
      </c>
      <c r="J23" s="25">
        <v>35</v>
      </c>
      <c r="K23" s="25">
        <v>35</v>
      </c>
    </row>
    <row r="24" spans="4:11">
      <c r="D24" s="22">
        <v>46121</v>
      </c>
      <c r="E24" s="23">
        <v>1593130</v>
      </c>
      <c r="F24" s="23" t="s">
        <v>48</v>
      </c>
      <c r="G24" s="24">
        <v>20013998</v>
      </c>
      <c r="H24" s="23" t="s">
        <v>50</v>
      </c>
      <c r="I24" s="24">
        <v>1</v>
      </c>
      <c r="J24" s="25">
        <v>35</v>
      </c>
      <c r="K24" s="25">
        <v>35</v>
      </c>
    </row>
    <row r="25" spans="4:11">
      <c r="D25" s="22">
        <v>46122</v>
      </c>
      <c r="E25" s="23">
        <v>1593543</v>
      </c>
      <c r="F25" s="23" t="s">
        <v>48</v>
      </c>
      <c r="G25" s="24">
        <v>20014157</v>
      </c>
      <c r="H25" s="23" t="s">
        <v>49</v>
      </c>
      <c r="I25" s="24">
        <v>1</v>
      </c>
      <c r="J25" s="25">
        <v>35</v>
      </c>
      <c r="K25" s="25">
        <v>35</v>
      </c>
    </row>
    <row r="26" spans="4:11">
      <c r="D26" s="22">
        <v>46122</v>
      </c>
      <c r="E26" s="23">
        <v>1593543</v>
      </c>
      <c r="F26" s="23" t="s">
        <v>48</v>
      </c>
      <c r="G26" s="24">
        <v>20013998</v>
      </c>
      <c r="H26" s="23" t="s">
        <v>50</v>
      </c>
      <c r="I26" s="24">
        <v>2</v>
      </c>
      <c r="J26" s="25">
        <v>35</v>
      </c>
      <c r="K26" s="25">
        <v>70</v>
      </c>
    </row>
    <row r="27" spans="4:11">
      <c r="D27" s="22">
        <v>46122</v>
      </c>
      <c r="E27" s="23">
        <v>1593854</v>
      </c>
      <c r="F27" s="23" t="s">
        <v>48</v>
      </c>
      <c r="G27" s="24">
        <v>20014157</v>
      </c>
      <c r="H27" s="23" t="s">
        <v>49</v>
      </c>
      <c r="I27" s="24">
        <v>3</v>
      </c>
      <c r="J27" s="25">
        <v>35</v>
      </c>
      <c r="K27" s="25">
        <v>105</v>
      </c>
    </row>
    <row r="28" spans="4:11">
      <c r="D28" s="22">
        <v>46122</v>
      </c>
      <c r="E28" s="23">
        <v>1593854</v>
      </c>
      <c r="F28" s="23" t="s">
        <v>48</v>
      </c>
      <c r="G28" s="24">
        <v>20013998</v>
      </c>
      <c r="H28" s="23" t="s">
        <v>50</v>
      </c>
      <c r="I28" s="24">
        <v>1</v>
      </c>
      <c r="J28" s="25">
        <v>35</v>
      </c>
      <c r="K28" s="25">
        <v>35</v>
      </c>
    </row>
    <row r="29" spans="4:11">
      <c r="D29" s="22">
        <v>46122</v>
      </c>
      <c r="E29" s="23">
        <v>1593854</v>
      </c>
      <c r="F29" s="23" t="s">
        <v>48</v>
      </c>
      <c r="G29" s="24">
        <v>20365899</v>
      </c>
      <c r="H29" s="23" t="s">
        <v>53</v>
      </c>
      <c r="I29" s="24">
        <v>1</v>
      </c>
      <c r="J29" s="25">
        <v>35</v>
      </c>
      <c r="K29" s="25">
        <v>35</v>
      </c>
    </row>
    <row r="30" spans="4:11">
      <c r="D30" s="22">
        <v>46125</v>
      </c>
      <c r="E30" s="23">
        <v>1594455</v>
      </c>
      <c r="F30" s="23" t="s">
        <v>27</v>
      </c>
      <c r="G30" s="24">
        <v>20404916</v>
      </c>
      <c r="H30" s="23" t="s">
        <v>52</v>
      </c>
      <c r="I30" s="24">
        <v>1</v>
      </c>
      <c r="J30" s="25">
        <v>11</v>
      </c>
      <c r="K30" s="25">
        <v>11</v>
      </c>
    </row>
    <row r="31" spans="4:11">
      <c r="D31" s="22">
        <v>46125</v>
      </c>
      <c r="E31" s="23">
        <v>1594455</v>
      </c>
      <c r="F31" s="23" t="s">
        <v>16</v>
      </c>
      <c r="G31" s="24">
        <v>20404917</v>
      </c>
      <c r="H31" s="23" t="s">
        <v>51</v>
      </c>
      <c r="I31" s="24">
        <v>7</v>
      </c>
      <c r="J31" s="25">
        <v>16.5</v>
      </c>
      <c r="K31" s="25">
        <v>115.5</v>
      </c>
    </row>
    <row r="32" spans="4:11">
      <c r="D32" s="22">
        <v>46126</v>
      </c>
      <c r="E32" s="23">
        <v>1594506</v>
      </c>
      <c r="F32" s="23" t="s">
        <v>48</v>
      </c>
      <c r="G32" s="24">
        <v>20014157</v>
      </c>
      <c r="H32" s="23" t="s">
        <v>49</v>
      </c>
      <c r="I32" s="24">
        <v>2</v>
      </c>
      <c r="J32" s="25">
        <v>35</v>
      </c>
      <c r="K32" s="25">
        <v>70</v>
      </c>
    </row>
    <row r="33" spans="4:11">
      <c r="D33" s="22">
        <v>46126</v>
      </c>
      <c r="E33" s="23">
        <v>1594506</v>
      </c>
      <c r="F33" s="23" t="s">
        <v>48</v>
      </c>
      <c r="G33" s="24">
        <v>20013998</v>
      </c>
      <c r="H33" s="23" t="s">
        <v>50</v>
      </c>
      <c r="I33" s="24">
        <v>1</v>
      </c>
      <c r="J33" s="25">
        <v>35</v>
      </c>
      <c r="K33" s="25">
        <v>35</v>
      </c>
    </row>
    <row r="34" spans="4:11">
      <c r="D34" s="22">
        <v>46127</v>
      </c>
      <c r="E34" s="23">
        <v>1595247</v>
      </c>
      <c r="F34" s="23" t="s">
        <v>48</v>
      </c>
      <c r="G34" s="24">
        <v>20014157</v>
      </c>
      <c r="H34" s="23" t="s">
        <v>49</v>
      </c>
      <c r="I34" s="24">
        <v>3</v>
      </c>
      <c r="J34" s="25">
        <v>35</v>
      </c>
      <c r="K34" s="25">
        <v>105</v>
      </c>
    </row>
    <row r="35" spans="4:11">
      <c r="D35" s="22">
        <v>46127</v>
      </c>
      <c r="E35" s="23">
        <v>1595247</v>
      </c>
      <c r="F35" s="23" t="s">
        <v>48</v>
      </c>
      <c r="G35" s="24">
        <v>20013998</v>
      </c>
      <c r="H35" s="23" t="s">
        <v>50</v>
      </c>
      <c r="I35" s="24">
        <v>1</v>
      </c>
      <c r="J35" s="25">
        <v>35</v>
      </c>
      <c r="K35" s="25">
        <v>35</v>
      </c>
    </row>
    <row r="36" spans="4:11">
      <c r="D36" s="22">
        <v>46128</v>
      </c>
      <c r="E36" s="23">
        <v>1595583</v>
      </c>
      <c r="F36" s="23" t="s">
        <v>16</v>
      </c>
      <c r="G36" s="24">
        <v>20404917</v>
      </c>
      <c r="H36" s="23" t="s">
        <v>51</v>
      </c>
      <c r="I36" s="24">
        <v>7</v>
      </c>
      <c r="J36" s="25">
        <v>16.5</v>
      </c>
      <c r="K36" s="25">
        <v>115.5</v>
      </c>
    </row>
    <row r="37" spans="4:11">
      <c r="D37" s="22">
        <v>46129</v>
      </c>
      <c r="E37" s="23">
        <v>1595691</v>
      </c>
      <c r="F37" s="23" t="s">
        <v>48</v>
      </c>
      <c r="G37" s="24">
        <v>20014157</v>
      </c>
      <c r="H37" s="23" t="s">
        <v>49</v>
      </c>
      <c r="I37" s="24">
        <v>1</v>
      </c>
      <c r="J37" s="25">
        <v>35</v>
      </c>
      <c r="K37" s="25">
        <v>35</v>
      </c>
    </row>
    <row r="38" spans="4:11">
      <c r="D38" s="22">
        <v>46130</v>
      </c>
      <c r="E38" s="23">
        <v>1596032</v>
      </c>
      <c r="F38" s="23" t="s">
        <v>48</v>
      </c>
      <c r="G38" s="24">
        <v>20014157</v>
      </c>
      <c r="H38" s="23" t="s">
        <v>49</v>
      </c>
      <c r="I38" s="24">
        <v>2</v>
      </c>
      <c r="J38" s="25">
        <v>35</v>
      </c>
      <c r="K38" s="25">
        <v>70</v>
      </c>
    </row>
    <row r="39" spans="4:11">
      <c r="D39" s="22">
        <v>46130</v>
      </c>
      <c r="E39" s="23">
        <v>1596032</v>
      </c>
      <c r="F39" s="23" t="s">
        <v>48</v>
      </c>
      <c r="G39" s="24">
        <v>20013998</v>
      </c>
      <c r="H39" s="23" t="s">
        <v>50</v>
      </c>
      <c r="I39" s="24">
        <v>1</v>
      </c>
      <c r="J39" s="25">
        <v>35</v>
      </c>
      <c r="K39" s="25">
        <v>35</v>
      </c>
    </row>
    <row r="40" spans="4:11">
      <c r="D40" s="22">
        <v>46133</v>
      </c>
      <c r="E40" s="23">
        <v>1596621</v>
      </c>
      <c r="F40" s="23" t="s">
        <v>48</v>
      </c>
      <c r="G40" s="24">
        <v>20014157</v>
      </c>
      <c r="H40" s="23" t="s">
        <v>49</v>
      </c>
      <c r="I40" s="24">
        <v>1</v>
      </c>
      <c r="J40" s="25">
        <v>35</v>
      </c>
      <c r="K40" s="25">
        <v>35</v>
      </c>
    </row>
    <row r="41" spans="4:11">
      <c r="D41" s="22">
        <v>46133</v>
      </c>
      <c r="E41" s="23">
        <v>1596621</v>
      </c>
      <c r="F41" s="23" t="s">
        <v>48</v>
      </c>
      <c r="G41" s="24">
        <v>20013998</v>
      </c>
      <c r="H41" s="23" t="s">
        <v>50</v>
      </c>
      <c r="I41" s="24">
        <v>1</v>
      </c>
      <c r="J41" s="25">
        <v>35</v>
      </c>
      <c r="K41" s="25">
        <v>35</v>
      </c>
    </row>
    <row r="42" spans="4:11">
      <c r="D42" s="22">
        <v>46134</v>
      </c>
      <c r="E42" s="23">
        <v>1596914</v>
      </c>
      <c r="F42" s="23" t="s">
        <v>16</v>
      </c>
      <c r="G42" s="24">
        <v>20404917</v>
      </c>
      <c r="H42" s="23" t="s">
        <v>51</v>
      </c>
      <c r="I42" s="24">
        <v>9</v>
      </c>
      <c r="J42" s="25">
        <v>16.5</v>
      </c>
      <c r="K42" s="25">
        <v>148.5</v>
      </c>
    </row>
    <row r="43" spans="4:11">
      <c r="D43" s="22">
        <v>46134</v>
      </c>
      <c r="E43" s="23">
        <v>1596992</v>
      </c>
      <c r="F43" s="23" t="s">
        <v>48</v>
      </c>
      <c r="G43" s="24">
        <v>20014157</v>
      </c>
      <c r="H43" s="23" t="s">
        <v>49</v>
      </c>
      <c r="I43" s="24">
        <v>2</v>
      </c>
      <c r="J43" s="25">
        <v>35</v>
      </c>
      <c r="K43" s="25">
        <v>70</v>
      </c>
    </row>
    <row r="44" spans="4:11">
      <c r="D44" s="22">
        <v>46134</v>
      </c>
      <c r="E44" s="23">
        <v>1596992</v>
      </c>
      <c r="F44" s="23" t="s">
        <v>48</v>
      </c>
      <c r="G44" s="24">
        <v>20013998</v>
      </c>
      <c r="H44" s="23" t="s">
        <v>50</v>
      </c>
      <c r="I44" s="24">
        <v>1</v>
      </c>
      <c r="J44" s="25">
        <v>35</v>
      </c>
      <c r="K44" s="25">
        <v>35</v>
      </c>
    </row>
    <row r="45" spans="4:11">
      <c r="D45" s="22">
        <v>46135</v>
      </c>
      <c r="E45" s="23">
        <v>1597372</v>
      </c>
      <c r="F45" s="23" t="s">
        <v>48</v>
      </c>
      <c r="G45" s="24">
        <v>20014157</v>
      </c>
      <c r="H45" s="23" t="s">
        <v>49</v>
      </c>
      <c r="I45" s="24">
        <v>3</v>
      </c>
      <c r="J45" s="25">
        <v>35</v>
      </c>
      <c r="K45" s="25">
        <v>105</v>
      </c>
    </row>
    <row r="46" spans="4:11">
      <c r="D46" s="22">
        <v>46135</v>
      </c>
      <c r="E46" s="23">
        <v>1597372</v>
      </c>
      <c r="F46" s="23" t="s">
        <v>48</v>
      </c>
      <c r="G46" s="24">
        <v>20013998</v>
      </c>
      <c r="H46" s="23" t="s">
        <v>50</v>
      </c>
      <c r="I46" s="24">
        <v>1</v>
      </c>
      <c r="J46" s="25">
        <v>35</v>
      </c>
      <c r="K46" s="25">
        <v>35</v>
      </c>
    </row>
    <row r="47" spans="4:11">
      <c r="D47" s="22">
        <v>46136</v>
      </c>
      <c r="E47" s="23">
        <v>1598031</v>
      </c>
      <c r="F47" s="23" t="s">
        <v>27</v>
      </c>
      <c r="G47" s="24">
        <v>20404916</v>
      </c>
      <c r="H47" s="23" t="s">
        <v>52</v>
      </c>
      <c r="I47" s="24">
        <v>1</v>
      </c>
      <c r="J47" s="25">
        <v>11</v>
      </c>
      <c r="K47" s="25">
        <v>11</v>
      </c>
    </row>
    <row r="48" spans="4:11">
      <c r="D48" s="22">
        <v>46136</v>
      </c>
      <c r="E48" s="23">
        <v>1598031</v>
      </c>
      <c r="F48" s="23" t="s">
        <v>16</v>
      </c>
      <c r="G48" s="24">
        <v>20404917</v>
      </c>
      <c r="H48" s="23" t="s">
        <v>51</v>
      </c>
      <c r="I48" s="24">
        <v>10</v>
      </c>
      <c r="J48" s="25">
        <v>16.5</v>
      </c>
      <c r="K48" s="25">
        <v>165</v>
      </c>
    </row>
    <row r="49" spans="4:11">
      <c r="D49" s="22">
        <v>46137</v>
      </c>
      <c r="E49" s="23">
        <v>1598136</v>
      </c>
      <c r="F49" s="23" t="s">
        <v>48</v>
      </c>
      <c r="G49" s="24">
        <v>20014157</v>
      </c>
      <c r="H49" s="23" t="s">
        <v>49</v>
      </c>
      <c r="I49" s="24">
        <v>2</v>
      </c>
      <c r="J49" s="25">
        <v>35</v>
      </c>
      <c r="K49" s="25">
        <v>70</v>
      </c>
    </row>
    <row r="50" spans="4:11">
      <c r="D50" s="22">
        <v>46140</v>
      </c>
      <c r="E50" s="23">
        <v>1598666</v>
      </c>
      <c r="F50" s="23" t="s">
        <v>48</v>
      </c>
      <c r="G50" s="24">
        <v>20014157</v>
      </c>
      <c r="H50" s="23" t="s">
        <v>49</v>
      </c>
      <c r="I50" s="24">
        <v>1</v>
      </c>
      <c r="J50" s="25">
        <v>35</v>
      </c>
      <c r="K50" s="25">
        <v>35</v>
      </c>
    </row>
    <row r="51" spans="4:11">
      <c r="D51" s="22">
        <v>46140</v>
      </c>
      <c r="E51" s="23">
        <v>1598666</v>
      </c>
      <c r="F51" s="23" t="s">
        <v>48</v>
      </c>
      <c r="G51" s="24">
        <v>20013998</v>
      </c>
      <c r="H51" s="23" t="s">
        <v>50</v>
      </c>
      <c r="I51" s="24">
        <v>1</v>
      </c>
      <c r="J51" s="25">
        <v>35</v>
      </c>
      <c r="K51" s="25">
        <v>35</v>
      </c>
    </row>
    <row r="52" spans="4:11">
      <c r="D52" s="22">
        <v>46141</v>
      </c>
      <c r="E52" s="23">
        <v>1599087</v>
      </c>
      <c r="F52" s="23" t="s">
        <v>48</v>
      </c>
      <c r="G52" s="24">
        <v>20014157</v>
      </c>
      <c r="H52" s="23" t="s">
        <v>49</v>
      </c>
      <c r="I52" s="24">
        <v>2</v>
      </c>
      <c r="J52" s="25">
        <v>35</v>
      </c>
      <c r="K52" s="25">
        <v>70</v>
      </c>
    </row>
    <row r="53" spans="4:11">
      <c r="D53" s="22">
        <v>46141</v>
      </c>
      <c r="E53" s="23">
        <v>1599087</v>
      </c>
      <c r="F53" s="23" t="s">
        <v>48</v>
      </c>
      <c r="G53" s="24">
        <v>20013998</v>
      </c>
      <c r="H53" s="23" t="s">
        <v>50</v>
      </c>
      <c r="I53" s="24">
        <v>1</v>
      </c>
      <c r="J53" s="25">
        <v>35</v>
      </c>
      <c r="K53" s="25">
        <v>35</v>
      </c>
    </row>
    <row r="54" spans="4:11">
      <c r="D54" s="22">
        <v>46142</v>
      </c>
      <c r="E54" s="23">
        <v>1599491</v>
      </c>
      <c r="F54" s="23" t="s">
        <v>48</v>
      </c>
      <c r="G54" s="24">
        <v>20014157</v>
      </c>
      <c r="H54" s="23" t="s">
        <v>49</v>
      </c>
      <c r="I54" s="24">
        <v>2</v>
      </c>
      <c r="J54" s="25">
        <v>35</v>
      </c>
      <c r="K54" s="25">
        <v>70</v>
      </c>
    </row>
    <row r="55" spans="4:11">
      <c r="D55" s="22">
        <v>46142</v>
      </c>
      <c r="E55" s="23">
        <v>1599491</v>
      </c>
      <c r="F55" s="23" t="s">
        <v>48</v>
      </c>
      <c r="G55" s="24">
        <v>20013998</v>
      </c>
      <c r="H55" s="23" t="s">
        <v>50</v>
      </c>
      <c r="I55" s="24">
        <v>1</v>
      </c>
      <c r="J55" s="25">
        <v>35</v>
      </c>
      <c r="K55" s="25">
        <v>35</v>
      </c>
    </row>
    <row r="56" spans="4:11">
      <c r="D56" s="22">
        <v>46142</v>
      </c>
      <c r="E56" s="23">
        <v>1599812</v>
      </c>
      <c r="F56" s="23" t="s">
        <v>27</v>
      </c>
      <c r="G56" s="24">
        <v>20404916</v>
      </c>
      <c r="H56" s="23" t="s">
        <v>52</v>
      </c>
      <c r="I56" s="24">
        <v>1</v>
      </c>
      <c r="J56" s="25">
        <v>11</v>
      </c>
      <c r="K56" s="25">
        <v>11</v>
      </c>
    </row>
    <row r="57" spans="4:11">
      <c r="D57" s="22">
        <v>46142</v>
      </c>
      <c r="E57" s="23">
        <v>1599812</v>
      </c>
      <c r="F57" s="23" t="s">
        <v>16</v>
      </c>
      <c r="G57" s="24">
        <v>20404917</v>
      </c>
      <c r="H57" s="23" t="s">
        <v>51</v>
      </c>
      <c r="I57" s="24">
        <v>10</v>
      </c>
      <c r="J57" s="25">
        <v>16.5</v>
      </c>
      <c r="K57" s="25">
        <v>165</v>
      </c>
    </row>
    <row r="58" spans="4:11">
      <c r="D58" s="22">
        <v>46142</v>
      </c>
      <c r="E58" s="23">
        <v>1599916</v>
      </c>
      <c r="F58" s="23" t="s">
        <v>48</v>
      </c>
      <c r="G58" s="24">
        <v>20014157</v>
      </c>
      <c r="H58" s="23" t="s">
        <v>49</v>
      </c>
      <c r="I58" s="24">
        <v>1</v>
      </c>
      <c r="J58" s="25">
        <v>35</v>
      </c>
      <c r="K58" s="25">
        <v>35</v>
      </c>
    </row>
    <row r="59" spans="4:11">
      <c r="D59" s="22">
        <v>46142</v>
      </c>
      <c r="E59" s="23">
        <v>1599916</v>
      </c>
      <c r="F59" s="23" t="s">
        <v>48</v>
      </c>
      <c r="G59" s="24">
        <v>20013998</v>
      </c>
      <c r="H59" s="23" t="s">
        <v>50</v>
      </c>
      <c r="I59" s="24">
        <v>1</v>
      </c>
      <c r="J59" s="25">
        <v>35</v>
      </c>
      <c r="K59" s="25">
        <v>35</v>
      </c>
    </row>
  </sheetData>
  <autoFilter xmlns:etc="http://www.wps.cn/officeDocument/2017/etCustomData" ref="A7:K59" etc:filterBottomFollowUsedRange="0">
    <extLst/>
  </autoFilter>
  <mergeCells count="5">
    <mergeCell ref="D8:H8"/>
    <mergeCell ref="C7:C59"/>
    <mergeCell ref="B4:H5"/>
    <mergeCell ref="A7:B5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showGridLines="0" view="pageBreakPreview" zoomScaleNormal="100" workbookViewId="0">
      <pane ySplit="6" topLeftCell="A7" activePane="bottomLeft" state="frozen"/>
      <selection/>
      <selection pane="bottomLeft" activeCell="K90" sqref="K90"/>
    </sheetView>
  </sheetViews>
  <sheetFormatPr defaultColWidth="9" defaultRowHeight="13.5"/>
  <cols>
    <col min="1" max="2" width="0.225" customWidth="1"/>
    <col min="3" max="3" width="0.433333333333333" customWidth="1"/>
    <col min="4" max="4" width="10.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54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f>101-3</f>
        <v>98</v>
      </c>
      <c r="J8" s="21"/>
      <c r="K8" s="21">
        <f>3198-49.5</f>
        <v>3148.5</v>
      </c>
    </row>
    <row r="9" ht="24.75" spans="1:11">
      <c r="D9" s="22">
        <v>46113</v>
      </c>
      <c r="E9" s="23">
        <v>1591229</v>
      </c>
      <c r="F9" s="23" t="s">
        <v>22</v>
      </c>
      <c r="G9" s="24">
        <v>20013126</v>
      </c>
      <c r="H9" s="23" t="s">
        <v>23</v>
      </c>
      <c r="I9" s="24">
        <v>3</v>
      </c>
      <c r="J9" s="25">
        <v>25</v>
      </c>
      <c r="K9" s="25">
        <v>75</v>
      </c>
    </row>
    <row r="10" spans="1:11">
      <c r="D10" s="22">
        <v>46113</v>
      </c>
      <c r="E10" s="23">
        <v>1591229</v>
      </c>
      <c r="F10" s="23" t="s">
        <v>55</v>
      </c>
      <c r="G10" s="24">
        <v>20013131</v>
      </c>
      <c r="H10" s="23" t="s">
        <v>56</v>
      </c>
      <c r="I10" s="24">
        <v>1</v>
      </c>
      <c r="J10" s="25">
        <v>30</v>
      </c>
      <c r="K10" s="25">
        <v>30</v>
      </c>
    </row>
    <row r="11" spans="1:11">
      <c r="D11" s="22">
        <v>46113</v>
      </c>
      <c r="E11" s="23">
        <v>1591229</v>
      </c>
      <c r="F11" s="23" t="s">
        <v>13</v>
      </c>
      <c r="G11" s="24">
        <v>20013133</v>
      </c>
      <c r="H11" s="23" t="s">
        <v>57</v>
      </c>
      <c r="I11" s="24">
        <v>1</v>
      </c>
      <c r="J11" s="25">
        <v>4</v>
      </c>
      <c r="K11" s="25">
        <v>4</v>
      </c>
    </row>
    <row r="12" spans="1:11">
      <c r="D12" s="22">
        <v>46113</v>
      </c>
      <c r="E12" s="23">
        <v>1591229</v>
      </c>
      <c r="F12" s="23" t="s">
        <v>13</v>
      </c>
      <c r="G12" s="24">
        <v>20013134</v>
      </c>
      <c r="H12" s="23" t="s">
        <v>58</v>
      </c>
      <c r="I12" s="24">
        <v>1</v>
      </c>
      <c r="J12" s="25">
        <v>2.5</v>
      </c>
      <c r="K12" s="25">
        <v>2.5</v>
      </c>
    </row>
    <row r="13" spans="1:11">
      <c r="D13" s="22">
        <v>46113</v>
      </c>
      <c r="E13" s="23">
        <v>1591229</v>
      </c>
      <c r="F13" s="23" t="s">
        <v>13</v>
      </c>
      <c r="G13" s="24">
        <v>20313436</v>
      </c>
      <c r="H13" s="23" t="s">
        <v>59</v>
      </c>
      <c r="I13" s="24">
        <v>2</v>
      </c>
      <c r="J13" s="25">
        <v>2.5</v>
      </c>
      <c r="K13" s="25">
        <v>5</v>
      </c>
    </row>
    <row r="14" spans="1:11">
      <c r="D14" s="22">
        <v>46114</v>
      </c>
      <c r="E14" s="23">
        <v>1591564</v>
      </c>
      <c r="F14" s="23" t="s">
        <v>60</v>
      </c>
      <c r="G14" s="24">
        <v>20013361</v>
      </c>
      <c r="H14" s="23" t="s">
        <v>61</v>
      </c>
      <c r="I14" s="24">
        <v>1</v>
      </c>
      <c r="J14" s="25">
        <v>66</v>
      </c>
      <c r="K14" s="25">
        <v>66</v>
      </c>
    </row>
    <row r="15" spans="1:11">
      <c r="D15" s="22">
        <v>46114</v>
      </c>
      <c r="E15" s="23">
        <v>1591564</v>
      </c>
      <c r="F15" s="23" t="s">
        <v>60</v>
      </c>
      <c r="G15" s="24">
        <v>20013327</v>
      </c>
      <c r="H15" s="23" t="s">
        <v>62</v>
      </c>
      <c r="I15" s="24">
        <v>1</v>
      </c>
      <c r="J15" s="25">
        <v>236.5</v>
      </c>
      <c r="K15" s="25">
        <v>236.5</v>
      </c>
    </row>
    <row r="16" spans="1:11">
      <c r="D16" s="22">
        <v>46114</v>
      </c>
      <c r="E16" s="23">
        <v>1591564</v>
      </c>
      <c r="F16" s="23" t="s">
        <v>27</v>
      </c>
      <c r="G16" s="24">
        <v>20013147</v>
      </c>
      <c r="H16" s="23" t="s">
        <v>63</v>
      </c>
      <c r="I16" s="24">
        <v>1</v>
      </c>
      <c r="J16" s="25">
        <v>8</v>
      </c>
      <c r="K16" s="25">
        <v>8</v>
      </c>
    </row>
    <row r="17" spans="4:11">
      <c r="D17" s="22">
        <v>46114</v>
      </c>
      <c r="E17" s="23">
        <v>1591564</v>
      </c>
      <c r="F17" s="23" t="s">
        <v>27</v>
      </c>
      <c r="G17" s="24">
        <v>20405024</v>
      </c>
      <c r="H17" s="23" t="s">
        <v>64</v>
      </c>
      <c r="I17" s="24">
        <v>1</v>
      </c>
      <c r="J17" s="25">
        <v>16</v>
      </c>
      <c r="K17" s="25">
        <v>16</v>
      </c>
    </row>
    <row r="18" spans="4:11">
      <c r="D18" s="22">
        <v>46114</v>
      </c>
      <c r="E18" s="23">
        <v>1591564</v>
      </c>
      <c r="F18" s="23" t="s">
        <v>16</v>
      </c>
      <c r="G18" s="24">
        <v>20013143</v>
      </c>
      <c r="H18" s="23" t="s">
        <v>65</v>
      </c>
      <c r="I18" s="24">
        <v>1</v>
      </c>
      <c r="J18" s="25">
        <v>33</v>
      </c>
      <c r="K18" s="25">
        <v>33</v>
      </c>
    </row>
    <row r="19" spans="4:11">
      <c r="D19" s="22">
        <v>46114</v>
      </c>
      <c r="E19" s="23">
        <v>1591564</v>
      </c>
      <c r="F19" s="23" t="s">
        <v>16</v>
      </c>
      <c r="G19" s="24">
        <v>20013151</v>
      </c>
      <c r="H19" s="23" t="s">
        <v>66</v>
      </c>
      <c r="I19" s="24">
        <v>1</v>
      </c>
      <c r="J19" s="25">
        <v>27.5</v>
      </c>
      <c r="K19" s="25">
        <v>27.5</v>
      </c>
    </row>
    <row r="20" ht="24.75" spans="4:11">
      <c r="D20" s="22">
        <v>46120</v>
      </c>
      <c r="E20" s="23">
        <v>1592700</v>
      </c>
      <c r="F20" s="23" t="s">
        <v>22</v>
      </c>
      <c r="G20" s="24">
        <v>20013126</v>
      </c>
      <c r="H20" s="23" t="s">
        <v>23</v>
      </c>
      <c r="I20" s="24">
        <v>3</v>
      </c>
      <c r="J20" s="25">
        <v>25</v>
      </c>
      <c r="K20" s="25">
        <v>75</v>
      </c>
    </row>
    <row r="21" spans="4:11">
      <c r="D21" s="22">
        <v>46120</v>
      </c>
      <c r="E21" s="23">
        <v>1592700</v>
      </c>
      <c r="F21" s="23" t="s">
        <v>55</v>
      </c>
      <c r="G21" s="24">
        <v>20013131</v>
      </c>
      <c r="H21" s="23" t="s">
        <v>56</v>
      </c>
      <c r="I21" s="24">
        <v>1</v>
      </c>
      <c r="J21" s="25">
        <v>30</v>
      </c>
      <c r="K21" s="25">
        <v>30</v>
      </c>
    </row>
    <row r="22" spans="4:11">
      <c r="D22" s="22">
        <v>46120</v>
      </c>
      <c r="E22" s="23">
        <v>1592700</v>
      </c>
      <c r="F22" s="23" t="s">
        <v>13</v>
      </c>
      <c r="G22" s="24">
        <v>20013133</v>
      </c>
      <c r="H22" s="23" t="s">
        <v>57</v>
      </c>
      <c r="I22" s="24">
        <v>1</v>
      </c>
      <c r="J22" s="25">
        <v>4</v>
      </c>
      <c r="K22" s="25">
        <v>4</v>
      </c>
    </row>
    <row r="23" spans="4:11">
      <c r="D23" s="22">
        <v>46120</v>
      </c>
      <c r="E23" s="23">
        <v>1592700</v>
      </c>
      <c r="F23" s="23" t="s">
        <v>13</v>
      </c>
      <c r="G23" s="24">
        <v>20013134</v>
      </c>
      <c r="H23" s="23" t="s">
        <v>58</v>
      </c>
      <c r="I23" s="24">
        <v>1</v>
      </c>
      <c r="J23" s="25">
        <v>2.5</v>
      </c>
      <c r="K23" s="25">
        <v>2.5</v>
      </c>
    </row>
    <row r="24" spans="4:11">
      <c r="D24" s="22">
        <v>46120</v>
      </c>
      <c r="E24" s="23">
        <v>1592700</v>
      </c>
      <c r="F24" s="23" t="s">
        <v>13</v>
      </c>
      <c r="G24" s="24">
        <v>20313436</v>
      </c>
      <c r="H24" s="23" t="s">
        <v>59</v>
      </c>
      <c r="I24" s="24">
        <v>1</v>
      </c>
      <c r="J24" s="25">
        <v>2.5</v>
      </c>
      <c r="K24" s="25">
        <v>2.5</v>
      </c>
    </row>
    <row r="25" spans="4:11">
      <c r="D25" s="22">
        <v>46122</v>
      </c>
      <c r="E25" s="23">
        <v>1593850</v>
      </c>
      <c r="F25" s="23" t="s">
        <v>60</v>
      </c>
      <c r="G25" s="24">
        <v>20013153</v>
      </c>
      <c r="H25" s="23" t="s">
        <v>67</v>
      </c>
      <c r="I25" s="24">
        <v>1</v>
      </c>
      <c r="J25" s="25">
        <v>214.5</v>
      </c>
      <c r="K25" s="25">
        <v>214.5</v>
      </c>
    </row>
    <row r="26" spans="4:11">
      <c r="D26" s="22">
        <v>46122</v>
      </c>
      <c r="E26" s="23">
        <v>1593850</v>
      </c>
      <c r="F26" s="23" t="s">
        <v>33</v>
      </c>
      <c r="G26" s="24">
        <v>20403070</v>
      </c>
      <c r="H26" s="23" t="s">
        <v>68</v>
      </c>
      <c r="I26" s="24">
        <v>1</v>
      </c>
      <c r="J26" s="25">
        <v>66</v>
      </c>
      <c r="K26" s="25">
        <v>66</v>
      </c>
    </row>
    <row r="27" spans="4:11">
      <c r="D27" s="22">
        <v>46122</v>
      </c>
      <c r="E27" s="23">
        <v>1593850</v>
      </c>
      <c r="F27" s="23" t="s">
        <v>16</v>
      </c>
      <c r="G27" s="24">
        <v>20013143</v>
      </c>
      <c r="H27" s="23" t="s">
        <v>65</v>
      </c>
      <c r="I27" s="24">
        <v>1</v>
      </c>
      <c r="J27" s="25">
        <v>33</v>
      </c>
      <c r="K27" s="25">
        <v>33</v>
      </c>
    </row>
    <row r="28" spans="4:11">
      <c r="D28" s="22">
        <v>46122</v>
      </c>
      <c r="E28" s="23">
        <v>1593850</v>
      </c>
      <c r="F28" s="23" t="s">
        <v>16</v>
      </c>
      <c r="G28" s="24">
        <v>20313403</v>
      </c>
      <c r="H28" s="23" t="s">
        <v>18</v>
      </c>
      <c r="I28" s="24">
        <v>1</v>
      </c>
      <c r="J28" s="25">
        <v>16.5</v>
      </c>
      <c r="K28" s="25">
        <v>16.5</v>
      </c>
    </row>
    <row r="29" spans="4:11">
      <c r="D29" s="22">
        <v>46122</v>
      </c>
      <c r="E29" s="23">
        <v>1593850</v>
      </c>
      <c r="F29" s="23" t="s">
        <v>16</v>
      </c>
      <c r="G29" s="24">
        <v>20405025</v>
      </c>
      <c r="H29" s="23" t="s">
        <v>69</v>
      </c>
      <c r="I29" s="24">
        <v>1</v>
      </c>
      <c r="J29" s="25">
        <v>33</v>
      </c>
      <c r="K29" s="25">
        <v>33</v>
      </c>
    </row>
    <row r="30" spans="4:11">
      <c r="D30" s="22">
        <v>46122</v>
      </c>
      <c r="E30" s="23">
        <v>1593850</v>
      </c>
      <c r="F30" s="23" t="s">
        <v>16</v>
      </c>
      <c r="G30" s="24">
        <v>20407247</v>
      </c>
      <c r="H30" s="23" t="s">
        <v>70</v>
      </c>
      <c r="I30" s="24">
        <v>2</v>
      </c>
      <c r="J30" s="25">
        <v>16.5</v>
      </c>
      <c r="K30" s="25">
        <v>33</v>
      </c>
    </row>
    <row r="31" spans="4:11">
      <c r="D31" s="22">
        <v>46122</v>
      </c>
      <c r="E31" s="23">
        <v>1593873</v>
      </c>
      <c r="F31" s="23" t="s">
        <v>27</v>
      </c>
      <c r="G31" s="24">
        <v>20411009</v>
      </c>
      <c r="H31" s="23" t="s">
        <v>71</v>
      </c>
      <c r="I31" s="24">
        <v>1</v>
      </c>
      <c r="J31" s="25">
        <v>8</v>
      </c>
      <c r="K31" s="25">
        <v>8</v>
      </c>
    </row>
    <row r="32" spans="4:11">
      <c r="D32" s="22">
        <v>46122</v>
      </c>
      <c r="E32" s="23">
        <v>1593873</v>
      </c>
      <c r="F32" s="23" t="s">
        <v>27</v>
      </c>
      <c r="G32" s="24">
        <v>20405024</v>
      </c>
      <c r="H32" s="23" t="s">
        <v>64</v>
      </c>
      <c r="I32" s="24">
        <v>1</v>
      </c>
      <c r="J32" s="25">
        <v>16</v>
      </c>
      <c r="K32" s="25">
        <v>16</v>
      </c>
    </row>
    <row r="33" spans="4:11">
      <c r="D33" s="22">
        <v>46122</v>
      </c>
      <c r="E33" s="23">
        <v>1593873</v>
      </c>
      <c r="F33" s="23" t="s">
        <v>27</v>
      </c>
      <c r="G33" s="24">
        <v>20313453</v>
      </c>
      <c r="H33" s="23" t="s">
        <v>72</v>
      </c>
      <c r="I33" s="24">
        <v>1</v>
      </c>
      <c r="J33" s="25">
        <v>8</v>
      </c>
      <c r="K33" s="25">
        <v>8</v>
      </c>
    </row>
    <row r="34" spans="4:11">
      <c r="D34" s="22">
        <v>46123</v>
      </c>
      <c r="E34" s="23">
        <v>1594017</v>
      </c>
      <c r="F34" s="23" t="s">
        <v>73</v>
      </c>
      <c r="G34" s="24">
        <v>20007738</v>
      </c>
      <c r="H34" s="23" t="s">
        <v>74</v>
      </c>
      <c r="I34" s="24">
        <v>2</v>
      </c>
      <c r="J34" s="25">
        <v>28</v>
      </c>
      <c r="K34" s="25">
        <v>56</v>
      </c>
    </row>
    <row r="35" spans="4:11">
      <c r="D35" s="22">
        <v>46123</v>
      </c>
      <c r="E35" s="23">
        <v>1594017</v>
      </c>
      <c r="F35" s="23" t="s">
        <v>73</v>
      </c>
      <c r="G35" s="24">
        <v>20006222</v>
      </c>
      <c r="H35" s="23" t="s">
        <v>75</v>
      </c>
      <c r="I35" s="24">
        <v>1</v>
      </c>
      <c r="J35" s="25">
        <v>35</v>
      </c>
      <c r="K35" s="25">
        <v>35</v>
      </c>
    </row>
    <row r="36" spans="4:11">
      <c r="D36" s="22">
        <v>46123</v>
      </c>
      <c r="E36" s="23">
        <v>1594017</v>
      </c>
      <c r="F36" s="23" t="s">
        <v>73</v>
      </c>
      <c r="G36" s="24">
        <v>20007730</v>
      </c>
      <c r="H36" s="23" t="s">
        <v>76</v>
      </c>
      <c r="I36" s="24">
        <v>2</v>
      </c>
      <c r="J36" s="25">
        <v>22</v>
      </c>
      <c r="K36" s="25">
        <v>44</v>
      </c>
    </row>
    <row r="37" spans="4:11">
      <c r="D37" s="22">
        <v>46123</v>
      </c>
      <c r="E37" s="23">
        <v>1594017</v>
      </c>
      <c r="F37" s="23" t="s">
        <v>73</v>
      </c>
      <c r="G37" s="24">
        <v>20314828</v>
      </c>
      <c r="H37" s="23" t="s">
        <v>77</v>
      </c>
      <c r="I37" s="24">
        <v>2</v>
      </c>
      <c r="J37" s="25">
        <v>35</v>
      </c>
      <c r="K37" s="25">
        <v>70</v>
      </c>
    </row>
    <row r="38" spans="4:11">
      <c r="D38" s="22">
        <v>46123</v>
      </c>
      <c r="E38" s="23">
        <v>1594017</v>
      </c>
      <c r="F38" s="23" t="s">
        <v>73</v>
      </c>
      <c r="G38" s="24">
        <v>20008154</v>
      </c>
      <c r="H38" s="23" t="s">
        <v>78</v>
      </c>
      <c r="I38" s="24">
        <v>3</v>
      </c>
      <c r="J38" s="25">
        <v>22</v>
      </c>
      <c r="K38" s="25">
        <v>66</v>
      </c>
    </row>
    <row r="39" spans="4:11">
      <c r="D39" s="22">
        <v>46123</v>
      </c>
      <c r="E39" s="23">
        <v>1594017</v>
      </c>
      <c r="F39" s="23" t="s">
        <v>73</v>
      </c>
      <c r="G39" s="24">
        <v>20008156</v>
      </c>
      <c r="H39" s="23" t="s">
        <v>79</v>
      </c>
      <c r="I39" s="24">
        <v>3</v>
      </c>
      <c r="J39" s="25">
        <v>22</v>
      </c>
      <c r="K39" s="25">
        <v>66</v>
      </c>
    </row>
    <row r="40" spans="4:11">
      <c r="D40" s="22">
        <v>46123</v>
      </c>
      <c r="E40" s="23">
        <v>1594017</v>
      </c>
      <c r="F40" s="23" t="s">
        <v>73</v>
      </c>
      <c r="G40" s="24">
        <v>20008155</v>
      </c>
      <c r="H40" s="23" t="s">
        <v>80</v>
      </c>
      <c r="I40" s="24">
        <v>3</v>
      </c>
      <c r="J40" s="25">
        <v>22</v>
      </c>
      <c r="K40" s="25">
        <v>66</v>
      </c>
    </row>
    <row r="41" spans="4:11">
      <c r="D41" s="22">
        <v>46123</v>
      </c>
      <c r="E41" s="23">
        <v>1594017</v>
      </c>
      <c r="F41" s="23" t="s">
        <v>81</v>
      </c>
      <c r="G41" s="24">
        <v>20007726</v>
      </c>
      <c r="H41" s="23" t="s">
        <v>82</v>
      </c>
      <c r="I41" s="24">
        <v>1</v>
      </c>
      <c r="J41" s="25">
        <v>28</v>
      </c>
      <c r="K41" s="25">
        <v>28</v>
      </c>
    </row>
    <row r="42" spans="4:11">
      <c r="D42" s="22">
        <v>46125</v>
      </c>
      <c r="E42" s="23">
        <v>1594456</v>
      </c>
      <c r="F42" s="23" t="s">
        <v>27</v>
      </c>
      <c r="G42" s="24">
        <v>20421172</v>
      </c>
      <c r="H42" s="23" t="s">
        <v>83</v>
      </c>
      <c r="I42" s="24">
        <v>1</v>
      </c>
      <c r="J42" s="25">
        <v>11</v>
      </c>
      <c r="K42" s="25">
        <v>11</v>
      </c>
    </row>
    <row r="43" spans="4:11">
      <c r="D43" s="22">
        <v>46125</v>
      </c>
      <c r="E43" s="23">
        <v>1594456</v>
      </c>
      <c r="F43" s="23" t="s">
        <v>27</v>
      </c>
      <c r="G43" s="24">
        <v>20421173</v>
      </c>
      <c r="H43" s="23" t="s">
        <v>84</v>
      </c>
      <c r="I43" s="24">
        <v>2</v>
      </c>
      <c r="J43" s="25">
        <v>11</v>
      </c>
      <c r="K43" s="25">
        <v>22</v>
      </c>
    </row>
    <row r="44" spans="4:11">
      <c r="D44" s="22">
        <v>46126</v>
      </c>
      <c r="E44" s="23">
        <v>1594851</v>
      </c>
      <c r="F44" s="23" t="s">
        <v>60</v>
      </c>
      <c r="G44" s="24">
        <v>20013153</v>
      </c>
      <c r="H44" s="23" t="s">
        <v>67</v>
      </c>
      <c r="I44" s="24">
        <v>1</v>
      </c>
      <c r="J44" s="25">
        <v>214.5</v>
      </c>
      <c r="K44" s="25">
        <v>214.5</v>
      </c>
    </row>
    <row r="45" spans="4:11">
      <c r="D45" s="22">
        <v>46126</v>
      </c>
      <c r="E45" s="23">
        <v>1594851</v>
      </c>
      <c r="F45" s="23" t="s">
        <v>27</v>
      </c>
      <c r="G45" s="24">
        <v>20405024</v>
      </c>
      <c r="H45" s="23" t="s">
        <v>64</v>
      </c>
      <c r="I45" s="24">
        <v>1</v>
      </c>
      <c r="J45" s="25">
        <v>16</v>
      </c>
      <c r="K45" s="25">
        <v>16</v>
      </c>
    </row>
    <row r="46" spans="4:11">
      <c r="D46" s="22">
        <v>46126</v>
      </c>
      <c r="E46" s="23">
        <v>1594851</v>
      </c>
      <c r="F46" s="23" t="s">
        <v>27</v>
      </c>
      <c r="G46" s="24">
        <v>20313455</v>
      </c>
      <c r="H46" s="23" t="s">
        <v>85</v>
      </c>
      <c r="I46" s="24">
        <v>1</v>
      </c>
      <c r="J46" s="25">
        <v>8</v>
      </c>
      <c r="K46" s="25">
        <v>8</v>
      </c>
    </row>
    <row r="47" spans="4:11">
      <c r="D47" s="22">
        <v>46126</v>
      </c>
      <c r="E47" s="23">
        <v>1594851</v>
      </c>
      <c r="F47" s="23" t="s">
        <v>27</v>
      </c>
      <c r="G47" s="24">
        <v>20313453</v>
      </c>
      <c r="H47" s="23" t="s">
        <v>72</v>
      </c>
      <c r="I47" s="24">
        <v>1</v>
      </c>
      <c r="J47" s="25">
        <v>8</v>
      </c>
      <c r="K47" s="25">
        <v>8</v>
      </c>
    </row>
    <row r="48" ht="24.75" spans="4:11">
      <c r="D48" s="22">
        <v>46126</v>
      </c>
      <c r="E48" s="23">
        <v>1594851</v>
      </c>
      <c r="F48" s="23" t="s">
        <v>22</v>
      </c>
      <c r="G48" s="24">
        <v>20013126</v>
      </c>
      <c r="H48" s="23" t="s">
        <v>23</v>
      </c>
      <c r="I48" s="24">
        <v>1</v>
      </c>
      <c r="J48" s="25">
        <v>25</v>
      </c>
      <c r="K48" s="25">
        <v>25</v>
      </c>
    </row>
    <row r="49" spans="4:11">
      <c r="D49" s="22">
        <v>46126</v>
      </c>
      <c r="E49" s="23">
        <v>1594851</v>
      </c>
      <c r="F49" s="23" t="s">
        <v>33</v>
      </c>
      <c r="G49" s="24">
        <v>20403070</v>
      </c>
      <c r="H49" s="23" t="s">
        <v>68</v>
      </c>
      <c r="I49" s="24">
        <v>1</v>
      </c>
      <c r="J49" s="25">
        <v>66</v>
      </c>
      <c r="K49" s="25">
        <v>66</v>
      </c>
    </row>
    <row r="50" spans="4:11">
      <c r="D50" s="22">
        <v>46126</v>
      </c>
      <c r="E50" s="23">
        <v>1594851</v>
      </c>
      <c r="F50" s="23" t="s">
        <v>16</v>
      </c>
      <c r="G50" s="24">
        <v>20013143</v>
      </c>
      <c r="H50" s="23" t="s">
        <v>65</v>
      </c>
      <c r="I50" s="24">
        <v>2</v>
      </c>
      <c r="J50" s="25">
        <v>33</v>
      </c>
      <c r="K50" s="25">
        <v>66</v>
      </c>
    </row>
    <row r="51" spans="4:11">
      <c r="D51" s="22">
        <v>46126</v>
      </c>
      <c r="E51" s="23">
        <v>1594851</v>
      </c>
      <c r="F51" s="23" t="s">
        <v>16</v>
      </c>
      <c r="G51" s="24">
        <v>20405025</v>
      </c>
      <c r="H51" s="23" t="s">
        <v>69</v>
      </c>
      <c r="I51" s="24">
        <v>1</v>
      </c>
      <c r="J51" s="25">
        <v>33</v>
      </c>
      <c r="K51" s="25">
        <v>33</v>
      </c>
    </row>
    <row r="52" spans="4:11">
      <c r="D52" s="22">
        <v>46127</v>
      </c>
      <c r="E52" s="23">
        <v>1595127</v>
      </c>
      <c r="F52" s="23" t="s">
        <v>73</v>
      </c>
      <c r="G52" s="24">
        <v>20007738</v>
      </c>
      <c r="H52" s="23" t="s">
        <v>74</v>
      </c>
      <c r="I52" s="24">
        <v>1</v>
      </c>
      <c r="J52" s="25">
        <v>28</v>
      </c>
      <c r="K52" s="25">
        <v>28</v>
      </c>
    </row>
    <row r="53" spans="4:11">
      <c r="D53" s="22">
        <v>46127</v>
      </c>
      <c r="E53" s="23">
        <v>1595127</v>
      </c>
      <c r="F53" s="23" t="s">
        <v>73</v>
      </c>
      <c r="G53" s="24">
        <v>20006222</v>
      </c>
      <c r="H53" s="23" t="s">
        <v>75</v>
      </c>
      <c r="I53" s="24">
        <v>1</v>
      </c>
      <c r="J53" s="25">
        <v>35</v>
      </c>
      <c r="K53" s="25">
        <v>35</v>
      </c>
    </row>
    <row r="54" spans="4:11">
      <c r="D54" s="22">
        <v>46127</v>
      </c>
      <c r="E54" s="23">
        <v>1595127</v>
      </c>
      <c r="F54" s="23" t="s">
        <v>73</v>
      </c>
      <c r="G54" s="24">
        <v>20007730</v>
      </c>
      <c r="H54" s="23" t="s">
        <v>76</v>
      </c>
      <c r="I54" s="24">
        <v>2</v>
      </c>
      <c r="J54" s="25">
        <v>22</v>
      </c>
      <c r="K54" s="25">
        <v>44</v>
      </c>
    </row>
    <row r="55" spans="4:11">
      <c r="D55" s="22">
        <v>46127</v>
      </c>
      <c r="E55" s="23">
        <v>1595127</v>
      </c>
      <c r="F55" s="23" t="s">
        <v>73</v>
      </c>
      <c r="G55" s="24">
        <v>20314828</v>
      </c>
      <c r="H55" s="23" t="s">
        <v>77</v>
      </c>
      <c r="I55" s="24">
        <v>1</v>
      </c>
      <c r="J55" s="25">
        <v>35</v>
      </c>
      <c r="K55" s="25">
        <v>35</v>
      </c>
    </row>
    <row r="56" spans="4:11">
      <c r="D56" s="22">
        <v>46127</v>
      </c>
      <c r="E56" s="23">
        <v>1595127</v>
      </c>
      <c r="F56" s="23" t="s">
        <v>73</v>
      </c>
      <c r="G56" s="24">
        <v>20007722</v>
      </c>
      <c r="H56" s="23" t="s">
        <v>86</v>
      </c>
      <c r="I56" s="24">
        <v>1</v>
      </c>
      <c r="J56" s="25">
        <v>22</v>
      </c>
      <c r="K56" s="25">
        <v>22</v>
      </c>
    </row>
    <row r="57" spans="4:11">
      <c r="D57" s="22">
        <v>46127</v>
      </c>
      <c r="E57" s="23">
        <v>1595127</v>
      </c>
      <c r="F57" s="23" t="s">
        <v>81</v>
      </c>
      <c r="G57" s="24">
        <v>20007726</v>
      </c>
      <c r="H57" s="23" t="s">
        <v>82</v>
      </c>
      <c r="I57" s="24">
        <v>1</v>
      </c>
      <c r="J57" s="25">
        <v>28</v>
      </c>
      <c r="K57" s="25">
        <v>28</v>
      </c>
    </row>
    <row r="58" ht="24.75" spans="4:11">
      <c r="D58" s="22">
        <v>46127</v>
      </c>
      <c r="E58" s="23">
        <v>1595207</v>
      </c>
      <c r="F58" s="23" t="s">
        <v>22</v>
      </c>
      <c r="G58" s="24">
        <v>20013126</v>
      </c>
      <c r="H58" s="23" t="s">
        <v>23</v>
      </c>
      <c r="I58" s="24">
        <v>1</v>
      </c>
      <c r="J58" s="25">
        <v>25</v>
      </c>
      <c r="K58" s="25">
        <v>25</v>
      </c>
    </row>
    <row r="59" spans="4:11">
      <c r="D59" s="22">
        <v>46127</v>
      </c>
      <c r="E59" s="23">
        <v>1595207</v>
      </c>
      <c r="F59" s="23" t="s">
        <v>13</v>
      </c>
      <c r="G59" s="24">
        <v>20013133</v>
      </c>
      <c r="H59" s="23" t="s">
        <v>57</v>
      </c>
      <c r="I59" s="24">
        <v>1</v>
      </c>
      <c r="J59" s="25">
        <v>4</v>
      </c>
      <c r="K59" s="25">
        <v>4</v>
      </c>
    </row>
    <row r="60" spans="4:11">
      <c r="D60" s="22">
        <v>46127</v>
      </c>
      <c r="E60" s="23">
        <v>1595207</v>
      </c>
      <c r="F60" s="23" t="s">
        <v>13</v>
      </c>
      <c r="G60" s="24">
        <v>20013134</v>
      </c>
      <c r="H60" s="23" t="s">
        <v>58</v>
      </c>
      <c r="I60" s="24">
        <v>1</v>
      </c>
      <c r="J60" s="25">
        <v>2.5</v>
      </c>
      <c r="K60" s="25">
        <v>2.5</v>
      </c>
    </row>
    <row r="61" spans="4:11">
      <c r="D61" s="22">
        <v>46127</v>
      </c>
      <c r="E61" s="23">
        <v>1595207</v>
      </c>
      <c r="F61" s="23" t="s">
        <v>13</v>
      </c>
      <c r="G61" s="24">
        <v>20313436</v>
      </c>
      <c r="H61" s="23" t="s">
        <v>59</v>
      </c>
      <c r="I61" s="24">
        <v>1</v>
      </c>
      <c r="J61" s="25">
        <v>2.5</v>
      </c>
      <c r="K61" s="25">
        <v>2.5</v>
      </c>
    </row>
    <row r="62" ht="24.75" spans="4:11">
      <c r="D62" s="22">
        <v>46128</v>
      </c>
      <c r="E62" s="23">
        <v>1595582</v>
      </c>
      <c r="F62" s="23" t="s">
        <v>22</v>
      </c>
      <c r="G62" s="24">
        <v>20013126</v>
      </c>
      <c r="H62" s="23" t="s">
        <v>23</v>
      </c>
      <c r="I62" s="24">
        <v>1</v>
      </c>
      <c r="J62" s="25">
        <v>25</v>
      </c>
      <c r="K62" s="25">
        <v>25</v>
      </c>
    </row>
    <row r="63" spans="4:11">
      <c r="D63" s="22">
        <v>46128</v>
      </c>
      <c r="E63" s="23">
        <v>1595582</v>
      </c>
      <c r="F63" s="23" t="s">
        <v>55</v>
      </c>
      <c r="G63" s="24">
        <v>20013131</v>
      </c>
      <c r="H63" s="23" t="s">
        <v>56</v>
      </c>
      <c r="I63" s="24">
        <v>2</v>
      </c>
      <c r="J63" s="25">
        <v>30</v>
      </c>
      <c r="K63" s="25">
        <v>60</v>
      </c>
    </row>
    <row r="64" spans="4:11">
      <c r="D64" s="22">
        <v>46128</v>
      </c>
      <c r="E64" s="23">
        <v>1595582</v>
      </c>
      <c r="F64" s="23" t="s">
        <v>13</v>
      </c>
      <c r="G64" s="24">
        <v>20013133</v>
      </c>
      <c r="H64" s="23" t="s">
        <v>57</v>
      </c>
      <c r="I64" s="24">
        <v>2</v>
      </c>
      <c r="J64" s="25">
        <v>4</v>
      </c>
      <c r="K64" s="25">
        <v>8</v>
      </c>
    </row>
    <row r="65" spans="4:11">
      <c r="D65" s="22">
        <v>46128</v>
      </c>
      <c r="E65" s="23">
        <v>1595582</v>
      </c>
      <c r="F65" s="23" t="s">
        <v>13</v>
      </c>
      <c r="G65" s="24">
        <v>20013134</v>
      </c>
      <c r="H65" s="23" t="s">
        <v>58</v>
      </c>
      <c r="I65" s="24">
        <v>2</v>
      </c>
      <c r="J65" s="25">
        <v>2.5</v>
      </c>
      <c r="K65" s="25">
        <v>5</v>
      </c>
    </row>
    <row r="66" spans="4:11">
      <c r="D66" s="22">
        <v>46128</v>
      </c>
      <c r="E66" s="23">
        <v>1595582</v>
      </c>
      <c r="F66" s="23" t="s">
        <v>13</v>
      </c>
      <c r="G66" s="24">
        <v>20313436</v>
      </c>
      <c r="H66" s="23" t="s">
        <v>59</v>
      </c>
      <c r="I66" s="24">
        <v>1</v>
      </c>
      <c r="J66" s="25">
        <v>2.5</v>
      </c>
      <c r="K66" s="25">
        <v>2.5</v>
      </c>
    </row>
    <row r="67" spans="4:11">
      <c r="D67" s="22">
        <v>46134</v>
      </c>
      <c r="E67" s="23">
        <v>1596915</v>
      </c>
      <c r="F67" s="23" t="s">
        <v>60</v>
      </c>
      <c r="G67" s="24">
        <v>20013371</v>
      </c>
      <c r="H67" s="23" t="s">
        <v>87</v>
      </c>
      <c r="I67" s="24">
        <v>1</v>
      </c>
      <c r="J67" s="25">
        <v>231</v>
      </c>
      <c r="K67" s="25">
        <v>231</v>
      </c>
    </row>
    <row r="68" spans="4:11">
      <c r="D68" s="22">
        <v>46134</v>
      </c>
      <c r="E68" s="23">
        <v>1596915</v>
      </c>
      <c r="F68" s="23" t="s">
        <v>27</v>
      </c>
      <c r="G68" s="24">
        <v>20405024</v>
      </c>
      <c r="H68" s="23" t="s">
        <v>64</v>
      </c>
      <c r="I68" s="24">
        <v>1</v>
      </c>
      <c r="J68" s="25">
        <v>16</v>
      </c>
      <c r="K68" s="25">
        <v>16</v>
      </c>
    </row>
    <row r="69" spans="4:11">
      <c r="D69" s="22">
        <v>46134</v>
      </c>
      <c r="E69" s="23">
        <v>1596915</v>
      </c>
      <c r="F69" s="23" t="s">
        <v>16</v>
      </c>
      <c r="G69" s="24">
        <v>20013143</v>
      </c>
      <c r="H69" s="23" t="s">
        <v>65</v>
      </c>
      <c r="I69" s="24">
        <v>1</v>
      </c>
      <c r="J69" s="25">
        <v>33</v>
      </c>
      <c r="K69" s="25">
        <v>33</v>
      </c>
    </row>
    <row r="70" spans="4:11">
      <c r="D70" s="22">
        <v>46134</v>
      </c>
      <c r="E70" s="23">
        <v>1596915</v>
      </c>
      <c r="F70" s="23" t="s">
        <v>16</v>
      </c>
      <c r="G70" s="24">
        <v>20013151</v>
      </c>
      <c r="H70" s="23" t="s">
        <v>66</v>
      </c>
      <c r="I70" s="24">
        <v>1</v>
      </c>
      <c r="J70" s="25">
        <v>27.5</v>
      </c>
      <c r="K70" s="25">
        <v>27.5</v>
      </c>
    </row>
    <row r="71" ht="24.75" spans="4:11">
      <c r="D71" s="22">
        <v>46135</v>
      </c>
      <c r="E71" s="23">
        <v>1597653</v>
      </c>
      <c r="F71" s="23" t="s">
        <v>22</v>
      </c>
      <c r="G71" s="24">
        <v>20013126</v>
      </c>
      <c r="H71" s="23" t="s">
        <v>23</v>
      </c>
      <c r="I71" s="24">
        <v>1</v>
      </c>
      <c r="J71" s="25">
        <v>25</v>
      </c>
      <c r="K71" s="25">
        <v>25</v>
      </c>
    </row>
    <row r="72" ht="24.75" spans="4:11">
      <c r="D72" s="22">
        <v>46136</v>
      </c>
      <c r="E72" s="23">
        <v>1597973</v>
      </c>
      <c r="F72" s="23" t="s">
        <v>22</v>
      </c>
      <c r="G72" s="24">
        <v>20013126</v>
      </c>
      <c r="H72" s="23" t="s">
        <v>23</v>
      </c>
      <c r="I72" s="24">
        <v>2</v>
      </c>
      <c r="J72" s="25">
        <v>25</v>
      </c>
      <c r="K72" s="25">
        <v>50</v>
      </c>
    </row>
    <row r="73" spans="4:11">
      <c r="D73" s="22">
        <v>46136</v>
      </c>
      <c r="E73" s="23">
        <v>1597973</v>
      </c>
      <c r="F73" s="23" t="s">
        <v>55</v>
      </c>
      <c r="G73" s="24">
        <v>20013131</v>
      </c>
      <c r="H73" s="23" t="s">
        <v>56</v>
      </c>
      <c r="I73" s="24">
        <v>1</v>
      </c>
      <c r="J73" s="25">
        <v>30</v>
      </c>
      <c r="K73" s="25">
        <v>30</v>
      </c>
    </row>
    <row r="74" spans="4:11">
      <c r="D74" s="22">
        <v>46136</v>
      </c>
      <c r="E74" s="23">
        <v>1597973</v>
      </c>
      <c r="F74" s="23" t="s">
        <v>13</v>
      </c>
      <c r="G74" s="24">
        <v>20013133</v>
      </c>
      <c r="H74" s="23" t="s">
        <v>57</v>
      </c>
      <c r="I74" s="24">
        <v>1</v>
      </c>
      <c r="J74" s="25">
        <v>4</v>
      </c>
      <c r="K74" s="25">
        <v>4</v>
      </c>
    </row>
    <row r="75" spans="4:11">
      <c r="D75" s="22">
        <v>46136</v>
      </c>
      <c r="E75" s="23">
        <v>1597973</v>
      </c>
      <c r="F75" s="23" t="s">
        <v>13</v>
      </c>
      <c r="G75" s="24">
        <v>20013134</v>
      </c>
      <c r="H75" s="23" t="s">
        <v>58</v>
      </c>
      <c r="I75" s="24">
        <v>1</v>
      </c>
      <c r="J75" s="25">
        <v>2.5</v>
      </c>
      <c r="K75" s="25">
        <v>2.5</v>
      </c>
    </row>
    <row r="76" spans="4:11">
      <c r="D76" s="22">
        <v>46136</v>
      </c>
      <c r="E76" s="23">
        <v>1597973</v>
      </c>
      <c r="F76" s="23" t="s">
        <v>13</v>
      </c>
      <c r="G76" s="24">
        <v>20313436</v>
      </c>
      <c r="H76" s="23" t="s">
        <v>59</v>
      </c>
      <c r="I76" s="24">
        <v>1</v>
      </c>
      <c r="J76" s="25">
        <v>2.5</v>
      </c>
      <c r="K76" s="25">
        <v>2.5</v>
      </c>
    </row>
    <row r="77" spans="4:11">
      <c r="D77" s="22">
        <v>46141</v>
      </c>
      <c r="E77" s="23">
        <v>1599385</v>
      </c>
      <c r="F77" s="23" t="s">
        <v>60</v>
      </c>
      <c r="G77" s="24">
        <v>20013153</v>
      </c>
      <c r="H77" s="23" t="s">
        <v>67</v>
      </c>
      <c r="I77" s="24">
        <v>1</v>
      </c>
      <c r="J77" s="25">
        <v>214.5</v>
      </c>
      <c r="K77" s="25">
        <v>214.5</v>
      </c>
    </row>
    <row r="78" spans="4:11">
      <c r="D78" s="22">
        <v>46141</v>
      </c>
      <c r="E78" s="23">
        <v>1599385</v>
      </c>
      <c r="F78" s="23" t="s">
        <v>60</v>
      </c>
      <c r="G78" s="24">
        <v>20013338</v>
      </c>
      <c r="H78" s="23" t="s">
        <v>88</v>
      </c>
      <c r="I78" s="24">
        <v>1</v>
      </c>
      <c r="J78" s="25">
        <v>82.5</v>
      </c>
      <c r="K78" s="25">
        <v>82.5</v>
      </c>
    </row>
    <row r="79" spans="4:11">
      <c r="D79" s="22">
        <v>46141</v>
      </c>
      <c r="E79" s="23">
        <v>1599385</v>
      </c>
      <c r="F79" s="23" t="s">
        <v>27</v>
      </c>
      <c r="G79" s="24">
        <v>20405024</v>
      </c>
      <c r="H79" s="23" t="s">
        <v>64</v>
      </c>
      <c r="I79" s="24">
        <v>1</v>
      </c>
      <c r="J79" s="25">
        <v>16</v>
      </c>
      <c r="K79" s="25">
        <v>16</v>
      </c>
    </row>
    <row r="80" spans="4:11">
      <c r="D80" s="22">
        <v>46141</v>
      </c>
      <c r="E80" s="23">
        <v>1599385</v>
      </c>
      <c r="F80" s="23" t="s">
        <v>27</v>
      </c>
      <c r="G80" s="24">
        <v>20313455</v>
      </c>
      <c r="H80" s="23" t="s">
        <v>85</v>
      </c>
      <c r="I80" s="24">
        <v>1</v>
      </c>
      <c r="J80" s="25">
        <v>8</v>
      </c>
      <c r="K80" s="25">
        <v>8</v>
      </c>
    </row>
    <row r="81" spans="4:11">
      <c r="D81" s="22">
        <v>46141</v>
      </c>
      <c r="E81" s="23">
        <v>1599385</v>
      </c>
      <c r="F81" s="23" t="s">
        <v>27</v>
      </c>
      <c r="G81" s="24">
        <v>20313453</v>
      </c>
      <c r="H81" s="23" t="s">
        <v>72</v>
      </c>
      <c r="I81" s="24">
        <v>1</v>
      </c>
      <c r="J81" s="25">
        <v>8</v>
      </c>
      <c r="K81" s="25">
        <v>8</v>
      </c>
    </row>
    <row r="82" spans="4:11">
      <c r="D82" s="22">
        <v>46141</v>
      </c>
      <c r="E82" s="23">
        <v>1599385</v>
      </c>
      <c r="F82" s="23" t="s">
        <v>16</v>
      </c>
      <c r="G82" s="24">
        <v>20013143</v>
      </c>
      <c r="H82" s="23" t="s">
        <v>65</v>
      </c>
      <c r="I82" s="24">
        <v>1</v>
      </c>
      <c r="J82" s="25">
        <v>33</v>
      </c>
      <c r="K82" s="25">
        <v>33</v>
      </c>
    </row>
    <row r="83" spans="4:11">
      <c r="D83" s="22">
        <v>46141</v>
      </c>
      <c r="E83" s="23">
        <v>1599385</v>
      </c>
      <c r="F83" s="23" t="s">
        <v>16</v>
      </c>
      <c r="G83" s="24">
        <v>20405025</v>
      </c>
      <c r="H83" s="23" t="s">
        <v>69</v>
      </c>
      <c r="I83" s="24">
        <v>1</v>
      </c>
      <c r="J83" s="25">
        <v>33</v>
      </c>
      <c r="K83" s="25">
        <v>33</v>
      </c>
    </row>
    <row r="84" spans="4:11">
      <c r="D84" s="22">
        <v>46142</v>
      </c>
      <c r="E84" s="23">
        <v>1599722</v>
      </c>
      <c r="F84" s="23" t="s">
        <v>22</v>
      </c>
      <c r="G84" s="24">
        <v>20313573</v>
      </c>
      <c r="H84" s="23" t="s">
        <v>89</v>
      </c>
      <c r="I84" s="24">
        <v>1</v>
      </c>
      <c r="J84" s="25">
        <v>25</v>
      </c>
      <c r="K84" s="25">
        <v>25</v>
      </c>
    </row>
    <row r="85" spans="4:11">
      <c r="D85" s="22">
        <v>46142</v>
      </c>
      <c r="E85" s="23">
        <v>1599722</v>
      </c>
      <c r="F85" s="23" t="s">
        <v>73</v>
      </c>
      <c r="G85" s="24">
        <v>20007738</v>
      </c>
      <c r="H85" s="23" t="s">
        <v>74</v>
      </c>
      <c r="I85" s="24">
        <v>1</v>
      </c>
      <c r="J85" s="25">
        <v>28</v>
      </c>
      <c r="K85" s="25">
        <v>28</v>
      </c>
    </row>
    <row r="86" spans="4:11">
      <c r="D86" s="22">
        <v>46142</v>
      </c>
      <c r="E86" s="23">
        <v>1599723</v>
      </c>
      <c r="F86" s="23" t="s">
        <v>73</v>
      </c>
      <c r="G86" s="24">
        <v>20007738</v>
      </c>
      <c r="H86" s="23" t="s">
        <v>74</v>
      </c>
      <c r="I86" s="24">
        <v>1</v>
      </c>
      <c r="J86" s="25">
        <v>28</v>
      </c>
      <c r="K86" s="25">
        <v>28</v>
      </c>
    </row>
    <row r="87" spans="4:11">
      <c r="D87" s="22">
        <v>46142</v>
      </c>
      <c r="E87" s="23">
        <v>1599723</v>
      </c>
      <c r="F87" s="23" t="s">
        <v>81</v>
      </c>
      <c r="G87" s="24">
        <v>20007726</v>
      </c>
      <c r="H87" s="23" t="s">
        <v>82</v>
      </c>
      <c r="I87" s="24">
        <v>1</v>
      </c>
      <c r="J87" s="25">
        <v>28</v>
      </c>
      <c r="K87" s="25">
        <v>28</v>
      </c>
    </row>
    <row r="88" ht="0.05" customHeight="1"/>
    <row r="89" spans="4:11">
      <c r="K89">
        <f>3198-49.5</f>
        <v>3148.5</v>
      </c>
    </row>
    <row r="93" spans="4:11">
      <c r="D93" s="26" t="s">
        <v>90</v>
      </c>
      <c r="E93" s="27"/>
      <c r="F93" s="27"/>
      <c r="G93" s="27"/>
      <c r="H93" s="27"/>
      <c r="I93" s="27"/>
      <c r="J93" s="27"/>
      <c r="K93" s="27"/>
    </row>
    <row r="94" spans="4:11">
      <c r="D94" s="27"/>
      <c r="E94" s="27"/>
      <c r="F94" s="27"/>
      <c r="G94" s="27"/>
      <c r="H94" s="27"/>
      <c r="I94" s="27"/>
      <c r="J94" s="27"/>
      <c r="K94" s="27"/>
    </row>
    <row r="95" spans="4:11">
      <c r="D95" s="27"/>
      <c r="E95" s="27"/>
      <c r="F95" s="27"/>
      <c r="G95" s="27"/>
      <c r="H95" s="27"/>
      <c r="I95" s="27"/>
      <c r="J95" s="27"/>
      <c r="K95" s="27"/>
    </row>
    <row r="96" spans="4:11">
      <c r="D96" s="28" t="s">
        <v>91</v>
      </c>
      <c r="E96" s="27"/>
      <c r="F96" s="27"/>
      <c r="G96" s="27"/>
      <c r="H96" s="27"/>
      <c r="I96" s="27"/>
      <c r="J96" s="27"/>
      <c r="K96" s="27"/>
    </row>
    <row r="97" spans="4:11">
      <c r="D97" s="27"/>
      <c r="E97" s="27"/>
      <c r="F97" s="27"/>
      <c r="G97" s="27"/>
      <c r="H97" s="27"/>
      <c r="I97" s="27"/>
      <c r="J97" s="27"/>
      <c r="K97" s="27"/>
    </row>
    <row r="98" spans="4:11">
      <c r="D98" s="29" t="s">
        <v>92</v>
      </c>
      <c r="E98" s="29" t="s">
        <v>93</v>
      </c>
      <c r="F98" s="27"/>
      <c r="G98" s="29" t="s">
        <v>94</v>
      </c>
      <c r="H98" s="29" t="s">
        <v>95</v>
      </c>
      <c r="I98" s="29" t="s">
        <v>7</v>
      </c>
      <c r="J98" s="29" t="s">
        <v>96</v>
      </c>
      <c r="K98" s="29" t="s">
        <v>97</v>
      </c>
    </row>
    <row r="99" ht="15.75" spans="4:11">
      <c r="D99" s="30" t="s">
        <v>3</v>
      </c>
      <c r="E99" s="31" t="s">
        <v>2</v>
      </c>
      <c r="F99" s="31" t="s">
        <v>2</v>
      </c>
      <c r="G99" s="31" t="s">
        <v>2</v>
      </c>
      <c r="H99" s="31" t="s">
        <v>2</v>
      </c>
      <c r="I99" s="31" t="s">
        <v>2</v>
      </c>
      <c r="J99" s="32" t="s">
        <v>2</v>
      </c>
      <c r="K99" s="33"/>
    </row>
    <row r="100" ht="14.25" spans="4:11">
      <c r="D100" s="34" t="s">
        <v>54</v>
      </c>
      <c r="E100" s="31" t="s">
        <v>2</v>
      </c>
      <c r="F100" s="31" t="s">
        <v>2</v>
      </c>
      <c r="G100" s="31" t="s">
        <v>2</v>
      </c>
      <c r="H100" s="31" t="s">
        <v>2</v>
      </c>
      <c r="I100" s="31" t="s">
        <v>2</v>
      </c>
      <c r="J100" s="35" t="s">
        <v>2</v>
      </c>
      <c r="K100" s="36">
        <v>-49.5</v>
      </c>
    </row>
    <row r="101" spans="4:11">
      <c r="D101" s="37" t="s">
        <v>98</v>
      </c>
      <c r="E101" s="31" t="s">
        <v>2</v>
      </c>
      <c r="F101" s="31" t="s">
        <v>2</v>
      </c>
      <c r="G101" s="31" t="s">
        <v>2</v>
      </c>
      <c r="H101" s="31" t="s">
        <v>2</v>
      </c>
      <c r="I101" s="31" t="s">
        <v>2</v>
      </c>
      <c r="J101" s="38" t="s">
        <v>2</v>
      </c>
      <c r="K101" s="39">
        <v>-49.5</v>
      </c>
    </row>
    <row r="102" ht="25.5" spans="4:11">
      <c r="D102" s="40">
        <v>3006100008</v>
      </c>
      <c r="E102" s="41">
        <v>46148.689746794</v>
      </c>
      <c r="F102" s="42" t="s">
        <v>2</v>
      </c>
      <c r="G102" s="43" t="s">
        <v>99</v>
      </c>
      <c r="H102" s="44">
        <v>46122.8618784375</v>
      </c>
      <c r="I102" s="10">
        <v>20313403</v>
      </c>
      <c r="J102" s="10" t="s">
        <v>18</v>
      </c>
      <c r="K102" s="45">
        <v>-16.5</v>
      </c>
    </row>
    <row r="103" ht="25.5" spans="4:11">
      <c r="D103" s="40">
        <v>3006100009</v>
      </c>
      <c r="E103" s="41">
        <v>46148.6893810185</v>
      </c>
      <c r="F103" s="42" t="s">
        <v>2</v>
      </c>
      <c r="G103" s="43" t="s">
        <v>99</v>
      </c>
      <c r="H103" s="44">
        <v>46122.8618695255</v>
      </c>
      <c r="I103" s="10">
        <v>20407247</v>
      </c>
      <c r="J103" s="10" t="s">
        <v>70</v>
      </c>
      <c r="K103" s="45">
        <v>-16.5</v>
      </c>
    </row>
    <row r="104" ht="25.5" spans="4:11">
      <c r="D104" s="40">
        <v>3006100010</v>
      </c>
      <c r="E104" s="41">
        <v>46148.6895549421</v>
      </c>
      <c r="F104" s="42" t="s">
        <v>2</v>
      </c>
      <c r="G104" s="43" t="s">
        <v>99</v>
      </c>
      <c r="H104" s="44">
        <v>46122.8618716088</v>
      </c>
      <c r="I104" s="10">
        <v>20407247</v>
      </c>
      <c r="J104" s="10" t="s">
        <v>70</v>
      </c>
      <c r="K104" s="45">
        <v>-16.5</v>
      </c>
    </row>
  </sheetData>
  <autoFilter xmlns:etc="http://www.wps.cn/officeDocument/2017/etCustomData" ref="A7:K87" etc:filterBottomFollowUsedRange="0">
    <extLst/>
  </autoFilter>
  <mergeCells count="14">
    <mergeCell ref="D8:H8"/>
    <mergeCell ref="E98:F98"/>
    <mergeCell ref="D99:I99"/>
    <mergeCell ref="D100:I100"/>
    <mergeCell ref="D101:I101"/>
    <mergeCell ref="E102:F102"/>
    <mergeCell ref="E103:F103"/>
    <mergeCell ref="E104:F104"/>
    <mergeCell ref="C7:C87"/>
    <mergeCell ref="B4:H5"/>
    <mergeCell ref="A7:B87"/>
    <mergeCell ref="C1:H2"/>
    <mergeCell ref="D96:H97"/>
    <mergeCell ref="D93:K94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  <rowBreaks count="1" manualBreakCount="1">
    <brk id="9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100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7</v>
      </c>
      <c r="J8" s="21"/>
      <c r="K8" s="21">
        <v>167.5</v>
      </c>
    </row>
    <row r="9" spans="1:11">
      <c r="D9" s="22">
        <v>46122</v>
      </c>
      <c r="E9" s="23">
        <v>1593458</v>
      </c>
      <c r="F9" s="23" t="s">
        <v>55</v>
      </c>
      <c r="G9" s="24">
        <v>20409310</v>
      </c>
      <c r="H9" s="23" t="s">
        <v>101</v>
      </c>
      <c r="I9" s="24">
        <v>1</v>
      </c>
      <c r="J9" s="25">
        <v>35</v>
      </c>
      <c r="K9" s="25">
        <v>35</v>
      </c>
    </row>
    <row r="10" spans="1:11">
      <c r="D10" s="22">
        <v>46126</v>
      </c>
      <c r="E10" s="23">
        <v>1594852</v>
      </c>
      <c r="F10" s="23" t="s">
        <v>22</v>
      </c>
      <c r="G10" s="24">
        <v>20313635</v>
      </c>
      <c r="H10" s="23" t="s">
        <v>22</v>
      </c>
      <c r="I10" s="24">
        <v>1</v>
      </c>
      <c r="J10" s="25">
        <v>25</v>
      </c>
      <c r="K10" s="25">
        <v>25</v>
      </c>
    </row>
    <row r="11" spans="1:11">
      <c r="D11" s="22">
        <v>46140</v>
      </c>
      <c r="E11" s="23">
        <v>1598587</v>
      </c>
      <c r="F11" s="23" t="s">
        <v>16</v>
      </c>
      <c r="G11" s="24">
        <v>20313403</v>
      </c>
      <c r="H11" s="23" t="s">
        <v>18</v>
      </c>
      <c r="I11" s="24">
        <v>1</v>
      </c>
      <c r="J11" s="25">
        <v>16.5</v>
      </c>
      <c r="K11" s="25">
        <v>16.5</v>
      </c>
    </row>
    <row r="12" spans="1:11">
      <c r="D12" s="22">
        <v>46140</v>
      </c>
      <c r="E12" s="23">
        <v>1598848</v>
      </c>
      <c r="F12" s="23" t="s">
        <v>73</v>
      </c>
      <c r="G12" s="24">
        <v>20007722</v>
      </c>
      <c r="H12" s="23" t="s">
        <v>86</v>
      </c>
      <c r="I12" s="24">
        <v>3</v>
      </c>
      <c r="J12" s="25">
        <v>22</v>
      </c>
      <c r="K12" s="25">
        <v>66</v>
      </c>
    </row>
    <row r="13" spans="1:11">
      <c r="D13" s="22">
        <v>46141</v>
      </c>
      <c r="E13" s="23">
        <v>1599023</v>
      </c>
      <c r="F13" s="23" t="s">
        <v>22</v>
      </c>
      <c r="G13" s="24">
        <v>20313635</v>
      </c>
      <c r="H13" s="23" t="s">
        <v>22</v>
      </c>
      <c r="I13" s="24">
        <v>1</v>
      </c>
      <c r="J13" s="25">
        <v>25</v>
      </c>
      <c r="K13" s="25">
        <v>25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102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</v>
      </c>
      <c r="J8" s="21"/>
      <c r="K8" s="21">
        <v>16.5</v>
      </c>
    </row>
    <row r="9" spans="1:11">
      <c r="D9" s="22">
        <v>46120</v>
      </c>
      <c r="E9" s="23">
        <v>1592701</v>
      </c>
      <c r="F9" s="23" t="s">
        <v>16</v>
      </c>
      <c r="G9" s="24">
        <v>20013166</v>
      </c>
      <c r="H9" s="23" t="s">
        <v>17</v>
      </c>
      <c r="I9" s="24">
        <v>1</v>
      </c>
      <c r="J9" s="25">
        <v>16.5</v>
      </c>
      <c r="K9" s="25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103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1</v>
      </c>
      <c r="J8" s="21"/>
      <c r="K8" s="21">
        <v>16.5</v>
      </c>
    </row>
    <row r="9" spans="1:11">
      <c r="D9" s="22">
        <v>46134</v>
      </c>
      <c r="E9" s="23">
        <v>1596973</v>
      </c>
      <c r="F9" s="23" t="s">
        <v>16</v>
      </c>
      <c r="G9" s="24">
        <v>20013166</v>
      </c>
      <c r="H9" s="23" t="s">
        <v>17</v>
      </c>
      <c r="I9" s="24">
        <v>1</v>
      </c>
      <c r="J9" s="25">
        <v>16.5</v>
      </c>
      <c r="K9" s="25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9:11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view="pageBreakPreview" zoomScaleNormal="100" workbookViewId="0">
      <selection activeCell="H5" sqref="H5:H9"/>
    </sheetView>
  </sheetViews>
  <sheetFormatPr defaultColWidth="9" defaultRowHeight="13.5" outlineLevelRow="7" outlineLevelCol="7"/>
  <cols>
    <col min="3" max="3" width="24.875" customWidth="1"/>
    <col min="5" max="5" width="20.25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ht="15" spans="1:8">
      <c r="A2" s="2" t="s">
        <v>104</v>
      </c>
      <c r="B2" s="3" t="s">
        <v>2</v>
      </c>
      <c r="C2" s="3" t="s">
        <v>2</v>
      </c>
      <c r="D2" s="3" t="s">
        <v>2</v>
      </c>
      <c r="E2" s="3" t="s">
        <v>2</v>
      </c>
      <c r="F2" s="4">
        <v>4</v>
      </c>
      <c r="G2" s="5"/>
      <c r="H2" s="5">
        <v>513.5</v>
      </c>
    </row>
    <row r="3" spans="1:8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ht="14.25" spans="1:8">
      <c r="A4" s="6" t="s">
        <v>3</v>
      </c>
      <c r="B4" s="3" t="s">
        <v>2</v>
      </c>
      <c r="C4" s="3" t="s">
        <v>2</v>
      </c>
      <c r="D4" s="3" t="s">
        <v>2</v>
      </c>
      <c r="E4" s="3" t="s">
        <v>2</v>
      </c>
      <c r="F4" s="7">
        <v>4</v>
      </c>
      <c r="G4" s="8"/>
      <c r="H4" s="8">
        <v>513.5</v>
      </c>
    </row>
    <row r="5" spans="1:8">
      <c r="A5" s="9">
        <v>46127</v>
      </c>
      <c r="B5" s="10">
        <v>1594896</v>
      </c>
      <c r="C5" s="10" t="s">
        <v>105</v>
      </c>
      <c r="D5" s="1">
        <v>20421506</v>
      </c>
      <c r="E5" s="10" t="s">
        <v>106</v>
      </c>
      <c r="F5" s="1">
        <v>1</v>
      </c>
      <c r="G5" s="11">
        <v>200</v>
      </c>
      <c r="H5" s="11">
        <v>200</v>
      </c>
    </row>
    <row r="6" spans="1:8">
      <c r="A6" s="9">
        <v>46127</v>
      </c>
      <c r="B6" s="10">
        <v>1594896</v>
      </c>
      <c r="C6" s="10" t="s">
        <v>107</v>
      </c>
      <c r="D6" s="1">
        <v>20421504</v>
      </c>
      <c r="E6" s="10" t="s">
        <v>108</v>
      </c>
      <c r="F6" s="1">
        <v>1</v>
      </c>
      <c r="G6" s="11">
        <v>132</v>
      </c>
      <c r="H6" s="11">
        <v>132</v>
      </c>
    </row>
    <row r="7" spans="1:8">
      <c r="A7" s="9">
        <v>46127</v>
      </c>
      <c r="B7" s="10">
        <v>1594896</v>
      </c>
      <c r="C7" s="10" t="s">
        <v>107</v>
      </c>
      <c r="D7" s="1">
        <v>20421505</v>
      </c>
      <c r="E7" s="10" t="s">
        <v>109</v>
      </c>
      <c r="F7" s="1">
        <v>1</v>
      </c>
      <c r="G7" s="11">
        <v>143</v>
      </c>
      <c r="H7" s="11">
        <v>143</v>
      </c>
    </row>
    <row r="8" spans="1:8">
      <c r="A8" s="9">
        <v>46130</v>
      </c>
      <c r="B8" s="10">
        <v>1596025</v>
      </c>
      <c r="C8" s="10" t="s">
        <v>105</v>
      </c>
      <c r="D8" s="1">
        <v>20421968</v>
      </c>
      <c r="E8" s="10" t="s">
        <v>110</v>
      </c>
      <c r="F8" s="1">
        <v>1</v>
      </c>
      <c r="G8" s="11">
        <v>38.5</v>
      </c>
      <c r="H8" s="11">
        <v>38.5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CT室</vt:lpstr>
      <vt:lpstr>DSA</vt:lpstr>
      <vt:lpstr>彩超室</vt:lpstr>
      <vt:lpstr>放疗科</vt:lpstr>
      <vt:lpstr>供应室</vt:lpstr>
      <vt:lpstr>结核2</vt:lpstr>
      <vt:lpstr>呼吸三病区</vt:lpstr>
      <vt:lpstr>呼吸一病区</vt:lpstr>
      <vt:lpstr>外1</vt:lpstr>
      <vt:lpstr>外2</vt:lpstr>
      <vt:lpstr>外3</vt:lpstr>
      <vt:lpstr>结核三病区</vt:lpstr>
      <vt:lpstr>门急诊</vt:lpstr>
      <vt:lpstr>腔镜室</vt:lpstr>
      <vt:lpstr>手术室</vt:lpstr>
      <vt:lpstr>术后监护病房</vt:lpstr>
      <vt:lpstr>心内科</vt:lpstr>
      <vt:lpstr>肿一</vt:lpstr>
      <vt:lpstr>外来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2026-05-06T01:10:00Z</dcterms:created>
  <dcterms:modified xsi:type="dcterms:W3CDTF">2026-05-09T02:09:55Z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90787B1B81324B2A9A17DBE6EE1D12A0_12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