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妇科门诊" sheetId="1" r:id="rId1"/>
    <sheet name="美容科" sheetId="2" r:id="rId2"/>
    <sheet name="手术室" sheetId="3" r:id="rId3"/>
    <sheet name="外来器械" sheetId="4" r:id="rId4"/>
  </sheets>
  <definedNames>
    <definedName name="_xlnm._FilterDatabase" localSheetId="0" hidden="1">妇科门诊!$A$9:$K$25</definedName>
    <definedName name="_xlnm.Print_Titles" localSheetId="0">妇科门诊!$1:$6</definedName>
    <definedName name="_xlnm.Print_Titles" localSheetId="1">美容科!$1:$6</definedName>
    <definedName name="_xlnm.Print_Titles" localSheetId="2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<sst xmlns="http://schemas.openxmlformats.org/spreadsheetml/2006/main" count="170" uniqueCount="60">
  <si>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</si>
  <si>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</si>
  <si>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</si>
  <si>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道外区人民医院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</si>
  <si>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</si>
  <si>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</si>
  <si>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</si>
  <si>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</si>
  <si>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</si>
  <si>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</si>
  <si>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</si>
  <si>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</si>
  <si>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</si>
  <si>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额外包(纸塑袋)</t>
  </si>
  <si>
    <t>3号扩棒-1/Z7526</t>
  </si>
  <si>
    <t>4号扩棒-1/Z7526</t>
  </si>
  <si>
    <t>长弯-1/z1029</t>
  </si>
  <si>
    <t>宫颈钳-1/z1535</t>
  </si>
  <si>
    <t>刮勺-1/Z7534</t>
  </si>
  <si>
    <t>剪刀-1/Z1029</t>
  </si>
  <si>
    <t>卵圆钳-1/Z1029</t>
  </si>
  <si>
    <t>取环钩-1/7537</t>
  </si>
  <si>
    <t>上环器-1/7530</t>
  </si>
  <si>
    <t>弯盘-1/z2032</t>
  </si>
  <si>
    <t>吸头6号-1/Z7534</t>
  </si>
  <si>
    <t>吸头8号-1/Z7534</t>
  </si>
  <si>
    <t>额外包(无纺布)</t>
  </si>
  <si>
    <t>取环包-11件/W6050</t>
  </si>
  <si>
    <t>取环包-10件/W6050</t>
  </si>
  <si>
    <t>美容科</t>
  </si>
  <si>
    <t>持针器-1/z1029</t>
  </si>
  <si>
    <t>剪刀小-1/Z1026</t>
  </si>
  <si>
    <t>拉钩-1/z1029</t>
  </si>
  <si>
    <t>美容包-3件/Z1526</t>
  </si>
  <si>
    <t>镊子-1/Z7530</t>
  </si>
  <si>
    <t>止血钳-1/Z1026</t>
  </si>
  <si>
    <t>止血钳-4件/Z1526</t>
  </si>
  <si>
    <t>手术室</t>
  </si>
  <si>
    <t>蚊式-3/z1526</t>
  </si>
  <si>
    <t>阑尾单包-8件/W9050</t>
  </si>
  <si>
    <t>阑尾器械-33件/W12050</t>
  </si>
  <si>
    <t>外伤包-9件/W7050</t>
  </si>
  <si>
    <t>骨锉-1/Z1535</t>
  </si>
  <si>
    <t>钻头-1/Z7526</t>
  </si>
  <si>
    <t>钻头-2/Z7526</t>
  </si>
  <si>
    <t>踇外翻-15件/w7050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</si>
  <si>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</si>
  <si>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</si>
  <si>
    <t>基本类型</t>
  </si>
  <si>
    <t>包编号</t>
  </si>
  <si>
    <t>包数量</t>
  </si>
  <si>
    <t>合计</t>
  </si>
  <si>
    <t>黑龙江久时玖商贸有限责任公司</t>
  </si>
  <si>
    <t>道外人民</t>
  </si>
  <si>
    <t>骨科租赁器械包</t>
  </si>
  <si>
    <t>骨科租赁器械包-带植入物</t>
  </si>
  <si>
    <t>魏亚兰-股骨粗隆间骨折   1/3</t>
  </si>
  <si>
    <t>骨科租赁器械包-不带植入物</t>
  </si>
  <si>
    <t>魏亚兰-股骨粗隆间骨折   3/3</t>
  </si>
  <si>
    <t>魏亚兰-股骨粗隆间骨折   2/3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</si>
</sst>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32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176" fontId="5" fillId="2" borderId="1" xfId="0" applyNumberFormat="1" applyFont="1" applyFill="1" applyBorder="1" applyAlignment="1">
      <alignment vertical="top" wrapText="1" readingOrder="1"/>
    </xf>
    <xf numFmtId="0" fontId="6" fillId="3" borderId="1" xfId="0" applyNumberFormat="1" applyFont="1" applyFill="1" applyBorder="1" applyAlignment="1">
      <alignment vertical="top" wrapText="1" readingOrder="1"/>
    </xf>
    <xf numFmtId="0" fontId="7" fillId="3" borderId="1" xfId="0" applyNumberFormat="1" applyFont="1" applyFill="1" applyBorder="1" applyAlignment="1">
      <alignment horizontal="center" vertical="top" wrapText="1" readingOrder="1"/>
    </xf>
    <xf numFmtId="176" fontId="7" fillId="3" borderId="1" xfId="0" applyNumberFormat="1" applyFont="1" applyFill="1" applyBorder="1" applyAlignment="1">
      <alignment vertical="top" wrapText="1" readingOrder="1"/>
    </xf>
    <xf numFmtId="177" fontId="3" fillId="0" borderId="2" xfId="0" applyNumberFormat="1" applyFont="1" applyFill="1" applyBorder="1" applyAlignment="1">
      <alignment horizontal="left" vertical="top" wrapText="1" readingOrder="1"/>
    </xf>
    <xf numFmtId="0" fontId="3" fillId="0" borderId="2" xfId="0" applyNumberFormat="1" applyFont="1" applyFill="1" applyBorder="1" applyAlignment="1">
      <alignment horizontal="left"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7" fillId="0" borderId="2" xfId="0" applyNumberFormat="1" applyFont="1" applyFill="1" applyBorder="1" applyAlignment="1">
      <alignment horizontal="center" vertical="top" wrapText="1" readingOrder="1"/>
    </xf>
    <xf numFmtId="176" fontId="7" fillId="0" borderId="2" xfId="0" applyNumberFormat="1" applyFont="1" applyFill="1" applyBorder="1" applyAlignment="1">
      <alignment vertical="top" wrapText="1" readingOrder="1"/>
    </xf>
    <xf numFmtId="0" fontId="0" fillId="0" borderId="0" xfId="0" applyFont="1" applyAlignment="1"/>
    <xf numFmtId="0" fontId="0" fillId="0" borderId="4" xfId="0" applyNumberFormat="1" applyFont="1" applyFill="1" applyBorder="1" applyAlignment="1">
      <alignment vertical="top" wrapText="1"/>
    </xf>
    <xf numFmtId="0" fontId="3" fillId="0" borderId="4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0</xdr:row>
      <xdr:rowOff>161925</xdr:rowOff>
    </xdr:from>
    <xdr:to>
      <xdr:col>9</xdr:col>
      <xdr:colOff>804628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437515</xdr:colOff>
      <xdr:row>1</xdr:row>
      <xdr:rowOff>19050</xdr:rowOff>
    </xdr:from>
    <xdr:to>
      <xdr:col>10</xdr:col>
      <xdr:colOff>17228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302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0</xdr:row>
      <xdr:rowOff>161925</xdr:rowOff>
    </xdr:from>
    <xdr:to>
      <xdr:col>9</xdr:col>
      <xdr:colOff>776053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2747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142875</xdr:colOff>
      <xdr:row>1</xdr:row>
      <xdr:rowOff>19050</xdr:rowOff>
    </xdr:from>
    <xdr:to>
      <xdr:col>9</xdr:col>
      <xdr:colOff>652863</xdr:colOff>
      <xdr:row>3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740775" y="190500"/>
          <a:ext cx="509905" cy="483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view="pageBreakPreview" zoomScaleNormal="100" workbookViewId="0">
      <pane ySplit="6" topLeftCell="A7" activePane="bottomLeft" state="frozen"/>
      <selection/>
      <selection pane="bottomLeft" activeCell="J23" sqref="J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19" t="s">
        <v>2</v>
      </c>
      <c r="C7" s="19" t="s">
        <v>2</v>
      </c>
      <c r="D7" s="19" t="s">
        <v>2</v>
      </c>
      <c r="E7" s="19" t="s">
        <v>2</v>
      </c>
      <c r="F7" s="19" t="s">
        <v>2</v>
      </c>
      <c r="G7" s="19" t="s">
        <v>2</v>
      </c>
      <c r="H7" s="19" t="s">
        <v>2</v>
      </c>
      <c r="I7" s="19" t="s">
        <v>2</v>
      </c>
      <c r="J7" s="19" t="s">
        <v>2</v>
      </c>
      <c r="K7" s="19" t="s">
        <v>2</v>
      </c>
    </row>
    <row r="8" ht="15" spans="2:11">
      <c r="C8" s="3" t="s">
        <v>2</v>
      </c>
      <c r="D8" s="29" t="s">
        <v>3</v>
      </c>
      <c r="E8" s="23" t="s">
        <v>2</v>
      </c>
      <c r="F8" s="23" t="s">
        <v>2</v>
      </c>
      <c r="G8" s="23" t="s">
        <v>2</v>
      </c>
      <c r="H8" s="23" t="s">
        <v>2</v>
      </c>
      <c r="I8" s="30"/>
      <c r="J8" s="31"/>
      <c r="K8" s="31"/>
    </row>
    <row r="9" spans="2:11">
      <c r="C9" s="3" t="s">
        <v>2</v>
      </c>
      <c r="D9" s="27" t="s">
        <v>4</v>
      </c>
      <c r="E9" s="27" t="s">
        <v>5</v>
      </c>
      <c r="F9" s="27" t="s">
        <v>6</v>
      </c>
      <c r="G9" s="27" t="s">
        <v>7</v>
      </c>
      <c r="H9" s="27" t="s">
        <v>8</v>
      </c>
      <c r="I9" s="27" t="s">
        <v>9</v>
      </c>
      <c r="J9" s="27" t="s">
        <v>10</v>
      </c>
      <c r="K9" s="27" t="s">
        <v>11</v>
      </c>
    </row>
    <row r="10" ht="14.25" spans="2:11">
      <c r="D10" s="22" t="s">
        <v>12</v>
      </c>
      <c r="E10" s="23" t="s">
        <v>2</v>
      </c>
      <c r="F10" s="23" t="s">
        <v>2</v>
      </c>
      <c r="G10" s="23" t="s">
        <v>2</v>
      </c>
      <c r="H10" s="23" t="s">
        <v>2</v>
      </c>
      <c r="I10" s="24">
        <v>21</v>
      </c>
      <c r="J10" s="25"/>
      <c r="K10" s="25">
        <f>SUM(K11:K25)</f>
        <v>147</v>
      </c>
    </row>
    <row r="11" spans="2:11">
      <c r="D11" s="26">
        <v>46043</v>
      </c>
      <c r="E11" s="14">
        <v>1572467</v>
      </c>
      <c r="F11" s="14" t="s">
        <v>13</v>
      </c>
      <c r="G11" s="27">
        <v>20377401</v>
      </c>
      <c r="H11" s="14" t="s">
        <v>14</v>
      </c>
      <c r="I11" s="27">
        <v>1</v>
      </c>
      <c r="J11" s="28">
        <v>3</v>
      </c>
      <c r="K11" s="28">
        <f>J11*I11</f>
        <v>3</v>
      </c>
    </row>
    <row r="12" spans="2:11">
      <c r="D12" s="26">
        <v>46043</v>
      </c>
      <c r="E12" s="14">
        <v>1572467</v>
      </c>
      <c r="F12" s="14" t="s">
        <v>13</v>
      </c>
      <c r="G12" s="27">
        <v>20377402</v>
      </c>
      <c r="H12" s="14" t="s">
        <v>15</v>
      </c>
      <c r="I12" s="27">
        <v>1</v>
      </c>
      <c r="J12" s="28">
        <v>3</v>
      </c>
      <c r="K12" s="28">
        <f t="shared" ref="K12:K25" si="0">J12*I12</f>
        <v>3</v>
      </c>
    </row>
    <row r="13" spans="2:11">
      <c r="D13" s="26">
        <v>46043</v>
      </c>
      <c r="E13" s="14">
        <v>1572467</v>
      </c>
      <c r="F13" s="14" t="s">
        <v>13</v>
      </c>
      <c r="G13" s="27">
        <v>20375410</v>
      </c>
      <c r="H13" s="14" t="s">
        <v>16</v>
      </c>
      <c r="I13" s="27">
        <v>2</v>
      </c>
      <c r="J13" s="28">
        <v>3</v>
      </c>
      <c r="K13" s="28">
        <f t="shared" si="0"/>
        <v>6</v>
      </c>
    </row>
    <row r="14" spans="2:11">
      <c r="D14" s="26">
        <v>46043</v>
      </c>
      <c r="E14" s="14">
        <v>1572467</v>
      </c>
      <c r="F14" s="14" t="s">
        <v>13</v>
      </c>
      <c r="G14" s="27">
        <v>20377399</v>
      </c>
      <c r="H14" s="14" t="s">
        <v>17</v>
      </c>
      <c r="I14" s="27">
        <v>1</v>
      </c>
      <c r="J14" s="28">
        <v>3</v>
      </c>
      <c r="K14" s="28">
        <f t="shared" si="0"/>
        <v>3</v>
      </c>
    </row>
    <row r="15" spans="2:11">
      <c r="D15" s="26">
        <v>46043</v>
      </c>
      <c r="E15" s="14">
        <v>1572467</v>
      </c>
      <c r="F15" s="14" t="s">
        <v>13</v>
      </c>
      <c r="G15" s="27">
        <v>20009626</v>
      </c>
      <c r="H15" s="14" t="s">
        <v>18</v>
      </c>
      <c r="I15" s="27">
        <v>2</v>
      </c>
      <c r="J15" s="28">
        <v>3</v>
      </c>
      <c r="K15" s="28">
        <f t="shared" si="0"/>
        <v>6</v>
      </c>
    </row>
    <row r="16" spans="2:11">
      <c r="D16" s="26">
        <v>46043</v>
      </c>
      <c r="E16" s="14">
        <v>1572467</v>
      </c>
      <c r="F16" s="14" t="s">
        <v>13</v>
      </c>
      <c r="G16" s="27">
        <v>20009655</v>
      </c>
      <c r="H16" s="14" t="s">
        <v>19</v>
      </c>
      <c r="I16" s="27">
        <v>2</v>
      </c>
      <c r="J16" s="28">
        <v>3</v>
      </c>
      <c r="K16" s="28">
        <f t="shared" si="0"/>
        <v>6</v>
      </c>
    </row>
    <row r="17" spans="4:11">
      <c r="D17" s="26">
        <v>46043</v>
      </c>
      <c r="E17" s="14">
        <v>1572467</v>
      </c>
      <c r="F17" s="14" t="s">
        <v>13</v>
      </c>
      <c r="G17" s="27">
        <v>20376318</v>
      </c>
      <c r="H17" s="14" t="s">
        <v>20</v>
      </c>
      <c r="I17" s="27">
        <v>2</v>
      </c>
      <c r="J17" s="28">
        <v>3</v>
      </c>
      <c r="K17" s="28">
        <f t="shared" si="0"/>
        <v>6</v>
      </c>
    </row>
    <row r="18" spans="4:11">
      <c r="D18" s="26">
        <v>46043</v>
      </c>
      <c r="E18" s="14">
        <v>1572467</v>
      </c>
      <c r="F18" s="14" t="s">
        <v>13</v>
      </c>
      <c r="G18" s="27">
        <v>20376327</v>
      </c>
      <c r="H18" s="14" t="s">
        <v>21</v>
      </c>
      <c r="I18" s="27">
        <v>2</v>
      </c>
      <c r="J18" s="28">
        <v>3</v>
      </c>
      <c r="K18" s="28">
        <f t="shared" si="0"/>
        <v>6</v>
      </c>
    </row>
    <row r="19" spans="4:11">
      <c r="D19" s="26">
        <v>46043</v>
      </c>
      <c r="E19" s="14">
        <v>1572467</v>
      </c>
      <c r="F19" s="14" t="s">
        <v>13</v>
      </c>
      <c r="G19" s="27">
        <v>20376326</v>
      </c>
      <c r="H19" s="14" t="s">
        <v>22</v>
      </c>
      <c r="I19" s="27">
        <v>1</v>
      </c>
      <c r="J19" s="28">
        <v>3</v>
      </c>
      <c r="K19" s="28">
        <f t="shared" si="0"/>
        <v>3</v>
      </c>
    </row>
    <row r="20" spans="4:11">
      <c r="D20" s="26">
        <v>46043</v>
      </c>
      <c r="E20" s="14">
        <v>1572467</v>
      </c>
      <c r="F20" s="14" t="s">
        <v>13</v>
      </c>
      <c r="G20" s="27">
        <v>20377403</v>
      </c>
      <c r="H20" s="14" t="s">
        <v>23</v>
      </c>
      <c r="I20" s="27">
        <v>1</v>
      </c>
      <c r="J20" s="28">
        <v>3</v>
      </c>
      <c r="K20" s="28">
        <f t="shared" si="0"/>
        <v>3</v>
      </c>
    </row>
    <row r="21" spans="4:11">
      <c r="D21" s="26">
        <v>46043</v>
      </c>
      <c r="E21" s="14">
        <v>1572467</v>
      </c>
      <c r="F21" s="14" t="s">
        <v>13</v>
      </c>
      <c r="G21" s="27">
        <v>20377398</v>
      </c>
      <c r="H21" s="14" t="s">
        <v>24</v>
      </c>
      <c r="I21" s="27">
        <v>1</v>
      </c>
      <c r="J21" s="28">
        <v>3</v>
      </c>
      <c r="K21" s="28">
        <f t="shared" si="0"/>
        <v>3</v>
      </c>
    </row>
    <row r="22" spans="4:11">
      <c r="D22" s="26">
        <v>46043</v>
      </c>
      <c r="E22" s="14">
        <v>1572467</v>
      </c>
      <c r="F22" s="14" t="s">
        <v>13</v>
      </c>
      <c r="G22" s="27">
        <v>20376320</v>
      </c>
      <c r="H22" s="14" t="s">
        <v>25</v>
      </c>
      <c r="I22" s="27">
        <v>1</v>
      </c>
      <c r="J22" s="28">
        <v>3</v>
      </c>
      <c r="K22" s="28">
        <f t="shared" si="0"/>
        <v>3</v>
      </c>
    </row>
    <row r="23" spans="4:11">
      <c r="D23" s="26">
        <v>46043</v>
      </c>
      <c r="E23" s="14">
        <v>1572467</v>
      </c>
      <c r="F23" s="14" t="s">
        <v>26</v>
      </c>
      <c r="G23" s="27">
        <v>20377247</v>
      </c>
      <c r="H23" s="14" t="s">
        <v>27</v>
      </c>
      <c r="I23" s="27">
        <v>1</v>
      </c>
      <c r="J23" s="28">
        <v>33</v>
      </c>
      <c r="K23" s="28">
        <f t="shared" si="0"/>
        <v>33</v>
      </c>
    </row>
    <row r="24" spans="4:11">
      <c r="D24" s="26">
        <v>46044</v>
      </c>
      <c r="E24" s="14">
        <v>1572835</v>
      </c>
      <c r="F24" s="14" t="s">
        <v>13</v>
      </c>
      <c r="G24" s="27">
        <v>20377401</v>
      </c>
      <c r="H24" s="14" t="s">
        <v>14</v>
      </c>
      <c r="I24" s="27">
        <v>1</v>
      </c>
      <c r="J24" s="28">
        <v>3</v>
      </c>
      <c r="K24" s="28">
        <f t="shared" si="0"/>
        <v>3</v>
      </c>
    </row>
    <row r="25" spans="4:11">
      <c r="D25" s="26">
        <v>46044</v>
      </c>
      <c r="E25" s="14">
        <v>1572835</v>
      </c>
      <c r="F25" s="14" t="s">
        <v>26</v>
      </c>
      <c r="G25" s="27">
        <v>20378353</v>
      </c>
      <c r="H25" s="14" t="s">
        <v>28</v>
      </c>
      <c r="I25" s="27">
        <v>2</v>
      </c>
      <c r="J25" s="28">
        <v>30</v>
      </c>
      <c r="K25" s="28">
        <f t="shared" si="0"/>
        <v>60</v>
      </c>
    </row>
    <row r="26" ht="0.05" customHeight="1"/>
  </sheetData>
  <autoFilter xmlns:etc="http://www.wps.cn/officeDocument/2017/etCustomData" ref="A9:K25" etc:filterBottomFollowUsedRange="0">
    <extLst/>
  </autoFilter>
  <mergeCells count="6">
    <mergeCell ref="D8:H8"/>
    <mergeCell ref="D10:H10"/>
    <mergeCell ref="C9:C25"/>
    <mergeCell ref="B4:H5"/>
    <mergeCell ref="A8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10:51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J15" sqref="J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19" t="s">
        <v>2</v>
      </c>
      <c r="C7" s="20" t="s">
        <v>2</v>
      </c>
      <c r="D7" s="21" t="s">
        <v>4</v>
      </c>
      <c r="E7" s="21" t="s">
        <v>5</v>
      </c>
      <c r="F7" s="21" t="s">
        <v>6</v>
      </c>
      <c r="G7" s="21" t="s">
        <v>7</v>
      </c>
      <c r="H7" s="21" t="s">
        <v>8</v>
      </c>
      <c r="I7" s="21" t="s">
        <v>9</v>
      </c>
      <c r="J7" s="21" t="s">
        <v>10</v>
      </c>
      <c r="K7" s="21" t="s">
        <v>11</v>
      </c>
    </row>
    <row r="8" ht="14.25" spans="1:11">
      <c r="D8" s="22" t="s">
        <v>29</v>
      </c>
      <c r="E8" s="23" t="s">
        <v>2</v>
      </c>
      <c r="F8" s="23" t="s">
        <v>2</v>
      </c>
      <c r="G8" s="23" t="s">
        <v>2</v>
      </c>
      <c r="H8" s="23" t="s">
        <v>2</v>
      </c>
      <c r="I8" s="24">
        <v>15</v>
      </c>
      <c r="J8" s="25"/>
      <c r="K8" s="25">
        <f>SUM(K9:K15)</f>
        <v>84</v>
      </c>
    </row>
    <row r="9" spans="1:11">
      <c r="D9" s="26">
        <v>46043</v>
      </c>
      <c r="E9" s="14">
        <v>1572468</v>
      </c>
      <c r="F9" s="14" t="s">
        <v>13</v>
      </c>
      <c r="G9" s="27">
        <v>20380019</v>
      </c>
      <c r="H9" s="14" t="s">
        <v>30</v>
      </c>
      <c r="I9" s="27">
        <v>1</v>
      </c>
      <c r="J9" s="28">
        <v>3</v>
      </c>
      <c r="K9" s="28">
        <f>I9*J9</f>
        <v>3</v>
      </c>
    </row>
    <row r="10" spans="1:11">
      <c r="D10" s="26">
        <v>46043</v>
      </c>
      <c r="E10" s="14">
        <v>1572468</v>
      </c>
      <c r="F10" s="14" t="s">
        <v>13</v>
      </c>
      <c r="G10" s="27">
        <v>20009570</v>
      </c>
      <c r="H10" s="14" t="s">
        <v>31</v>
      </c>
      <c r="I10" s="27">
        <v>2</v>
      </c>
      <c r="J10" s="28">
        <v>3</v>
      </c>
      <c r="K10" s="28">
        <f t="shared" ref="K10:K15" si="0">I10*J10</f>
        <v>6</v>
      </c>
    </row>
    <row r="11" spans="1:11">
      <c r="D11" s="26">
        <v>46043</v>
      </c>
      <c r="E11" s="14">
        <v>1572468</v>
      </c>
      <c r="F11" s="14" t="s">
        <v>13</v>
      </c>
      <c r="G11" s="27">
        <v>20386337</v>
      </c>
      <c r="H11" s="14" t="s">
        <v>32</v>
      </c>
      <c r="I11" s="27">
        <v>2</v>
      </c>
      <c r="J11" s="28">
        <v>3</v>
      </c>
      <c r="K11" s="28">
        <f t="shared" si="0"/>
        <v>6</v>
      </c>
    </row>
    <row r="12" spans="1:11">
      <c r="D12" s="26">
        <v>46043</v>
      </c>
      <c r="E12" s="14">
        <v>1572468</v>
      </c>
      <c r="F12" s="14" t="s">
        <v>13</v>
      </c>
      <c r="G12" s="27">
        <v>20380021</v>
      </c>
      <c r="H12" s="14" t="s">
        <v>33</v>
      </c>
      <c r="I12" s="27">
        <v>5</v>
      </c>
      <c r="J12" s="28">
        <v>9</v>
      </c>
      <c r="K12" s="28">
        <f t="shared" si="0"/>
        <v>45</v>
      </c>
    </row>
    <row r="13" spans="1:11">
      <c r="D13" s="26">
        <v>46043</v>
      </c>
      <c r="E13" s="14">
        <v>1572468</v>
      </c>
      <c r="F13" s="14" t="s">
        <v>13</v>
      </c>
      <c r="G13" s="27">
        <v>20009656</v>
      </c>
      <c r="H13" s="14" t="s">
        <v>34</v>
      </c>
      <c r="I13" s="27">
        <v>2</v>
      </c>
      <c r="J13" s="28">
        <v>3</v>
      </c>
      <c r="K13" s="28">
        <f t="shared" si="0"/>
        <v>6</v>
      </c>
    </row>
    <row r="14" spans="1:11">
      <c r="D14" s="26">
        <v>46043</v>
      </c>
      <c r="E14" s="14">
        <v>1572468</v>
      </c>
      <c r="F14" s="14" t="s">
        <v>13</v>
      </c>
      <c r="G14" s="27">
        <v>20376328</v>
      </c>
      <c r="H14" s="14" t="s">
        <v>35</v>
      </c>
      <c r="I14" s="27">
        <v>2</v>
      </c>
      <c r="J14" s="28">
        <v>3</v>
      </c>
      <c r="K14" s="28">
        <f t="shared" si="0"/>
        <v>6</v>
      </c>
    </row>
    <row r="15" spans="1:11">
      <c r="D15" s="26">
        <v>46043</v>
      </c>
      <c r="E15" s="14">
        <v>1572468</v>
      </c>
      <c r="F15" s="14" t="s">
        <v>13</v>
      </c>
      <c r="G15" s="27">
        <v>20388282</v>
      </c>
      <c r="H15" s="14" t="s">
        <v>36</v>
      </c>
      <c r="I15" s="27">
        <v>1</v>
      </c>
      <c r="J15" s="28">
        <v>12</v>
      </c>
      <c r="K15" s="28">
        <f t="shared" si="0"/>
        <v>12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10:51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O13" sqref="O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19" t="s">
        <v>2</v>
      </c>
      <c r="C7" s="20" t="s">
        <v>2</v>
      </c>
      <c r="D7" s="21" t="s">
        <v>4</v>
      </c>
      <c r="E7" s="21" t="s">
        <v>5</v>
      </c>
      <c r="F7" s="21" t="s">
        <v>6</v>
      </c>
      <c r="G7" s="21" t="s">
        <v>7</v>
      </c>
      <c r="H7" s="21" t="s">
        <v>8</v>
      </c>
      <c r="I7" s="21" t="s">
        <v>9</v>
      </c>
      <c r="J7" s="21" t="s">
        <v>10</v>
      </c>
      <c r="K7" s="21" t="s">
        <v>11</v>
      </c>
    </row>
    <row r="8" ht="14.25" spans="1:11">
      <c r="D8" s="22" t="s">
        <v>37</v>
      </c>
      <c r="E8" s="23" t="s">
        <v>2</v>
      </c>
      <c r="F8" s="23" t="s">
        <v>2</v>
      </c>
      <c r="G8" s="23" t="s">
        <v>2</v>
      </c>
      <c r="H8" s="23" t="s">
        <v>2</v>
      </c>
      <c r="I8" s="24">
        <v>14</v>
      </c>
      <c r="J8" s="25"/>
      <c r="K8" s="25">
        <f>SUM(K9:K18)</f>
        <v>393</v>
      </c>
    </row>
    <row r="9" spans="1:11">
      <c r="D9" s="26">
        <v>46043</v>
      </c>
      <c r="E9" s="14">
        <v>1572469</v>
      </c>
      <c r="F9" s="14" t="s">
        <v>13</v>
      </c>
      <c r="G9" s="27">
        <v>20380019</v>
      </c>
      <c r="H9" s="14" t="s">
        <v>30</v>
      </c>
      <c r="I9" s="27">
        <v>1</v>
      </c>
      <c r="J9" s="28">
        <v>3</v>
      </c>
      <c r="K9" s="28">
        <f>J9*I9</f>
        <v>3</v>
      </c>
    </row>
    <row r="10" spans="1:11">
      <c r="D10" s="26">
        <v>46043</v>
      </c>
      <c r="E10" s="14">
        <v>1572469</v>
      </c>
      <c r="F10" s="14" t="s">
        <v>13</v>
      </c>
      <c r="G10" s="27">
        <v>20367980</v>
      </c>
      <c r="H10" s="14" t="s">
        <v>38</v>
      </c>
      <c r="I10" s="27">
        <v>1</v>
      </c>
      <c r="J10" s="28">
        <v>9</v>
      </c>
      <c r="K10" s="28">
        <f t="shared" ref="K10:K18" si="0">J10*I10</f>
        <v>9</v>
      </c>
    </row>
    <row r="11" spans="1:11">
      <c r="D11" s="26">
        <v>46043</v>
      </c>
      <c r="E11" s="14">
        <v>1572469</v>
      </c>
      <c r="F11" s="14" t="s">
        <v>26</v>
      </c>
      <c r="G11" s="27">
        <v>20410072</v>
      </c>
      <c r="H11" s="14" t="s">
        <v>39</v>
      </c>
      <c r="I11" s="27">
        <v>4</v>
      </c>
      <c r="J11" s="28">
        <v>24</v>
      </c>
      <c r="K11" s="28">
        <f t="shared" si="0"/>
        <v>96</v>
      </c>
    </row>
    <row r="12" spans="1:11">
      <c r="D12" s="26">
        <v>46043</v>
      </c>
      <c r="E12" s="14">
        <v>1572469</v>
      </c>
      <c r="F12" s="14" t="s">
        <v>26</v>
      </c>
      <c r="G12" s="27">
        <v>20410071</v>
      </c>
      <c r="H12" s="14" t="s">
        <v>40</v>
      </c>
      <c r="I12" s="27">
        <v>2</v>
      </c>
      <c r="J12" s="28">
        <v>99</v>
      </c>
      <c r="K12" s="28">
        <f t="shared" si="0"/>
        <v>198</v>
      </c>
    </row>
    <row r="13" spans="1:11">
      <c r="D13" s="26">
        <v>46043</v>
      </c>
      <c r="E13" s="14">
        <v>1572469</v>
      </c>
      <c r="F13" s="14" t="s">
        <v>26</v>
      </c>
      <c r="G13" s="27">
        <v>20352092</v>
      </c>
      <c r="H13" s="14" t="s">
        <v>41</v>
      </c>
      <c r="I13" s="27">
        <v>1</v>
      </c>
      <c r="J13" s="28">
        <v>27</v>
      </c>
      <c r="K13" s="28">
        <f t="shared" si="0"/>
        <v>27</v>
      </c>
    </row>
    <row r="14" spans="1:11">
      <c r="D14" s="26">
        <v>46052</v>
      </c>
      <c r="E14" s="14">
        <v>1574792</v>
      </c>
      <c r="F14" s="14" t="s">
        <v>13</v>
      </c>
      <c r="G14" s="27">
        <v>20405374</v>
      </c>
      <c r="H14" s="14" t="s">
        <v>42</v>
      </c>
      <c r="I14" s="27">
        <v>1</v>
      </c>
      <c r="J14" s="28">
        <v>3</v>
      </c>
      <c r="K14" s="28">
        <f t="shared" si="0"/>
        <v>3</v>
      </c>
    </row>
    <row r="15" spans="1:11">
      <c r="D15" s="26">
        <v>46052</v>
      </c>
      <c r="E15" s="14">
        <v>1574792</v>
      </c>
      <c r="F15" s="14" t="s">
        <v>13</v>
      </c>
      <c r="G15" s="27">
        <v>20009626</v>
      </c>
      <c r="H15" s="14" t="s">
        <v>18</v>
      </c>
      <c r="I15" s="27">
        <v>1</v>
      </c>
      <c r="J15" s="28">
        <v>3</v>
      </c>
      <c r="K15" s="28">
        <f t="shared" si="0"/>
        <v>3</v>
      </c>
    </row>
    <row r="16" spans="1:11">
      <c r="D16" s="26">
        <v>46052</v>
      </c>
      <c r="E16" s="14">
        <v>1574792</v>
      </c>
      <c r="F16" s="14" t="s">
        <v>13</v>
      </c>
      <c r="G16" s="27">
        <v>20411138</v>
      </c>
      <c r="H16" s="14" t="s">
        <v>43</v>
      </c>
      <c r="I16" s="27">
        <v>1</v>
      </c>
      <c r="J16" s="28">
        <v>3</v>
      </c>
      <c r="K16" s="28">
        <f t="shared" si="0"/>
        <v>3</v>
      </c>
    </row>
    <row r="17" spans="4:11">
      <c r="D17" s="26">
        <v>46052</v>
      </c>
      <c r="E17" s="14">
        <v>1574792</v>
      </c>
      <c r="F17" s="14" t="s">
        <v>13</v>
      </c>
      <c r="G17" s="27">
        <v>20411139</v>
      </c>
      <c r="H17" s="14" t="s">
        <v>44</v>
      </c>
      <c r="I17" s="27">
        <v>1</v>
      </c>
      <c r="J17" s="28">
        <v>6</v>
      </c>
      <c r="K17" s="28">
        <f t="shared" si="0"/>
        <v>6</v>
      </c>
    </row>
    <row r="18" spans="4:11">
      <c r="D18" s="26">
        <v>46052</v>
      </c>
      <c r="E18" s="14">
        <v>1574792</v>
      </c>
      <c r="F18" s="14" t="s">
        <v>26</v>
      </c>
      <c r="G18" s="27">
        <v>20375218</v>
      </c>
      <c r="H18" s="14" t="s">
        <v>45</v>
      </c>
      <c r="I18" s="27">
        <v>1</v>
      </c>
      <c r="J18" s="28">
        <v>45</v>
      </c>
      <c r="K18" s="28">
        <f t="shared" si="0"/>
        <v>45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10:51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view="pageBreakPreview" zoomScaleNormal="100" workbookViewId="0">
      <selection activeCell="I20" sqref="I20"/>
    </sheetView>
  </sheetViews>
  <sheetFormatPr defaultColWidth="9" defaultRowHeight="13.5"/>
  <cols>
    <col min="1" max="1" width="10.5" customWidth="1"/>
    <col min="2" max="2" width="9.8" customWidth="1"/>
    <col min="3" max="3" width="9.4" customWidth="1"/>
    <col min="4" max="4" width="15.4333333333333" customWidth="1"/>
    <col min="5" max="5" width="10.5" customWidth="1"/>
    <col min="6" max="6" width="9.64166666666667" customWidth="1"/>
    <col min="7" max="7" width="26.5333333333333" customWidth="1"/>
    <col min="8" max="8" width="10.625" customWidth="1"/>
    <col min="9" max="9" width="10.4" customWidth="1"/>
    <col min="10" max="10" width="11.8416666666667" customWidth="1"/>
    <col min="11" max="11" width="0.025" customWidth="1"/>
  </cols>
  <sheetData>
    <row r="1" customFormat="1" spans="1:10">
      <c r="A1" s="1" t="s">
        <v>46</v>
      </c>
    </row>
    <row r="2" ht="23.05" customHeight="1"/>
    <row r="3" customFormat="1" ht="15.2" customHeight="1" spans="1:10">
      <c r="A3" s="2" t="s">
        <v>47</v>
      </c>
    </row>
    <row r="5" customFormat="1" spans="1:10">
      <c r="A5" s="3" t="s">
        <v>4</v>
      </c>
      <c r="B5" s="3" t="s">
        <v>5</v>
      </c>
      <c r="C5" s="3" t="s">
        <v>48</v>
      </c>
      <c r="D5" s="3" t="s">
        <v>6</v>
      </c>
      <c r="E5" s="3" t="s">
        <v>49</v>
      </c>
      <c r="F5" s="3" t="s">
        <v>8</v>
      </c>
      <c r="H5" s="4" t="s">
        <v>50</v>
      </c>
      <c r="I5" s="4" t="s">
        <v>10</v>
      </c>
      <c r="J5" s="4" t="s">
        <v>51</v>
      </c>
    </row>
    <row r="6" customFormat="1" ht="15" spans="1:10">
      <c r="A6" s="5" t="s">
        <v>52</v>
      </c>
      <c r="B6" s="6" t="s">
        <v>2</v>
      </c>
      <c r="C6" s="6" t="s">
        <v>2</v>
      </c>
      <c r="D6" s="6" t="s">
        <v>2</v>
      </c>
      <c r="E6" s="6" t="s">
        <v>2</v>
      </c>
      <c r="F6" s="5" t="s">
        <v>2</v>
      </c>
      <c r="G6" s="6" t="s">
        <v>2</v>
      </c>
      <c r="H6" s="7"/>
      <c r="I6" s="5"/>
      <c r="J6" s="8"/>
    </row>
    <row r="7" customFormat="1" ht="14.25" spans="1:10">
      <c r="A7" s="9" t="s">
        <v>53</v>
      </c>
      <c r="B7" s="6" t="s">
        <v>2</v>
      </c>
      <c r="C7" s="6" t="s">
        <v>2</v>
      </c>
      <c r="D7" s="6" t="s">
        <v>2</v>
      </c>
      <c r="E7" s="6" t="s">
        <v>2</v>
      </c>
      <c r="F7" s="9" t="s">
        <v>2</v>
      </c>
      <c r="G7" s="6" t="s">
        <v>2</v>
      </c>
      <c r="H7" s="10">
        <v>3</v>
      </c>
      <c r="I7" s="9" t="s">
        <v>2</v>
      </c>
      <c r="J7" s="11">
        <f>SUM(J8:J10)</f>
        <v>387.5</v>
      </c>
    </row>
    <row r="8" customFormat="1" ht="24.75" spans="1:10">
      <c r="A8" s="12">
        <v>46048</v>
      </c>
      <c r="B8" s="13">
        <v>1573661</v>
      </c>
      <c r="C8" s="13" t="s">
        <v>54</v>
      </c>
      <c r="D8" s="14" t="s">
        <v>55</v>
      </c>
      <c r="E8" s="13">
        <v>20410620</v>
      </c>
      <c r="F8" s="14" t="s">
        <v>56</v>
      </c>
      <c r="G8" s="15" t="s">
        <v>2</v>
      </c>
      <c r="H8" s="16">
        <v>1</v>
      </c>
      <c r="I8" s="17">
        <v>120</v>
      </c>
      <c r="J8" s="17">
        <f>I8*H8</f>
        <v>120</v>
      </c>
    </row>
    <row r="9" customFormat="1" ht="24.75" spans="1:10">
      <c r="A9" s="12">
        <v>46048</v>
      </c>
      <c r="B9" s="13">
        <v>1573661</v>
      </c>
      <c r="C9" s="13" t="s">
        <v>54</v>
      </c>
      <c r="D9" s="14" t="s">
        <v>57</v>
      </c>
      <c r="E9" s="13">
        <v>20410622</v>
      </c>
      <c r="F9" s="14" t="s">
        <v>58</v>
      </c>
      <c r="G9" s="15" t="s">
        <v>2</v>
      </c>
      <c r="H9" s="16">
        <v>1</v>
      </c>
      <c r="I9" s="17">
        <v>12.5</v>
      </c>
      <c r="J9" s="17">
        <f>I9*H9</f>
        <v>12.5</v>
      </c>
    </row>
    <row r="10" customFormat="1" ht="24.75" spans="1:10">
      <c r="A10" s="12">
        <v>46048</v>
      </c>
      <c r="B10" s="13">
        <v>1573661</v>
      </c>
      <c r="C10" s="13" t="s">
        <v>54</v>
      </c>
      <c r="D10" s="14" t="s">
        <v>55</v>
      </c>
      <c r="E10" s="13">
        <v>20410621</v>
      </c>
      <c r="F10" s="14" t="s">
        <v>59</v>
      </c>
      <c r="G10" s="15" t="s">
        <v>2</v>
      </c>
      <c r="H10" s="16">
        <v>1</v>
      </c>
      <c r="I10" s="17">
        <v>255</v>
      </c>
      <c r="J10" s="17">
        <f>I10*H10</f>
        <v>255</v>
      </c>
    </row>
    <row r="12" spans="1:10">
      <c r="G12" s="18"/>
    </row>
    <row r="13" spans="1:10">
      <c r="G13" s="18"/>
    </row>
    <row r="14" spans="1:10">
      <c r="G14" s="18"/>
    </row>
    <row r="15" spans="1:10">
      <c r="G15" s="18"/>
      <c r="H15" s="18"/>
    </row>
    <row r="16" spans="1:10">
      <c r="G16" s="18"/>
      <c r="H16" s="18"/>
    </row>
    <row r="17" spans="7:8">
      <c r="G17" s="18"/>
      <c r="H17" s="18"/>
    </row>
  </sheetData>
  <mergeCells count="10">
    <mergeCell ref="F5:G5"/>
    <mergeCell ref="A6:E6"/>
    <mergeCell ref="F6:G6"/>
    <mergeCell ref="A7:E7"/>
    <mergeCell ref="F7:G7"/>
    <mergeCell ref="F8:G8"/>
    <mergeCell ref="F9:G9"/>
    <mergeCell ref="F10:G10"/>
    <mergeCell ref="A1:G2"/>
    <mergeCell ref="A3:G4"/>
  </mergeCells>
  <pageMargins left="0.25" right="0.25" top="0.75" bottom="0.75" header="0.298611111111111" footer="0.298611111111111"/>
  <pageSetup paperSize="9" scale="7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妇科门诊</vt:lpstr>
      <vt:lpstr>美容科</vt:lpstr>
      <vt:lpstr>手术室</vt:lpstr>
      <vt:lpstr>外来器械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2026-02-02T02:52:00Z</dcterms:created>
  <dcterms:modified xsi:type="dcterms:W3CDTF">2026-02-05T01:16:17Z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0D522C65A9324E5BA097604072EC6108_13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