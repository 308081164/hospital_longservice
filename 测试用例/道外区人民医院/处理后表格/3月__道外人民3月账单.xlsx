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85" windowHeight="7950" activeTab="4"/>
  </bookViews>
  <sheets>
    <sheet name="妇科门诊" sheetId="1" r:id="rId1"/>
    <sheet name="美容科" sheetId="2" r:id="rId2"/>
    <sheet name="手术室" sheetId="3" r:id="rId3"/>
    <sheet name="外科" sheetId="4" r:id="rId4"/>
    <sheet name="眼科" sheetId="5" r:id="rId5"/>
  </sheets>
  <definedNames>
    <definedName name="_xlnm._FilterDatabase" localSheetId="0" hidden="1">妇科门诊!$A$9:$K$30</definedName>
    <definedName name="_xlnm._FilterDatabase" localSheetId="1" hidden="1">美容科!$A$7:$K$17</definedName>
    <definedName name="_xlnm._FilterDatabase" localSheetId="2" hidden="1">手术室!$A$7:$K$27</definedName>
    <definedName name="_xlnm._FilterDatabase" localSheetId="3" hidden="1">外科!$A$7:$K$12</definedName>
    <definedName name="_xlnm._FilterDatabase" localSheetId="4" hidden="1">眼科!$A$7:$K$21</definedName>
    <definedName name="_xlnm.Print_Titles" localSheetId="0">妇科门诊!$1:$6</definedName>
    <definedName name="_xlnm.Print_Titles" localSheetId="1">美容科!$1:$6</definedName>
    <definedName name="_xlnm.Print_Titles" localSheetId="2">手术室!$1:$6</definedName>
    <definedName name="_xlnm.Print_Titles" localSheetId="3">外科!$1:$6</definedName>
    <definedName name="_xlnm.Print_Titles" localSheetId="4">眼科!$1:$6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<sst xmlns="http://schemas.openxmlformats.org/spreadsheetml/2006/main" count="234" uniqueCount="66">
  <si>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</si>
  <si>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</si>
  <si>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</si>
  <si>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道外区人民医院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</si>
  <si>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</si>
  <si>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</si>
  <si>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</si>
  <si>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</si>
  <si>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</si>
  <si>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</si>
  <si>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</si>
  <si>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</si>
  <si>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妇科门诊</t>
  </si>
  <si>
    <t>额外包(纸塑袋)</t>
  </si>
  <si>
    <t>4号扩棒-1/Z7526</t>
  </si>
  <si>
    <t>长弯-1/z1029</t>
  </si>
  <si>
    <t>宫颈钳-1/z1535</t>
  </si>
  <si>
    <t>卵圆钳-1/Z1029</t>
  </si>
  <si>
    <t>弯盘-1/z2032</t>
  </si>
  <si>
    <t>吸头6号-1/Z7534</t>
  </si>
  <si>
    <t>额外包(无纺布)</t>
  </si>
  <si>
    <t>取环包-10件/W6050</t>
  </si>
  <si>
    <t>人流包-11件/W6050</t>
  </si>
  <si>
    <t>敷料包(纸塑袋)</t>
  </si>
  <si>
    <t>线棉球/z1526</t>
  </si>
  <si>
    <t>取环包-11件/W6050</t>
  </si>
  <si>
    <t>3号扩棒-1/Z7526</t>
  </si>
  <si>
    <t>剪刀-1/Z1029</t>
  </si>
  <si>
    <t>取环钩-1/7537</t>
  </si>
  <si>
    <t>美容科</t>
  </si>
  <si>
    <t>刮勺-1/Z7534</t>
  </si>
  <si>
    <t>美容小包-3件/Z1526</t>
  </si>
  <si>
    <t>双眼皮包-5件/W6050</t>
  </si>
  <si>
    <t>眼袋包-6件/W6050</t>
  </si>
  <si>
    <t>持针器-1/z1029</t>
  </si>
  <si>
    <t>美容包-5件/W6050</t>
  </si>
  <si>
    <t>美容包-6件/W6050</t>
  </si>
  <si>
    <t>手术室</t>
  </si>
  <si>
    <t>敷料包</t>
  </si>
  <si>
    <t>持物钳罐-2/持物钳放外面W6050</t>
  </si>
  <si>
    <t>电钻-4件/W7050</t>
  </si>
  <si>
    <t>盆-1 /W6050</t>
  </si>
  <si>
    <t>外伤包-9件/W7050</t>
  </si>
  <si>
    <t>1.5克氏针-1件/z7534</t>
  </si>
  <si>
    <t>钩镊-2/Z7526</t>
  </si>
  <si>
    <t>克氏钳-1/z1029</t>
  </si>
  <si>
    <t>拉钩-2Z1026</t>
  </si>
  <si>
    <t>蚊式-2/z1526</t>
  </si>
  <si>
    <t>组织钳-1/Z1029</t>
  </si>
  <si>
    <t>踇外翻-12件/w7050</t>
  </si>
  <si>
    <t>骨科器械-1/Z1026</t>
  </si>
  <si>
    <t>骨科器械-1/Z1526</t>
  </si>
  <si>
    <t>骨科器械-1/Z7520</t>
  </si>
  <si>
    <t>骨科器械-1/Z7526</t>
  </si>
  <si>
    <t>外伤包-21件/W7050</t>
  </si>
  <si>
    <t>外科</t>
  </si>
  <si>
    <t>无菌缸-1/Z2530</t>
  </si>
  <si>
    <t>止血钳-1/Z1026</t>
  </si>
  <si>
    <t>眼科</t>
  </si>
  <si>
    <t>睫毛镊-1/Z7526</t>
  </si>
  <si>
    <t>泪道冲洗针头-1/Z7520</t>
  </si>
  <si>
    <t>泪道扩张器-1/Z7520</t>
  </si>
  <si>
    <t>睑板腺夹-1/Z7520</t>
  </si>
  <si>
    <t>手术包-4件/Z1526</t>
  </si>
  <si>
    <t>小角针-1/Z7520</t>
  </si>
  <si>
    <t>辅料包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</si>
</sst>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304165</xdr:colOff>
      <xdr:row>1</xdr:row>
      <xdr:rowOff>28575</xdr:rowOff>
    </xdr:from>
    <xdr:to>
      <xdr:col>10</xdr:col>
      <xdr:colOff>814153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721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323215</xdr:colOff>
      <xdr:row>1</xdr:row>
      <xdr:rowOff>0</xdr:rowOff>
    </xdr:from>
    <xdr:to>
      <xdr:col>10</xdr:col>
      <xdr:colOff>833203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4626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180340</xdr:colOff>
      <xdr:row>0</xdr:row>
      <xdr:rowOff>133350</xdr:rowOff>
    </xdr:from>
    <xdr:to>
      <xdr:col>10</xdr:col>
      <xdr:colOff>690328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03390" y="1333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218440</xdr:colOff>
      <xdr:row>1</xdr:row>
      <xdr:rowOff>0</xdr:rowOff>
    </xdr:from>
    <xdr:to>
      <xdr:col>10</xdr:col>
      <xdr:colOff>728428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149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247015</xdr:colOff>
      <xdr:row>1</xdr:row>
      <xdr:rowOff>0</xdr:rowOff>
    </xdr:from>
    <xdr:to>
      <xdr:col>10</xdr:col>
      <xdr:colOff>757003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06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view="pageBreakPreview" zoomScaleNormal="100" workbookViewId="0">
      <pane ySplit="6" topLeftCell="A7" activePane="bottomLeft" state="frozen"/>
      <selection/>
      <selection pane="bottomLeft" activeCell="H19" sqref="H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36</v>
      </c>
      <c r="J10" s="10"/>
      <c r="K10" s="10">
        <f>SUM(K11:K30)</f>
        <v>359</v>
      </c>
    </row>
    <row r="11" spans="2:11">
      <c r="D11" s="11">
        <v>46084</v>
      </c>
      <c r="E11" s="12">
        <v>1581842</v>
      </c>
      <c r="F11" s="12" t="s">
        <v>13</v>
      </c>
      <c r="G11" s="13">
        <v>20377402</v>
      </c>
      <c r="H11" s="12" t="s">
        <v>14</v>
      </c>
      <c r="I11" s="13">
        <v>1</v>
      </c>
      <c r="J11" s="14">
        <v>3</v>
      </c>
      <c r="K11" s="14">
        <f>I11*J11</f>
        <v>3</v>
      </c>
    </row>
    <row r="12" spans="2:11">
      <c r="D12" s="11">
        <v>46084</v>
      </c>
      <c r="E12" s="12">
        <v>1581842</v>
      </c>
      <c r="F12" s="12" t="s">
        <v>13</v>
      </c>
      <c r="G12" s="13">
        <v>20375410</v>
      </c>
      <c r="H12" s="12" t="s">
        <v>15</v>
      </c>
      <c r="I12" s="13">
        <v>1</v>
      </c>
      <c r="J12" s="14">
        <v>3</v>
      </c>
      <c r="K12" s="14">
        <f t="shared" ref="K12:K30" si="0">I12*J12</f>
        <v>3</v>
      </c>
    </row>
    <row r="13" spans="2:11">
      <c r="D13" s="11">
        <v>46084</v>
      </c>
      <c r="E13" s="12">
        <v>1581842</v>
      </c>
      <c r="F13" s="12" t="s">
        <v>13</v>
      </c>
      <c r="G13" s="13">
        <v>20377399</v>
      </c>
      <c r="H13" s="12" t="s">
        <v>16</v>
      </c>
      <c r="I13" s="13">
        <v>1</v>
      </c>
      <c r="J13" s="14">
        <v>3</v>
      </c>
      <c r="K13" s="14">
        <f t="shared" si="0"/>
        <v>3</v>
      </c>
    </row>
    <row r="14" spans="2:11">
      <c r="D14" s="11">
        <v>46084</v>
      </c>
      <c r="E14" s="12">
        <v>1581842</v>
      </c>
      <c r="F14" s="12" t="s">
        <v>13</v>
      </c>
      <c r="G14" s="13">
        <v>20376318</v>
      </c>
      <c r="H14" s="12" t="s">
        <v>17</v>
      </c>
      <c r="I14" s="13">
        <v>1</v>
      </c>
      <c r="J14" s="14">
        <v>3</v>
      </c>
      <c r="K14" s="14">
        <f t="shared" si="0"/>
        <v>3</v>
      </c>
    </row>
    <row r="15" spans="2:11">
      <c r="D15" s="11">
        <v>46084</v>
      </c>
      <c r="E15" s="12">
        <v>1581842</v>
      </c>
      <c r="F15" s="12" t="s">
        <v>13</v>
      </c>
      <c r="G15" s="13">
        <v>20377403</v>
      </c>
      <c r="H15" s="12" t="s">
        <v>18</v>
      </c>
      <c r="I15" s="13">
        <v>1</v>
      </c>
      <c r="J15" s="14">
        <v>3</v>
      </c>
      <c r="K15" s="14">
        <f t="shared" si="0"/>
        <v>3</v>
      </c>
    </row>
    <row r="16" spans="2:11">
      <c r="D16" s="11">
        <v>46084</v>
      </c>
      <c r="E16" s="12">
        <v>1581842</v>
      </c>
      <c r="F16" s="12" t="s">
        <v>13</v>
      </c>
      <c r="G16" s="13">
        <v>20377398</v>
      </c>
      <c r="H16" s="12" t="s">
        <v>19</v>
      </c>
      <c r="I16" s="13">
        <v>2</v>
      </c>
      <c r="J16" s="14">
        <v>3</v>
      </c>
      <c r="K16" s="14">
        <f t="shared" si="0"/>
        <v>6</v>
      </c>
    </row>
    <row r="17" spans="4:11">
      <c r="D17" s="11">
        <v>46084</v>
      </c>
      <c r="E17" s="12">
        <v>1581842</v>
      </c>
      <c r="F17" s="12" t="s">
        <v>20</v>
      </c>
      <c r="G17" s="13">
        <v>20378353</v>
      </c>
      <c r="H17" s="12" t="s">
        <v>21</v>
      </c>
      <c r="I17" s="13">
        <v>1</v>
      </c>
      <c r="J17" s="14">
        <v>30</v>
      </c>
      <c r="K17" s="14">
        <f t="shared" si="0"/>
        <v>30</v>
      </c>
    </row>
    <row r="18" spans="4:11">
      <c r="D18" s="11">
        <v>46084</v>
      </c>
      <c r="E18" s="12">
        <v>1581842</v>
      </c>
      <c r="F18" s="12" t="s">
        <v>20</v>
      </c>
      <c r="G18" s="13">
        <v>20378354</v>
      </c>
      <c r="H18" s="12" t="s">
        <v>22</v>
      </c>
      <c r="I18" s="13">
        <v>3</v>
      </c>
      <c r="J18" s="14">
        <v>33</v>
      </c>
      <c r="K18" s="14">
        <f t="shared" si="0"/>
        <v>99</v>
      </c>
    </row>
    <row r="19" spans="4:11">
      <c r="D19" s="11">
        <v>46094</v>
      </c>
      <c r="E19" s="12">
        <v>1585886</v>
      </c>
      <c r="F19" s="12" t="s">
        <v>23</v>
      </c>
      <c r="G19" s="13">
        <v>20378591</v>
      </c>
      <c r="H19" s="12" t="s">
        <v>24</v>
      </c>
      <c r="I19" s="13">
        <v>10</v>
      </c>
      <c r="J19" s="14">
        <v>2</v>
      </c>
      <c r="K19" s="14">
        <f t="shared" si="0"/>
        <v>20</v>
      </c>
    </row>
    <row r="20" spans="4:11">
      <c r="D20" s="11">
        <v>46095</v>
      </c>
      <c r="E20" s="12">
        <v>1585945</v>
      </c>
      <c r="F20" s="12" t="s">
        <v>13</v>
      </c>
      <c r="G20" s="13">
        <v>20375410</v>
      </c>
      <c r="H20" s="12" t="s">
        <v>15</v>
      </c>
      <c r="I20" s="13">
        <v>1</v>
      </c>
      <c r="J20" s="14">
        <v>3</v>
      </c>
      <c r="K20" s="14">
        <f t="shared" si="0"/>
        <v>3</v>
      </c>
    </row>
    <row r="21" spans="4:11">
      <c r="D21" s="11">
        <v>46095</v>
      </c>
      <c r="E21" s="12">
        <v>1585945</v>
      </c>
      <c r="F21" s="12" t="s">
        <v>20</v>
      </c>
      <c r="G21" s="13">
        <v>20377247</v>
      </c>
      <c r="H21" s="12" t="s">
        <v>25</v>
      </c>
      <c r="I21" s="13">
        <v>2</v>
      </c>
      <c r="J21" s="14">
        <v>33</v>
      </c>
      <c r="K21" s="14">
        <f t="shared" si="0"/>
        <v>66</v>
      </c>
    </row>
    <row r="22" spans="4:11">
      <c r="D22" s="11">
        <v>46106</v>
      </c>
      <c r="E22" s="12">
        <v>1588822</v>
      </c>
      <c r="F22" s="12" t="s">
        <v>13</v>
      </c>
      <c r="G22" s="13">
        <v>20377401</v>
      </c>
      <c r="H22" s="12" t="s">
        <v>26</v>
      </c>
      <c r="I22" s="13">
        <v>1</v>
      </c>
      <c r="J22" s="14">
        <v>3</v>
      </c>
      <c r="K22" s="14">
        <f t="shared" si="0"/>
        <v>3</v>
      </c>
    </row>
    <row r="23" spans="4:11">
      <c r="D23" s="11">
        <v>46106</v>
      </c>
      <c r="E23" s="12">
        <v>1588822</v>
      </c>
      <c r="F23" s="12" t="s">
        <v>13</v>
      </c>
      <c r="G23" s="13">
        <v>20377402</v>
      </c>
      <c r="H23" s="12" t="s">
        <v>14</v>
      </c>
      <c r="I23" s="13">
        <v>2</v>
      </c>
      <c r="J23" s="14">
        <v>3</v>
      </c>
      <c r="K23" s="14">
        <f t="shared" si="0"/>
        <v>6</v>
      </c>
    </row>
    <row r="24" spans="4:11">
      <c r="D24" s="11">
        <v>46106</v>
      </c>
      <c r="E24" s="12">
        <v>1588822</v>
      </c>
      <c r="F24" s="12" t="s">
        <v>13</v>
      </c>
      <c r="G24" s="13">
        <v>20375410</v>
      </c>
      <c r="H24" s="12" t="s">
        <v>15</v>
      </c>
      <c r="I24" s="13">
        <v>2</v>
      </c>
      <c r="J24" s="14">
        <v>3</v>
      </c>
      <c r="K24" s="14">
        <f t="shared" si="0"/>
        <v>6</v>
      </c>
    </row>
    <row r="25" spans="4:11">
      <c r="D25" s="11">
        <v>46106</v>
      </c>
      <c r="E25" s="12">
        <v>1588822</v>
      </c>
      <c r="F25" s="12" t="s">
        <v>13</v>
      </c>
      <c r="G25" s="13">
        <v>20377399</v>
      </c>
      <c r="H25" s="12" t="s">
        <v>16</v>
      </c>
      <c r="I25" s="13">
        <v>1</v>
      </c>
      <c r="J25" s="14">
        <v>3</v>
      </c>
      <c r="K25" s="14">
        <f t="shared" si="0"/>
        <v>3</v>
      </c>
    </row>
    <row r="26" spans="4:11">
      <c r="D26" s="11">
        <v>46106</v>
      </c>
      <c r="E26" s="12">
        <v>1588822</v>
      </c>
      <c r="F26" s="12" t="s">
        <v>13</v>
      </c>
      <c r="G26" s="13">
        <v>20009655</v>
      </c>
      <c r="H26" s="12" t="s">
        <v>27</v>
      </c>
      <c r="I26" s="13">
        <v>1</v>
      </c>
      <c r="J26" s="14">
        <v>3</v>
      </c>
      <c r="K26" s="14">
        <f t="shared" si="0"/>
        <v>3</v>
      </c>
    </row>
    <row r="27" spans="4:11">
      <c r="D27" s="11">
        <v>46106</v>
      </c>
      <c r="E27" s="12">
        <v>1588822</v>
      </c>
      <c r="F27" s="12" t="s">
        <v>13</v>
      </c>
      <c r="G27" s="13">
        <v>20376318</v>
      </c>
      <c r="H27" s="12" t="s">
        <v>17</v>
      </c>
      <c r="I27" s="13">
        <v>1</v>
      </c>
      <c r="J27" s="14">
        <v>3</v>
      </c>
      <c r="K27" s="14">
        <f t="shared" si="0"/>
        <v>3</v>
      </c>
    </row>
    <row r="28" spans="4:11">
      <c r="D28" s="11">
        <v>46106</v>
      </c>
      <c r="E28" s="12">
        <v>1588822</v>
      </c>
      <c r="F28" s="12" t="s">
        <v>13</v>
      </c>
      <c r="G28" s="13">
        <v>20376327</v>
      </c>
      <c r="H28" s="12" t="s">
        <v>28</v>
      </c>
      <c r="I28" s="13">
        <v>1</v>
      </c>
      <c r="J28" s="14">
        <v>3</v>
      </c>
      <c r="K28" s="14">
        <f t="shared" si="0"/>
        <v>3</v>
      </c>
    </row>
    <row r="29" spans="4:11">
      <c r="D29" s="11">
        <v>46106</v>
      </c>
      <c r="E29" s="12">
        <v>1588822</v>
      </c>
      <c r="F29" s="12" t="s">
        <v>20</v>
      </c>
      <c r="G29" s="13">
        <v>20378353</v>
      </c>
      <c r="H29" s="12" t="s">
        <v>21</v>
      </c>
      <c r="I29" s="13">
        <v>2</v>
      </c>
      <c r="J29" s="14">
        <v>30</v>
      </c>
      <c r="K29" s="14">
        <f t="shared" si="0"/>
        <v>60</v>
      </c>
    </row>
    <row r="30" spans="4:11">
      <c r="D30" s="11">
        <v>46106</v>
      </c>
      <c r="E30" s="12">
        <v>1588822</v>
      </c>
      <c r="F30" s="12" t="s">
        <v>20</v>
      </c>
      <c r="G30" s="13">
        <v>20377247</v>
      </c>
      <c r="H30" s="12" t="s">
        <v>25</v>
      </c>
      <c r="I30" s="13">
        <v>1</v>
      </c>
      <c r="J30" s="14">
        <v>33</v>
      </c>
      <c r="K30" s="14">
        <f t="shared" si="0"/>
        <v>33</v>
      </c>
    </row>
  </sheetData>
  <autoFilter xmlns:etc="http://www.wps.cn/officeDocument/2017/etCustomData" ref="A9:K30" etc:filterBottomFollowUsedRange="0">
    <extLst/>
  </autoFilter>
  <mergeCells count="6">
    <mergeCell ref="D8:H8"/>
    <mergeCell ref="D10:H10"/>
    <mergeCell ref="C9:C30"/>
    <mergeCell ref="B4:H5"/>
    <mergeCell ref="C1:H2"/>
    <mergeCell ref="A8:B30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&amp;"-,Regular"2026年4月3日 13:32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view="pageBreakPreview" zoomScaleNormal="100" workbookViewId="0">
      <pane ySplit="6" topLeftCell="A7" activePane="bottomLeft" state="frozen"/>
      <selection/>
      <selection pane="bottomLeft" activeCell="J17" sqref="J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29</v>
      </c>
      <c r="E8" s="8" t="s">
        <v>2</v>
      </c>
      <c r="F8" s="8" t="s">
        <v>2</v>
      </c>
      <c r="G8" s="8" t="s">
        <v>2</v>
      </c>
      <c r="H8" s="8" t="s">
        <v>2</v>
      </c>
      <c r="I8" s="9">
        <v>18</v>
      </c>
      <c r="J8" s="10"/>
      <c r="K8" s="10">
        <f>SUM(K9:K17)</f>
        <v>162</v>
      </c>
    </row>
    <row r="9" spans="1:11">
      <c r="D9" s="11">
        <v>46087</v>
      </c>
      <c r="E9" s="12">
        <v>1582874</v>
      </c>
      <c r="F9" s="12" t="s">
        <v>13</v>
      </c>
      <c r="G9" s="13">
        <v>20009626</v>
      </c>
      <c r="H9" s="12" t="s">
        <v>30</v>
      </c>
      <c r="I9" s="13">
        <v>2</v>
      </c>
      <c r="J9" s="14">
        <v>3</v>
      </c>
      <c r="K9" s="14">
        <f>J9*I9</f>
        <v>6</v>
      </c>
    </row>
    <row r="10" spans="1:11">
      <c r="D10" s="11">
        <v>46087</v>
      </c>
      <c r="E10" s="12">
        <v>1582874</v>
      </c>
      <c r="F10" s="12" t="s">
        <v>13</v>
      </c>
      <c r="G10" s="13">
        <v>20009655</v>
      </c>
      <c r="H10" s="12" t="s">
        <v>27</v>
      </c>
      <c r="I10" s="13">
        <v>1</v>
      </c>
      <c r="J10" s="14">
        <v>3</v>
      </c>
      <c r="K10" s="14">
        <f t="shared" ref="K10:K17" si="0">J10*I10</f>
        <v>3</v>
      </c>
    </row>
    <row r="11" spans="1:11">
      <c r="D11" s="11">
        <v>46087</v>
      </c>
      <c r="E11" s="12">
        <v>1582874</v>
      </c>
      <c r="F11" s="12" t="s">
        <v>13</v>
      </c>
      <c r="G11" s="13">
        <v>20388283</v>
      </c>
      <c r="H11" s="12" t="s">
        <v>31</v>
      </c>
      <c r="I11" s="13">
        <v>3</v>
      </c>
      <c r="J11" s="14">
        <v>9</v>
      </c>
      <c r="K11" s="14">
        <f t="shared" si="0"/>
        <v>27</v>
      </c>
    </row>
    <row r="12" spans="1:11">
      <c r="D12" s="11">
        <v>46087</v>
      </c>
      <c r="E12" s="12">
        <v>1582874</v>
      </c>
      <c r="F12" s="12" t="s">
        <v>20</v>
      </c>
      <c r="G12" s="13">
        <v>20414938</v>
      </c>
      <c r="H12" s="12" t="s">
        <v>32</v>
      </c>
      <c r="I12" s="13">
        <v>1</v>
      </c>
      <c r="J12" s="14">
        <v>15</v>
      </c>
      <c r="K12" s="14">
        <f t="shared" si="0"/>
        <v>15</v>
      </c>
    </row>
    <row r="13" spans="1:11">
      <c r="D13" s="11">
        <v>46087</v>
      </c>
      <c r="E13" s="12">
        <v>1582874</v>
      </c>
      <c r="F13" s="12" t="s">
        <v>20</v>
      </c>
      <c r="G13" s="13">
        <v>20404717</v>
      </c>
      <c r="H13" s="12" t="s">
        <v>33</v>
      </c>
      <c r="I13" s="13">
        <v>1</v>
      </c>
      <c r="J13" s="14">
        <v>18</v>
      </c>
      <c r="K13" s="14">
        <f t="shared" si="0"/>
        <v>18</v>
      </c>
    </row>
    <row r="14" spans="1:11">
      <c r="D14" s="11">
        <v>46108</v>
      </c>
      <c r="E14" s="12">
        <v>1589936</v>
      </c>
      <c r="F14" s="12" t="s">
        <v>13</v>
      </c>
      <c r="G14" s="13">
        <v>20380019</v>
      </c>
      <c r="H14" s="12" t="s">
        <v>34</v>
      </c>
      <c r="I14" s="13">
        <v>2</v>
      </c>
      <c r="J14" s="14">
        <v>3</v>
      </c>
      <c r="K14" s="14">
        <f t="shared" si="0"/>
        <v>6</v>
      </c>
    </row>
    <row r="15" spans="1:11">
      <c r="D15" s="11">
        <v>46108</v>
      </c>
      <c r="E15" s="12">
        <v>1589936</v>
      </c>
      <c r="F15" s="12" t="s">
        <v>13</v>
      </c>
      <c r="G15" s="13">
        <v>20388283</v>
      </c>
      <c r="H15" s="12" t="s">
        <v>31</v>
      </c>
      <c r="I15" s="13">
        <v>6</v>
      </c>
      <c r="J15" s="14">
        <v>9</v>
      </c>
      <c r="K15" s="14">
        <f t="shared" si="0"/>
        <v>54</v>
      </c>
    </row>
    <row r="16" spans="1:11">
      <c r="D16" s="11">
        <v>46108</v>
      </c>
      <c r="E16" s="12">
        <v>1589936</v>
      </c>
      <c r="F16" s="12" t="s">
        <v>20</v>
      </c>
      <c r="G16" s="13">
        <v>20397261</v>
      </c>
      <c r="H16" s="12" t="s">
        <v>35</v>
      </c>
      <c r="I16" s="13">
        <v>1</v>
      </c>
      <c r="J16" s="14">
        <v>15</v>
      </c>
      <c r="K16" s="14">
        <f t="shared" si="0"/>
        <v>15</v>
      </c>
    </row>
    <row r="17" spans="4:11">
      <c r="D17" s="11">
        <v>46108</v>
      </c>
      <c r="E17" s="12">
        <v>1589936</v>
      </c>
      <c r="F17" s="12" t="s">
        <v>20</v>
      </c>
      <c r="G17" s="13">
        <v>20380020</v>
      </c>
      <c r="H17" s="12" t="s">
        <v>36</v>
      </c>
      <c r="I17" s="13">
        <v>1</v>
      </c>
      <c r="J17" s="14">
        <v>18</v>
      </c>
      <c r="K17" s="14">
        <f t="shared" si="0"/>
        <v>18</v>
      </c>
    </row>
    <row r="18" ht="0.05" customHeight="1"/>
  </sheetData>
  <autoFilter xmlns:etc="http://www.wps.cn/officeDocument/2017/etCustomData" ref="A7:K17" etc:filterBottomFollowUsedRange="0">
    <extLst/>
  </autoFilter>
  <mergeCells count="5">
    <mergeCell ref="D8:H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&amp;"-,Regular"2026年4月3日 13:32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view="pageBreakPreview" zoomScaleNormal="100" workbookViewId="0">
      <pane ySplit="6" topLeftCell="A7" activePane="bottomLeft" state="frozen"/>
      <selection/>
      <selection pane="bottomLeft" activeCell="O16" sqref="O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37</v>
      </c>
      <c r="E8" s="8" t="s">
        <v>2</v>
      </c>
      <c r="F8" s="8" t="s">
        <v>2</v>
      </c>
      <c r="G8" s="8" t="s">
        <v>2</v>
      </c>
      <c r="H8" s="8" t="s">
        <v>2</v>
      </c>
      <c r="I8" s="9">
        <v>48</v>
      </c>
      <c r="J8" s="10"/>
      <c r="K8" s="10">
        <f>SUM(K9:K27)</f>
        <v>339.5</v>
      </c>
    </row>
    <row r="9" spans="1:11">
      <c r="D9" s="11">
        <v>46094</v>
      </c>
      <c r="E9" s="12">
        <v>1585887</v>
      </c>
      <c r="F9" s="12" t="s">
        <v>38</v>
      </c>
      <c r="G9" s="13">
        <v>20385060</v>
      </c>
      <c r="H9" s="12" t="s">
        <v>38</v>
      </c>
      <c r="I9" s="13">
        <v>1</v>
      </c>
      <c r="J9" s="14">
        <v>6.5</v>
      </c>
      <c r="K9" s="14">
        <f>I9*J9</f>
        <v>6.5</v>
      </c>
    </row>
    <row r="10" spans="1:11">
      <c r="D10" s="11">
        <v>46094</v>
      </c>
      <c r="E10" s="12">
        <v>1585887</v>
      </c>
      <c r="F10" s="12" t="s">
        <v>20</v>
      </c>
      <c r="G10" s="13">
        <v>20328393</v>
      </c>
      <c r="H10" s="12" t="s">
        <v>39</v>
      </c>
      <c r="I10" s="13">
        <v>2</v>
      </c>
      <c r="J10" s="14">
        <v>6</v>
      </c>
      <c r="K10" s="14">
        <f t="shared" ref="K10:K27" si="0">I10*J10</f>
        <v>12</v>
      </c>
    </row>
    <row r="11" spans="1:11">
      <c r="D11" s="11">
        <v>46094</v>
      </c>
      <c r="E11" s="12">
        <v>1585887</v>
      </c>
      <c r="F11" s="12" t="s">
        <v>20</v>
      </c>
      <c r="G11" s="13">
        <v>20375219</v>
      </c>
      <c r="H11" s="12" t="s">
        <v>40</v>
      </c>
      <c r="I11" s="13">
        <v>1</v>
      </c>
      <c r="J11" s="14">
        <v>12</v>
      </c>
      <c r="K11" s="14">
        <f t="shared" si="0"/>
        <v>12</v>
      </c>
    </row>
    <row r="12" spans="1:11">
      <c r="D12" s="11">
        <v>46094</v>
      </c>
      <c r="E12" s="12">
        <v>1585887</v>
      </c>
      <c r="F12" s="12" t="s">
        <v>20</v>
      </c>
      <c r="G12" s="13">
        <v>20407049</v>
      </c>
      <c r="H12" s="12" t="s">
        <v>41</v>
      </c>
      <c r="I12" s="13">
        <v>2</v>
      </c>
      <c r="J12" s="14">
        <v>3</v>
      </c>
      <c r="K12" s="14">
        <f t="shared" si="0"/>
        <v>6</v>
      </c>
    </row>
    <row r="13" spans="1:11">
      <c r="D13" s="11">
        <v>46094</v>
      </c>
      <c r="E13" s="12">
        <v>1585887</v>
      </c>
      <c r="F13" s="12" t="s">
        <v>20</v>
      </c>
      <c r="G13" s="13">
        <v>20352092</v>
      </c>
      <c r="H13" s="12" t="s">
        <v>42</v>
      </c>
      <c r="I13" s="13">
        <v>2</v>
      </c>
      <c r="J13" s="14">
        <v>27</v>
      </c>
      <c r="K13" s="14">
        <f t="shared" si="0"/>
        <v>54</v>
      </c>
    </row>
    <row r="14" spans="1:11">
      <c r="D14" s="11">
        <v>46095</v>
      </c>
      <c r="E14" s="12">
        <v>1585946</v>
      </c>
      <c r="F14" s="12" t="s">
        <v>13</v>
      </c>
      <c r="G14" s="13">
        <v>20411691</v>
      </c>
      <c r="H14" s="12" t="s">
        <v>43</v>
      </c>
      <c r="I14" s="13">
        <v>1</v>
      </c>
      <c r="J14" s="14">
        <v>3</v>
      </c>
      <c r="K14" s="14">
        <f t="shared" si="0"/>
        <v>3</v>
      </c>
    </row>
    <row r="15" spans="1:11">
      <c r="D15" s="11">
        <v>46095</v>
      </c>
      <c r="E15" s="12">
        <v>1585946</v>
      </c>
      <c r="F15" s="12" t="s">
        <v>13</v>
      </c>
      <c r="G15" s="13">
        <v>20402773</v>
      </c>
      <c r="H15" s="12" t="s">
        <v>44</v>
      </c>
      <c r="I15" s="13">
        <v>1</v>
      </c>
      <c r="J15" s="14">
        <v>6</v>
      </c>
      <c r="K15" s="14">
        <f t="shared" si="0"/>
        <v>6</v>
      </c>
    </row>
    <row r="16" spans="1:11">
      <c r="D16" s="11">
        <v>46095</v>
      </c>
      <c r="E16" s="12">
        <v>1585946</v>
      </c>
      <c r="F16" s="12" t="s">
        <v>13</v>
      </c>
      <c r="G16" s="13">
        <v>20375216</v>
      </c>
      <c r="H16" s="12" t="s">
        <v>45</v>
      </c>
      <c r="I16" s="13">
        <v>1</v>
      </c>
      <c r="J16" s="14">
        <v>3</v>
      </c>
      <c r="K16" s="14">
        <f t="shared" si="0"/>
        <v>3</v>
      </c>
    </row>
    <row r="17" spans="4:11">
      <c r="D17" s="11">
        <v>46095</v>
      </c>
      <c r="E17" s="12">
        <v>1585946</v>
      </c>
      <c r="F17" s="12" t="s">
        <v>13</v>
      </c>
      <c r="G17" s="13">
        <v>20417024</v>
      </c>
      <c r="H17" s="12" t="s">
        <v>46</v>
      </c>
      <c r="I17" s="13">
        <v>2</v>
      </c>
      <c r="J17" s="14">
        <v>6</v>
      </c>
      <c r="K17" s="14">
        <f t="shared" si="0"/>
        <v>12</v>
      </c>
    </row>
    <row r="18" spans="4:11">
      <c r="D18" s="11">
        <v>46095</v>
      </c>
      <c r="E18" s="12">
        <v>1585946</v>
      </c>
      <c r="F18" s="12" t="s">
        <v>13</v>
      </c>
      <c r="G18" s="13">
        <v>20417025</v>
      </c>
      <c r="H18" s="12" t="s">
        <v>47</v>
      </c>
      <c r="I18" s="13">
        <v>1</v>
      </c>
      <c r="J18" s="14">
        <v>6</v>
      </c>
      <c r="K18" s="14">
        <f t="shared" si="0"/>
        <v>6</v>
      </c>
    </row>
    <row r="19" spans="4:11">
      <c r="D19" s="11">
        <v>46095</v>
      </c>
      <c r="E19" s="12">
        <v>1585946</v>
      </c>
      <c r="F19" s="12" t="s">
        <v>13</v>
      </c>
      <c r="G19" s="13">
        <v>20402772</v>
      </c>
      <c r="H19" s="12" t="s">
        <v>48</v>
      </c>
      <c r="I19" s="13">
        <v>1</v>
      </c>
      <c r="J19" s="14">
        <v>3</v>
      </c>
      <c r="K19" s="14">
        <f t="shared" si="0"/>
        <v>3</v>
      </c>
    </row>
    <row r="20" spans="4:11">
      <c r="D20" s="11">
        <v>46095</v>
      </c>
      <c r="E20" s="12">
        <v>1585946</v>
      </c>
      <c r="F20" s="12" t="s">
        <v>20</v>
      </c>
      <c r="G20" s="13">
        <v>20375218</v>
      </c>
      <c r="H20" s="12" t="s">
        <v>49</v>
      </c>
      <c r="I20" s="13">
        <v>1</v>
      </c>
      <c r="J20" s="14">
        <v>36</v>
      </c>
      <c r="K20" s="14">
        <f t="shared" si="0"/>
        <v>36</v>
      </c>
    </row>
    <row r="21" spans="4:11">
      <c r="D21" s="11">
        <v>46104</v>
      </c>
      <c r="E21" s="12">
        <v>1588450</v>
      </c>
      <c r="F21" s="12" t="s">
        <v>13</v>
      </c>
      <c r="G21" s="13">
        <v>20418352</v>
      </c>
      <c r="H21" s="12" t="s">
        <v>50</v>
      </c>
      <c r="I21" s="13">
        <v>2</v>
      </c>
      <c r="J21" s="14">
        <v>3</v>
      </c>
      <c r="K21" s="14">
        <f t="shared" si="0"/>
        <v>6</v>
      </c>
    </row>
    <row r="22" spans="4:11">
      <c r="D22" s="11">
        <v>46104</v>
      </c>
      <c r="E22" s="12">
        <v>1588450</v>
      </c>
      <c r="F22" s="12" t="s">
        <v>13</v>
      </c>
      <c r="G22" s="13">
        <v>20418353</v>
      </c>
      <c r="H22" s="12" t="s">
        <v>51</v>
      </c>
      <c r="I22" s="13">
        <v>2</v>
      </c>
      <c r="J22" s="14">
        <v>3</v>
      </c>
      <c r="K22" s="14">
        <f t="shared" si="0"/>
        <v>6</v>
      </c>
    </row>
    <row r="23" spans="4:11">
      <c r="D23" s="11">
        <v>46104</v>
      </c>
      <c r="E23" s="12">
        <v>1588450</v>
      </c>
      <c r="F23" s="12" t="s">
        <v>13</v>
      </c>
      <c r="G23" s="13">
        <v>20418350</v>
      </c>
      <c r="H23" s="12" t="s">
        <v>52</v>
      </c>
      <c r="I23" s="13">
        <v>20</v>
      </c>
      <c r="J23" s="14">
        <v>3</v>
      </c>
      <c r="K23" s="14">
        <f t="shared" si="0"/>
        <v>60</v>
      </c>
    </row>
    <row r="24" spans="4:11">
      <c r="D24" s="11">
        <v>46104</v>
      </c>
      <c r="E24" s="12">
        <v>1588450</v>
      </c>
      <c r="F24" s="12" t="s">
        <v>13</v>
      </c>
      <c r="G24" s="13">
        <v>20418351</v>
      </c>
      <c r="H24" s="12" t="s">
        <v>53</v>
      </c>
      <c r="I24" s="13">
        <v>3</v>
      </c>
      <c r="J24" s="14">
        <v>3</v>
      </c>
      <c r="K24" s="14">
        <f t="shared" si="0"/>
        <v>9</v>
      </c>
    </row>
    <row r="25" spans="4:11">
      <c r="D25" s="11">
        <v>46104</v>
      </c>
      <c r="E25" s="12">
        <v>1588450</v>
      </c>
      <c r="F25" s="12" t="s">
        <v>20</v>
      </c>
      <c r="G25" s="13">
        <v>20352092</v>
      </c>
      <c r="H25" s="12" t="s">
        <v>42</v>
      </c>
      <c r="I25" s="13">
        <v>1</v>
      </c>
      <c r="J25" s="14">
        <v>27</v>
      </c>
      <c r="K25" s="14">
        <f t="shared" si="0"/>
        <v>27</v>
      </c>
    </row>
    <row r="26" spans="4:11">
      <c r="D26" s="11">
        <v>46106</v>
      </c>
      <c r="E26" s="12">
        <v>1588823</v>
      </c>
      <c r="F26" s="12" t="s">
        <v>13</v>
      </c>
      <c r="G26" s="13">
        <v>20418352</v>
      </c>
      <c r="H26" s="12" t="s">
        <v>50</v>
      </c>
      <c r="I26" s="13">
        <v>3</v>
      </c>
      <c r="J26" s="14">
        <v>3</v>
      </c>
      <c r="K26" s="14">
        <f t="shared" si="0"/>
        <v>9</v>
      </c>
    </row>
    <row r="27" spans="4:11">
      <c r="D27" s="11">
        <v>46106</v>
      </c>
      <c r="E27" s="12">
        <v>1588823</v>
      </c>
      <c r="F27" s="12" t="s">
        <v>20</v>
      </c>
      <c r="G27" s="13">
        <v>20014146</v>
      </c>
      <c r="H27" s="12" t="s">
        <v>54</v>
      </c>
      <c r="I27" s="13">
        <v>1</v>
      </c>
      <c r="J27" s="14">
        <v>63</v>
      </c>
      <c r="K27" s="14">
        <f t="shared" si="0"/>
        <v>63</v>
      </c>
    </row>
  </sheetData>
  <autoFilter xmlns:etc="http://www.wps.cn/officeDocument/2017/etCustomData" ref="A7:K27" etc:filterBottomFollowUsedRange="0">
    <extLst/>
  </autoFilter>
  <mergeCells count="5">
    <mergeCell ref="D8:H8"/>
    <mergeCell ref="C7:C27"/>
    <mergeCell ref="B4:H5"/>
    <mergeCell ref="A7:B2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&amp;"-,Regular"2026年4月3日 13:32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I9" sqref="I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55</v>
      </c>
      <c r="E8" s="8" t="s">
        <v>2</v>
      </c>
      <c r="F8" s="8" t="s">
        <v>2</v>
      </c>
      <c r="G8" s="8" t="s">
        <v>2</v>
      </c>
      <c r="H8" s="8" t="s">
        <v>2</v>
      </c>
      <c r="I8" s="9">
        <v>21</v>
      </c>
      <c r="J8" s="10"/>
      <c r="K8" s="10">
        <v>63</v>
      </c>
    </row>
    <row r="9" spans="1:11">
      <c r="D9" s="11">
        <v>46106</v>
      </c>
      <c r="E9" s="12">
        <v>1588824</v>
      </c>
      <c r="F9" s="12" t="s">
        <v>13</v>
      </c>
      <c r="G9" s="13">
        <v>20380019</v>
      </c>
      <c r="H9" s="12" t="s">
        <v>34</v>
      </c>
      <c r="I9" s="13">
        <v>4</v>
      </c>
      <c r="J9" s="14">
        <v>3</v>
      </c>
      <c r="K9" s="14">
        <f>J9*I9</f>
        <v>12</v>
      </c>
    </row>
    <row r="10" spans="1:11">
      <c r="D10" s="11">
        <v>46106</v>
      </c>
      <c r="E10" s="12">
        <v>1588824</v>
      </c>
      <c r="F10" s="12" t="s">
        <v>13</v>
      </c>
      <c r="G10" s="13">
        <v>20009655</v>
      </c>
      <c r="H10" s="12" t="s">
        <v>27</v>
      </c>
      <c r="I10" s="13">
        <v>4</v>
      </c>
      <c r="J10" s="14">
        <v>3</v>
      </c>
      <c r="K10" s="14">
        <f>J10*I10</f>
        <v>12</v>
      </c>
    </row>
    <row r="11" spans="1:11">
      <c r="D11" s="11">
        <v>46106</v>
      </c>
      <c r="E11" s="12">
        <v>1588824</v>
      </c>
      <c r="F11" s="12" t="s">
        <v>13</v>
      </c>
      <c r="G11" s="13">
        <v>20009566</v>
      </c>
      <c r="H11" s="12" t="s">
        <v>56</v>
      </c>
      <c r="I11" s="13">
        <v>4</v>
      </c>
      <c r="J11" s="14">
        <v>3</v>
      </c>
      <c r="K11" s="14">
        <f>J11*I11</f>
        <v>12</v>
      </c>
    </row>
    <row r="12" spans="1:11">
      <c r="D12" s="11">
        <v>46106</v>
      </c>
      <c r="E12" s="12">
        <v>1588824</v>
      </c>
      <c r="F12" s="12" t="s">
        <v>13</v>
      </c>
      <c r="G12" s="13">
        <v>20376328</v>
      </c>
      <c r="H12" s="12" t="s">
        <v>57</v>
      </c>
      <c r="I12" s="13">
        <v>9</v>
      </c>
      <c r="J12" s="14">
        <v>3</v>
      </c>
      <c r="K12" s="14">
        <f>J12*I12</f>
        <v>27</v>
      </c>
    </row>
    <row r="13" ht="0.05" customHeight="1"/>
  </sheetData>
  <autoFilter xmlns:etc="http://www.wps.cn/officeDocument/2017/etCustomData" ref="A7:K12" etc:filterBottomFollowUsedRange="0">
    <extLst/>
  </autoFilter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&amp;"-,Regular"2026年4月3日 13:32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J27" sqref="J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58</v>
      </c>
      <c r="E8" s="8" t="s">
        <v>2</v>
      </c>
      <c r="F8" s="8" t="s">
        <v>2</v>
      </c>
      <c r="G8" s="8" t="s">
        <v>2</v>
      </c>
      <c r="H8" s="8" t="s">
        <v>2</v>
      </c>
      <c r="I8" s="9">
        <v>21</v>
      </c>
      <c r="J8" s="10"/>
      <c r="K8" s="10">
        <v>84.5</v>
      </c>
    </row>
    <row r="9" spans="1:11">
      <c r="D9" s="11">
        <v>46094</v>
      </c>
      <c r="E9" s="12">
        <v>1585888</v>
      </c>
      <c r="F9" s="12" t="s">
        <v>13</v>
      </c>
      <c r="G9" s="13">
        <v>20009653</v>
      </c>
      <c r="H9" s="12" t="s">
        <v>59</v>
      </c>
      <c r="I9" s="13">
        <v>2</v>
      </c>
      <c r="J9" s="14">
        <v>3</v>
      </c>
      <c r="K9" s="14">
        <f>I9*J9</f>
        <v>6</v>
      </c>
    </row>
    <row r="10" spans="1:11">
      <c r="D10" s="11">
        <v>46094</v>
      </c>
      <c r="E10" s="12">
        <v>1585888</v>
      </c>
      <c r="F10" s="12" t="s">
        <v>13</v>
      </c>
      <c r="G10" s="13">
        <v>20009654</v>
      </c>
      <c r="H10" s="12" t="s">
        <v>60</v>
      </c>
      <c r="I10" s="13">
        <v>3</v>
      </c>
      <c r="J10" s="14">
        <v>3</v>
      </c>
      <c r="K10" s="14">
        <f t="shared" ref="K10:K21" si="0">I10*J10</f>
        <v>9</v>
      </c>
    </row>
    <row r="11" spans="1:11">
      <c r="D11" s="11">
        <v>46094</v>
      </c>
      <c r="E11" s="12">
        <v>1585888</v>
      </c>
      <c r="F11" s="12" t="s">
        <v>13</v>
      </c>
      <c r="G11" s="13">
        <v>20394945</v>
      </c>
      <c r="H11" s="12" t="s">
        <v>61</v>
      </c>
      <c r="I11" s="13">
        <v>2</v>
      </c>
      <c r="J11" s="14">
        <v>3</v>
      </c>
      <c r="K11" s="14">
        <f t="shared" si="0"/>
        <v>6</v>
      </c>
    </row>
    <row r="12" spans="1:11">
      <c r="D12" s="11">
        <v>46095</v>
      </c>
      <c r="E12" s="12">
        <v>1585947</v>
      </c>
      <c r="F12" s="12" t="s">
        <v>13</v>
      </c>
      <c r="G12" s="13">
        <v>20380019</v>
      </c>
      <c r="H12" s="12" t="s">
        <v>34</v>
      </c>
      <c r="I12" s="13">
        <v>2</v>
      </c>
      <c r="J12" s="14">
        <v>3</v>
      </c>
      <c r="K12" s="14">
        <f t="shared" si="0"/>
        <v>6</v>
      </c>
    </row>
    <row r="13" spans="1:11">
      <c r="D13" s="11">
        <v>46095</v>
      </c>
      <c r="E13" s="12">
        <v>1585947</v>
      </c>
      <c r="F13" s="12" t="s">
        <v>13</v>
      </c>
      <c r="G13" s="13">
        <v>20009655</v>
      </c>
      <c r="H13" s="12" t="s">
        <v>27</v>
      </c>
      <c r="I13" s="13">
        <v>1</v>
      </c>
      <c r="J13" s="14">
        <v>3</v>
      </c>
      <c r="K13" s="14">
        <f t="shared" si="0"/>
        <v>3</v>
      </c>
    </row>
    <row r="14" spans="1:11">
      <c r="D14" s="11">
        <v>46095</v>
      </c>
      <c r="E14" s="12">
        <v>1585947</v>
      </c>
      <c r="F14" s="12" t="s">
        <v>13</v>
      </c>
      <c r="G14" s="13">
        <v>20394944</v>
      </c>
      <c r="H14" s="12" t="s">
        <v>62</v>
      </c>
      <c r="I14" s="13">
        <v>1</v>
      </c>
      <c r="J14" s="14">
        <v>3</v>
      </c>
      <c r="K14" s="14">
        <f t="shared" si="0"/>
        <v>3</v>
      </c>
    </row>
    <row r="15" spans="1:11">
      <c r="D15" s="11">
        <v>46095</v>
      </c>
      <c r="E15" s="12">
        <v>1585947</v>
      </c>
      <c r="F15" s="12" t="s">
        <v>13</v>
      </c>
      <c r="G15" s="13">
        <v>20391501</v>
      </c>
      <c r="H15" s="12" t="s">
        <v>63</v>
      </c>
      <c r="I15" s="13">
        <v>1</v>
      </c>
      <c r="J15" s="14">
        <v>12</v>
      </c>
      <c r="K15" s="14">
        <f t="shared" si="0"/>
        <v>12</v>
      </c>
    </row>
    <row r="16" spans="1:11">
      <c r="D16" s="11">
        <v>46095</v>
      </c>
      <c r="E16" s="12">
        <v>1585947</v>
      </c>
      <c r="F16" s="12" t="s">
        <v>13</v>
      </c>
      <c r="G16" s="13">
        <v>20394946</v>
      </c>
      <c r="H16" s="12" t="s">
        <v>64</v>
      </c>
      <c r="I16" s="13">
        <v>2</v>
      </c>
      <c r="J16" s="14">
        <v>3</v>
      </c>
      <c r="K16" s="14">
        <f t="shared" si="0"/>
        <v>6</v>
      </c>
    </row>
    <row r="17" spans="4:11">
      <c r="D17" s="11">
        <v>46106</v>
      </c>
      <c r="E17" s="12">
        <v>1588825</v>
      </c>
      <c r="F17" s="12" t="s">
        <v>38</v>
      </c>
      <c r="G17" s="13">
        <v>20395499</v>
      </c>
      <c r="H17" s="12" t="s">
        <v>65</v>
      </c>
      <c r="I17" s="13">
        <v>1</v>
      </c>
      <c r="J17" s="14">
        <v>6.5</v>
      </c>
      <c r="K17" s="14">
        <f t="shared" si="0"/>
        <v>6.5</v>
      </c>
    </row>
    <row r="18" spans="4:11">
      <c r="D18" s="11">
        <v>46108</v>
      </c>
      <c r="E18" s="12">
        <v>1589937</v>
      </c>
      <c r="F18" s="12" t="s">
        <v>13</v>
      </c>
      <c r="G18" s="13">
        <v>20009653</v>
      </c>
      <c r="H18" s="12" t="s">
        <v>59</v>
      </c>
      <c r="I18" s="13">
        <v>1</v>
      </c>
      <c r="J18" s="14">
        <v>3</v>
      </c>
      <c r="K18" s="14">
        <f t="shared" si="0"/>
        <v>3</v>
      </c>
    </row>
    <row r="19" spans="4:11">
      <c r="D19" s="11">
        <v>46108</v>
      </c>
      <c r="E19" s="12">
        <v>1589937</v>
      </c>
      <c r="F19" s="12" t="s">
        <v>13</v>
      </c>
      <c r="G19" s="13">
        <v>20009654</v>
      </c>
      <c r="H19" s="12" t="s">
        <v>60</v>
      </c>
      <c r="I19" s="13">
        <v>2</v>
      </c>
      <c r="J19" s="14">
        <v>3</v>
      </c>
      <c r="K19" s="14">
        <f t="shared" si="0"/>
        <v>6</v>
      </c>
    </row>
    <row r="20" spans="4:11">
      <c r="D20" s="11">
        <v>46108</v>
      </c>
      <c r="E20" s="12">
        <v>1589937</v>
      </c>
      <c r="F20" s="12" t="s">
        <v>13</v>
      </c>
      <c r="G20" s="13">
        <v>20391501</v>
      </c>
      <c r="H20" s="12" t="s">
        <v>63</v>
      </c>
      <c r="I20" s="13">
        <v>1</v>
      </c>
      <c r="J20" s="14">
        <v>12</v>
      </c>
      <c r="K20" s="14">
        <f t="shared" si="0"/>
        <v>12</v>
      </c>
    </row>
    <row r="21" spans="4:11">
      <c r="D21" s="11">
        <v>46108</v>
      </c>
      <c r="E21" s="12">
        <v>1589937</v>
      </c>
      <c r="F21" s="12" t="s">
        <v>13</v>
      </c>
      <c r="G21" s="13">
        <v>20377403</v>
      </c>
      <c r="H21" s="12" t="s">
        <v>18</v>
      </c>
      <c r="I21" s="13">
        <v>2</v>
      </c>
      <c r="J21" s="14">
        <v>3</v>
      </c>
      <c r="K21" s="14">
        <f t="shared" si="0"/>
        <v>6</v>
      </c>
    </row>
    <row r="22" ht="0.05" customHeight="1"/>
  </sheetData>
  <autoFilter xmlns:etc="http://www.wps.cn/officeDocument/2017/etCustomData" ref="A7:K21" etc:filterBottomFollowUsedRange="0">
    <extLst/>
  </autoFilter>
  <mergeCells count="5">
    <mergeCell ref="D8:H8"/>
    <mergeCell ref="C7:C21"/>
    <mergeCell ref="B4:H5"/>
    <mergeCell ref="A7:B2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&amp;"-,Regular"2026年4月3日 13:32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妇科门诊</vt:lpstr>
      <vt:lpstr>美容科</vt:lpstr>
      <vt:lpstr>手术室</vt:lpstr>
      <vt:lpstr>外科</vt:lpstr>
      <vt:lpstr>眼科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2026-04-03T05:32:00Z</dcterms:created>
  <dcterms:modified xsi:type="dcterms:W3CDTF">2026-04-09T00:42:15Z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8272B7F3DA124E719FAF9DA552C66D77_13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