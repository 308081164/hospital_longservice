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55" windowHeight="11940"/>
  </bookViews>
  <sheets>
    <sheet name="手术室" sheetId="1" r:id="rId1"/>
  </sheets>
  <definedNames>
    <definedName name="_xlnm._FilterDatabase" localSheetId="0" hidden="1">手术室!$A$9:$K$18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<sst xmlns="http://schemas.openxmlformats.org/spreadsheetml/2006/main" count="48" uniqueCount="22">
  <si>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</si>
  <si>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</si>
  <si>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</si>
  <si>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三精肾病医院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</si>
  <si>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</si>
  <si>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</si>
  <si>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</si>
  <si>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</si>
  <si>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</si>
  <si>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</si>
  <si>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</si>
  <si>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</si>
  <si>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</si>
  <si>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</si>
  <si>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内瘘器械包</t>
  </si>
  <si>
    <t>额外包(纸塑袋)</t>
  </si>
  <si>
    <t>开口器-2件/z1530</t>
  </si>
  <si>
    <t>开口器-3/z1526</t>
  </si>
  <si>
    <t>器械包(ZSD)</t>
  </si>
  <si>
    <t>插管包二</t>
  </si>
  <si>
    <t>额外包(无纺布)</t>
  </si>
  <si>
    <t>持物钳罐-3件/w6050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</si>
</sst>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38100</xdr:rowOff>
    </xdr:from>
    <xdr:to>
      <xdr:col>10</xdr:col>
      <xdr:colOff>738588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20" sqref="M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18</v>
      </c>
      <c r="J10" s="12"/>
      <c r="K10" s="12">
        <f>SUM(K11:K18)</f>
        <v>636</v>
      </c>
    </row>
    <row r="11" spans="2:11">
      <c r="D11" s="13">
        <v>46062</v>
      </c>
      <c r="E11" s="14">
        <v>1577460</v>
      </c>
      <c r="F11" s="14" t="s">
        <v>13</v>
      </c>
      <c r="G11" s="9">
        <v>20316108</v>
      </c>
      <c r="H11" s="14" t="s">
        <v>14</v>
      </c>
      <c r="I11" s="9">
        <v>3</v>
      </c>
      <c r="J11" s="15">
        <v>78</v>
      </c>
      <c r="K11" s="15">
        <f>J11*I11</f>
        <v>234</v>
      </c>
    </row>
    <row r="12" spans="2:11">
      <c r="D12" s="13">
        <v>46062</v>
      </c>
      <c r="E12" s="14">
        <v>1577460</v>
      </c>
      <c r="F12" s="14" t="s">
        <v>15</v>
      </c>
      <c r="G12" s="9">
        <v>20006514</v>
      </c>
      <c r="H12" s="14" t="s">
        <v>16</v>
      </c>
      <c r="I12" s="9">
        <v>1</v>
      </c>
      <c r="J12" s="15">
        <v>6</v>
      </c>
      <c r="K12" s="15">
        <f t="shared" ref="K12:K18" si="0">J12*I12</f>
        <v>6</v>
      </c>
    </row>
    <row r="13" spans="2:11">
      <c r="D13" s="13">
        <v>46062</v>
      </c>
      <c r="E13" s="14">
        <v>1577460</v>
      </c>
      <c r="F13" s="14" t="s">
        <v>15</v>
      </c>
      <c r="G13" s="9">
        <v>20322336</v>
      </c>
      <c r="H13" s="14" t="s">
        <v>17</v>
      </c>
      <c r="I13" s="9">
        <v>2</v>
      </c>
      <c r="J13" s="15">
        <v>9</v>
      </c>
      <c r="K13" s="15">
        <f t="shared" si="0"/>
        <v>18</v>
      </c>
    </row>
    <row r="14" spans="2:11">
      <c r="D14" s="13">
        <v>46062</v>
      </c>
      <c r="E14" s="14">
        <v>1577460</v>
      </c>
      <c r="F14" s="14" t="s">
        <v>18</v>
      </c>
      <c r="G14" s="9">
        <v>20316107</v>
      </c>
      <c r="H14" s="14" t="s">
        <v>19</v>
      </c>
      <c r="I14" s="9">
        <v>1</v>
      </c>
      <c r="J14" s="15">
        <v>30</v>
      </c>
      <c r="K14" s="15">
        <f t="shared" si="0"/>
        <v>30</v>
      </c>
    </row>
    <row r="15" spans="2:11">
      <c r="D15" s="13">
        <v>46062</v>
      </c>
      <c r="E15" s="14">
        <v>1577460</v>
      </c>
      <c r="F15" s="14" t="s">
        <v>20</v>
      </c>
      <c r="G15" s="9">
        <v>20006506</v>
      </c>
      <c r="H15" s="14" t="s">
        <v>21</v>
      </c>
      <c r="I15" s="9">
        <v>3</v>
      </c>
      <c r="J15" s="15">
        <v>9</v>
      </c>
      <c r="K15" s="15">
        <f t="shared" si="0"/>
        <v>27</v>
      </c>
    </row>
    <row r="16" spans="2:11">
      <c r="D16" s="13">
        <v>46079</v>
      </c>
      <c r="E16" s="14">
        <v>1580496</v>
      </c>
      <c r="F16" s="14" t="s">
        <v>13</v>
      </c>
      <c r="G16" s="9">
        <v>20316108</v>
      </c>
      <c r="H16" s="14" t="s">
        <v>14</v>
      </c>
      <c r="I16" s="9">
        <v>3</v>
      </c>
      <c r="J16" s="15">
        <v>78</v>
      </c>
      <c r="K16" s="15">
        <f t="shared" si="0"/>
        <v>234</v>
      </c>
    </row>
    <row r="17" spans="4:11">
      <c r="D17" s="13">
        <v>46079</v>
      </c>
      <c r="E17" s="14">
        <v>1580496</v>
      </c>
      <c r="F17" s="14" t="s">
        <v>18</v>
      </c>
      <c r="G17" s="9">
        <v>20316107</v>
      </c>
      <c r="H17" s="14" t="s">
        <v>19</v>
      </c>
      <c r="I17" s="9">
        <v>2</v>
      </c>
      <c r="J17" s="15">
        <v>30</v>
      </c>
      <c r="K17" s="15">
        <f t="shared" si="0"/>
        <v>60</v>
      </c>
    </row>
    <row r="18" spans="4:11">
      <c r="D18" s="13">
        <v>46079</v>
      </c>
      <c r="E18" s="14">
        <v>1580496</v>
      </c>
      <c r="F18" s="14" t="s">
        <v>20</v>
      </c>
      <c r="G18" s="9">
        <v>20006506</v>
      </c>
      <c r="H18" s="14" t="s">
        <v>21</v>
      </c>
      <c r="I18" s="9">
        <v>3</v>
      </c>
      <c r="J18" s="15">
        <v>9</v>
      </c>
      <c r="K18" s="15">
        <f t="shared" si="0"/>
        <v>27</v>
      </c>
    </row>
  </sheetData>
  <autoFilter xmlns:etc="http://www.wps.cn/officeDocument/2017/etCustomData" ref="A9:K18" etc:filterBottomFollowUsedRange="0">
    <extLst/>
  </autoFilter>
  <mergeCells count="6">
    <mergeCell ref="D8:H8"/>
    <mergeCell ref="D10:H10"/>
    <mergeCell ref="C9:C18"/>
    <mergeCell ref="B4:H5"/>
    <mergeCell ref="A8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14:55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2026-03-02T06:56:20Z</dcterms:created>
  <dcterms:modified xsi:type="dcterms:W3CDTF">2026-03-02T07:12:57Z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14F8910016D24C1D806E3CFD46DDA027_13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