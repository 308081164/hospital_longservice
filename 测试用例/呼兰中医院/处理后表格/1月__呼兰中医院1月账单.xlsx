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 activeTab="3"/>
  </bookViews>
  <sheets>
    <sheet name="处置室" sheetId="1" r:id="rId1"/>
    <sheet name="妇产科2楼" sheetId="2" r:id="rId2"/>
    <sheet name="手术室" sheetId="3" r:id="rId3"/>
    <sheet name="手术室（备包）" sheetId="4" r:id="rId4"/>
  </sheets>
  <definedNames>
    <definedName name="_xlnm._FilterDatabase" localSheetId="0" hidden="1">处置室!$A$9:$K$26</definedName>
    <definedName name="_xlnm._FilterDatabase" localSheetId="2" hidden="1">手术室!$A$7:$K$69</definedName>
    <definedName name="_xlnm.Print_Titles" localSheetId="0">处置室!$1:$6</definedName>
    <definedName name="_xlnm.Print_Titles" localSheetId="1">妇产科2楼!$1:$6</definedName>
    <definedName name="_xlnm.Print_Titles" localSheetId="2">手术室!$1:$6</definedName>
    <definedName name="_xlnm.Print_Titles" localSheetId="3">'手术室（备包）'!$1:$6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<sst xmlns="http://schemas.openxmlformats.org/spreadsheetml/2006/main" count="244" uniqueCount="73">
  <si>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</si>
  <si>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</si>
  <si>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</si>
  <si>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</si>
  <si>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</si>
  <si>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</si>
  <si>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</si>
  <si>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</si>
  <si>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</si>
  <si>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</si>
  <si>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</si>
  <si>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</si>
  <si>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</si>
  <si>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单包装包</t>
  </si>
  <si>
    <t>带盖方盘-1/Z3044</t>
  </si>
  <si>
    <t>换药缸-1/Z2530</t>
  </si>
  <si>
    <t>器械包(ZSD)</t>
  </si>
  <si>
    <t>处置包（6件）</t>
  </si>
  <si>
    <t>额外包(无纺布)</t>
  </si>
  <si>
    <t>咬骨钳-1/W6050</t>
  </si>
  <si>
    <t>额外包(纸塑袋)</t>
  </si>
  <si>
    <t>开口器-1/Z1026</t>
  </si>
  <si>
    <t>克氏钳-1/Z1029</t>
  </si>
  <si>
    <t>妇产科2楼</t>
  </si>
  <si>
    <t>单包装包(老肯低温)</t>
  </si>
  <si>
    <t>宫腔镜检查镜头12度-3/Z2060</t>
  </si>
  <si>
    <t>手术室</t>
  </si>
  <si>
    <t>器械包</t>
  </si>
  <si>
    <t>骨科包</t>
  </si>
  <si>
    <t>外科包</t>
  </si>
  <si>
    <t>手术室-镊子缸-2/Z2044</t>
  </si>
  <si>
    <t>刮匙-1/Z7537</t>
  </si>
  <si>
    <t>盆-1碗-1盘-2/W9050</t>
  </si>
  <si>
    <t>剥离子-1/Z7534</t>
  </si>
  <si>
    <t>钢丝-1/Z1526</t>
  </si>
  <si>
    <t>内六角-1/Z1035</t>
  </si>
  <si>
    <t>钻钥匙-1/Z1020</t>
  </si>
  <si>
    <t>锤子-1/W6050</t>
  </si>
  <si>
    <t>凿子-1/W6050</t>
  </si>
  <si>
    <t>折弯器(小)-2/W6050</t>
  </si>
  <si>
    <t>妇科包</t>
  </si>
  <si>
    <t>S拉钩-2/w6050</t>
  </si>
  <si>
    <t>持骨器-1/W6050</t>
  </si>
  <si>
    <t>3.2钻头-5/Z1026</t>
  </si>
  <si>
    <t>3.5钻头-5/Z7520</t>
  </si>
  <si>
    <t>骨锉-1/Z7534</t>
  </si>
  <si>
    <t>肌钩-1/Z7526</t>
  </si>
  <si>
    <t>克氏针-1/Z7537</t>
  </si>
  <si>
    <t>克氏针-3/Z7537</t>
  </si>
  <si>
    <t>卵圆钳-1/Z1535</t>
  </si>
  <si>
    <t>螺丝刀-1/Z1029</t>
  </si>
  <si>
    <t>探子-1/Z7526</t>
  </si>
  <si>
    <t>套筒-1/Z7520</t>
  </si>
  <si>
    <t>线锯条-1/Z7530</t>
  </si>
  <si>
    <t>钻头-1/Z7520</t>
  </si>
  <si>
    <t>钻头-2/Z7520</t>
  </si>
  <si>
    <t>敷料包(纸塑袋)</t>
  </si>
  <si>
    <t>脑棉/Z1526</t>
  </si>
  <si>
    <t>额外包(低温等离子)</t>
  </si>
  <si>
    <t>单极线-1/Z3040</t>
  </si>
  <si>
    <t>光源线-1/Z3040</t>
  </si>
  <si>
    <t>镜头-1/Z2060</t>
  </si>
  <si>
    <t>气腹管-1/Z3040</t>
  </si>
  <si>
    <t>双极线-1/Z3040</t>
  </si>
  <si>
    <t>水管-1/Z3040</t>
  </si>
  <si>
    <t>旋切刀线-1/Z3040</t>
  </si>
  <si>
    <t>10mm 0度镜头/Z2060</t>
  </si>
  <si>
    <t>70°镜头-1/Z2060</t>
  </si>
  <si>
    <t>窥器-1/Z1526</t>
  </si>
  <si>
    <t>妇科腹腔镜器械-32筐1/W12050</t>
  </si>
  <si>
    <t>外科腹腔镜-16件筐1/W12050</t>
  </si>
  <si>
    <t>手术室（备包）</t>
  </si>
  <si>
    <t>铂康-阑尾包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</si>
</sst>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28575</xdr:rowOff>
    </xdr:from>
    <xdr:to>
      <xdr:col>9</xdr:col>
      <xdr:colOff>890353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123190</xdr:colOff>
      <xdr:row>1</xdr:row>
      <xdr:rowOff>38100</xdr:rowOff>
    </xdr:from>
    <xdr:to>
      <xdr:col>9</xdr:col>
      <xdr:colOff>633178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159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47625</xdr:rowOff>
    </xdr:from>
    <xdr:to>
      <xdr:col>9</xdr:col>
      <xdr:colOff>747478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38100</xdr:rowOff>
    </xdr:from>
    <xdr:to>
      <xdr:col>9</xdr:col>
      <xdr:colOff>804628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O18" sqref="O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24</v>
      </c>
      <c r="J10" s="10"/>
      <c r="K10" s="10">
        <v>540</v>
      </c>
    </row>
    <row r="11" spans="2:11">
      <c r="D11" s="11">
        <v>46028</v>
      </c>
      <c r="E11" s="12">
        <v>1568128</v>
      </c>
      <c r="F11" s="12" t="s">
        <v>13</v>
      </c>
      <c r="G11" s="13">
        <v>20008708</v>
      </c>
      <c r="H11" s="12" t="s">
        <v>14</v>
      </c>
      <c r="I11" s="13">
        <v>3</v>
      </c>
      <c r="J11" s="14">
        <v>16</v>
      </c>
      <c r="K11" s="14">
        <v>48</v>
      </c>
    </row>
    <row r="12" spans="2:11">
      <c r="D12" s="11">
        <v>46028</v>
      </c>
      <c r="E12" s="12">
        <v>1568128</v>
      </c>
      <c r="F12" s="12" t="s">
        <v>13</v>
      </c>
      <c r="G12" s="13">
        <v>20008517</v>
      </c>
      <c r="H12" s="12" t="s">
        <v>15</v>
      </c>
      <c r="I12" s="13">
        <v>2</v>
      </c>
      <c r="J12" s="14">
        <v>16</v>
      </c>
      <c r="K12" s="14">
        <v>32</v>
      </c>
    </row>
    <row r="13" spans="2:11">
      <c r="D13" s="11">
        <v>46028</v>
      </c>
      <c r="E13" s="12">
        <v>1568128</v>
      </c>
      <c r="F13" s="12" t="s">
        <v>16</v>
      </c>
      <c r="G13" s="13">
        <v>20005100</v>
      </c>
      <c r="H13" s="12" t="s">
        <v>17</v>
      </c>
      <c r="I13" s="13">
        <v>3</v>
      </c>
      <c r="J13" s="14">
        <v>33</v>
      </c>
      <c r="K13" s="14">
        <v>99</v>
      </c>
    </row>
    <row r="14" spans="2:11">
      <c r="D14" s="11">
        <v>46028</v>
      </c>
      <c r="E14" s="12">
        <v>1568128</v>
      </c>
      <c r="F14" s="12" t="s">
        <v>18</v>
      </c>
      <c r="G14" s="13">
        <v>20009592</v>
      </c>
      <c r="H14" s="12" t="s">
        <v>19</v>
      </c>
      <c r="I14" s="13">
        <v>1</v>
      </c>
      <c r="J14" s="14">
        <v>16.5</v>
      </c>
      <c r="K14" s="14">
        <v>16.5</v>
      </c>
    </row>
    <row r="15" spans="2:11">
      <c r="D15" s="11">
        <v>46032</v>
      </c>
      <c r="E15" s="12">
        <v>1569474</v>
      </c>
      <c r="F15" s="12" t="s">
        <v>16</v>
      </c>
      <c r="G15" s="13">
        <v>20005100</v>
      </c>
      <c r="H15" s="12" t="s">
        <v>17</v>
      </c>
      <c r="I15" s="13">
        <v>1</v>
      </c>
      <c r="J15" s="14">
        <v>33</v>
      </c>
      <c r="K15" s="14">
        <v>33</v>
      </c>
    </row>
    <row r="16" spans="2:11">
      <c r="D16" s="11">
        <v>46035</v>
      </c>
      <c r="E16" s="12">
        <v>1570138</v>
      </c>
      <c r="F16" s="12" t="s">
        <v>20</v>
      </c>
      <c r="G16" s="13">
        <v>20002217</v>
      </c>
      <c r="H16" s="12" t="s">
        <v>21</v>
      </c>
      <c r="I16" s="13">
        <v>1</v>
      </c>
      <c r="J16" s="14">
        <v>8</v>
      </c>
      <c r="K16" s="14">
        <v>8</v>
      </c>
    </row>
    <row r="17" spans="4:11">
      <c r="D17" s="11">
        <v>46037</v>
      </c>
      <c r="E17" s="12">
        <v>1570881</v>
      </c>
      <c r="F17" s="12" t="s">
        <v>16</v>
      </c>
      <c r="G17" s="13">
        <v>20005100</v>
      </c>
      <c r="H17" s="12" t="s">
        <v>17</v>
      </c>
      <c r="I17" s="13">
        <v>1</v>
      </c>
      <c r="J17" s="14">
        <v>33</v>
      </c>
      <c r="K17" s="14">
        <v>33</v>
      </c>
    </row>
    <row r="18" spans="4:11">
      <c r="D18" s="11">
        <v>46039</v>
      </c>
      <c r="E18" s="12">
        <v>1571442</v>
      </c>
      <c r="F18" s="12" t="s">
        <v>18</v>
      </c>
      <c r="G18" s="13">
        <v>20009592</v>
      </c>
      <c r="H18" s="12" t="s">
        <v>19</v>
      </c>
      <c r="I18" s="13">
        <v>1</v>
      </c>
      <c r="J18" s="14">
        <v>16.5</v>
      </c>
      <c r="K18" s="14">
        <v>16.5</v>
      </c>
    </row>
    <row r="19" spans="4:11">
      <c r="D19" s="11">
        <v>46044</v>
      </c>
      <c r="E19" s="12">
        <v>1572898</v>
      </c>
      <c r="F19" s="12" t="s">
        <v>13</v>
      </c>
      <c r="G19" s="13">
        <v>20008708</v>
      </c>
      <c r="H19" s="12" t="s">
        <v>14</v>
      </c>
      <c r="I19" s="13">
        <v>2</v>
      </c>
      <c r="J19" s="14">
        <v>16</v>
      </c>
      <c r="K19" s="14">
        <v>32</v>
      </c>
    </row>
    <row r="20" spans="4:11">
      <c r="D20" s="11">
        <v>46044</v>
      </c>
      <c r="E20" s="12">
        <v>1572898</v>
      </c>
      <c r="F20" s="12" t="s">
        <v>13</v>
      </c>
      <c r="G20" s="13">
        <v>20008517</v>
      </c>
      <c r="H20" s="12" t="s">
        <v>15</v>
      </c>
      <c r="I20" s="13">
        <v>1</v>
      </c>
      <c r="J20" s="14">
        <v>16</v>
      </c>
      <c r="K20" s="14">
        <v>16</v>
      </c>
    </row>
    <row r="21" spans="4:11">
      <c r="D21" s="11">
        <v>46046</v>
      </c>
      <c r="E21" s="12">
        <v>1573365</v>
      </c>
      <c r="F21" s="12" t="s">
        <v>20</v>
      </c>
      <c r="G21" s="13">
        <v>20009383</v>
      </c>
      <c r="H21" s="12" t="s">
        <v>22</v>
      </c>
      <c r="I21" s="13">
        <v>1</v>
      </c>
      <c r="J21" s="14">
        <v>8</v>
      </c>
      <c r="K21" s="14">
        <v>8</v>
      </c>
    </row>
    <row r="22" spans="4:11">
      <c r="D22" s="11">
        <v>46046</v>
      </c>
      <c r="E22" s="12">
        <v>1573365</v>
      </c>
      <c r="F22" s="12" t="s">
        <v>16</v>
      </c>
      <c r="G22" s="13">
        <v>20005100</v>
      </c>
      <c r="H22" s="12" t="s">
        <v>17</v>
      </c>
      <c r="I22" s="13">
        <v>1</v>
      </c>
      <c r="J22" s="14">
        <v>33</v>
      </c>
      <c r="K22" s="14">
        <v>33</v>
      </c>
    </row>
    <row r="23" spans="4:11">
      <c r="D23" s="11">
        <v>46046</v>
      </c>
      <c r="E23" s="12">
        <v>1573365</v>
      </c>
      <c r="F23" s="12" t="s">
        <v>18</v>
      </c>
      <c r="G23" s="13">
        <v>20009592</v>
      </c>
      <c r="H23" s="12" t="s">
        <v>19</v>
      </c>
      <c r="I23" s="13">
        <v>1</v>
      </c>
      <c r="J23" s="14">
        <v>16.5</v>
      </c>
      <c r="K23" s="14">
        <v>16.5</v>
      </c>
    </row>
    <row r="24" spans="4:11">
      <c r="D24" s="11">
        <v>46051</v>
      </c>
      <c r="E24" s="12">
        <v>1574689</v>
      </c>
      <c r="F24" s="12" t="s">
        <v>16</v>
      </c>
      <c r="G24" s="13">
        <v>20005100</v>
      </c>
      <c r="H24" s="12" t="s">
        <v>17</v>
      </c>
      <c r="I24" s="13">
        <v>1</v>
      </c>
      <c r="J24" s="14">
        <v>33</v>
      </c>
      <c r="K24" s="14">
        <v>33</v>
      </c>
    </row>
    <row r="25" spans="4:11">
      <c r="D25" s="11">
        <v>46053</v>
      </c>
      <c r="E25" s="12">
        <v>1575274</v>
      </c>
      <c r="F25" s="12" t="s">
        <v>16</v>
      </c>
      <c r="G25" s="13">
        <v>20005100</v>
      </c>
      <c r="H25" s="12" t="s">
        <v>17</v>
      </c>
      <c r="I25" s="13">
        <v>3</v>
      </c>
      <c r="J25" s="14">
        <v>33</v>
      </c>
      <c r="K25" s="14">
        <v>99</v>
      </c>
    </row>
    <row r="26" spans="4:11">
      <c r="D26" s="11">
        <v>46053</v>
      </c>
      <c r="E26" s="12">
        <v>1575274</v>
      </c>
      <c r="F26" s="12" t="s">
        <v>18</v>
      </c>
      <c r="G26" s="13">
        <v>20009592</v>
      </c>
      <c r="H26" s="12" t="s">
        <v>19</v>
      </c>
      <c r="I26" s="13">
        <v>1</v>
      </c>
      <c r="J26" s="14">
        <v>16.5</v>
      </c>
      <c r="K26" s="14">
        <v>16.5</v>
      </c>
    </row>
    <row r="27" ht="0.05" customHeight="1"/>
  </sheetData>
  <autoFilter xmlns:etc="http://www.wps.cn/officeDocument/2017/etCustomData" ref="A9:K26" etc:filterBottomFollowUsedRange="0">
    <extLst/>
  </autoFilter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13:58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20" sqref="O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66</v>
      </c>
    </row>
    <row r="9" spans="1:11">
      <c r="D9" s="11">
        <v>46032</v>
      </c>
      <c r="E9" s="12">
        <v>1569477</v>
      </c>
      <c r="F9" s="12" t="s">
        <v>24</v>
      </c>
      <c r="G9" s="13">
        <v>20008726</v>
      </c>
      <c r="H9" s="12" t="s">
        <v>25</v>
      </c>
      <c r="I9" s="13">
        <v>1</v>
      </c>
      <c r="J9" s="14">
        <v>66</v>
      </c>
      <c r="K9" s="14">
        <v>66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13:58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showGridLines="0" view="pageBreakPreview" zoomScaleNormal="100" workbookViewId="0">
      <pane ySplit="6" topLeftCell="A7" activePane="bottomLeft" state="frozen"/>
      <selection/>
      <selection pane="bottomLeft" activeCell="O21" sqref="O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94</v>
      </c>
      <c r="J8" s="10"/>
      <c r="K8" s="10">
        <f>SUM(K9:K69)</f>
        <v>5353.5</v>
      </c>
    </row>
    <row r="9" spans="1:11">
      <c r="D9" s="11">
        <v>46028</v>
      </c>
      <c r="E9" s="12">
        <v>1568129</v>
      </c>
      <c r="F9" s="12" t="s">
        <v>27</v>
      </c>
      <c r="G9" s="13">
        <v>20002285</v>
      </c>
      <c r="H9" s="12" t="s">
        <v>28</v>
      </c>
      <c r="I9" s="13">
        <v>2</v>
      </c>
      <c r="J9" s="14">
        <v>154</v>
      </c>
      <c r="K9" s="14">
        <f>J9*I9</f>
        <v>308</v>
      </c>
    </row>
    <row r="10" spans="1:11">
      <c r="D10" s="11">
        <v>46028</v>
      </c>
      <c r="E10" s="12">
        <v>1568129</v>
      </c>
      <c r="F10" s="12" t="s">
        <v>27</v>
      </c>
      <c r="G10" s="13">
        <v>20002284</v>
      </c>
      <c r="H10" s="12" t="s">
        <v>29</v>
      </c>
      <c r="I10" s="13">
        <v>3</v>
      </c>
      <c r="J10" s="14">
        <v>249.5</v>
      </c>
      <c r="K10" s="14">
        <f t="shared" ref="K10:K41" si="0">J10*I10</f>
        <v>748.5</v>
      </c>
    </row>
    <row r="11" spans="1:11">
      <c r="D11" s="11">
        <v>46028</v>
      </c>
      <c r="E11" s="12">
        <v>1568129</v>
      </c>
      <c r="F11" s="12" t="s">
        <v>13</v>
      </c>
      <c r="G11" s="13">
        <v>20012017</v>
      </c>
      <c r="H11" s="12" t="s">
        <v>30</v>
      </c>
      <c r="I11" s="13">
        <v>1</v>
      </c>
      <c r="J11" s="14">
        <v>16.5</v>
      </c>
      <c r="K11" s="14">
        <f t="shared" si="0"/>
        <v>16.5</v>
      </c>
    </row>
    <row r="12" spans="1:11">
      <c r="D12" s="11">
        <v>46028</v>
      </c>
      <c r="E12" s="12">
        <v>1568129</v>
      </c>
      <c r="F12" s="12" t="s">
        <v>20</v>
      </c>
      <c r="G12" s="13">
        <v>20002966</v>
      </c>
      <c r="H12" s="12" t="s">
        <v>31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46028</v>
      </c>
      <c r="E13" s="12">
        <v>1568129</v>
      </c>
      <c r="F13" s="12" t="s">
        <v>18</v>
      </c>
      <c r="G13" s="13">
        <v>20004791</v>
      </c>
      <c r="H13" s="12" t="s">
        <v>32</v>
      </c>
      <c r="I13" s="13">
        <v>1</v>
      </c>
      <c r="J13" s="14">
        <v>22</v>
      </c>
      <c r="K13" s="14">
        <f t="shared" si="0"/>
        <v>22</v>
      </c>
    </row>
    <row r="14" spans="1:11">
      <c r="D14" s="11">
        <v>46030</v>
      </c>
      <c r="E14" s="12">
        <v>1568870</v>
      </c>
      <c r="F14" s="12" t="s">
        <v>27</v>
      </c>
      <c r="G14" s="13">
        <v>20002285</v>
      </c>
      <c r="H14" s="12" t="s">
        <v>28</v>
      </c>
      <c r="I14" s="13">
        <v>2</v>
      </c>
      <c r="J14" s="14">
        <v>154</v>
      </c>
      <c r="K14" s="14">
        <f t="shared" si="0"/>
        <v>308</v>
      </c>
    </row>
    <row r="15" spans="1:11">
      <c r="D15" s="11">
        <v>46030</v>
      </c>
      <c r="E15" s="12">
        <v>1568870</v>
      </c>
      <c r="F15" s="12" t="s">
        <v>27</v>
      </c>
      <c r="G15" s="13">
        <v>20002284</v>
      </c>
      <c r="H15" s="12" t="s">
        <v>29</v>
      </c>
      <c r="I15" s="13">
        <v>2</v>
      </c>
      <c r="J15" s="14">
        <v>249.5</v>
      </c>
      <c r="K15" s="14">
        <f t="shared" si="0"/>
        <v>499</v>
      </c>
    </row>
    <row r="16" spans="1:11">
      <c r="D16" s="11">
        <v>46030</v>
      </c>
      <c r="E16" s="12">
        <v>1568870</v>
      </c>
      <c r="F16" s="12" t="s">
        <v>20</v>
      </c>
      <c r="G16" s="13">
        <v>20002417</v>
      </c>
      <c r="H16" s="12" t="s">
        <v>33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46030</v>
      </c>
      <c r="E17" s="12">
        <v>1568870</v>
      </c>
      <c r="F17" s="12" t="s">
        <v>20</v>
      </c>
      <c r="G17" s="13">
        <v>20004792</v>
      </c>
      <c r="H17" s="12" t="s">
        <v>34</v>
      </c>
      <c r="I17" s="13">
        <v>1</v>
      </c>
      <c r="J17" s="14">
        <v>11</v>
      </c>
      <c r="K17" s="14">
        <f t="shared" si="0"/>
        <v>11</v>
      </c>
    </row>
    <row r="18" spans="4:11">
      <c r="D18" s="11">
        <v>46030</v>
      </c>
      <c r="E18" s="12">
        <v>1568870</v>
      </c>
      <c r="F18" s="12" t="s">
        <v>20</v>
      </c>
      <c r="G18" s="13">
        <v>20002966</v>
      </c>
      <c r="H18" s="12" t="s">
        <v>31</v>
      </c>
      <c r="I18" s="13">
        <v>1</v>
      </c>
      <c r="J18" s="14">
        <v>8</v>
      </c>
      <c r="K18" s="14">
        <f t="shared" si="0"/>
        <v>8</v>
      </c>
    </row>
    <row r="19" spans="4:11">
      <c r="D19" s="11">
        <v>46030</v>
      </c>
      <c r="E19" s="12">
        <v>1568870</v>
      </c>
      <c r="F19" s="12" t="s">
        <v>20</v>
      </c>
      <c r="G19" s="13">
        <v>20002829</v>
      </c>
      <c r="H19" s="12" t="s">
        <v>22</v>
      </c>
      <c r="I19" s="13">
        <v>2</v>
      </c>
      <c r="J19" s="14">
        <v>8</v>
      </c>
      <c r="K19" s="14">
        <f t="shared" si="0"/>
        <v>16</v>
      </c>
    </row>
    <row r="20" spans="4:11">
      <c r="D20" s="11">
        <v>46030</v>
      </c>
      <c r="E20" s="12">
        <v>1568870</v>
      </c>
      <c r="F20" s="12" t="s">
        <v>20</v>
      </c>
      <c r="G20" s="13">
        <v>20365717</v>
      </c>
      <c r="H20" s="12" t="s">
        <v>35</v>
      </c>
      <c r="I20" s="13">
        <v>1</v>
      </c>
      <c r="J20" s="14">
        <v>8</v>
      </c>
      <c r="K20" s="14">
        <f t="shared" si="0"/>
        <v>8</v>
      </c>
    </row>
    <row r="21" spans="4:11">
      <c r="D21" s="11">
        <v>46030</v>
      </c>
      <c r="E21" s="12">
        <v>1568870</v>
      </c>
      <c r="F21" s="12" t="s">
        <v>20</v>
      </c>
      <c r="G21" s="13">
        <v>20002267</v>
      </c>
      <c r="H21" s="12" t="s">
        <v>36</v>
      </c>
      <c r="I21" s="13">
        <v>2</v>
      </c>
      <c r="J21" s="14">
        <v>8</v>
      </c>
      <c r="K21" s="14">
        <f t="shared" si="0"/>
        <v>16</v>
      </c>
    </row>
    <row r="22" spans="4:11">
      <c r="D22" s="11">
        <v>46030</v>
      </c>
      <c r="E22" s="12">
        <v>1568870</v>
      </c>
      <c r="F22" s="12" t="s">
        <v>18</v>
      </c>
      <c r="G22" s="13">
        <v>20004243</v>
      </c>
      <c r="H22" s="12" t="s">
        <v>37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46030</v>
      </c>
      <c r="E23" s="12">
        <v>1568870</v>
      </c>
      <c r="F23" s="12" t="s">
        <v>18</v>
      </c>
      <c r="G23" s="13">
        <v>20009592</v>
      </c>
      <c r="H23" s="12" t="s">
        <v>19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46030</v>
      </c>
      <c r="E24" s="12">
        <v>1568870</v>
      </c>
      <c r="F24" s="12" t="s">
        <v>18</v>
      </c>
      <c r="G24" s="13">
        <v>20008806</v>
      </c>
      <c r="H24" s="12" t="s">
        <v>38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46030</v>
      </c>
      <c r="E25" s="12">
        <v>1568870</v>
      </c>
      <c r="F25" s="12" t="s">
        <v>18</v>
      </c>
      <c r="G25" s="13">
        <v>20008838</v>
      </c>
      <c r="H25" s="12" t="s">
        <v>39</v>
      </c>
      <c r="I25" s="13">
        <v>1</v>
      </c>
      <c r="J25" s="14">
        <v>16.5</v>
      </c>
      <c r="K25" s="14">
        <f t="shared" si="0"/>
        <v>16.5</v>
      </c>
    </row>
    <row r="26" spans="4:11">
      <c r="D26" s="11">
        <v>46032</v>
      </c>
      <c r="E26" s="12">
        <v>1569475</v>
      </c>
      <c r="F26" s="12" t="s">
        <v>27</v>
      </c>
      <c r="G26" s="13">
        <v>20002286</v>
      </c>
      <c r="H26" s="12" t="s">
        <v>40</v>
      </c>
      <c r="I26" s="13">
        <v>1</v>
      </c>
      <c r="J26" s="15">
        <v>148.5</v>
      </c>
      <c r="K26" s="14">
        <f t="shared" si="0"/>
        <v>148.5</v>
      </c>
    </row>
    <row r="27" spans="4:11">
      <c r="D27" s="11">
        <v>46032</v>
      </c>
      <c r="E27" s="12">
        <v>1569475</v>
      </c>
      <c r="F27" s="12" t="s">
        <v>27</v>
      </c>
      <c r="G27" s="13">
        <v>20002285</v>
      </c>
      <c r="H27" s="12" t="s">
        <v>28</v>
      </c>
      <c r="I27" s="13">
        <v>1</v>
      </c>
      <c r="J27" s="14">
        <v>154</v>
      </c>
      <c r="K27" s="14">
        <f t="shared" si="0"/>
        <v>154</v>
      </c>
    </row>
    <row r="28" spans="4:11">
      <c r="D28" s="11">
        <v>46032</v>
      </c>
      <c r="E28" s="12">
        <v>1569475</v>
      </c>
      <c r="F28" s="12" t="s">
        <v>18</v>
      </c>
      <c r="G28" s="13">
        <v>20408540</v>
      </c>
      <c r="H28" s="12" t="s">
        <v>41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46035</v>
      </c>
      <c r="E29" s="12">
        <v>1570094</v>
      </c>
      <c r="F29" s="12" t="s">
        <v>27</v>
      </c>
      <c r="G29" s="13">
        <v>20002285</v>
      </c>
      <c r="H29" s="12" t="s">
        <v>28</v>
      </c>
      <c r="I29" s="13">
        <v>1</v>
      </c>
      <c r="J29" s="14">
        <v>154</v>
      </c>
      <c r="K29" s="14">
        <f t="shared" si="0"/>
        <v>154</v>
      </c>
    </row>
    <row r="30" spans="4:11">
      <c r="D30" s="11">
        <v>46035</v>
      </c>
      <c r="E30" s="12">
        <v>1570094</v>
      </c>
      <c r="F30" s="12" t="s">
        <v>27</v>
      </c>
      <c r="G30" s="13">
        <v>20002284</v>
      </c>
      <c r="H30" s="12" t="s">
        <v>29</v>
      </c>
      <c r="I30" s="13">
        <v>2</v>
      </c>
      <c r="J30" s="14">
        <v>249.5</v>
      </c>
      <c r="K30" s="14">
        <f t="shared" si="0"/>
        <v>499</v>
      </c>
    </row>
    <row r="31" spans="4:11">
      <c r="D31" s="11">
        <v>46035</v>
      </c>
      <c r="E31" s="12">
        <v>1570139</v>
      </c>
      <c r="F31" s="12" t="s">
        <v>20</v>
      </c>
      <c r="G31" s="13">
        <v>20002417</v>
      </c>
      <c r="H31" s="12" t="s">
        <v>33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46035</v>
      </c>
      <c r="E32" s="12">
        <v>1570139</v>
      </c>
      <c r="F32" s="12" t="s">
        <v>20</v>
      </c>
      <c r="G32" s="13">
        <v>20002966</v>
      </c>
      <c r="H32" s="12" t="s">
        <v>31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46035</v>
      </c>
      <c r="E33" s="12">
        <v>1570139</v>
      </c>
      <c r="F33" s="12" t="s">
        <v>18</v>
      </c>
      <c r="G33" s="13">
        <v>20004242</v>
      </c>
      <c r="H33" s="12" t="s">
        <v>42</v>
      </c>
      <c r="I33" s="13">
        <v>2</v>
      </c>
      <c r="J33" s="14">
        <v>16.5</v>
      </c>
      <c r="K33" s="14">
        <f t="shared" si="0"/>
        <v>33</v>
      </c>
    </row>
    <row r="34" spans="4:11">
      <c r="D34" s="11">
        <v>46037</v>
      </c>
      <c r="E34" s="12">
        <v>1570882</v>
      </c>
      <c r="F34" s="12" t="s">
        <v>27</v>
      </c>
      <c r="G34" s="13">
        <v>20002284</v>
      </c>
      <c r="H34" s="12" t="s">
        <v>29</v>
      </c>
      <c r="I34" s="13">
        <v>1</v>
      </c>
      <c r="J34" s="14">
        <v>249.5</v>
      </c>
      <c r="K34" s="14">
        <f t="shared" si="0"/>
        <v>249.5</v>
      </c>
    </row>
    <row r="35" spans="4:11">
      <c r="D35" s="11">
        <v>46042</v>
      </c>
      <c r="E35" s="12">
        <v>1572012</v>
      </c>
      <c r="F35" s="12" t="s">
        <v>20</v>
      </c>
      <c r="G35" s="13">
        <v>20305157</v>
      </c>
      <c r="H35" s="12" t="s">
        <v>43</v>
      </c>
      <c r="I35" s="13">
        <v>1</v>
      </c>
      <c r="J35" s="14">
        <v>27.5</v>
      </c>
      <c r="K35" s="14">
        <f t="shared" si="0"/>
        <v>27.5</v>
      </c>
    </row>
    <row r="36" spans="4:11">
      <c r="D36" s="11">
        <v>46042</v>
      </c>
      <c r="E36" s="12">
        <v>1572012</v>
      </c>
      <c r="F36" s="12" t="s">
        <v>20</v>
      </c>
      <c r="G36" s="13">
        <v>20305158</v>
      </c>
      <c r="H36" s="12" t="s">
        <v>44</v>
      </c>
      <c r="I36" s="13">
        <v>1</v>
      </c>
      <c r="J36" s="14">
        <v>27.5</v>
      </c>
      <c r="K36" s="14">
        <f t="shared" si="0"/>
        <v>27.5</v>
      </c>
    </row>
    <row r="37" spans="4:11">
      <c r="D37" s="11">
        <v>46042</v>
      </c>
      <c r="E37" s="12">
        <v>1572012</v>
      </c>
      <c r="F37" s="12" t="s">
        <v>20</v>
      </c>
      <c r="G37" s="13">
        <v>20002417</v>
      </c>
      <c r="H37" s="12" t="s">
        <v>33</v>
      </c>
      <c r="I37" s="13">
        <v>3</v>
      </c>
      <c r="J37" s="14">
        <v>8</v>
      </c>
      <c r="K37" s="14">
        <f t="shared" si="0"/>
        <v>24</v>
      </c>
    </row>
    <row r="38" spans="4:11">
      <c r="D38" s="11">
        <v>46042</v>
      </c>
      <c r="E38" s="12">
        <v>1572012</v>
      </c>
      <c r="F38" s="12" t="s">
        <v>20</v>
      </c>
      <c r="G38" s="13">
        <v>20002270</v>
      </c>
      <c r="H38" s="12" t="s">
        <v>45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46042</v>
      </c>
      <c r="E39" s="12">
        <v>1572012</v>
      </c>
      <c r="F39" s="12" t="s">
        <v>20</v>
      </c>
      <c r="G39" s="13">
        <v>20002966</v>
      </c>
      <c r="H39" s="12" t="s">
        <v>31</v>
      </c>
      <c r="I39" s="13">
        <v>2</v>
      </c>
      <c r="J39" s="14">
        <v>8</v>
      </c>
      <c r="K39" s="14">
        <f t="shared" si="0"/>
        <v>16</v>
      </c>
    </row>
    <row r="40" spans="4:11">
      <c r="D40" s="11">
        <v>46042</v>
      </c>
      <c r="E40" s="12">
        <v>1572012</v>
      </c>
      <c r="F40" s="12" t="s">
        <v>20</v>
      </c>
      <c r="G40" s="13">
        <v>20004626</v>
      </c>
      <c r="H40" s="12" t="s">
        <v>46</v>
      </c>
      <c r="I40" s="13">
        <v>3</v>
      </c>
      <c r="J40" s="14">
        <v>8</v>
      </c>
      <c r="K40" s="14">
        <f t="shared" si="0"/>
        <v>24</v>
      </c>
    </row>
    <row r="41" spans="4:11">
      <c r="D41" s="11">
        <v>46042</v>
      </c>
      <c r="E41" s="12">
        <v>1572012</v>
      </c>
      <c r="F41" s="12" t="s">
        <v>20</v>
      </c>
      <c r="G41" s="13">
        <v>20004668</v>
      </c>
      <c r="H41" s="12" t="s">
        <v>47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46042</v>
      </c>
      <c r="E42" s="12">
        <v>1572012</v>
      </c>
      <c r="F42" s="12" t="s">
        <v>20</v>
      </c>
      <c r="G42" s="13">
        <v>20008849</v>
      </c>
      <c r="H42" s="12" t="s">
        <v>48</v>
      </c>
      <c r="I42" s="13">
        <v>1</v>
      </c>
      <c r="J42" s="14">
        <v>8</v>
      </c>
      <c r="K42" s="14">
        <f t="shared" ref="K42:K69" si="1">J42*I42</f>
        <v>8</v>
      </c>
    </row>
    <row r="43" spans="4:11">
      <c r="D43" s="11">
        <v>46042</v>
      </c>
      <c r="E43" s="12">
        <v>1572012</v>
      </c>
      <c r="F43" s="12" t="s">
        <v>20</v>
      </c>
      <c r="G43" s="13">
        <v>20002770</v>
      </c>
      <c r="H43" s="12" t="s">
        <v>49</v>
      </c>
      <c r="I43" s="13">
        <v>1</v>
      </c>
      <c r="J43" s="14">
        <v>11</v>
      </c>
      <c r="K43" s="14">
        <f t="shared" si="1"/>
        <v>11</v>
      </c>
    </row>
    <row r="44" spans="4:11">
      <c r="D44" s="11">
        <v>46042</v>
      </c>
      <c r="E44" s="12">
        <v>1572012</v>
      </c>
      <c r="F44" s="12" t="s">
        <v>20</v>
      </c>
      <c r="G44" s="13">
        <v>20322691</v>
      </c>
      <c r="H44" s="12" t="s">
        <v>50</v>
      </c>
      <c r="I44" s="13">
        <v>13</v>
      </c>
      <c r="J44" s="14">
        <v>8</v>
      </c>
      <c r="K44" s="14">
        <f t="shared" si="1"/>
        <v>104</v>
      </c>
    </row>
    <row r="45" spans="4:11">
      <c r="D45" s="11">
        <v>46042</v>
      </c>
      <c r="E45" s="12">
        <v>1572012</v>
      </c>
      <c r="F45" s="12" t="s">
        <v>20</v>
      </c>
      <c r="G45" s="13">
        <v>20002416</v>
      </c>
      <c r="H45" s="12" t="s">
        <v>51</v>
      </c>
      <c r="I45" s="13">
        <v>1</v>
      </c>
      <c r="J45" s="14">
        <v>8</v>
      </c>
      <c r="K45" s="14">
        <f t="shared" si="1"/>
        <v>8</v>
      </c>
    </row>
    <row r="46" spans="4:11">
      <c r="D46" s="11">
        <v>46042</v>
      </c>
      <c r="E46" s="12">
        <v>1572012</v>
      </c>
      <c r="F46" s="12" t="s">
        <v>20</v>
      </c>
      <c r="G46" s="13">
        <v>20002098</v>
      </c>
      <c r="H46" s="12" t="s">
        <v>52</v>
      </c>
      <c r="I46" s="13">
        <v>2</v>
      </c>
      <c r="J46" s="14">
        <v>13.5</v>
      </c>
      <c r="K46" s="14">
        <f t="shared" si="1"/>
        <v>27</v>
      </c>
    </row>
    <row r="47" spans="4:11">
      <c r="D47" s="11">
        <v>46042</v>
      </c>
      <c r="E47" s="12">
        <v>1572012</v>
      </c>
      <c r="F47" s="12" t="s">
        <v>20</v>
      </c>
      <c r="G47" s="13">
        <v>20003033</v>
      </c>
      <c r="H47" s="12" t="s">
        <v>53</v>
      </c>
      <c r="I47" s="13">
        <v>1</v>
      </c>
      <c r="J47" s="14">
        <v>8</v>
      </c>
      <c r="K47" s="14">
        <f t="shared" si="1"/>
        <v>8</v>
      </c>
    </row>
    <row r="48" spans="4:11">
      <c r="D48" s="11">
        <v>46042</v>
      </c>
      <c r="E48" s="12">
        <v>1572012</v>
      </c>
      <c r="F48" s="12" t="s">
        <v>20</v>
      </c>
      <c r="G48" s="13">
        <v>20003130</v>
      </c>
      <c r="H48" s="12" t="s">
        <v>54</v>
      </c>
      <c r="I48" s="13">
        <v>3</v>
      </c>
      <c r="J48" s="14">
        <v>8</v>
      </c>
      <c r="K48" s="14">
        <f t="shared" si="1"/>
        <v>24</v>
      </c>
    </row>
    <row r="49" spans="4:11">
      <c r="D49" s="11">
        <v>46042</v>
      </c>
      <c r="E49" s="12">
        <v>1572012</v>
      </c>
      <c r="F49" s="12" t="s">
        <v>20</v>
      </c>
      <c r="G49" s="13">
        <v>20002774</v>
      </c>
      <c r="H49" s="12" t="s">
        <v>55</v>
      </c>
      <c r="I49" s="13">
        <v>1</v>
      </c>
      <c r="J49" s="14">
        <v>13.5</v>
      </c>
      <c r="K49" s="14">
        <f t="shared" si="1"/>
        <v>13.5</v>
      </c>
    </row>
    <row r="50" spans="4:11">
      <c r="D50" s="11">
        <v>46042</v>
      </c>
      <c r="E50" s="12">
        <v>1572169</v>
      </c>
      <c r="F50" s="12" t="s">
        <v>56</v>
      </c>
      <c r="G50" s="13">
        <v>20012585</v>
      </c>
      <c r="H50" s="12" t="s">
        <v>57</v>
      </c>
      <c r="I50" s="13">
        <v>2</v>
      </c>
      <c r="J50" s="14">
        <v>2.5</v>
      </c>
      <c r="K50" s="14">
        <f t="shared" si="1"/>
        <v>5</v>
      </c>
    </row>
    <row r="51" spans="4:11">
      <c r="D51" s="11">
        <v>46046</v>
      </c>
      <c r="E51" s="12">
        <v>1573366</v>
      </c>
      <c r="F51" s="12" t="s">
        <v>27</v>
      </c>
      <c r="G51" s="13">
        <v>20002286</v>
      </c>
      <c r="H51" s="12" t="s">
        <v>40</v>
      </c>
      <c r="I51" s="13">
        <v>1</v>
      </c>
      <c r="J51" s="15">
        <v>148.5</v>
      </c>
      <c r="K51" s="14">
        <f t="shared" si="1"/>
        <v>148.5</v>
      </c>
    </row>
    <row r="52" spans="4:11">
      <c r="D52" s="11">
        <v>46046</v>
      </c>
      <c r="E52" s="12">
        <v>1573366</v>
      </c>
      <c r="F52" s="12" t="s">
        <v>20</v>
      </c>
      <c r="G52" s="13">
        <v>20002417</v>
      </c>
      <c r="H52" s="12" t="s">
        <v>33</v>
      </c>
      <c r="I52" s="13">
        <v>1</v>
      </c>
      <c r="J52" s="14">
        <v>8</v>
      </c>
      <c r="K52" s="14">
        <f t="shared" si="1"/>
        <v>8</v>
      </c>
    </row>
    <row r="53" spans="4:11">
      <c r="D53" s="11">
        <v>46049</v>
      </c>
      <c r="E53" s="12">
        <v>1573997</v>
      </c>
      <c r="F53" s="12" t="s">
        <v>27</v>
      </c>
      <c r="G53" s="13">
        <v>20002285</v>
      </c>
      <c r="H53" s="12" t="s">
        <v>28</v>
      </c>
      <c r="I53" s="13">
        <v>1</v>
      </c>
      <c r="J53" s="14">
        <v>154</v>
      </c>
      <c r="K53" s="14">
        <f t="shared" si="1"/>
        <v>154</v>
      </c>
    </row>
    <row r="54" spans="4:11">
      <c r="D54" s="11">
        <v>46049</v>
      </c>
      <c r="E54" s="12">
        <v>1573997</v>
      </c>
      <c r="F54" s="12" t="s">
        <v>20</v>
      </c>
      <c r="G54" s="13">
        <v>20002417</v>
      </c>
      <c r="H54" s="12" t="s">
        <v>33</v>
      </c>
      <c r="I54" s="13">
        <v>1</v>
      </c>
      <c r="J54" s="14">
        <v>8</v>
      </c>
      <c r="K54" s="14">
        <f t="shared" si="1"/>
        <v>8</v>
      </c>
    </row>
    <row r="55" spans="4:11">
      <c r="D55" s="11">
        <v>46049</v>
      </c>
      <c r="E55" s="12">
        <v>1573997</v>
      </c>
      <c r="F55" s="12" t="s">
        <v>20</v>
      </c>
      <c r="G55" s="13">
        <v>20002267</v>
      </c>
      <c r="H55" s="12" t="s">
        <v>36</v>
      </c>
      <c r="I55" s="13">
        <v>1</v>
      </c>
      <c r="J55" s="14">
        <v>8</v>
      </c>
      <c r="K55" s="14">
        <f t="shared" si="1"/>
        <v>8</v>
      </c>
    </row>
    <row r="56" spans="4:11">
      <c r="D56" s="11">
        <v>46051</v>
      </c>
      <c r="E56" s="12">
        <v>1574632</v>
      </c>
      <c r="F56" s="12" t="s">
        <v>58</v>
      </c>
      <c r="G56" s="13">
        <v>20012451</v>
      </c>
      <c r="H56" s="12" t="s">
        <v>59</v>
      </c>
      <c r="I56" s="13">
        <v>2</v>
      </c>
      <c r="J56" s="14">
        <v>35</v>
      </c>
      <c r="K56" s="14">
        <f t="shared" si="1"/>
        <v>70</v>
      </c>
    </row>
    <row r="57" spans="4:11">
      <c r="D57" s="11">
        <v>46051</v>
      </c>
      <c r="E57" s="12">
        <v>1574632</v>
      </c>
      <c r="F57" s="12" t="s">
        <v>58</v>
      </c>
      <c r="G57" s="13">
        <v>20008313</v>
      </c>
      <c r="H57" s="12" t="s">
        <v>60</v>
      </c>
      <c r="I57" s="13">
        <v>2</v>
      </c>
      <c r="J57" s="14">
        <v>35</v>
      </c>
      <c r="K57" s="14">
        <f t="shared" si="1"/>
        <v>70</v>
      </c>
    </row>
    <row r="58" spans="4:11">
      <c r="D58" s="11">
        <v>46051</v>
      </c>
      <c r="E58" s="12">
        <v>1574632</v>
      </c>
      <c r="F58" s="12" t="s">
        <v>58</v>
      </c>
      <c r="G58" s="13">
        <v>20320501</v>
      </c>
      <c r="H58" s="12" t="s">
        <v>61</v>
      </c>
      <c r="I58" s="13">
        <v>1</v>
      </c>
      <c r="J58" s="14">
        <v>28</v>
      </c>
      <c r="K58" s="14">
        <f t="shared" si="1"/>
        <v>28</v>
      </c>
    </row>
    <row r="59" spans="4:11">
      <c r="D59" s="11">
        <v>46051</v>
      </c>
      <c r="E59" s="12">
        <v>1574632</v>
      </c>
      <c r="F59" s="12" t="s">
        <v>58</v>
      </c>
      <c r="G59" s="13">
        <v>20005161</v>
      </c>
      <c r="H59" s="12" t="s">
        <v>62</v>
      </c>
      <c r="I59" s="13">
        <v>1</v>
      </c>
      <c r="J59" s="14">
        <v>35</v>
      </c>
      <c r="K59" s="14">
        <f t="shared" si="1"/>
        <v>35</v>
      </c>
    </row>
    <row r="60" spans="4:11">
      <c r="D60" s="11">
        <v>46051</v>
      </c>
      <c r="E60" s="12">
        <v>1574632</v>
      </c>
      <c r="F60" s="12" t="s">
        <v>58</v>
      </c>
      <c r="G60" s="13">
        <v>20300002</v>
      </c>
      <c r="H60" s="12" t="s">
        <v>63</v>
      </c>
      <c r="I60" s="13">
        <v>2</v>
      </c>
      <c r="J60" s="14">
        <v>35</v>
      </c>
      <c r="K60" s="14">
        <f t="shared" si="1"/>
        <v>70</v>
      </c>
    </row>
    <row r="61" spans="4:11">
      <c r="D61" s="11">
        <v>46051</v>
      </c>
      <c r="E61" s="12">
        <v>1574632</v>
      </c>
      <c r="F61" s="12" t="s">
        <v>58</v>
      </c>
      <c r="G61" s="13">
        <v>20014829</v>
      </c>
      <c r="H61" s="12" t="s">
        <v>64</v>
      </c>
      <c r="I61" s="13">
        <v>1</v>
      </c>
      <c r="J61" s="14">
        <v>35</v>
      </c>
      <c r="K61" s="14">
        <f t="shared" si="1"/>
        <v>35</v>
      </c>
    </row>
    <row r="62" spans="4:11">
      <c r="D62" s="11">
        <v>46051</v>
      </c>
      <c r="E62" s="12">
        <v>1574632</v>
      </c>
      <c r="F62" s="12" t="s">
        <v>58</v>
      </c>
      <c r="G62" s="13">
        <v>20331937</v>
      </c>
      <c r="H62" s="12" t="s">
        <v>65</v>
      </c>
      <c r="I62" s="13">
        <v>1</v>
      </c>
      <c r="J62" s="14">
        <v>35</v>
      </c>
      <c r="K62" s="14">
        <f t="shared" si="1"/>
        <v>35</v>
      </c>
    </row>
    <row r="63" spans="4:11">
      <c r="D63" s="11">
        <v>46051</v>
      </c>
      <c r="E63" s="12">
        <v>1574632</v>
      </c>
      <c r="F63" s="12" t="s">
        <v>24</v>
      </c>
      <c r="G63" s="13">
        <v>20310135</v>
      </c>
      <c r="H63" s="12" t="s">
        <v>66</v>
      </c>
      <c r="I63" s="13">
        <v>1</v>
      </c>
      <c r="J63" s="14">
        <v>28</v>
      </c>
      <c r="K63" s="14">
        <f t="shared" si="1"/>
        <v>28</v>
      </c>
    </row>
    <row r="64" spans="4:11">
      <c r="D64" s="11">
        <v>46051</v>
      </c>
      <c r="E64" s="12">
        <v>1574632</v>
      </c>
      <c r="F64" s="12" t="s">
        <v>24</v>
      </c>
      <c r="G64" s="13">
        <v>20337714</v>
      </c>
      <c r="H64" s="12" t="s">
        <v>67</v>
      </c>
      <c r="I64" s="13">
        <v>1</v>
      </c>
      <c r="J64" s="14">
        <v>28</v>
      </c>
      <c r="K64" s="14">
        <f t="shared" si="1"/>
        <v>28</v>
      </c>
    </row>
    <row r="65" spans="4:11">
      <c r="D65" s="11">
        <v>46051</v>
      </c>
      <c r="E65" s="12">
        <v>1574690</v>
      </c>
      <c r="F65" s="12" t="s">
        <v>27</v>
      </c>
      <c r="G65" s="13">
        <v>20002285</v>
      </c>
      <c r="H65" s="12" t="s">
        <v>28</v>
      </c>
      <c r="I65" s="13">
        <v>1</v>
      </c>
      <c r="J65" s="14">
        <v>154</v>
      </c>
      <c r="K65" s="14">
        <f t="shared" si="1"/>
        <v>154</v>
      </c>
    </row>
    <row r="66" spans="4:11">
      <c r="D66" s="11">
        <v>46051</v>
      </c>
      <c r="E66" s="12">
        <v>1574690</v>
      </c>
      <c r="F66" s="12" t="s">
        <v>20</v>
      </c>
      <c r="G66" s="13">
        <v>20012105</v>
      </c>
      <c r="H66" s="12" t="s">
        <v>68</v>
      </c>
      <c r="I66" s="13">
        <v>1</v>
      </c>
      <c r="J66" s="14">
        <v>11</v>
      </c>
      <c r="K66" s="14">
        <f t="shared" si="1"/>
        <v>11</v>
      </c>
    </row>
    <row r="67" spans="4:11">
      <c r="D67" s="11">
        <v>46051</v>
      </c>
      <c r="E67" s="12">
        <v>1574692</v>
      </c>
      <c r="F67" s="12" t="s">
        <v>58</v>
      </c>
      <c r="G67" s="13">
        <v>20338674</v>
      </c>
      <c r="H67" s="12" t="s">
        <v>69</v>
      </c>
      <c r="I67" s="13">
        <v>1</v>
      </c>
      <c r="J67" s="14">
        <v>509</v>
      </c>
      <c r="K67" s="14">
        <f t="shared" si="1"/>
        <v>509</v>
      </c>
    </row>
    <row r="68" spans="4:11">
      <c r="D68" s="11">
        <v>46051</v>
      </c>
      <c r="E68" s="12">
        <v>1574692</v>
      </c>
      <c r="F68" s="12" t="s">
        <v>58</v>
      </c>
      <c r="G68" s="13">
        <v>20014846</v>
      </c>
      <c r="H68" s="12" t="s">
        <v>70</v>
      </c>
      <c r="I68" s="13">
        <v>1</v>
      </c>
      <c r="J68" s="14">
        <v>275</v>
      </c>
      <c r="K68" s="14">
        <f t="shared" si="1"/>
        <v>275</v>
      </c>
    </row>
    <row r="69" spans="4:11">
      <c r="D69" s="11">
        <v>46053</v>
      </c>
      <c r="E69" s="12">
        <v>1575275</v>
      </c>
      <c r="F69" s="12" t="s">
        <v>18</v>
      </c>
      <c r="G69" s="13">
        <v>20004791</v>
      </c>
      <c r="H69" s="12" t="s">
        <v>32</v>
      </c>
      <c r="I69" s="13">
        <v>1</v>
      </c>
      <c r="J69" s="14">
        <v>22</v>
      </c>
      <c r="K69" s="14">
        <f t="shared" si="1"/>
        <v>22</v>
      </c>
    </row>
    <row r="70" ht="0.05" customHeight="1"/>
  </sheetData>
  <autoFilter xmlns:etc="http://www.wps.cn/officeDocument/2017/etCustomData" ref="A7:K69" etc:filterBottomFollowUsedRange="0">
    <extLst/>
  </autoFilter>
  <mergeCells count="5">
    <mergeCell ref="D8:H8"/>
    <mergeCell ref="C7:C69"/>
    <mergeCell ref="B4:H5"/>
    <mergeCell ref="A7:B6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13:58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288</v>
      </c>
    </row>
    <row r="9" spans="1:11">
      <c r="D9" s="11">
        <v>46028</v>
      </c>
      <c r="E9" s="12">
        <v>1568130</v>
      </c>
      <c r="F9" s="12" t="s">
        <v>27</v>
      </c>
      <c r="G9" s="13">
        <v>20315280</v>
      </c>
      <c r="H9" s="12" t="s">
        <v>72</v>
      </c>
      <c r="I9" s="13">
        <v>1</v>
      </c>
      <c r="J9" s="14">
        <v>288</v>
      </c>
      <c r="K9" s="14">
        <v>288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13:58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处置室</vt:lpstr>
      <vt:lpstr>妇产科2楼</vt:lpstr>
      <vt:lpstr>手术室</vt:lpstr>
      <vt:lpstr>手术室（备包）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2026-02-03T06:07:00Z</dcterms:created>
  <dcterms:modified xsi:type="dcterms:W3CDTF">2026-02-06T02:13:15Z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5ECE0284F8B7410FA943DE8B9A8FC17D_13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