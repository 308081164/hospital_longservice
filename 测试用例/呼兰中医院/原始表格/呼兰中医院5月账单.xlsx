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5180" windowHeight="12075"/>
  </bookViews>
  <sheets>
    <sheet name="处置室" sheetId="1" r:id="rId1"/>
    <sheet name="妇产科2楼" sheetId="2" r:id="rId2"/>
    <sheet name="手术室" sheetId="3" r:id="rId3"/>
    <sheet name="手术室（备包）" sheetId="4" r:id="rId4"/>
    <sheet name="眼科" sheetId="5" r:id="rId5"/>
  </sheets>
  <definedNames>
    <definedName name="_xlnm._FilterDatabase" localSheetId="0" hidden="1">处置室!$A$9:$K$19</definedName>
    <definedName name="_xlnm._FilterDatabase" localSheetId="2" hidden="1">手术室!$A$7:$K$56</definedName>
    <definedName name="_xlnm.Print_Titles" localSheetId="0">处置室!$1:$6</definedName>
    <definedName name="_xlnm.Print_Titles" localSheetId="1">妇产科2楼!$1:$6</definedName>
    <definedName name="_xlnm.Print_Titles" localSheetId="2">手术室!$1:$6</definedName>
    <definedName name="_xlnm.Print_Titles" localSheetId="3">'手术室（备包）'!$1:$6</definedName>
    <definedName name="_xlnm.Print_Titles" localSheetId="4">眼科!$1:$6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<sst xmlns="http://schemas.openxmlformats.org/spreadsheetml/2006/main" count="226" uniqueCount="66">
  <si>
    <t>发货单汇总表-显示包装材料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</si>
  <si>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2026/5/1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00:00:00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2026/5/31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23:59:59.999</t>
    </r>
  </si>
  <si>
    <t/>
  </si>
  <si>
    <t>呼兰中医院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</si>
  <si>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</si>
  <si>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</si>
  <si>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</si>
  <si>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</si>
  <si>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</si>
  <si>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</si>
  <si>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</si>
  <si>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</si>
  <si>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处置室</t>
  </si>
  <si>
    <t>单包装包</t>
  </si>
  <si>
    <t>换药缸-1/Z2530</t>
  </si>
  <si>
    <t>额外包(纸塑袋)</t>
  </si>
  <si>
    <t>穿刺针-2（带芯）/Z7520</t>
  </si>
  <si>
    <t>器械包(ZSD)</t>
  </si>
  <si>
    <t>处置包（6件）</t>
  </si>
  <si>
    <t>针刀-1/Z7526</t>
  </si>
  <si>
    <t>开口器-1/Z1026</t>
  </si>
  <si>
    <t>额外包(无纺布)</t>
  </si>
  <si>
    <t>咬骨钳-1/W6050</t>
  </si>
  <si>
    <t>妇产科2楼</t>
  </si>
  <si>
    <t>额外包(低温等离子)</t>
  </si>
  <si>
    <t>铂康检查镜12度-3件（盒1）/z2060</t>
  </si>
  <si>
    <t>单包装包(老肯低温)</t>
  </si>
  <si>
    <t>宫腔镜检查镜头12度-3/Z2060</t>
  </si>
  <si>
    <t>手术室</t>
  </si>
  <si>
    <t>器械包</t>
  </si>
  <si>
    <t>外科包</t>
  </si>
  <si>
    <t>刮匙-1/Z7537</t>
  </si>
  <si>
    <t>骨科包</t>
  </si>
  <si>
    <t>剥离子-1/Z7534</t>
  </si>
  <si>
    <t>测深尺-1/Z7534</t>
  </si>
  <si>
    <t>锤锉-1/Z7526</t>
  </si>
  <si>
    <t>胆道探子-3/Z1035</t>
  </si>
  <si>
    <t>开力-1/Z1029</t>
  </si>
  <si>
    <t>克氏针-1/Z7537</t>
  </si>
  <si>
    <t>克氏针-2/Z7537</t>
  </si>
  <si>
    <t>螺丝刀-1/Z1029</t>
  </si>
  <si>
    <t>镊子-1/Z7534</t>
  </si>
  <si>
    <t>探子-1/Z7526</t>
  </si>
  <si>
    <t>线锯条-1/Z7530</t>
  </si>
  <si>
    <t>钻头-2/Z7520</t>
  </si>
  <si>
    <t>钻头套-1/z1026</t>
  </si>
  <si>
    <t>钻钥匙-1/Z1020</t>
  </si>
  <si>
    <t>肩胛拉钩-1/W7050</t>
  </si>
  <si>
    <t>敷料包(纸塑袋)</t>
  </si>
  <si>
    <t>脑棉/Z1526</t>
  </si>
  <si>
    <t>弯盘-1/Z2032</t>
  </si>
  <si>
    <t>克丝钳-1/W6050</t>
  </si>
  <si>
    <t>盆-1碗-1盘-2/W9050</t>
  </si>
  <si>
    <t>妇科包</t>
  </si>
  <si>
    <t>髌骨钳子-1/Z1526</t>
  </si>
  <si>
    <t>单极线-1/Z3040</t>
  </si>
  <si>
    <t>光源线-1/Z3040</t>
  </si>
  <si>
    <t>镜头-1/Z2060</t>
  </si>
  <si>
    <t>气腹管-1/Z3040</t>
  </si>
  <si>
    <t>外科腹腔镜-16件筐1/W12050</t>
  </si>
  <si>
    <t>外科10mm30度镜头/Z2060</t>
  </si>
  <si>
    <t>骨把持器-1/W6050</t>
  </si>
  <si>
    <t>手术室（备包）</t>
  </si>
  <si>
    <t>铂康-外科包</t>
  </si>
  <si>
    <t>眼科</t>
  </si>
  <si>
    <t>眼科手术包（王）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</si>
</sst>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$-10804]yyyy/m/d"/>
  </numFmts>
  <fonts count="30">
    <font>
      <sz val="11"/>
      <name val="宋体"/>
      <charset val="134"/>
      <scheme val="minor"/>
    </font>
    <font>
      <sz val="18"/>
      <color rgb="FF000000"/>
      <name val="Droid Sans Fallback"/>
      <charset val="134"/>
    </font>
    <font>
      <sz val="9"/>
      <color rgb="FF000000"/>
      <name val="Droid Sans Fallback"/>
      <charset val="134"/>
    </font>
    <font>
      <sz val="10"/>
      <color rgb="FF000000"/>
      <name val="Droid Sans Fallback"/>
      <charset val="134"/>
    </font>
    <font>
      <sz val="11"/>
      <color rgb="FF000000"/>
      <name val="Droid Sans Fallback"/>
      <charset val="134"/>
    </font>
    <font>
      <sz val="9"/>
      <name val="宋体"/>
      <charset val="134"/>
      <scheme val="minor"/>
    </font>
    <font>
      <sz val="12"/>
      <color rgb="FFFFFFFF"/>
      <name val="宋体"/>
      <charset val="134"/>
    </font>
    <font>
      <sz val="12"/>
      <color rgb="FFFFFFFF"/>
      <name val="Droid Sans Fallback"/>
      <charset val="134"/>
    </font>
    <font>
      <sz val="9"/>
      <color rgb="FF00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BCC3CC"/>
        <bgColor rgb="FFBCC3CC"/>
      </patternFill>
    </fill>
    <fill>
      <patternFill patternType="solid">
        <fgColor rgb="FF6799AF"/>
        <bgColor rgb="FF6799A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9" fillId="0" borderId="0">
      <alignment vertical="center"/>
    </xf>
    <xf numFmtId="43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4" borderId="5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5" borderId="8" applyNumberFormat="0" applyAlignment="0" applyProtection="0">
      <alignment vertical="center"/>
    </xf>
    <xf numFmtId="0" fontId="19" fillId="6" borderId="9" applyNumberFormat="0" applyAlignment="0" applyProtection="0">
      <alignment vertical="center"/>
    </xf>
    <xf numFmtId="0" fontId="20" fillId="6" borderId="8" applyNumberFormat="0" applyAlignment="0" applyProtection="0">
      <alignment vertical="center"/>
    </xf>
    <xf numFmtId="0" fontId="21" fillId="7" borderId="10" applyNumberFormat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9" fillId="0" borderId="0"/>
  </cellStyleXfs>
  <cellXfs count="20">
    <xf numFmtId="0" fontId="0" fillId="0" borderId="0" xfId="0" applyFont="1" applyFill="1" applyBorder="1" applyAlignment="1"/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vertical="top" wrapText="1" readingOrder="1"/>
    </xf>
    <xf numFmtId="0" fontId="3" fillId="0" borderId="0" xfId="0" applyNumberFormat="1" applyFont="1" applyFill="1" applyBorder="1" applyAlignment="1">
      <alignment vertical="top" wrapText="1" readingOrder="1"/>
    </xf>
    <xf numFmtId="0" fontId="0" fillId="0" borderId="1" xfId="0" applyNumberFormat="1" applyFont="1" applyFill="1" applyBorder="1" applyAlignment="1">
      <alignment vertical="top" wrapText="1"/>
    </xf>
    <xf numFmtId="0" fontId="3" fillId="0" borderId="1" xfId="0" applyNumberFormat="1" applyFont="1" applyFill="1" applyBorder="1" applyAlignment="1">
      <alignment vertical="top" wrapText="1" readingOrder="1"/>
    </xf>
    <xf numFmtId="0" fontId="3" fillId="0" borderId="2" xfId="0" applyNumberFormat="1" applyFont="1" applyFill="1" applyBorder="1" applyAlignment="1">
      <alignment horizontal="center" vertical="top" wrapText="1" readingOrder="1"/>
    </xf>
    <xf numFmtId="0" fontId="4" fillId="2" borderId="3" xfId="0" applyNumberFormat="1" applyFont="1" applyFill="1" applyBorder="1" applyAlignment="1">
      <alignment vertical="top" wrapText="1" readingOrder="1"/>
    </xf>
    <xf numFmtId="0" fontId="0" fillId="0" borderId="4" xfId="0" applyNumberFormat="1" applyFont="1" applyFill="1" applyBorder="1" applyAlignment="1">
      <alignment vertical="top" wrapText="1"/>
    </xf>
    <xf numFmtId="0" fontId="4" fillId="2" borderId="3" xfId="0" applyNumberFormat="1" applyFont="1" applyFill="1" applyBorder="1" applyAlignment="1">
      <alignment horizontal="center" vertical="top" wrapText="1" readingOrder="1"/>
    </xf>
    <xf numFmtId="176" fontId="4" fillId="2" borderId="3" xfId="0" applyNumberFormat="1" applyFont="1" applyFill="1" applyBorder="1" applyAlignment="1">
      <alignment horizontal="center" vertical="top" wrapText="1" readingOrder="1"/>
    </xf>
    <xf numFmtId="177" fontId="3" fillId="0" borderId="3" xfId="0" applyNumberFormat="1" applyFont="1" applyFill="1" applyBorder="1" applyAlignment="1">
      <alignment vertical="top" wrapText="1" readingOrder="1"/>
    </xf>
    <xf numFmtId="0" fontId="3" fillId="0" borderId="3" xfId="0" applyNumberFormat="1" applyFont="1" applyFill="1" applyBorder="1" applyAlignment="1">
      <alignment vertical="top" wrapText="1" readingOrder="1"/>
    </xf>
    <xf numFmtId="0" fontId="3" fillId="0" borderId="3" xfId="0" applyNumberFormat="1" applyFont="1" applyFill="1" applyBorder="1" applyAlignment="1">
      <alignment horizontal="center" vertical="top" wrapText="1" readingOrder="1"/>
    </xf>
    <xf numFmtId="176" fontId="3" fillId="0" borderId="3" xfId="0" applyNumberFormat="1" applyFont="1" applyFill="1" applyBorder="1" applyAlignment="1">
      <alignment horizontal="center" vertical="top" wrapText="1" readingOrder="1"/>
    </xf>
    <xf numFmtId="0" fontId="5" fillId="0" borderId="0" xfId="0" applyFont="1" applyFill="1" applyBorder="1" applyAlignment="1"/>
    <xf numFmtId="0" fontId="6" fillId="3" borderId="3" xfId="0" applyNumberFormat="1" applyFont="1" applyFill="1" applyBorder="1" applyAlignment="1">
      <alignment vertical="top" wrapText="1" readingOrder="1"/>
    </xf>
    <xf numFmtId="0" fontId="7" fillId="3" borderId="3" xfId="0" applyNumberFormat="1" applyFont="1" applyFill="1" applyBorder="1" applyAlignment="1">
      <alignment horizontal="center" vertical="top" wrapText="1" readingOrder="1"/>
    </xf>
    <xf numFmtId="176" fontId="7" fillId="3" borderId="3" xfId="0" applyNumberFormat="1" applyFont="1" applyFill="1" applyBorder="1" applyAlignment="1">
      <alignment horizontal="center" vertical="top" wrapText="1" readingOrder="1"/>
    </xf>
    <xf numFmtId="0" fontId="8" fillId="0" borderId="3" xfId="0" applyNumberFormat="1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238125</xdr:colOff>
      <xdr:row>1</xdr:row>
      <xdr:rowOff>28575</xdr:rowOff>
    </xdr:from>
    <xdr:to>
      <xdr:col>10</xdr:col>
      <xdr:colOff>748113</xdr:colOff>
      <xdr:row>4</xdr:row>
      <xdr:rowOff>26035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61175" y="200025"/>
          <a:ext cx="509905" cy="50863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238125</xdr:colOff>
      <xdr:row>0</xdr:row>
      <xdr:rowOff>95250</xdr:rowOff>
    </xdr:from>
    <xdr:to>
      <xdr:col>10</xdr:col>
      <xdr:colOff>748113</xdr:colOff>
      <xdr:row>3</xdr:row>
      <xdr:rowOff>114300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7037070" y="95250"/>
          <a:ext cx="509905" cy="50863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152400</xdr:colOff>
      <xdr:row>0</xdr:row>
      <xdr:rowOff>85725</xdr:rowOff>
    </xdr:from>
    <xdr:to>
      <xdr:col>10</xdr:col>
      <xdr:colOff>662388</xdr:colOff>
      <xdr:row>3</xdr:row>
      <xdr:rowOff>104775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775450" y="85725"/>
          <a:ext cx="509905" cy="50863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180975</xdr:colOff>
      <xdr:row>0</xdr:row>
      <xdr:rowOff>152400</xdr:rowOff>
    </xdr:from>
    <xdr:to>
      <xdr:col>10</xdr:col>
      <xdr:colOff>690963</xdr:colOff>
      <xdr:row>3</xdr:row>
      <xdr:rowOff>171450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04025" y="152400"/>
          <a:ext cx="509905" cy="50863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238125</xdr:colOff>
      <xdr:row>1</xdr:row>
      <xdr:rowOff>19050</xdr:rowOff>
    </xdr:from>
    <xdr:to>
      <xdr:col>10</xdr:col>
      <xdr:colOff>748113</xdr:colOff>
      <xdr:row>4</xdr:row>
      <xdr:rowOff>16510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61175" y="190500"/>
          <a:ext cx="509905" cy="5086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0"/>
  <sheetViews>
    <sheetView showGridLines="0" tabSelected="1" view="pageBreakPreview" zoomScaleNormal="100" workbookViewId="0">
      <pane ySplit="6" topLeftCell="A7" activePane="bottomLeft" state="frozen"/>
      <selection/>
      <selection pane="bottomLeft" activeCell="F46" sqref="F46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25" customWidth="1"/>
  </cols>
  <sheetData>
    <row r="1" spans="2:11">
      <c r="C1" s="1" t="s">
        <v>0</v>
      </c>
    </row>
    <row r="2" ht="23.05" customHeight="1"/>
    <row r="3" ht="2" customHeight="1"/>
    <row r="4" ht="15.2" customHeight="1" spans="2:11">
      <c r="B4" s="2" t="s">
        <v>1</v>
      </c>
    </row>
    <row r="6" ht="2.95" customHeight="1"/>
    <row r="7" ht="3.95" customHeight="1" spans="2:11">
      <c r="B7" s="4" t="s">
        <v>2</v>
      </c>
      <c r="C7" s="4" t="s">
        <v>2</v>
      </c>
      <c r="D7" s="4" t="s">
        <v>2</v>
      </c>
      <c r="E7" s="4" t="s">
        <v>2</v>
      </c>
      <c r="F7" s="4" t="s">
        <v>2</v>
      </c>
      <c r="G7" s="4" t="s">
        <v>2</v>
      </c>
      <c r="H7" s="4" t="s">
        <v>2</v>
      </c>
      <c r="I7" s="4" t="s">
        <v>2</v>
      </c>
      <c r="J7" s="4" t="s">
        <v>2</v>
      </c>
      <c r="K7" s="4" t="s">
        <v>2</v>
      </c>
    </row>
    <row r="8" ht="15" spans="2:11">
      <c r="C8" s="3" t="s">
        <v>2</v>
      </c>
      <c r="D8" s="16" t="s">
        <v>3</v>
      </c>
      <c r="E8" s="8" t="s">
        <v>2</v>
      </c>
      <c r="F8" s="8" t="s">
        <v>2</v>
      </c>
      <c r="G8" s="8" t="s">
        <v>2</v>
      </c>
      <c r="H8" s="8" t="s">
        <v>2</v>
      </c>
      <c r="I8" s="17"/>
      <c r="J8" s="18"/>
      <c r="K8" s="18"/>
    </row>
    <row r="9" s="15" customFormat="1" ht="11.25" spans="2:11">
      <c r="C9" s="2" t="s">
        <v>2</v>
      </c>
      <c r="D9" s="19" t="s">
        <v>4</v>
      </c>
      <c r="E9" s="19" t="s">
        <v>5</v>
      </c>
      <c r="F9" s="19" t="s">
        <v>6</v>
      </c>
      <c r="G9" s="19" t="s">
        <v>7</v>
      </c>
      <c r="H9" s="19" t="s">
        <v>8</v>
      </c>
      <c r="I9" s="19" t="s">
        <v>9</v>
      </c>
      <c r="J9" s="19" t="s">
        <v>10</v>
      </c>
      <c r="K9" s="19" t="s">
        <v>11</v>
      </c>
    </row>
    <row r="10" ht="14.25" spans="2:11">
      <c r="D10" s="7" t="s">
        <v>12</v>
      </c>
      <c r="E10" s="8" t="s">
        <v>2</v>
      </c>
      <c r="F10" s="8" t="s">
        <v>2</v>
      </c>
      <c r="G10" s="8" t="s">
        <v>2</v>
      </c>
      <c r="H10" s="8" t="s">
        <v>2</v>
      </c>
      <c r="I10" s="9">
        <v>14</v>
      </c>
      <c r="J10" s="10"/>
      <c r="K10" s="10">
        <v>297.5</v>
      </c>
    </row>
    <row r="11" spans="2:11">
      <c r="D11" s="11">
        <v>46145</v>
      </c>
      <c r="E11" s="12">
        <v>1600132</v>
      </c>
      <c r="F11" s="12" t="s">
        <v>13</v>
      </c>
      <c r="G11" s="13">
        <v>20008517</v>
      </c>
      <c r="H11" s="12" t="s">
        <v>14</v>
      </c>
      <c r="I11" s="13">
        <v>1</v>
      </c>
      <c r="J11" s="14">
        <v>16</v>
      </c>
      <c r="K11" s="14">
        <v>16</v>
      </c>
    </row>
    <row r="12" spans="2:11">
      <c r="D12" s="11">
        <v>46151</v>
      </c>
      <c r="E12" s="12">
        <v>1601679</v>
      </c>
      <c r="F12" s="12" t="s">
        <v>15</v>
      </c>
      <c r="G12" s="13">
        <v>20405180</v>
      </c>
      <c r="H12" s="12" t="s">
        <v>16</v>
      </c>
      <c r="I12" s="13">
        <v>2</v>
      </c>
      <c r="J12" s="14">
        <v>13.5</v>
      </c>
      <c r="K12" s="14">
        <v>27</v>
      </c>
    </row>
    <row r="13" spans="2:11">
      <c r="D13" s="11">
        <v>46156</v>
      </c>
      <c r="E13" s="12">
        <v>1603141</v>
      </c>
      <c r="F13" s="12" t="s">
        <v>17</v>
      </c>
      <c r="G13" s="13">
        <v>20005100</v>
      </c>
      <c r="H13" s="12" t="s">
        <v>18</v>
      </c>
      <c r="I13" s="13">
        <v>2</v>
      </c>
      <c r="J13" s="14">
        <v>33</v>
      </c>
      <c r="K13" s="14">
        <v>66</v>
      </c>
    </row>
    <row r="14" spans="2:11">
      <c r="D14" s="11">
        <v>46161</v>
      </c>
      <c r="E14" s="12">
        <v>1604415</v>
      </c>
      <c r="F14" s="12" t="s">
        <v>15</v>
      </c>
      <c r="G14" s="13">
        <v>20322796</v>
      </c>
      <c r="H14" s="12" t="s">
        <v>14</v>
      </c>
      <c r="I14" s="13">
        <v>1</v>
      </c>
      <c r="J14" s="14">
        <v>16</v>
      </c>
      <c r="K14" s="14">
        <v>16</v>
      </c>
    </row>
    <row r="15" spans="2:11">
      <c r="D15" s="11">
        <v>46163</v>
      </c>
      <c r="E15" s="12">
        <v>1605183</v>
      </c>
      <c r="F15" s="12" t="s">
        <v>15</v>
      </c>
      <c r="G15" s="13">
        <v>20422709</v>
      </c>
      <c r="H15" s="12" t="s">
        <v>19</v>
      </c>
      <c r="I15" s="13">
        <v>1</v>
      </c>
      <c r="J15" s="14">
        <v>8</v>
      </c>
      <c r="K15" s="14">
        <v>8</v>
      </c>
    </row>
    <row r="16" spans="2:11">
      <c r="D16" s="11">
        <v>46163</v>
      </c>
      <c r="E16" s="12">
        <v>1605183</v>
      </c>
      <c r="F16" s="12" t="s">
        <v>17</v>
      </c>
      <c r="G16" s="13">
        <v>20005100</v>
      </c>
      <c r="H16" s="12" t="s">
        <v>18</v>
      </c>
      <c r="I16" s="13">
        <v>4</v>
      </c>
      <c r="J16" s="14">
        <v>33</v>
      </c>
      <c r="K16" s="14">
        <v>132</v>
      </c>
    </row>
    <row r="17" spans="4:11">
      <c r="D17" s="11">
        <v>46165</v>
      </c>
      <c r="E17" s="12">
        <v>1605856</v>
      </c>
      <c r="F17" s="12" t="s">
        <v>15</v>
      </c>
      <c r="G17" s="13">
        <v>20002217</v>
      </c>
      <c r="H17" s="12" t="s">
        <v>20</v>
      </c>
      <c r="I17" s="13">
        <v>1</v>
      </c>
      <c r="J17" s="14">
        <v>8</v>
      </c>
      <c r="K17" s="14">
        <v>8</v>
      </c>
    </row>
    <row r="18" spans="4:11">
      <c r="D18" s="11">
        <v>46168</v>
      </c>
      <c r="E18" s="12">
        <v>1606538</v>
      </c>
      <c r="F18" s="12" t="s">
        <v>15</v>
      </c>
      <c r="G18" s="13">
        <v>20422709</v>
      </c>
      <c r="H18" s="12" t="s">
        <v>19</v>
      </c>
      <c r="I18" s="13">
        <v>1</v>
      </c>
      <c r="J18" s="14">
        <v>8</v>
      </c>
      <c r="K18" s="14">
        <v>8</v>
      </c>
    </row>
    <row r="19" spans="4:11">
      <c r="D19" s="11">
        <v>46168</v>
      </c>
      <c r="E19" s="12">
        <v>1606538</v>
      </c>
      <c r="F19" s="12" t="s">
        <v>21</v>
      </c>
      <c r="G19" s="13">
        <v>20009592</v>
      </c>
      <c r="H19" s="12" t="s">
        <v>22</v>
      </c>
      <c r="I19" s="13">
        <v>1</v>
      </c>
      <c r="J19" s="14">
        <v>16.5</v>
      </c>
      <c r="K19" s="14">
        <v>16.5</v>
      </c>
    </row>
    <row r="20" ht="0.05" customHeight="1"/>
  </sheetData>
  <autoFilter xmlns:etc="http://www.wps.cn/officeDocument/2017/etCustomData" ref="A9:K19" etc:filterBottomFollowUsedRange="0">
    <extLst/>
  </autoFilter>
  <mergeCells count="6">
    <mergeCell ref="D8:H8"/>
    <mergeCell ref="D10:H10"/>
    <mergeCell ref="C9:C19"/>
    <mergeCell ref="B4:H5"/>
    <mergeCell ref="A8:B19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&amp;"-,Regular"2026年6月5日 13:28 
&amp;"-,Bold"&amp;10 黑龙江省铂康医疗灭菌有限公司 &amp;R&amp;"Droid Sans Fallback"&amp;9第&amp;P页，共&amp;N页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"/>
  <sheetViews>
    <sheetView showGridLines="0" view="pageBreakPreview" zoomScaleNormal="100" workbookViewId="0">
      <pane ySplit="6" topLeftCell="A7" activePane="bottomLeft" state="frozen"/>
      <selection/>
      <selection pane="bottomLeft" activeCell="P12" sqref="P12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7.125" customWidth="1"/>
    <col min="9" max="9" width="6.475" customWidth="1"/>
    <col min="10" max="10" width="12.2083333333333" customWidth="1"/>
    <col min="11" max="11" width="12.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23</v>
      </c>
      <c r="E8" s="8" t="s">
        <v>2</v>
      </c>
      <c r="F8" s="8" t="s">
        <v>2</v>
      </c>
      <c r="G8" s="8" t="s">
        <v>2</v>
      </c>
      <c r="H8" s="8" t="s">
        <v>2</v>
      </c>
      <c r="I8" s="9">
        <v>3</v>
      </c>
      <c r="J8" s="10"/>
      <c r="K8" s="10">
        <v>198</v>
      </c>
    </row>
    <row r="9" spans="1:11">
      <c r="D9" s="11">
        <v>46149</v>
      </c>
      <c r="E9" s="12">
        <v>1600931</v>
      </c>
      <c r="F9" s="12" t="s">
        <v>24</v>
      </c>
      <c r="G9" s="13">
        <v>20424320</v>
      </c>
      <c r="H9" s="12" t="s">
        <v>25</v>
      </c>
      <c r="I9" s="13">
        <v>1</v>
      </c>
      <c r="J9" s="14">
        <v>66</v>
      </c>
      <c r="K9" s="14">
        <v>66</v>
      </c>
    </row>
    <row r="10" spans="1:11">
      <c r="D10" s="11">
        <v>46154</v>
      </c>
      <c r="E10" s="12">
        <v>1602387</v>
      </c>
      <c r="F10" s="12" t="s">
        <v>26</v>
      </c>
      <c r="G10" s="13">
        <v>20008726</v>
      </c>
      <c r="H10" s="12" t="s">
        <v>27</v>
      </c>
      <c r="I10" s="13">
        <v>2</v>
      </c>
      <c r="J10" s="14">
        <v>66</v>
      </c>
      <c r="K10" s="14">
        <v>132</v>
      </c>
    </row>
  </sheetData>
  <mergeCells count="5">
    <mergeCell ref="D8:H8"/>
    <mergeCell ref="C7:C10"/>
    <mergeCell ref="B4:H5"/>
    <mergeCell ref="A7:B10"/>
    <mergeCell ref="C1:H2"/>
  </mergeCells>
  <pageMargins left="0.25" right="0.25" top="0.75" bottom="0.75" header="0.298611111111111" footer="0.298611111111111"/>
  <pageSetup paperSize="9" scale="9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&amp;"-,Regular"2026年6月5日 13:28 
&amp;"-,Bold"&amp;10 黑龙江省铂康医疗灭菌有限公司 &amp;R&amp;"Droid Sans Fallback"&amp;9第&amp;P页，共&amp;N页 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6"/>
  <sheetViews>
    <sheetView showGridLines="0" view="pageBreakPreview" zoomScaleNormal="100" workbookViewId="0">
      <pane ySplit="6" topLeftCell="A7" activePane="bottomLeft" state="frozen"/>
      <selection/>
      <selection pane="bottomLeft" activeCell="O28" sqref="O28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28</v>
      </c>
      <c r="E8" s="8" t="s">
        <v>2</v>
      </c>
      <c r="F8" s="8" t="s">
        <v>2</v>
      </c>
      <c r="G8" s="8" t="s">
        <v>2</v>
      </c>
      <c r="H8" s="8" t="s">
        <v>2</v>
      </c>
      <c r="I8" s="9">
        <v>69</v>
      </c>
      <c r="J8" s="10"/>
      <c r="K8" s="10">
        <f>SUM(K9:K56)</f>
        <v>3913</v>
      </c>
    </row>
    <row r="9" spans="1:11">
      <c r="D9" s="11">
        <v>46145</v>
      </c>
      <c r="E9" s="12">
        <v>1600133</v>
      </c>
      <c r="F9" s="12" t="s">
        <v>29</v>
      </c>
      <c r="G9" s="13">
        <v>20002284</v>
      </c>
      <c r="H9" s="12" t="s">
        <v>30</v>
      </c>
      <c r="I9" s="13">
        <v>1</v>
      </c>
      <c r="J9" s="14">
        <v>249.5</v>
      </c>
      <c r="K9" s="14">
        <v>249.5</v>
      </c>
    </row>
    <row r="10" spans="1:11">
      <c r="D10" s="11">
        <v>46149</v>
      </c>
      <c r="E10" s="12">
        <v>1600846</v>
      </c>
      <c r="F10" s="12" t="s">
        <v>15</v>
      </c>
      <c r="G10" s="13">
        <v>20002966</v>
      </c>
      <c r="H10" s="12" t="s">
        <v>31</v>
      </c>
      <c r="I10" s="13">
        <v>1</v>
      </c>
      <c r="J10" s="14">
        <v>8</v>
      </c>
      <c r="K10" s="14">
        <v>8</v>
      </c>
    </row>
    <row r="11" spans="1:11">
      <c r="D11" s="11">
        <v>46151</v>
      </c>
      <c r="E11" s="12">
        <v>1601680</v>
      </c>
      <c r="F11" s="12" t="s">
        <v>29</v>
      </c>
      <c r="G11" s="13">
        <v>20002285</v>
      </c>
      <c r="H11" s="12" t="s">
        <v>32</v>
      </c>
      <c r="I11" s="13">
        <v>1</v>
      </c>
      <c r="J11" s="14">
        <v>154</v>
      </c>
      <c r="K11" s="14">
        <v>154</v>
      </c>
    </row>
    <row r="12" spans="1:11">
      <c r="D12" s="11">
        <v>46154</v>
      </c>
      <c r="E12" s="12">
        <v>1602399</v>
      </c>
      <c r="F12" s="12" t="s">
        <v>29</v>
      </c>
      <c r="G12" s="13">
        <v>20002285</v>
      </c>
      <c r="H12" s="12" t="s">
        <v>32</v>
      </c>
      <c r="I12" s="13">
        <v>1</v>
      </c>
      <c r="J12" s="14">
        <v>154</v>
      </c>
      <c r="K12" s="14">
        <v>154</v>
      </c>
    </row>
    <row r="13" spans="1:11">
      <c r="D13" s="11">
        <v>46154</v>
      </c>
      <c r="E13" s="12">
        <v>1602399</v>
      </c>
      <c r="F13" s="12" t="s">
        <v>29</v>
      </c>
      <c r="G13" s="13">
        <v>20002284</v>
      </c>
      <c r="H13" s="12" t="s">
        <v>30</v>
      </c>
      <c r="I13" s="13">
        <v>1</v>
      </c>
      <c r="J13" s="14">
        <v>249.5</v>
      </c>
      <c r="K13" s="14">
        <v>249.5</v>
      </c>
    </row>
    <row r="14" spans="1:11">
      <c r="D14" s="11">
        <v>46154</v>
      </c>
      <c r="E14" s="12">
        <v>1602399</v>
      </c>
      <c r="F14" s="12" t="s">
        <v>15</v>
      </c>
      <c r="G14" s="13">
        <v>20002417</v>
      </c>
      <c r="H14" s="12" t="s">
        <v>33</v>
      </c>
      <c r="I14" s="13">
        <v>1</v>
      </c>
      <c r="J14" s="14">
        <v>8</v>
      </c>
      <c r="K14" s="14">
        <v>8</v>
      </c>
    </row>
    <row r="15" spans="1:11">
      <c r="D15" s="11">
        <v>46154</v>
      </c>
      <c r="E15" s="12">
        <v>1602399</v>
      </c>
      <c r="F15" s="12" t="s">
        <v>15</v>
      </c>
      <c r="G15" s="13">
        <v>20004551</v>
      </c>
      <c r="H15" s="12" t="s">
        <v>34</v>
      </c>
      <c r="I15" s="13">
        <v>1</v>
      </c>
      <c r="J15" s="14">
        <v>8</v>
      </c>
      <c r="K15" s="14">
        <v>8</v>
      </c>
    </row>
    <row r="16" spans="1:11">
      <c r="D16" s="11">
        <v>46154</v>
      </c>
      <c r="E16" s="12">
        <v>1602399</v>
      </c>
      <c r="F16" s="12" t="s">
        <v>15</v>
      </c>
      <c r="G16" s="13">
        <v>20400345</v>
      </c>
      <c r="H16" s="12" t="s">
        <v>35</v>
      </c>
      <c r="I16" s="13">
        <v>1</v>
      </c>
      <c r="J16" s="14">
        <v>8</v>
      </c>
      <c r="K16" s="14">
        <v>8</v>
      </c>
    </row>
    <row r="17" spans="4:11">
      <c r="D17" s="11">
        <v>46154</v>
      </c>
      <c r="E17" s="12">
        <v>1602399</v>
      </c>
      <c r="F17" s="12" t="s">
        <v>15</v>
      </c>
      <c r="G17" s="13">
        <v>20385907</v>
      </c>
      <c r="H17" s="12" t="s">
        <v>36</v>
      </c>
      <c r="I17" s="13">
        <v>1</v>
      </c>
      <c r="J17" s="14">
        <v>16.5</v>
      </c>
      <c r="K17" s="14">
        <v>16.5</v>
      </c>
    </row>
    <row r="18" spans="4:11">
      <c r="D18" s="11">
        <v>46154</v>
      </c>
      <c r="E18" s="12">
        <v>1602399</v>
      </c>
      <c r="F18" s="12" t="s">
        <v>15</v>
      </c>
      <c r="G18" s="13">
        <v>20311544</v>
      </c>
      <c r="H18" s="12" t="s">
        <v>37</v>
      </c>
      <c r="I18" s="13">
        <v>3</v>
      </c>
      <c r="J18" s="14">
        <v>8</v>
      </c>
      <c r="K18" s="14">
        <v>24</v>
      </c>
    </row>
    <row r="19" spans="4:11">
      <c r="D19" s="11">
        <v>46154</v>
      </c>
      <c r="E19" s="12">
        <v>1602399</v>
      </c>
      <c r="F19" s="12" t="s">
        <v>15</v>
      </c>
      <c r="G19" s="13">
        <v>20004668</v>
      </c>
      <c r="H19" s="12" t="s">
        <v>38</v>
      </c>
      <c r="I19" s="13">
        <v>1</v>
      </c>
      <c r="J19" s="14">
        <v>8</v>
      </c>
      <c r="K19" s="14">
        <v>8</v>
      </c>
    </row>
    <row r="20" spans="4:11">
      <c r="D20" s="11">
        <v>46154</v>
      </c>
      <c r="E20" s="12">
        <v>1602399</v>
      </c>
      <c r="F20" s="12" t="s">
        <v>15</v>
      </c>
      <c r="G20" s="13">
        <v>20328430</v>
      </c>
      <c r="H20" s="12" t="s">
        <v>39</v>
      </c>
      <c r="I20" s="13">
        <v>8</v>
      </c>
      <c r="J20" s="14">
        <v>8</v>
      </c>
      <c r="K20" s="14">
        <v>64</v>
      </c>
    </row>
    <row r="21" spans="4:11">
      <c r="D21" s="11">
        <v>46154</v>
      </c>
      <c r="E21" s="12">
        <v>1602399</v>
      </c>
      <c r="F21" s="12" t="s">
        <v>15</v>
      </c>
      <c r="G21" s="13">
        <v>20322691</v>
      </c>
      <c r="H21" s="12" t="s">
        <v>40</v>
      </c>
      <c r="I21" s="13">
        <v>1</v>
      </c>
      <c r="J21" s="14">
        <v>8</v>
      </c>
      <c r="K21" s="14">
        <v>8</v>
      </c>
    </row>
    <row r="22" spans="4:11">
      <c r="D22" s="11">
        <v>46154</v>
      </c>
      <c r="E22" s="12">
        <v>1602399</v>
      </c>
      <c r="F22" s="12" t="s">
        <v>15</v>
      </c>
      <c r="G22" s="13">
        <v>20002513</v>
      </c>
      <c r="H22" s="12" t="s">
        <v>41</v>
      </c>
      <c r="I22" s="13">
        <v>1</v>
      </c>
      <c r="J22" s="14">
        <v>8</v>
      </c>
      <c r="K22" s="14">
        <v>8</v>
      </c>
    </row>
    <row r="23" spans="4:11">
      <c r="D23" s="11">
        <v>46154</v>
      </c>
      <c r="E23" s="12">
        <v>1602399</v>
      </c>
      <c r="F23" s="12" t="s">
        <v>15</v>
      </c>
      <c r="G23" s="13">
        <v>20002416</v>
      </c>
      <c r="H23" s="12" t="s">
        <v>42</v>
      </c>
      <c r="I23" s="13">
        <v>3</v>
      </c>
      <c r="J23" s="14">
        <v>8</v>
      </c>
      <c r="K23" s="14">
        <v>24</v>
      </c>
    </row>
    <row r="24" spans="4:11">
      <c r="D24" s="11">
        <v>46154</v>
      </c>
      <c r="E24" s="12">
        <v>1602399</v>
      </c>
      <c r="F24" s="12" t="s">
        <v>15</v>
      </c>
      <c r="G24" s="13">
        <v>20003033</v>
      </c>
      <c r="H24" s="12" t="s">
        <v>43</v>
      </c>
      <c r="I24" s="13">
        <v>1</v>
      </c>
      <c r="J24" s="14">
        <v>8</v>
      </c>
      <c r="K24" s="14">
        <v>8</v>
      </c>
    </row>
    <row r="25" spans="4:11">
      <c r="D25" s="11">
        <v>46154</v>
      </c>
      <c r="E25" s="12">
        <v>1602399</v>
      </c>
      <c r="F25" s="12" t="s">
        <v>15</v>
      </c>
      <c r="G25" s="13">
        <v>20002774</v>
      </c>
      <c r="H25" s="12" t="s">
        <v>44</v>
      </c>
      <c r="I25" s="13">
        <v>3</v>
      </c>
      <c r="J25" s="14">
        <v>13.5</v>
      </c>
      <c r="K25" s="14">
        <v>40.5</v>
      </c>
    </row>
    <row r="26" spans="4:11">
      <c r="D26" s="11">
        <v>46154</v>
      </c>
      <c r="E26" s="12">
        <v>1602399</v>
      </c>
      <c r="F26" s="12" t="s">
        <v>15</v>
      </c>
      <c r="G26" s="13">
        <v>20389711</v>
      </c>
      <c r="H26" s="12" t="s">
        <v>45</v>
      </c>
      <c r="I26" s="13">
        <v>1</v>
      </c>
      <c r="J26" s="14">
        <v>8</v>
      </c>
      <c r="K26" s="14">
        <v>8</v>
      </c>
    </row>
    <row r="27" spans="4:11">
      <c r="D27" s="11">
        <v>46154</v>
      </c>
      <c r="E27" s="12">
        <v>1602399</v>
      </c>
      <c r="F27" s="12" t="s">
        <v>15</v>
      </c>
      <c r="G27" s="13">
        <v>20002267</v>
      </c>
      <c r="H27" s="12" t="s">
        <v>46</v>
      </c>
      <c r="I27" s="13">
        <v>1</v>
      </c>
      <c r="J27" s="14">
        <v>8</v>
      </c>
      <c r="K27" s="14">
        <v>8</v>
      </c>
    </row>
    <row r="28" spans="4:11">
      <c r="D28" s="11">
        <v>46154</v>
      </c>
      <c r="E28" s="12">
        <v>1602399</v>
      </c>
      <c r="F28" s="12" t="s">
        <v>21</v>
      </c>
      <c r="G28" s="13">
        <v>20008800</v>
      </c>
      <c r="H28" s="12" t="s">
        <v>47</v>
      </c>
      <c r="I28" s="13">
        <v>1</v>
      </c>
      <c r="J28" s="14">
        <v>16.5</v>
      </c>
      <c r="K28" s="14">
        <v>16.5</v>
      </c>
    </row>
    <row r="29" spans="4:11">
      <c r="D29" s="11">
        <v>46154</v>
      </c>
      <c r="E29" s="12">
        <v>1602399</v>
      </c>
      <c r="F29" s="12" t="s">
        <v>48</v>
      </c>
      <c r="G29" s="13">
        <v>20012585</v>
      </c>
      <c r="H29" s="12" t="s">
        <v>49</v>
      </c>
      <c r="I29" s="13">
        <v>2</v>
      </c>
      <c r="J29" s="14">
        <v>2.5</v>
      </c>
      <c r="K29" s="14">
        <v>5</v>
      </c>
    </row>
    <row r="30" spans="4:11">
      <c r="D30" s="11">
        <v>46156</v>
      </c>
      <c r="E30" s="12">
        <v>1603142</v>
      </c>
      <c r="F30" s="12" t="s">
        <v>29</v>
      </c>
      <c r="G30" s="13">
        <v>20002285</v>
      </c>
      <c r="H30" s="12" t="s">
        <v>32</v>
      </c>
      <c r="I30" s="13">
        <v>1</v>
      </c>
      <c r="J30" s="14">
        <v>154</v>
      </c>
      <c r="K30" s="14">
        <v>154</v>
      </c>
    </row>
    <row r="31" spans="4:11">
      <c r="D31" s="11">
        <v>46156</v>
      </c>
      <c r="E31" s="12">
        <v>1603142</v>
      </c>
      <c r="F31" s="12" t="s">
        <v>29</v>
      </c>
      <c r="G31" s="13">
        <v>20002284</v>
      </c>
      <c r="H31" s="12" t="s">
        <v>30</v>
      </c>
      <c r="I31" s="13">
        <v>2</v>
      </c>
      <c r="J31" s="14">
        <v>249.5</v>
      </c>
      <c r="K31" s="14">
        <v>499</v>
      </c>
    </row>
    <row r="32" spans="4:11">
      <c r="D32" s="11">
        <v>46156</v>
      </c>
      <c r="E32" s="12">
        <v>1603142</v>
      </c>
      <c r="F32" s="12" t="s">
        <v>15</v>
      </c>
      <c r="G32" s="13">
        <v>20002513</v>
      </c>
      <c r="H32" s="12" t="s">
        <v>41</v>
      </c>
      <c r="I32" s="13">
        <v>1</v>
      </c>
      <c r="J32" s="14">
        <v>8</v>
      </c>
      <c r="K32" s="14">
        <v>8</v>
      </c>
    </row>
    <row r="33" spans="4:11">
      <c r="D33" s="11">
        <v>46156</v>
      </c>
      <c r="E33" s="12">
        <v>1603142</v>
      </c>
      <c r="F33" s="12" t="s">
        <v>15</v>
      </c>
      <c r="G33" s="13">
        <v>20003961</v>
      </c>
      <c r="H33" s="12" t="s">
        <v>50</v>
      </c>
      <c r="I33" s="13">
        <v>1</v>
      </c>
      <c r="J33" s="14">
        <v>13</v>
      </c>
      <c r="K33" s="14">
        <v>13</v>
      </c>
    </row>
    <row r="34" spans="4:11">
      <c r="D34" s="11">
        <v>46158</v>
      </c>
      <c r="E34" s="12">
        <v>1603799</v>
      </c>
      <c r="F34" s="12" t="s">
        <v>29</v>
      </c>
      <c r="G34" s="13">
        <v>20002285</v>
      </c>
      <c r="H34" s="12" t="s">
        <v>32</v>
      </c>
      <c r="I34" s="13">
        <v>1</v>
      </c>
      <c r="J34" s="14">
        <v>154</v>
      </c>
      <c r="K34" s="14">
        <v>154</v>
      </c>
    </row>
    <row r="35" spans="4:11">
      <c r="D35" s="11">
        <v>46158</v>
      </c>
      <c r="E35" s="12">
        <v>1603799</v>
      </c>
      <c r="F35" s="12" t="s">
        <v>15</v>
      </c>
      <c r="G35" s="13">
        <v>20002417</v>
      </c>
      <c r="H35" s="12" t="s">
        <v>33</v>
      </c>
      <c r="I35" s="13">
        <v>1</v>
      </c>
      <c r="J35" s="14">
        <v>8</v>
      </c>
      <c r="K35" s="14">
        <v>8</v>
      </c>
    </row>
    <row r="36" spans="4:11">
      <c r="D36" s="11">
        <v>46158</v>
      </c>
      <c r="E36" s="12">
        <v>1603799</v>
      </c>
      <c r="F36" s="12" t="s">
        <v>21</v>
      </c>
      <c r="G36" s="13">
        <v>20003769</v>
      </c>
      <c r="H36" s="12" t="s">
        <v>51</v>
      </c>
      <c r="I36" s="13">
        <v>1</v>
      </c>
      <c r="J36" s="14">
        <v>16.5</v>
      </c>
      <c r="K36" s="14">
        <v>16.5</v>
      </c>
    </row>
    <row r="37" spans="4:11">
      <c r="D37" s="11">
        <v>46163</v>
      </c>
      <c r="E37" s="12">
        <v>1605184</v>
      </c>
      <c r="F37" s="12" t="s">
        <v>29</v>
      </c>
      <c r="G37" s="13">
        <v>20002284</v>
      </c>
      <c r="H37" s="12" t="s">
        <v>30</v>
      </c>
      <c r="I37" s="13">
        <v>1</v>
      </c>
      <c r="J37" s="14">
        <v>249.5</v>
      </c>
      <c r="K37" s="14">
        <v>249.5</v>
      </c>
    </row>
    <row r="38" spans="4:11">
      <c r="D38" s="11">
        <v>46163</v>
      </c>
      <c r="E38" s="12">
        <v>1605184</v>
      </c>
      <c r="F38" s="12" t="s">
        <v>13</v>
      </c>
      <c r="G38" s="13">
        <v>20008517</v>
      </c>
      <c r="H38" s="12" t="s">
        <v>14</v>
      </c>
      <c r="I38" s="13">
        <v>1</v>
      </c>
      <c r="J38" s="14">
        <v>16</v>
      </c>
      <c r="K38" s="14">
        <v>16</v>
      </c>
    </row>
    <row r="39" spans="4:11">
      <c r="D39" s="11">
        <v>46163</v>
      </c>
      <c r="E39" s="12">
        <v>1605184</v>
      </c>
      <c r="F39" s="12" t="s">
        <v>21</v>
      </c>
      <c r="G39" s="13">
        <v>20004791</v>
      </c>
      <c r="H39" s="12" t="s">
        <v>52</v>
      </c>
      <c r="I39" s="13">
        <v>1</v>
      </c>
      <c r="J39" s="14">
        <v>22</v>
      </c>
      <c r="K39" s="14">
        <v>22</v>
      </c>
    </row>
    <row r="40" spans="4:11">
      <c r="D40" s="11">
        <v>46168</v>
      </c>
      <c r="E40" s="12">
        <v>1606539</v>
      </c>
      <c r="F40" s="12" t="s">
        <v>29</v>
      </c>
      <c r="G40" s="13">
        <v>20002286</v>
      </c>
      <c r="H40" s="12" t="s">
        <v>53</v>
      </c>
      <c r="I40" s="13">
        <v>1</v>
      </c>
      <c r="J40" s="14">
        <v>148.5</v>
      </c>
      <c r="K40" s="14">
        <v>148.5</v>
      </c>
    </row>
    <row r="41" spans="4:11">
      <c r="D41" s="11">
        <v>46168</v>
      </c>
      <c r="E41" s="12">
        <v>1606539</v>
      </c>
      <c r="F41" s="12" t="s">
        <v>29</v>
      </c>
      <c r="G41" s="13">
        <v>20002285</v>
      </c>
      <c r="H41" s="12" t="s">
        <v>32</v>
      </c>
      <c r="I41" s="13">
        <v>3</v>
      </c>
      <c r="J41" s="14">
        <v>154</v>
      </c>
      <c r="K41" s="14">
        <v>462</v>
      </c>
    </row>
    <row r="42" spans="4:11">
      <c r="D42" s="11">
        <v>46168</v>
      </c>
      <c r="E42" s="12">
        <v>1606539</v>
      </c>
      <c r="F42" s="12" t="s">
        <v>15</v>
      </c>
      <c r="G42" s="13">
        <v>20005979</v>
      </c>
      <c r="H42" s="12" t="s">
        <v>54</v>
      </c>
      <c r="I42" s="13">
        <v>1</v>
      </c>
      <c r="J42" s="14">
        <v>11</v>
      </c>
      <c r="K42" s="14">
        <v>11</v>
      </c>
    </row>
    <row r="43" spans="4:11">
      <c r="D43" s="11">
        <v>46168</v>
      </c>
      <c r="E43" s="12">
        <v>1606539</v>
      </c>
      <c r="F43" s="12" t="s">
        <v>15</v>
      </c>
      <c r="G43" s="13">
        <v>20002417</v>
      </c>
      <c r="H43" s="12" t="s">
        <v>33</v>
      </c>
      <c r="I43" s="13">
        <v>3</v>
      </c>
      <c r="J43" s="14">
        <v>8</v>
      </c>
      <c r="K43" s="14">
        <v>24</v>
      </c>
    </row>
    <row r="44" spans="4:11">
      <c r="D44" s="11">
        <v>46168</v>
      </c>
      <c r="E44" s="12">
        <v>1606539</v>
      </c>
      <c r="F44" s="12" t="s">
        <v>15</v>
      </c>
      <c r="G44" s="13">
        <v>20002966</v>
      </c>
      <c r="H44" s="12" t="s">
        <v>31</v>
      </c>
      <c r="I44" s="13">
        <v>1</v>
      </c>
      <c r="J44" s="14">
        <v>8</v>
      </c>
      <c r="K44" s="14">
        <v>8</v>
      </c>
    </row>
    <row r="45" spans="4:11">
      <c r="D45" s="11">
        <v>46168</v>
      </c>
      <c r="E45" s="12">
        <v>1606539</v>
      </c>
      <c r="F45" s="12" t="s">
        <v>15</v>
      </c>
      <c r="G45" s="13">
        <v>20002267</v>
      </c>
      <c r="H45" s="12" t="s">
        <v>46</v>
      </c>
      <c r="I45" s="13">
        <v>2</v>
      </c>
      <c r="J45" s="14">
        <v>8</v>
      </c>
      <c r="K45" s="14">
        <v>16</v>
      </c>
    </row>
    <row r="46" spans="4:11">
      <c r="D46" s="11">
        <v>46170</v>
      </c>
      <c r="E46" s="12">
        <v>1607230</v>
      </c>
      <c r="F46" s="12" t="s">
        <v>24</v>
      </c>
      <c r="G46" s="13">
        <v>20012451</v>
      </c>
      <c r="H46" s="12" t="s">
        <v>55</v>
      </c>
      <c r="I46" s="13">
        <v>1</v>
      </c>
      <c r="J46" s="14">
        <v>35</v>
      </c>
      <c r="K46" s="14">
        <v>35</v>
      </c>
    </row>
    <row r="47" spans="4:11">
      <c r="D47" s="11">
        <v>46170</v>
      </c>
      <c r="E47" s="12">
        <v>1607230</v>
      </c>
      <c r="F47" s="12" t="s">
        <v>24</v>
      </c>
      <c r="G47" s="13">
        <v>20008313</v>
      </c>
      <c r="H47" s="12" t="s">
        <v>56</v>
      </c>
      <c r="I47" s="13">
        <v>1</v>
      </c>
      <c r="J47" s="14">
        <v>35</v>
      </c>
      <c r="K47" s="14">
        <v>35</v>
      </c>
    </row>
    <row r="48" spans="4:11">
      <c r="D48" s="11">
        <v>46170</v>
      </c>
      <c r="E48" s="12">
        <v>1607230</v>
      </c>
      <c r="F48" s="12" t="s">
        <v>24</v>
      </c>
      <c r="G48" s="13">
        <v>20320501</v>
      </c>
      <c r="H48" s="12" t="s">
        <v>57</v>
      </c>
      <c r="I48" s="13">
        <v>1</v>
      </c>
      <c r="J48" s="14">
        <v>28</v>
      </c>
      <c r="K48" s="14">
        <v>28</v>
      </c>
    </row>
    <row r="49" spans="4:11">
      <c r="D49" s="11">
        <v>46170</v>
      </c>
      <c r="E49" s="12">
        <v>1607230</v>
      </c>
      <c r="F49" s="12" t="s">
        <v>24</v>
      </c>
      <c r="G49" s="13">
        <v>20005161</v>
      </c>
      <c r="H49" s="12" t="s">
        <v>58</v>
      </c>
      <c r="I49" s="13">
        <v>1</v>
      </c>
      <c r="J49" s="14">
        <v>35</v>
      </c>
      <c r="K49" s="14">
        <v>35</v>
      </c>
    </row>
    <row r="50" spans="4:11">
      <c r="D50" s="11">
        <v>46170</v>
      </c>
      <c r="E50" s="12">
        <v>1607230</v>
      </c>
      <c r="F50" s="12" t="s">
        <v>24</v>
      </c>
      <c r="G50" s="13">
        <v>20014846</v>
      </c>
      <c r="H50" s="12" t="s">
        <v>59</v>
      </c>
      <c r="I50" s="13">
        <v>1</v>
      </c>
      <c r="J50" s="14">
        <f>165+88+22</f>
        <v>275</v>
      </c>
      <c r="K50" s="14">
        <f>J50</f>
        <v>275</v>
      </c>
    </row>
    <row r="51" spans="4:11">
      <c r="D51" s="11">
        <v>46170</v>
      </c>
      <c r="E51" s="12">
        <v>1607230</v>
      </c>
      <c r="F51" s="12" t="s">
        <v>26</v>
      </c>
      <c r="G51" s="13">
        <v>20310134</v>
      </c>
      <c r="H51" s="12" t="s">
        <v>60</v>
      </c>
      <c r="I51" s="13">
        <v>1</v>
      </c>
      <c r="J51" s="14">
        <v>28</v>
      </c>
      <c r="K51" s="14">
        <v>28</v>
      </c>
    </row>
    <row r="52" spans="4:11">
      <c r="D52" s="11">
        <v>46170</v>
      </c>
      <c r="E52" s="12">
        <v>1607283</v>
      </c>
      <c r="F52" s="12" t="s">
        <v>29</v>
      </c>
      <c r="G52" s="13">
        <v>20002284</v>
      </c>
      <c r="H52" s="12" t="s">
        <v>30</v>
      </c>
      <c r="I52" s="13">
        <v>1</v>
      </c>
      <c r="J52" s="14">
        <v>249.5</v>
      </c>
      <c r="K52" s="14">
        <v>249.5</v>
      </c>
    </row>
    <row r="53" spans="4:11">
      <c r="D53" s="11">
        <v>46172</v>
      </c>
      <c r="E53" s="12">
        <v>1607895</v>
      </c>
      <c r="F53" s="12" t="s">
        <v>29</v>
      </c>
      <c r="G53" s="13">
        <v>20002285</v>
      </c>
      <c r="H53" s="12" t="s">
        <v>32</v>
      </c>
      <c r="I53" s="13">
        <v>2</v>
      </c>
      <c r="J53" s="14">
        <v>154</v>
      </c>
      <c r="K53" s="14">
        <v>308</v>
      </c>
    </row>
    <row r="54" spans="4:11">
      <c r="D54" s="11">
        <v>46172</v>
      </c>
      <c r="E54" s="12">
        <v>1607895</v>
      </c>
      <c r="F54" s="12" t="s">
        <v>15</v>
      </c>
      <c r="G54" s="13">
        <v>20002417</v>
      </c>
      <c r="H54" s="12" t="s">
        <v>33</v>
      </c>
      <c r="I54" s="13">
        <v>1</v>
      </c>
      <c r="J54" s="14">
        <v>8</v>
      </c>
      <c r="K54" s="14">
        <v>8</v>
      </c>
    </row>
    <row r="55" spans="4:11">
      <c r="D55" s="11">
        <v>46172</v>
      </c>
      <c r="E55" s="12">
        <v>1607895</v>
      </c>
      <c r="F55" s="12" t="s">
        <v>15</v>
      </c>
      <c r="G55" s="13">
        <v>20002966</v>
      </c>
      <c r="H55" s="12" t="s">
        <v>31</v>
      </c>
      <c r="I55" s="13">
        <v>1</v>
      </c>
      <c r="J55" s="14">
        <v>8</v>
      </c>
      <c r="K55" s="14">
        <v>8</v>
      </c>
    </row>
    <row r="56" spans="4:11">
      <c r="D56" s="11">
        <v>46172</v>
      </c>
      <c r="E56" s="12">
        <v>1607895</v>
      </c>
      <c r="F56" s="12" t="s">
        <v>21</v>
      </c>
      <c r="G56" s="13">
        <v>20008813</v>
      </c>
      <c r="H56" s="12" t="s">
        <v>61</v>
      </c>
      <c r="I56" s="13">
        <v>1</v>
      </c>
      <c r="J56" s="14">
        <v>16.5</v>
      </c>
      <c r="K56" s="14">
        <v>16.5</v>
      </c>
    </row>
  </sheetData>
  <autoFilter xmlns:etc="http://www.wps.cn/officeDocument/2017/etCustomData" ref="A7:K56" etc:filterBottomFollowUsedRange="0">
    <extLst/>
  </autoFilter>
  <mergeCells count="5">
    <mergeCell ref="D8:H8"/>
    <mergeCell ref="C7:C56"/>
    <mergeCell ref="B4:H5"/>
    <mergeCell ref="A7:B56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&amp;"-,Regular"2026年6月5日 13:28 
&amp;"-,Bold"&amp;10 黑龙江省铂康医疗灭菌有限公司 &amp;R&amp;"Droid Sans Fallback"&amp;9第&amp;P页，共&amp;N页 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"/>
  <sheetViews>
    <sheetView showGridLines="0" view="pageBreakPreview" zoomScaleNormal="100" workbookViewId="0">
      <pane ySplit="6" topLeftCell="A7" activePane="bottomLeft" state="frozen"/>
      <selection/>
      <selection pane="bottomLeft" activeCell="I34" sqref="I34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12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62</v>
      </c>
      <c r="E8" s="8" t="s">
        <v>2</v>
      </c>
      <c r="F8" s="8" t="s">
        <v>2</v>
      </c>
      <c r="G8" s="8" t="s">
        <v>2</v>
      </c>
      <c r="H8" s="8" t="s">
        <v>2</v>
      </c>
      <c r="I8" s="9">
        <v>1</v>
      </c>
      <c r="J8" s="10"/>
      <c r="K8" s="10">
        <v>249.5</v>
      </c>
    </row>
    <row r="9" spans="1:11">
      <c r="D9" s="11">
        <v>46170</v>
      </c>
      <c r="E9" s="12">
        <v>1607284</v>
      </c>
      <c r="F9" s="12" t="s">
        <v>29</v>
      </c>
      <c r="G9" s="13">
        <v>20315281</v>
      </c>
      <c r="H9" s="12" t="s">
        <v>63</v>
      </c>
      <c r="I9" s="13">
        <v>1</v>
      </c>
      <c r="J9" s="14">
        <v>249.5</v>
      </c>
      <c r="K9" s="14">
        <v>249.5</v>
      </c>
    </row>
    <row r="10" ht="0.05" customHeight="1"/>
  </sheetData>
  <mergeCells count="5">
    <mergeCell ref="D8:H8"/>
    <mergeCell ref="C7:C9"/>
    <mergeCell ref="B4:H5"/>
    <mergeCell ref="A7:B9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&amp;"-,Regular"2026年6月5日 13:28 
&amp;"-,Bold"&amp;10 黑龙江省铂康医疗灭菌有限公司 &amp;R&amp;"Droid Sans Fallback"&amp;9第&amp;P页，共&amp;N页 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"/>
  <sheetViews>
    <sheetView showGridLines="0" view="pageBreakPreview" zoomScaleNormal="100" workbookViewId="0">
      <pane ySplit="6" topLeftCell="A7" activePane="bottomLeft" state="frozen"/>
      <selection/>
      <selection pane="bottomLeft" activeCell="K35" sqref="K35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12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64</v>
      </c>
      <c r="E8" s="8" t="s">
        <v>2</v>
      </c>
      <c r="F8" s="8" t="s">
        <v>2</v>
      </c>
      <c r="G8" s="8" t="s">
        <v>2</v>
      </c>
      <c r="H8" s="8" t="s">
        <v>2</v>
      </c>
      <c r="I8" s="9">
        <v>1</v>
      </c>
      <c r="J8" s="10"/>
      <c r="K8" s="10">
        <v>99</v>
      </c>
    </row>
    <row r="9" spans="1:11">
      <c r="D9" s="11">
        <v>46156</v>
      </c>
      <c r="E9" s="12">
        <v>1603240</v>
      </c>
      <c r="F9" s="12" t="s">
        <v>17</v>
      </c>
      <c r="G9" s="13">
        <v>20002305</v>
      </c>
      <c r="H9" s="12" t="s">
        <v>65</v>
      </c>
      <c r="I9" s="13">
        <v>1</v>
      </c>
      <c r="J9" s="14">
        <v>99</v>
      </c>
      <c r="K9" s="14">
        <v>99</v>
      </c>
    </row>
    <row r="10" ht="0.05" customHeight="1"/>
  </sheetData>
  <mergeCells count="5">
    <mergeCell ref="D8:H8"/>
    <mergeCell ref="C7:C9"/>
    <mergeCell ref="B4:H5"/>
    <mergeCell ref="A7:B9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&amp;"-,Regular"2026年6月5日 13:28 
&amp;"-,Bold"&amp;10 黑龙江省铂康医疗灭菌有限公司 &amp;R&amp;"Droid Sans Fallback"&amp;9第&amp;P页，共&amp;N页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处置室</vt:lpstr>
      <vt:lpstr>妇产科2楼</vt:lpstr>
      <vt:lpstr>手术室</vt:lpstr>
      <vt:lpstr>手术室（备包）</vt:lpstr>
      <vt:lpstr>眼科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2026-06-05T05:28:28Z</dcterms:created>
  <dcterms:modified xsi:type="dcterms:W3CDTF">2026-06-05T05:38:28Z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E1953416E485448E8A64134E46B77FDD_13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  <property fmtid="{D5CDD505-2E9C-101B-9397-08002B2CF9AE}" pid="5" name="KSOReadingLayout">
    <vt:bool>true</vt:bool>
  </property>
</Properties>
</file>