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口腔科" sheetId="1" r:id="rId1"/>
  </sheets>
  <definedNames>
    <definedName name="_xlnm._FilterDatabase" localSheetId="0" hidden="1">口腔科!$T$1:$T$94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<sst xmlns="http://schemas.openxmlformats.org/spreadsheetml/2006/main" count="622" uniqueCount="53">
  <si>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</si>
  <si>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</si>
  <si>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</si>
  <si>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</si>
  <si>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</si>
  <si>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</si>
  <si>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</si>
  <si>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</si>
  <si>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</si>
  <si>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</si>
  <si>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</si>
  <si>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</si>
  <si>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</si>
  <si>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哈尔滨(工程)大学医院</t>
  </si>
  <si>
    <t>口腔科</t>
  </si>
  <si>
    <t>额外包(纸塑袋)</t>
  </si>
  <si>
    <t>拔牙钳-1/z1029</t>
  </si>
  <si>
    <t xml:space="preserve">高温纸塑袋100*290 </t>
  </si>
  <si>
    <t>拔牙挺（套保护套）/z7526</t>
  </si>
  <si>
    <t xml:space="preserve">高温纸塑袋75*260 </t>
  </si>
  <si>
    <t>持针器/z1029</t>
  </si>
  <si>
    <t>剪刀-1/z1029</t>
  </si>
  <si>
    <t>托盘-1/1526</t>
  </si>
  <si>
    <t xml:space="preserve">高温纸塑袋150*260 </t>
  </si>
  <si>
    <t>注射器-1/z1026</t>
  </si>
  <si>
    <t xml:space="preserve">高温纸塑袋100*260 </t>
  </si>
  <si>
    <t>骨凿-1/z1029</t>
  </si>
  <si>
    <t>镊子-1/z7526</t>
  </si>
  <si>
    <t>取冠器-1z7534</t>
  </si>
  <si>
    <t xml:space="preserve">高温纸塑袋75*340 </t>
  </si>
  <si>
    <t>持针器-1/z1029</t>
  </si>
  <si>
    <t>止血钳-1/z1029</t>
  </si>
  <si>
    <t>针柄-1/z7526</t>
  </si>
  <si>
    <t>门点</t>
  </si>
  <si>
    <t>钩镊-1z7526</t>
  </si>
  <si>
    <t>刮匙-1/z7534</t>
  </si>
  <si>
    <t>平镊-1z7534</t>
  </si>
  <si>
    <t>探针-1/z7537</t>
  </si>
  <si>
    <t xml:space="preserve">高温纸塑袋100*370 </t>
  </si>
  <si>
    <t>线剪-1/z1026</t>
  </si>
  <si>
    <t>眼科剪/z7526</t>
  </si>
  <si>
    <t>器械包(ZSD)</t>
  </si>
  <si>
    <t>缝合包</t>
  </si>
  <si>
    <t xml:space="preserve">无纺布-60×60-50g </t>
  </si>
  <si>
    <t>组织剪-1/z1029</t>
  </si>
  <si>
    <t>拆线剪-1/z1026</t>
  </si>
  <si>
    <t>五官科</t>
  </si>
  <si>
    <t>异物钳-1/z1535</t>
  </si>
  <si>
    <t xml:space="preserve">高温纸塑袋150×350* </t>
  </si>
  <si>
    <t>眼科手术缝合包</t>
  </si>
  <si>
    <t>敷料包(纸塑袋)</t>
  </si>
  <si>
    <t>孔巾/Z2032</t>
  </si>
  <si>
    <t xml:space="preserve">高温纸塑袋200*320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</si>
</sst>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4"/>
  <sheetViews>
    <sheetView showGridLines="0" tabSelected="1" workbookViewId="0">
      <pane ySplit="6" topLeftCell="A7" activePane="bottomLeft" state="frozen"/>
      <selection/>
      <selection pane="bottomLeft" activeCell="Z35" sqref="Z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  <col min="20" max="20" width="12.625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20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20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253</v>
      </c>
      <c r="M9" s="9">
        <v>313</v>
      </c>
      <c r="N9" s="10">
        <v>842.5</v>
      </c>
      <c r="O9" s="10">
        <v>2450.5</v>
      </c>
      <c r="P9" s="6" t="s">
        <v>2</v>
      </c>
      <c r="Q9" s="7" t="s">
        <v>2</v>
      </c>
    </row>
    <row r="10" spans="1:20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20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129</v>
      </c>
      <c r="M11" s="12">
        <v>129</v>
      </c>
      <c r="N11" s="13">
        <v>303</v>
      </c>
      <c r="O11" s="13">
        <v>1146</v>
      </c>
      <c r="P11" s="6" t="s">
        <v>2</v>
      </c>
      <c r="Q11" s="7" t="s">
        <v>2</v>
      </c>
    </row>
    <row r="12" spans="1:20">
      <c r="D12" s="14">
        <v>46175</v>
      </c>
      <c r="E12" s="15">
        <v>1608561</v>
      </c>
      <c r="F12" s="15" t="s">
        <v>15</v>
      </c>
      <c r="G12" s="5">
        <v>20316221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4</v>
      </c>
      <c r="M12" s="5">
        <v>4</v>
      </c>
      <c r="N12" s="16">
        <v>8</v>
      </c>
      <c r="O12" s="16">
        <v>32</v>
      </c>
      <c r="P12" s="6" t="s">
        <v>2</v>
      </c>
      <c r="Q12" s="7" t="s">
        <v>2</v>
      </c>
      <c r="T12">
        <f>O12/M12</f>
        <v>8</v>
      </c>
    </row>
    <row r="13" spans="1:20">
      <c r="D13" s="14">
        <v>46175</v>
      </c>
      <c r="E13" s="15">
        <v>1608561</v>
      </c>
      <c r="F13" s="15" t="s">
        <v>15</v>
      </c>
      <c r="G13" s="5">
        <v>20316217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6</v>
      </c>
      <c r="M13" s="5">
        <v>6</v>
      </c>
      <c r="N13" s="16">
        <v>8</v>
      </c>
      <c r="O13" s="16">
        <v>48</v>
      </c>
      <c r="P13" s="6" t="s">
        <v>2</v>
      </c>
      <c r="Q13" s="7" t="s">
        <v>2</v>
      </c>
      <c r="T13">
        <f t="shared" ref="T13:T48" si="0">O13/M13</f>
        <v>8</v>
      </c>
    </row>
    <row r="14" spans="1:20">
      <c r="D14" s="14">
        <v>46175</v>
      </c>
      <c r="E14" s="15">
        <v>1608561</v>
      </c>
      <c r="F14" s="15" t="s">
        <v>15</v>
      </c>
      <c r="G14" s="5">
        <v>20316242</v>
      </c>
      <c r="H14" s="15" t="s">
        <v>20</v>
      </c>
      <c r="I14" s="6" t="s">
        <v>2</v>
      </c>
      <c r="J14" s="7" t="s">
        <v>2</v>
      </c>
      <c r="K14" s="15" t="s">
        <v>17</v>
      </c>
      <c r="L14" s="5">
        <v>6</v>
      </c>
      <c r="M14" s="5">
        <v>6</v>
      </c>
      <c r="N14" s="16">
        <v>8</v>
      </c>
      <c r="O14" s="16">
        <v>48</v>
      </c>
      <c r="P14" s="6" t="s">
        <v>2</v>
      </c>
      <c r="Q14" s="7" t="s">
        <v>2</v>
      </c>
      <c r="T14">
        <f t="shared" si="0"/>
        <v>8</v>
      </c>
    </row>
    <row r="15" spans="1:20">
      <c r="D15" s="14">
        <v>46175</v>
      </c>
      <c r="E15" s="15">
        <v>1608561</v>
      </c>
      <c r="F15" s="15" t="s">
        <v>15</v>
      </c>
      <c r="G15" s="5">
        <v>20316233</v>
      </c>
      <c r="H15" s="15" t="s">
        <v>21</v>
      </c>
      <c r="I15" s="6" t="s">
        <v>2</v>
      </c>
      <c r="J15" s="7" t="s">
        <v>2</v>
      </c>
      <c r="K15" s="15" t="s">
        <v>17</v>
      </c>
      <c r="L15" s="5">
        <v>1</v>
      </c>
      <c r="M15" s="5">
        <v>1</v>
      </c>
      <c r="N15" s="16">
        <v>8</v>
      </c>
      <c r="O15" s="16">
        <v>8</v>
      </c>
      <c r="P15" s="6" t="s">
        <v>2</v>
      </c>
      <c r="Q15" s="7" t="s">
        <v>2</v>
      </c>
      <c r="T15">
        <f t="shared" si="0"/>
        <v>8</v>
      </c>
    </row>
    <row r="16" spans="1:20">
      <c r="D16" s="14">
        <v>46175</v>
      </c>
      <c r="E16" s="15">
        <v>1608561</v>
      </c>
      <c r="F16" s="15" t="s">
        <v>15</v>
      </c>
      <c r="G16" s="5">
        <v>20316252</v>
      </c>
      <c r="H16" s="15" t="s">
        <v>22</v>
      </c>
      <c r="I16" s="6" t="s">
        <v>2</v>
      </c>
      <c r="J16" s="7" t="s">
        <v>2</v>
      </c>
      <c r="K16" s="15" t="s">
        <v>23</v>
      </c>
      <c r="L16" s="5">
        <v>4</v>
      </c>
      <c r="M16" s="5">
        <v>4</v>
      </c>
      <c r="N16" s="16">
        <v>11</v>
      </c>
      <c r="O16" s="16">
        <v>44</v>
      </c>
      <c r="P16" s="6" t="s">
        <v>2</v>
      </c>
      <c r="Q16" s="7" t="s">
        <v>2</v>
      </c>
      <c r="T16">
        <f t="shared" si="0"/>
        <v>11</v>
      </c>
    </row>
    <row r="17" spans="4:20">
      <c r="D17" s="14">
        <v>46175</v>
      </c>
      <c r="E17" s="15">
        <v>1608561</v>
      </c>
      <c r="F17" s="15" t="s">
        <v>15</v>
      </c>
      <c r="G17" s="5">
        <v>20316244</v>
      </c>
      <c r="H17" s="15" t="s">
        <v>24</v>
      </c>
      <c r="I17" s="6" t="s">
        <v>2</v>
      </c>
      <c r="J17" s="7" t="s">
        <v>2</v>
      </c>
      <c r="K17" s="15" t="s">
        <v>25</v>
      </c>
      <c r="L17" s="5">
        <v>1</v>
      </c>
      <c r="M17" s="5">
        <v>1</v>
      </c>
      <c r="N17" s="16">
        <v>8</v>
      </c>
      <c r="O17" s="16">
        <v>8</v>
      </c>
      <c r="P17" s="6" t="s">
        <v>2</v>
      </c>
      <c r="Q17" s="7" t="s">
        <v>2</v>
      </c>
      <c r="T17">
        <f t="shared" si="0"/>
        <v>8</v>
      </c>
    </row>
    <row r="18" spans="4:20">
      <c r="D18" s="14">
        <v>46182</v>
      </c>
      <c r="E18" s="15">
        <v>1610691</v>
      </c>
      <c r="F18" s="15" t="s">
        <v>15</v>
      </c>
      <c r="G18" s="5">
        <v>20316221</v>
      </c>
      <c r="H18" s="15" t="s">
        <v>16</v>
      </c>
      <c r="I18" s="6" t="s">
        <v>2</v>
      </c>
      <c r="J18" s="7" t="s">
        <v>2</v>
      </c>
      <c r="K18" s="15" t="s">
        <v>17</v>
      </c>
      <c r="L18" s="5">
        <v>4</v>
      </c>
      <c r="M18" s="5">
        <v>4</v>
      </c>
      <c r="N18" s="16">
        <v>8</v>
      </c>
      <c r="O18" s="16">
        <v>32</v>
      </c>
      <c r="P18" s="6" t="s">
        <v>2</v>
      </c>
      <c r="Q18" s="7" t="s">
        <v>2</v>
      </c>
      <c r="T18">
        <f t="shared" si="0"/>
        <v>8</v>
      </c>
    </row>
    <row r="19" spans="4:20">
      <c r="D19" s="14">
        <v>46182</v>
      </c>
      <c r="E19" s="15">
        <v>1610691</v>
      </c>
      <c r="F19" s="15" t="s">
        <v>15</v>
      </c>
      <c r="G19" s="5">
        <v>20316217</v>
      </c>
      <c r="H19" s="15" t="s">
        <v>18</v>
      </c>
      <c r="I19" s="6" t="s">
        <v>2</v>
      </c>
      <c r="J19" s="7" t="s">
        <v>2</v>
      </c>
      <c r="K19" s="15" t="s">
        <v>19</v>
      </c>
      <c r="L19" s="5">
        <v>8</v>
      </c>
      <c r="M19" s="5">
        <v>8</v>
      </c>
      <c r="N19" s="16">
        <v>8</v>
      </c>
      <c r="O19" s="16">
        <v>64</v>
      </c>
      <c r="P19" s="6" t="s">
        <v>2</v>
      </c>
      <c r="Q19" s="7" t="s">
        <v>2</v>
      </c>
      <c r="T19">
        <f t="shared" si="0"/>
        <v>8</v>
      </c>
    </row>
    <row r="20" spans="4:20">
      <c r="D20" s="14">
        <v>46182</v>
      </c>
      <c r="E20" s="15">
        <v>1610691</v>
      </c>
      <c r="F20" s="15" t="s">
        <v>15</v>
      </c>
      <c r="G20" s="5">
        <v>20316242</v>
      </c>
      <c r="H20" s="15" t="s">
        <v>20</v>
      </c>
      <c r="I20" s="6" t="s">
        <v>2</v>
      </c>
      <c r="J20" s="7" t="s">
        <v>2</v>
      </c>
      <c r="K20" s="15" t="s">
        <v>17</v>
      </c>
      <c r="L20" s="5">
        <v>4</v>
      </c>
      <c r="M20" s="5">
        <v>4</v>
      </c>
      <c r="N20" s="16">
        <v>8</v>
      </c>
      <c r="O20" s="16">
        <v>32</v>
      </c>
      <c r="P20" s="6" t="s">
        <v>2</v>
      </c>
      <c r="Q20" s="7" t="s">
        <v>2</v>
      </c>
      <c r="T20">
        <f t="shared" si="0"/>
        <v>8</v>
      </c>
    </row>
    <row r="21" spans="4:20">
      <c r="D21" s="14">
        <v>46182</v>
      </c>
      <c r="E21" s="15">
        <v>1610691</v>
      </c>
      <c r="F21" s="15" t="s">
        <v>15</v>
      </c>
      <c r="G21" s="5">
        <v>20346331</v>
      </c>
      <c r="H21" s="15" t="s">
        <v>26</v>
      </c>
      <c r="I21" s="6" t="s">
        <v>2</v>
      </c>
      <c r="J21" s="7" t="s">
        <v>2</v>
      </c>
      <c r="K21" s="15" t="s">
        <v>17</v>
      </c>
      <c r="L21" s="5">
        <v>1</v>
      </c>
      <c r="M21" s="5">
        <v>1</v>
      </c>
      <c r="N21" s="16">
        <v>8</v>
      </c>
      <c r="O21" s="16">
        <v>8</v>
      </c>
      <c r="P21" s="6" t="s">
        <v>2</v>
      </c>
      <c r="Q21" s="7" t="s">
        <v>2</v>
      </c>
      <c r="T21">
        <f t="shared" si="0"/>
        <v>8</v>
      </c>
    </row>
    <row r="22" spans="4:20">
      <c r="D22" s="14">
        <v>46182</v>
      </c>
      <c r="E22" s="15">
        <v>1610691</v>
      </c>
      <c r="F22" s="15" t="s">
        <v>15</v>
      </c>
      <c r="G22" s="5">
        <v>20316233</v>
      </c>
      <c r="H22" s="15" t="s">
        <v>21</v>
      </c>
      <c r="I22" s="6" t="s">
        <v>2</v>
      </c>
      <c r="J22" s="7" t="s">
        <v>2</v>
      </c>
      <c r="K22" s="15" t="s">
        <v>17</v>
      </c>
      <c r="L22" s="5">
        <v>2</v>
      </c>
      <c r="M22" s="5">
        <v>2</v>
      </c>
      <c r="N22" s="16">
        <v>8</v>
      </c>
      <c r="O22" s="16">
        <v>16</v>
      </c>
      <c r="P22" s="6" t="s">
        <v>2</v>
      </c>
      <c r="Q22" s="7" t="s">
        <v>2</v>
      </c>
      <c r="T22">
        <f t="shared" si="0"/>
        <v>8</v>
      </c>
    </row>
    <row r="23" spans="4:20">
      <c r="D23" s="14">
        <v>46182</v>
      </c>
      <c r="E23" s="15">
        <v>1610691</v>
      </c>
      <c r="F23" s="15" t="s">
        <v>15</v>
      </c>
      <c r="G23" s="5">
        <v>20316229</v>
      </c>
      <c r="H23" s="15" t="s">
        <v>27</v>
      </c>
      <c r="I23" s="6" t="s">
        <v>2</v>
      </c>
      <c r="J23" s="7" t="s">
        <v>2</v>
      </c>
      <c r="K23" s="15" t="s">
        <v>19</v>
      </c>
      <c r="L23" s="5">
        <v>1</v>
      </c>
      <c r="M23" s="5">
        <v>1</v>
      </c>
      <c r="N23" s="16">
        <v>8</v>
      </c>
      <c r="O23" s="16">
        <v>8</v>
      </c>
      <c r="P23" s="6" t="s">
        <v>2</v>
      </c>
      <c r="Q23" s="7" t="s">
        <v>2</v>
      </c>
      <c r="T23">
        <f t="shared" si="0"/>
        <v>8</v>
      </c>
    </row>
    <row r="24" spans="4:20">
      <c r="D24" s="14">
        <v>46182</v>
      </c>
      <c r="E24" s="15">
        <v>1610691</v>
      </c>
      <c r="F24" s="15" t="s">
        <v>15</v>
      </c>
      <c r="G24" s="5">
        <v>20316252</v>
      </c>
      <c r="H24" s="15" t="s">
        <v>22</v>
      </c>
      <c r="I24" s="6" t="s">
        <v>2</v>
      </c>
      <c r="J24" s="7" t="s">
        <v>2</v>
      </c>
      <c r="K24" s="15" t="s">
        <v>23</v>
      </c>
      <c r="L24" s="5">
        <v>10</v>
      </c>
      <c r="M24" s="5">
        <v>10</v>
      </c>
      <c r="N24" s="16">
        <v>11</v>
      </c>
      <c r="O24" s="16">
        <v>110</v>
      </c>
      <c r="P24" s="6" t="s">
        <v>2</v>
      </c>
      <c r="Q24" s="7" t="s">
        <v>2</v>
      </c>
      <c r="T24">
        <f t="shared" si="0"/>
        <v>11</v>
      </c>
    </row>
    <row r="25" spans="4:20">
      <c r="D25" s="14">
        <v>46182</v>
      </c>
      <c r="E25" s="15">
        <v>1610691</v>
      </c>
      <c r="F25" s="15" t="s">
        <v>15</v>
      </c>
      <c r="G25" s="5">
        <v>20316244</v>
      </c>
      <c r="H25" s="15" t="s">
        <v>24</v>
      </c>
      <c r="I25" s="6" t="s">
        <v>2</v>
      </c>
      <c r="J25" s="7" t="s">
        <v>2</v>
      </c>
      <c r="K25" s="15" t="s">
        <v>25</v>
      </c>
      <c r="L25" s="5">
        <v>1</v>
      </c>
      <c r="M25" s="5">
        <v>1</v>
      </c>
      <c r="N25" s="16">
        <v>8</v>
      </c>
      <c r="O25" s="16">
        <v>8</v>
      </c>
      <c r="P25" s="6" t="s">
        <v>2</v>
      </c>
      <c r="Q25" s="7" t="s">
        <v>2</v>
      </c>
      <c r="T25">
        <f t="shared" si="0"/>
        <v>8</v>
      </c>
    </row>
    <row r="26" spans="4:20">
      <c r="D26" s="14">
        <v>46189</v>
      </c>
      <c r="E26" s="15">
        <v>1612681</v>
      </c>
      <c r="F26" s="15" t="s">
        <v>15</v>
      </c>
      <c r="G26" s="5">
        <v>20316221</v>
      </c>
      <c r="H26" s="15" t="s">
        <v>16</v>
      </c>
      <c r="I26" s="6" t="s">
        <v>2</v>
      </c>
      <c r="J26" s="7" t="s">
        <v>2</v>
      </c>
      <c r="K26" s="15" t="s">
        <v>17</v>
      </c>
      <c r="L26" s="5">
        <v>3</v>
      </c>
      <c r="M26" s="5">
        <v>3</v>
      </c>
      <c r="N26" s="16">
        <v>8</v>
      </c>
      <c r="O26" s="16">
        <v>24</v>
      </c>
      <c r="P26" s="6" t="s">
        <v>2</v>
      </c>
      <c r="Q26" s="7" t="s">
        <v>2</v>
      </c>
      <c r="T26">
        <f t="shared" si="0"/>
        <v>8</v>
      </c>
    </row>
    <row r="27" spans="4:20">
      <c r="D27" s="14">
        <v>46189</v>
      </c>
      <c r="E27" s="15">
        <v>1612681</v>
      </c>
      <c r="F27" s="15" t="s">
        <v>15</v>
      </c>
      <c r="G27" s="5">
        <v>20316217</v>
      </c>
      <c r="H27" s="15" t="s">
        <v>18</v>
      </c>
      <c r="I27" s="6" t="s">
        <v>2</v>
      </c>
      <c r="J27" s="7" t="s">
        <v>2</v>
      </c>
      <c r="K27" s="15" t="s">
        <v>19</v>
      </c>
      <c r="L27" s="5">
        <v>1</v>
      </c>
      <c r="M27" s="5">
        <v>1</v>
      </c>
      <c r="N27" s="16">
        <v>8</v>
      </c>
      <c r="O27" s="16">
        <v>8</v>
      </c>
      <c r="P27" s="6" t="s">
        <v>2</v>
      </c>
      <c r="Q27" s="7" t="s">
        <v>2</v>
      </c>
      <c r="T27">
        <f t="shared" si="0"/>
        <v>8</v>
      </c>
    </row>
    <row r="28" spans="4:20">
      <c r="D28" s="14">
        <v>46189</v>
      </c>
      <c r="E28" s="15">
        <v>1612681</v>
      </c>
      <c r="F28" s="15" t="s">
        <v>15</v>
      </c>
      <c r="G28" s="5">
        <v>20316242</v>
      </c>
      <c r="H28" s="15" t="s">
        <v>20</v>
      </c>
      <c r="I28" s="6" t="s">
        <v>2</v>
      </c>
      <c r="J28" s="7" t="s">
        <v>2</v>
      </c>
      <c r="K28" s="15" t="s">
        <v>17</v>
      </c>
      <c r="L28" s="5">
        <v>6</v>
      </c>
      <c r="M28" s="5">
        <v>6</v>
      </c>
      <c r="N28" s="16">
        <v>8</v>
      </c>
      <c r="O28" s="16">
        <v>48</v>
      </c>
      <c r="P28" s="6" t="s">
        <v>2</v>
      </c>
      <c r="Q28" s="7" t="s">
        <v>2</v>
      </c>
      <c r="T28">
        <f t="shared" si="0"/>
        <v>8</v>
      </c>
    </row>
    <row r="29" spans="4:20">
      <c r="D29" s="14">
        <v>46189</v>
      </c>
      <c r="E29" s="15">
        <v>1612681</v>
      </c>
      <c r="F29" s="15" t="s">
        <v>15</v>
      </c>
      <c r="G29" s="5">
        <v>20316233</v>
      </c>
      <c r="H29" s="15" t="s">
        <v>21</v>
      </c>
      <c r="I29" s="6" t="s">
        <v>2</v>
      </c>
      <c r="J29" s="7" t="s">
        <v>2</v>
      </c>
      <c r="K29" s="15" t="s">
        <v>17</v>
      </c>
      <c r="L29" s="5">
        <v>1</v>
      </c>
      <c r="M29" s="5">
        <v>1</v>
      </c>
      <c r="N29" s="16">
        <v>8</v>
      </c>
      <c r="O29" s="16">
        <v>8</v>
      </c>
      <c r="P29" s="6" t="s">
        <v>2</v>
      </c>
      <c r="Q29" s="7" t="s">
        <v>2</v>
      </c>
      <c r="T29">
        <f t="shared" si="0"/>
        <v>8</v>
      </c>
    </row>
    <row r="30" spans="4:20">
      <c r="D30" s="14">
        <v>46189</v>
      </c>
      <c r="E30" s="15">
        <v>1612681</v>
      </c>
      <c r="F30" s="15" t="s">
        <v>15</v>
      </c>
      <c r="G30" s="5">
        <v>20316247</v>
      </c>
      <c r="H30" s="15" t="s">
        <v>28</v>
      </c>
      <c r="I30" s="6" t="s">
        <v>2</v>
      </c>
      <c r="J30" s="7" t="s">
        <v>2</v>
      </c>
      <c r="K30" s="15" t="s">
        <v>29</v>
      </c>
      <c r="L30" s="5">
        <v>1</v>
      </c>
      <c r="M30" s="5">
        <v>1</v>
      </c>
      <c r="N30" s="16">
        <v>8</v>
      </c>
      <c r="O30" s="16">
        <v>8</v>
      </c>
      <c r="P30" s="6" t="s">
        <v>2</v>
      </c>
      <c r="Q30" s="7" t="s">
        <v>2</v>
      </c>
      <c r="T30">
        <f t="shared" si="0"/>
        <v>8</v>
      </c>
    </row>
    <row r="31" spans="4:20">
      <c r="D31" s="14">
        <v>46189</v>
      </c>
      <c r="E31" s="15">
        <v>1612681</v>
      </c>
      <c r="F31" s="15" t="s">
        <v>15</v>
      </c>
      <c r="G31" s="5">
        <v>20316252</v>
      </c>
      <c r="H31" s="15" t="s">
        <v>22</v>
      </c>
      <c r="I31" s="6" t="s">
        <v>2</v>
      </c>
      <c r="J31" s="7" t="s">
        <v>2</v>
      </c>
      <c r="K31" s="15" t="s">
        <v>23</v>
      </c>
      <c r="L31" s="5">
        <v>8</v>
      </c>
      <c r="M31" s="5">
        <v>8</v>
      </c>
      <c r="N31" s="16">
        <v>11</v>
      </c>
      <c r="O31" s="16">
        <v>88</v>
      </c>
      <c r="P31" s="6" t="s">
        <v>2</v>
      </c>
      <c r="Q31" s="7" t="s">
        <v>2</v>
      </c>
      <c r="T31">
        <f t="shared" si="0"/>
        <v>11</v>
      </c>
    </row>
    <row r="32" spans="4:20">
      <c r="D32" s="14">
        <v>46189</v>
      </c>
      <c r="E32" s="15">
        <v>1612681</v>
      </c>
      <c r="F32" s="15" t="s">
        <v>15</v>
      </c>
      <c r="G32" s="5">
        <v>20316244</v>
      </c>
      <c r="H32" s="15" t="s">
        <v>24</v>
      </c>
      <c r="I32" s="6" t="s">
        <v>2</v>
      </c>
      <c r="J32" s="7" t="s">
        <v>2</v>
      </c>
      <c r="K32" s="15" t="s">
        <v>25</v>
      </c>
      <c r="L32" s="5">
        <v>1</v>
      </c>
      <c r="M32" s="5">
        <v>1</v>
      </c>
      <c r="N32" s="16">
        <v>8</v>
      </c>
      <c r="O32" s="16">
        <v>8</v>
      </c>
      <c r="P32" s="6" t="s">
        <v>2</v>
      </c>
      <c r="Q32" s="7" t="s">
        <v>2</v>
      </c>
      <c r="T32">
        <f t="shared" si="0"/>
        <v>8</v>
      </c>
    </row>
    <row r="33" spans="4:20">
      <c r="D33" s="14">
        <v>46196</v>
      </c>
      <c r="E33" s="15">
        <v>1614423</v>
      </c>
      <c r="F33" s="15" t="s">
        <v>15</v>
      </c>
      <c r="G33" s="5">
        <v>20316221</v>
      </c>
      <c r="H33" s="15" t="s">
        <v>16</v>
      </c>
      <c r="I33" s="6" t="s">
        <v>2</v>
      </c>
      <c r="J33" s="7" t="s">
        <v>2</v>
      </c>
      <c r="K33" s="15" t="s">
        <v>17</v>
      </c>
      <c r="L33" s="5">
        <v>2</v>
      </c>
      <c r="M33" s="5">
        <v>2</v>
      </c>
      <c r="N33" s="16">
        <v>8</v>
      </c>
      <c r="O33" s="16">
        <v>16</v>
      </c>
      <c r="P33" s="6" t="s">
        <v>2</v>
      </c>
      <c r="Q33" s="7" t="s">
        <v>2</v>
      </c>
      <c r="T33">
        <f t="shared" si="0"/>
        <v>8</v>
      </c>
    </row>
    <row r="34" spans="4:20">
      <c r="D34" s="14">
        <v>46196</v>
      </c>
      <c r="E34" s="15">
        <v>1614423</v>
      </c>
      <c r="F34" s="15" t="s">
        <v>15</v>
      </c>
      <c r="G34" s="5">
        <v>20316217</v>
      </c>
      <c r="H34" s="15" t="s">
        <v>18</v>
      </c>
      <c r="I34" s="6" t="s">
        <v>2</v>
      </c>
      <c r="J34" s="7" t="s">
        <v>2</v>
      </c>
      <c r="K34" s="15" t="s">
        <v>19</v>
      </c>
      <c r="L34" s="5">
        <v>4</v>
      </c>
      <c r="M34" s="5">
        <v>4</v>
      </c>
      <c r="N34" s="16">
        <v>8</v>
      </c>
      <c r="O34" s="16">
        <v>32</v>
      </c>
      <c r="P34" s="6" t="s">
        <v>2</v>
      </c>
      <c r="Q34" s="7" t="s">
        <v>2</v>
      </c>
      <c r="T34">
        <f t="shared" si="0"/>
        <v>8</v>
      </c>
    </row>
    <row r="35" spans="4:20">
      <c r="D35" s="14">
        <v>46196</v>
      </c>
      <c r="E35" s="15">
        <v>1614423</v>
      </c>
      <c r="F35" s="15" t="s">
        <v>15</v>
      </c>
      <c r="G35" s="5">
        <v>20316232</v>
      </c>
      <c r="H35" s="15" t="s">
        <v>30</v>
      </c>
      <c r="I35" s="6" t="s">
        <v>2</v>
      </c>
      <c r="J35" s="7" t="s">
        <v>2</v>
      </c>
      <c r="K35" s="15" t="s">
        <v>17</v>
      </c>
      <c r="L35" s="5">
        <v>5</v>
      </c>
      <c r="M35" s="5">
        <v>5</v>
      </c>
      <c r="N35" s="16">
        <v>8</v>
      </c>
      <c r="O35" s="16">
        <v>40</v>
      </c>
      <c r="P35" s="6" t="s">
        <v>2</v>
      </c>
      <c r="Q35" s="7" t="s">
        <v>2</v>
      </c>
      <c r="T35">
        <f t="shared" si="0"/>
        <v>8</v>
      </c>
    </row>
    <row r="36" spans="4:20">
      <c r="D36" s="14">
        <v>46196</v>
      </c>
      <c r="E36" s="15">
        <v>1614423</v>
      </c>
      <c r="F36" s="15" t="s">
        <v>15</v>
      </c>
      <c r="G36" s="5">
        <v>20316233</v>
      </c>
      <c r="H36" s="15" t="s">
        <v>21</v>
      </c>
      <c r="I36" s="6" t="s">
        <v>2</v>
      </c>
      <c r="J36" s="7" t="s">
        <v>2</v>
      </c>
      <c r="K36" s="15" t="s">
        <v>17</v>
      </c>
      <c r="L36" s="5">
        <v>2</v>
      </c>
      <c r="M36" s="5">
        <v>2</v>
      </c>
      <c r="N36" s="16">
        <v>8</v>
      </c>
      <c r="O36" s="16">
        <v>16</v>
      </c>
      <c r="P36" s="6" t="s">
        <v>2</v>
      </c>
      <c r="Q36" s="7" t="s">
        <v>2</v>
      </c>
      <c r="T36">
        <f t="shared" si="0"/>
        <v>8</v>
      </c>
    </row>
    <row r="37" spans="4:20">
      <c r="D37" s="14">
        <v>46196</v>
      </c>
      <c r="E37" s="15">
        <v>1614423</v>
      </c>
      <c r="F37" s="15" t="s">
        <v>15</v>
      </c>
      <c r="G37" s="5">
        <v>20316252</v>
      </c>
      <c r="H37" s="15" t="s">
        <v>22</v>
      </c>
      <c r="I37" s="6" t="s">
        <v>2</v>
      </c>
      <c r="J37" s="7" t="s">
        <v>2</v>
      </c>
      <c r="K37" s="15" t="s">
        <v>23</v>
      </c>
      <c r="L37" s="5">
        <v>7</v>
      </c>
      <c r="M37" s="5">
        <v>7</v>
      </c>
      <c r="N37" s="16">
        <v>11</v>
      </c>
      <c r="O37" s="16">
        <v>77</v>
      </c>
      <c r="P37" s="6" t="s">
        <v>2</v>
      </c>
      <c r="Q37" s="7" t="s">
        <v>2</v>
      </c>
      <c r="T37">
        <f t="shared" si="0"/>
        <v>11</v>
      </c>
    </row>
    <row r="38" spans="4:20">
      <c r="D38" s="14">
        <v>46196</v>
      </c>
      <c r="E38" s="15">
        <v>1614423</v>
      </c>
      <c r="F38" s="15" t="s">
        <v>15</v>
      </c>
      <c r="G38" s="5">
        <v>20316285</v>
      </c>
      <c r="H38" s="15" t="s">
        <v>31</v>
      </c>
      <c r="I38" s="6" t="s">
        <v>2</v>
      </c>
      <c r="J38" s="7" t="s">
        <v>2</v>
      </c>
      <c r="K38" s="15" t="s">
        <v>17</v>
      </c>
      <c r="L38" s="5">
        <v>1</v>
      </c>
      <c r="M38" s="5">
        <v>1</v>
      </c>
      <c r="N38" s="16">
        <v>8</v>
      </c>
      <c r="O38" s="16">
        <v>8</v>
      </c>
      <c r="P38" s="6" t="s">
        <v>2</v>
      </c>
      <c r="Q38" s="7" t="s">
        <v>2</v>
      </c>
      <c r="T38">
        <f t="shared" si="0"/>
        <v>8</v>
      </c>
    </row>
    <row r="39" spans="4:20">
      <c r="D39" s="14">
        <v>46196</v>
      </c>
      <c r="E39" s="15">
        <v>1614423</v>
      </c>
      <c r="F39" s="15" t="s">
        <v>15</v>
      </c>
      <c r="G39" s="5">
        <v>20316244</v>
      </c>
      <c r="H39" s="15" t="s">
        <v>24</v>
      </c>
      <c r="I39" s="6" t="s">
        <v>2</v>
      </c>
      <c r="J39" s="7" t="s">
        <v>2</v>
      </c>
      <c r="K39" s="15" t="s">
        <v>25</v>
      </c>
      <c r="L39" s="5">
        <v>1</v>
      </c>
      <c r="M39" s="5">
        <v>1</v>
      </c>
      <c r="N39" s="16">
        <v>8</v>
      </c>
      <c r="O39" s="16">
        <v>8</v>
      </c>
      <c r="P39" s="6" t="s">
        <v>2</v>
      </c>
      <c r="Q39" s="7" t="s">
        <v>2</v>
      </c>
      <c r="T39">
        <f t="shared" si="0"/>
        <v>8</v>
      </c>
    </row>
    <row r="40" spans="4:20">
      <c r="D40" s="14">
        <v>46203</v>
      </c>
      <c r="E40" s="15">
        <v>1616403</v>
      </c>
      <c r="F40" s="15" t="s">
        <v>15</v>
      </c>
      <c r="G40" s="5">
        <v>20316221</v>
      </c>
      <c r="H40" s="15" t="s">
        <v>16</v>
      </c>
      <c r="I40" s="6" t="s">
        <v>2</v>
      </c>
      <c r="J40" s="7" t="s">
        <v>2</v>
      </c>
      <c r="K40" s="15" t="s">
        <v>17</v>
      </c>
      <c r="L40" s="5">
        <v>3</v>
      </c>
      <c r="M40" s="5">
        <v>3</v>
      </c>
      <c r="N40" s="16">
        <v>8</v>
      </c>
      <c r="O40" s="16">
        <v>24</v>
      </c>
      <c r="P40" s="6" t="s">
        <v>2</v>
      </c>
      <c r="Q40" s="7" t="s">
        <v>2</v>
      </c>
      <c r="T40">
        <f t="shared" si="0"/>
        <v>8</v>
      </c>
    </row>
    <row r="41" spans="4:20">
      <c r="D41" s="14">
        <v>46203</v>
      </c>
      <c r="E41" s="15">
        <v>1616403</v>
      </c>
      <c r="F41" s="15" t="s">
        <v>15</v>
      </c>
      <c r="G41" s="5">
        <v>20316217</v>
      </c>
      <c r="H41" s="15" t="s">
        <v>18</v>
      </c>
      <c r="I41" s="6" t="s">
        <v>2</v>
      </c>
      <c r="J41" s="7" t="s">
        <v>2</v>
      </c>
      <c r="K41" s="15" t="s">
        <v>19</v>
      </c>
      <c r="L41" s="5">
        <v>9</v>
      </c>
      <c r="M41" s="5">
        <v>9</v>
      </c>
      <c r="N41" s="16">
        <v>8</v>
      </c>
      <c r="O41" s="16">
        <v>72</v>
      </c>
      <c r="P41" s="6" t="s">
        <v>2</v>
      </c>
      <c r="Q41" s="7" t="s">
        <v>2</v>
      </c>
      <c r="T41">
        <f t="shared" si="0"/>
        <v>8</v>
      </c>
    </row>
    <row r="42" spans="4:20">
      <c r="D42" s="14">
        <v>46203</v>
      </c>
      <c r="E42" s="15">
        <v>1616403</v>
      </c>
      <c r="F42" s="15" t="s">
        <v>15</v>
      </c>
      <c r="G42" s="5">
        <v>20316232</v>
      </c>
      <c r="H42" s="15" t="s">
        <v>30</v>
      </c>
      <c r="I42" s="6" t="s">
        <v>2</v>
      </c>
      <c r="J42" s="7" t="s">
        <v>2</v>
      </c>
      <c r="K42" s="15" t="s">
        <v>17</v>
      </c>
      <c r="L42" s="5">
        <v>6</v>
      </c>
      <c r="M42" s="5">
        <v>6</v>
      </c>
      <c r="N42" s="16">
        <v>8</v>
      </c>
      <c r="O42" s="16">
        <v>48</v>
      </c>
      <c r="P42" s="6" t="s">
        <v>2</v>
      </c>
      <c r="Q42" s="7" t="s">
        <v>2</v>
      </c>
      <c r="T42">
        <f t="shared" si="0"/>
        <v>8</v>
      </c>
    </row>
    <row r="43" spans="4:20">
      <c r="D43" s="14">
        <v>46203</v>
      </c>
      <c r="E43" s="15">
        <v>1616403</v>
      </c>
      <c r="F43" s="15" t="s">
        <v>15</v>
      </c>
      <c r="G43" s="5">
        <v>20316233</v>
      </c>
      <c r="H43" s="15" t="s">
        <v>21</v>
      </c>
      <c r="I43" s="6" t="s">
        <v>2</v>
      </c>
      <c r="J43" s="7" t="s">
        <v>2</v>
      </c>
      <c r="K43" s="15" t="s">
        <v>17</v>
      </c>
      <c r="L43" s="5">
        <v>2</v>
      </c>
      <c r="M43" s="5">
        <v>2</v>
      </c>
      <c r="N43" s="16">
        <v>8</v>
      </c>
      <c r="O43" s="16">
        <v>16</v>
      </c>
      <c r="P43" s="6" t="s">
        <v>2</v>
      </c>
      <c r="Q43" s="7" t="s">
        <v>2</v>
      </c>
      <c r="T43">
        <f t="shared" si="0"/>
        <v>8</v>
      </c>
    </row>
    <row r="44" spans="4:20">
      <c r="D44" s="14">
        <v>46203</v>
      </c>
      <c r="E44" s="15">
        <v>1616403</v>
      </c>
      <c r="F44" s="15" t="s">
        <v>15</v>
      </c>
      <c r="G44" s="5">
        <v>20316252</v>
      </c>
      <c r="H44" s="15" t="s">
        <v>22</v>
      </c>
      <c r="I44" s="6" t="s">
        <v>2</v>
      </c>
      <c r="J44" s="7" t="s">
        <v>2</v>
      </c>
      <c r="K44" s="15" t="s">
        <v>23</v>
      </c>
      <c r="L44" s="5">
        <v>9</v>
      </c>
      <c r="M44" s="5">
        <v>9</v>
      </c>
      <c r="N44" s="16">
        <v>11</v>
      </c>
      <c r="O44" s="16">
        <v>99</v>
      </c>
      <c r="P44" s="6" t="s">
        <v>2</v>
      </c>
      <c r="Q44" s="7" t="s">
        <v>2</v>
      </c>
      <c r="T44">
        <f t="shared" si="0"/>
        <v>11</v>
      </c>
    </row>
    <row r="45" spans="4:20">
      <c r="D45" s="14">
        <v>46203</v>
      </c>
      <c r="E45" s="15">
        <v>1616403</v>
      </c>
      <c r="F45" s="15" t="s">
        <v>15</v>
      </c>
      <c r="G45" s="5">
        <v>20346324</v>
      </c>
      <c r="H45" s="15" t="s">
        <v>32</v>
      </c>
      <c r="I45" s="6" t="s">
        <v>2</v>
      </c>
      <c r="J45" s="7" t="s">
        <v>2</v>
      </c>
      <c r="K45" s="15" t="s">
        <v>19</v>
      </c>
      <c r="L45" s="5">
        <v>1</v>
      </c>
      <c r="M45" s="5">
        <v>1</v>
      </c>
      <c r="N45" s="16">
        <v>8</v>
      </c>
      <c r="O45" s="16">
        <v>8</v>
      </c>
      <c r="P45" s="6" t="s">
        <v>2</v>
      </c>
      <c r="Q45" s="7" t="s">
        <v>2</v>
      </c>
      <c r="T45">
        <f t="shared" si="0"/>
        <v>8</v>
      </c>
    </row>
    <row r="46" spans="4:20">
      <c r="D46" s="14">
        <v>46203</v>
      </c>
      <c r="E46" s="15">
        <v>1616403</v>
      </c>
      <c r="F46" s="15" t="s">
        <v>15</v>
      </c>
      <c r="G46" s="5">
        <v>20316285</v>
      </c>
      <c r="H46" s="15" t="s">
        <v>31</v>
      </c>
      <c r="I46" s="6" t="s">
        <v>2</v>
      </c>
      <c r="J46" s="7" t="s">
        <v>2</v>
      </c>
      <c r="K46" s="15" t="s">
        <v>17</v>
      </c>
      <c r="L46" s="5">
        <v>1</v>
      </c>
      <c r="M46" s="5">
        <v>1</v>
      </c>
      <c r="N46" s="16">
        <v>8</v>
      </c>
      <c r="O46" s="16">
        <v>8</v>
      </c>
      <c r="P46" s="6" t="s">
        <v>2</v>
      </c>
      <c r="Q46" s="7" t="s">
        <v>2</v>
      </c>
      <c r="T46">
        <f t="shared" si="0"/>
        <v>8</v>
      </c>
    </row>
    <row r="47" spans="4:20">
      <c r="D47" s="14">
        <v>46203</v>
      </c>
      <c r="E47" s="15">
        <v>1616403</v>
      </c>
      <c r="F47" s="15" t="s">
        <v>15</v>
      </c>
      <c r="G47" s="5">
        <v>20316244</v>
      </c>
      <c r="H47" s="15" t="s">
        <v>24</v>
      </c>
      <c r="I47" s="6" t="s">
        <v>2</v>
      </c>
      <c r="J47" s="7" t="s">
        <v>2</v>
      </c>
      <c r="K47" s="15" t="s">
        <v>25</v>
      </c>
      <c r="L47" s="5">
        <v>2</v>
      </c>
      <c r="M47" s="5">
        <v>2</v>
      </c>
      <c r="N47" s="16">
        <v>8</v>
      </c>
      <c r="O47" s="16">
        <v>16</v>
      </c>
      <c r="P47" s="6" t="s">
        <v>2</v>
      </c>
      <c r="Q47" s="7" t="s">
        <v>2</v>
      </c>
      <c r="T47">
        <f t="shared" si="0"/>
        <v>8</v>
      </c>
    </row>
    <row r="48" ht="0.05" customHeight="1" spans="4:20">
      <c r="T48" t="e">
        <f t="shared" ref="T48:T94" si="1">O48/M48</f>
        <v>#DIV/0!</v>
      </c>
    </row>
    <row r="49" spans="4:20">
      <c r="T49" t="e">
        <f t="shared" si="1"/>
        <v>#DIV/0!</v>
      </c>
    </row>
    <row r="50" customFormat="1" ht="14.25" spans="4:20">
      <c r="D50" s="11" t="s">
        <v>33</v>
      </c>
      <c r="E50" s="6" t="s">
        <v>2</v>
      </c>
      <c r="F50" s="6" t="s">
        <v>2</v>
      </c>
      <c r="G50" s="6" t="s">
        <v>2</v>
      </c>
      <c r="H50" s="6" t="s">
        <v>2</v>
      </c>
      <c r="I50" s="6" t="s">
        <v>2</v>
      </c>
      <c r="J50" s="6" t="s">
        <v>2</v>
      </c>
      <c r="K50" s="7" t="s">
        <v>2</v>
      </c>
      <c r="L50" s="12">
        <v>117</v>
      </c>
      <c r="M50" s="12">
        <v>159</v>
      </c>
      <c r="N50" s="13">
        <v>432.5</v>
      </c>
      <c r="O50" s="13">
        <v>1149.5</v>
      </c>
      <c r="P50" s="6" t="s">
        <v>2</v>
      </c>
      <c r="Q50" s="7" t="s">
        <v>2</v>
      </c>
      <c r="T50">
        <f t="shared" si="1"/>
        <v>7.22955974842767</v>
      </c>
    </row>
    <row r="51" customFormat="1" spans="4:20">
      <c r="D51" s="14">
        <v>46175</v>
      </c>
      <c r="E51" s="15">
        <v>1608562</v>
      </c>
      <c r="F51" s="15" t="s">
        <v>15</v>
      </c>
      <c r="G51" s="5">
        <v>20316279</v>
      </c>
      <c r="H51" s="15" t="s">
        <v>34</v>
      </c>
      <c r="I51" s="6" t="s">
        <v>2</v>
      </c>
      <c r="J51" s="7" t="s">
        <v>2</v>
      </c>
      <c r="K51" s="15" t="s">
        <v>19</v>
      </c>
      <c r="L51" s="5">
        <v>8</v>
      </c>
      <c r="M51" s="5">
        <v>8</v>
      </c>
      <c r="N51" s="16">
        <v>8</v>
      </c>
      <c r="O51" s="16">
        <v>64</v>
      </c>
      <c r="P51" s="6" t="s">
        <v>2</v>
      </c>
      <c r="Q51" s="7" t="s">
        <v>2</v>
      </c>
      <c r="T51">
        <f t="shared" si="1"/>
        <v>8</v>
      </c>
    </row>
    <row r="52" customFormat="1" spans="4:20">
      <c r="D52" s="14">
        <v>46175</v>
      </c>
      <c r="E52" s="15">
        <v>1608562</v>
      </c>
      <c r="F52" s="15" t="s">
        <v>15</v>
      </c>
      <c r="G52" s="5">
        <v>20316234</v>
      </c>
      <c r="H52" s="15" t="s">
        <v>35</v>
      </c>
      <c r="I52" s="6" t="s">
        <v>2</v>
      </c>
      <c r="J52" s="7" t="s">
        <v>2</v>
      </c>
      <c r="K52" s="15" t="s">
        <v>29</v>
      </c>
      <c r="L52" s="5">
        <v>2</v>
      </c>
      <c r="M52" s="5">
        <v>2</v>
      </c>
      <c r="N52" s="16">
        <v>8</v>
      </c>
      <c r="O52" s="16">
        <v>16</v>
      </c>
      <c r="P52" s="6" t="s">
        <v>2</v>
      </c>
      <c r="Q52" s="7" t="s">
        <v>2</v>
      </c>
      <c r="T52">
        <f t="shared" si="1"/>
        <v>8</v>
      </c>
    </row>
    <row r="53" customFormat="1" spans="4:20">
      <c r="D53" s="14">
        <v>46175</v>
      </c>
      <c r="E53" s="15">
        <v>1608562</v>
      </c>
      <c r="F53" s="15" t="s">
        <v>15</v>
      </c>
      <c r="G53" s="5">
        <v>20316278</v>
      </c>
      <c r="H53" s="15" t="s">
        <v>36</v>
      </c>
      <c r="I53" s="6" t="s">
        <v>2</v>
      </c>
      <c r="J53" s="7" t="s">
        <v>2</v>
      </c>
      <c r="K53" s="15" t="s">
        <v>29</v>
      </c>
      <c r="L53" s="5">
        <v>8</v>
      </c>
      <c r="M53" s="5">
        <v>8</v>
      </c>
      <c r="N53" s="16">
        <v>8</v>
      </c>
      <c r="O53" s="16">
        <v>64</v>
      </c>
      <c r="P53" s="6" t="s">
        <v>2</v>
      </c>
      <c r="Q53" s="7" t="s">
        <v>2</v>
      </c>
      <c r="T53">
        <f t="shared" si="1"/>
        <v>8</v>
      </c>
    </row>
    <row r="54" customFormat="1" spans="4:20">
      <c r="D54" s="14">
        <v>46175</v>
      </c>
      <c r="E54" s="15">
        <v>1608562</v>
      </c>
      <c r="F54" s="15" t="s">
        <v>15</v>
      </c>
      <c r="G54" s="5">
        <v>20316236</v>
      </c>
      <c r="H54" s="15" t="s">
        <v>37</v>
      </c>
      <c r="I54" s="6" t="s">
        <v>2</v>
      </c>
      <c r="J54" s="7" t="s">
        <v>2</v>
      </c>
      <c r="K54" s="15" t="s">
        <v>38</v>
      </c>
      <c r="L54" s="5">
        <v>2</v>
      </c>
      <c r="M54" s="5">
        <v>2</v>
      </c>
      <c r="N54" s="16">
        <v>8</v>
      </c>
      <c r="O54" s="16">
        <v>16</v>
      </c>
      <c r="P54" s="6" t="s">
        <v>2</v>
      </c>
      <c r="Q54" s="7" t="s">
        <v>2</v>
      </c>
      <c r="T54">
        <f t="shared" si="1"/>
        <v>8</v>
      </c>
    </row>
    <row r="55" customFormat="1" spans="4:20">
      <c r="D55" s="14">
        <v>46175</v>
      </c>
      <c r="E55" s="15">
        <v>1608562</v>
      </c>
      <c r="F55" s="15" t="s">
        <v>15</v>
      </c>
      <c r="G55" s="5">
        <v>20316280</v>
      </c>
      <c r="H55" s="15" t="s">
        <v>39</v>
      </c>
      <c r="I55" s="6" t="s">
        <v>2</v>
      </c>
      <c r="J55" s="7" t="s">
        <v>2</v>
      </c>
      <c r="K55" s="15" t="s">
        <v>25</v>
      </c>
      <c r="L55" s="5">
        <v>3</v>
      </c>
      <c r="M55" s="5">
        <v>3</v>
      </c>
      <c r="N55" s="16">
        <v>8</v>
      </c>
      <c r="O55" s="16">
        <v>24</v>
      </c>
      <c r="P55" s="6" t="s">
        <v>2</v>
      </c>
      <c r="Q55" s="7" t="s">
        <v>2</v>
      </c>
      <c r="T55">
        <f t="shared" si="1"/>
        <v>8</v>
      </c>
    </row>
    <row r="56" customFormat="1" spans="4:20">
      <c r="D56" s="14">
        <v>46175</v>
      </c>
      <c r="E56" s="15">
        <v>1608562</v>
      </c>
      <c r="F56" s="15" t="s">
        <v>15</v>
      </c>
      <c r="G56" s="5">
        <v>20316281</v>
      </c>
      <c r="H56" s="15" t="s">
        <v>40</v>
      </c>
      <c r="I56" s="6" t="s">
        <v>2</v>
      </c>
      <c r="J56" s="7" t="s">
        <v>2</v>
      </c>
      <c r="K56" s="15" t="s">
        <v>19</v>
      </c>
      <c r="L56" s="5">
        <v>1</v>
      </c>
      <c r="M56" s="5">
        <v>1</v>
      </c>
      <c r="N56" s="16">
        <v>8</v>
      </c>
      <c r="O56" s="16">
        <v>8</v>
      </c>
      <c r="P56" s="6" t="s">
        <v>2</v>
      </c>
      <c r="Q56" s="7" t="s">
        <v>2</v>
      </c>
      <c r="T56">
        <f t="shared" si="1"/>
        <v>8</v>
      </c>
    </row>
    <row r="57" customFormat="1" spans="4:20">
      <c r="D57" s="14">
        <v>46175</v>
      </c>
      <c r="E57" s="15">
        <v>1608562</v>
      </c>
      <c r="F57" s="15" t="s">
        <v>15</v>
      </c>
      <c r="G57" s="5">
        <v>20316285</v>
      </c>
      <c r="H57" s="15" t="s">
        <v>31</v>
      </c>
      <c r="I57" s="6" t="s">
        <v>2</v>
      </c>
      <c r="J57" s="7" t="s">
        <v>2</v>
      </c>
      <c r="K57" s="15" t="s">
        <v>17</v>
      </c>
      <c r="L57" s="5">
        <v>10</v>
      </c>
      <c r="M57" s="5">
        <v>10</v>
      </c>
      <c r="N57" s="16">
        <v>8</v>
      </c>
      <c r="O57" s="16">
        <v>80</v>
      </c>
      <c r="P57" s="6" t="s">
        <v>2</v>
      </c>
      <c r="Q57" s="7" t="s">
        <v>2</v>
      </c>
      <c r="T57">
        <f t="shared" si="1"/>
        <v>8</v>
      </c>
    </row>
    <row r="58" customFormat="1" spans="4:20">
      <c r="D58" s="14">
        <v>46175</v>
      </c>
      <c r="E58" s="15">
        <v>1608562</v>
      </c>
      <c r="F58" s="15" t="s">
        <v>41</v>
      </c>
      <c r="G58" s="5">
        <v>20316267</v>
      </c>
      <c r="H58" s="15" t="s">
        <v>42</v>
      </c>
      <c r="I58" s="6" t="s">
        <v>2</v>
      </c>
      <c r="J58" s="7" t="s">
        <v>2</v>
      </c>
      <c r="K58" s="15" t="s">
        <v>43</v>
      </c>
      <c r="L58" s="5">
        <v>3</v>
      </c>
      <c r="M58" s="5">
        <v>21</v>
      </c>
      <c r="N58" s="16">
        <v>38.5</v>
      </c>
      <c r="O58" s="16">
        <v>115.5</v>
      </c>
      <c r="P58" s="6" t="s">
        <v>2</v>
      </c>
      <c r="Q58" s="7" t="s">
        <v>2</v>
      </c>
      <c r="T58">
        <f t="shared" si="1"/>
        <v>5.5</v>
      </c>
    </row>
    <row r="59" customFormat="1" spans="4:20">
      <c r="D59" s="14">
        <v>46182</v>
      </c>
      <c r="E59" s="15">
        <v>1610692</v>
      </c>
      <c r="F59" s="15" t="s">
        <v>15</v>
      </c>
      <c r="G59" s="5">
        <v>20316278</v>
      </c>
      <c r="H59" s="15" t="s">
        <v>36</v>
      </c>
      <c r="I59" s="6" t="s">
        <v>2</v>
      </c>
      <c r="J59" s="7" t="s">
        <v>2</v>
      </c>
      <c r="K59" s="15" t="s">
        <v>29</v>
      </c>
      <c r="L59" s="5">
        <v>12</v>
      </c>
      <c r="M59" s="5">
        <v>12</v>
      </c>
      <c r="N59" s="16">
        <v>8</v>
      </c>
      <c r="O59" s="16">
        <v>96</v>
      </c>
      <c r="P59" s="6" t="s">
        <v>2</v>
      </c>
      <c r="Q59" s="7" t="s">
        <v>2</v>
      </c>
      <c r="T59">
        <f t="shared" si="1"/>
        <v>8</v>
      </c>
    </row>
    <row r="60" customFormat="1" spans="4:20">
      <c r="D60" s="14">
        <v>46182</v>
      </c>
      <c r="E60" s="15">
        <v>1610692</v>
      </c>
      <c r="F60" s="15" t="s">
        <v>15</v>
      </c>
      <c r="G60" s="5">
        <v>20316236</v>
      </c>
      <c r="H60" s="15" t="s">
        <v>37</v>
      </c>
      <c r="I60" s="6" t="s">
        <v>2</v>
      </c>
      <c r="J60" s="7" t="s">
        <v>2</v>
      </c>
      <c r="K60" s="15" t="s">
        <v>38</v>
      </c>
      <c r="L60" s="5">
        <v>2</v>
      </c>
      <c r="M60" s="5">
        <v>2</v>
      </c>
      <c r="N60" s="16">
        <v>8</v>
      </c>
      <c r="O60" s="16">
        <v>16</v>
      </c>
      <c r="P60" s="6" t="s">
        <v>2</v>
      </c>
      <c r="Q60" s="7" t="s">
        <v>2</v>
      </c>
      <c r="T60">
        <f t="shared" si="1"/>
        <v>8</v>
      </c>
    </row>
    <row r="61" customFormat="1" spans="4:20">
      <c r="D61" s="14">
        <v>46182</v>
      </c>
      <c r="E61" s="15">
        <v>1610692</v>
      </c>
      <c r="F61" s="15" t="s">
        <v>15</v>
      </c>
      <c r="G61" s="5">
        <v>20316280</v>
      </c>
      <c r="H61" s="15" t="s">
        <v>39</v>
      </c>
      <c r="I61" s="6" t="s">
        <v>2</v>
      </c>
      <c r="J61" s="7" t="s">
        <v>2</v>
      </c>
      <c r="K61" s="15" t="s">
        <v>25</v>
      </c>
      <c r="L61" s="5">
        <v>1</v>
      </c>
      <c r="M61" s="5">
        <v>1</v>
      </c>
      <c r="N61" s="16">
        <v>8</v>
      </c>
      <c r="O61" s="16">
        <v>8</v>
      </c>
      <c r="P61" s="6" t="s">
        <v>2</v>
      </c>
      <c r="Q61" s="7" t="s">
        <v>2</v>
      </c>
      <c r="T61">
        <f t="shared" si="1"/>
        <v>8</v>
      </c>
    </row>
    <row r="62" customFormat="1" spans="4:20">
      <c r="D62" s="14">
        <v>46182</v>
      </c>
      <c r="E62" s="15">
        <v>1610692</v>
      </c>
      <c r="F62" s="15" t="s">
        <v>15</v>
      </c>
      <c r="G62" s="5">
        <v>20316285</v>
      </c>
      <c r="H62" s="15" t="s">
        <v>31</v>
      </c>
      <c r="I62" s="6" t="s">
        <v>2</v>
      </c>
      <c r="J62" s="7" t="s">
        <v>2</v>
      </c>
      <c r="K62" s="15" t="s">
        <v>17</v>
      </c>
      <c r="L62" s="5">
        <v>2</v>
      </c>
      <c r="M62" s="5">
        <v>2</v>
      </c>
      <c r="N62" s="16">
        <v>8</v>
      </c>
      <c r="O62" s="16">
        <v>16</v>
      </c>
      <c r="P62" s="6" t="s">
        <v>2</v>
      </c>
      <c r="Q62" s="7" t="s">
        <v>2</v>
      </c>
      <c r="T62">
        <f t="shared" si="1"/>
        <v>8</v>
      </c>
    </row>
    <row r="63" customFormat="1" spans="4:20">
      <c r="D63" s="14">
        <v>46182</v>
      </c>
      <c r="E63" s="15">
        <v>1610692</v>
      </c>
      <c r="F63" s="15" t="s">
        <v>15</v>
      </c>
      <c r="G63" s="5">
        <v>20316288</v>
      </c>
      <c r="H63" s="15" t="s">
        <v>44</v>
      </c>
      <c r="I63" s="6" t="s">
        <v>2</v>
      </c>
      <c r="J63" s="7" t="s">
        <v>2</v>
      </c>
      <c r="K63" s="15" t="s">
        <v>17</v>
      </c>
      <c r="L63" s="5">
        <v>1</v>
      </c>
      <c r="M63" s="5">
        <v>1</v>
      </c>
      <c r="N63" s="16">
        <v>8</v>
      </c>
      <c r="O63" s="16">
        <v>8</v>
      </c>
      <c r="P63" s="6" t="s">
        <v>2</v>
      </c>
      <c r="Q63" s="7" t="s">
        <v>2</v>
      </c>
      <c r="T63">
        <f t="shared" si="1"/>
        <v>8</v>
      </c>
    </row>
    <row r="64" customFormat="1" spans="4:20">
      <c r="D64" s="14">
        <v>46182</v>
      </c>
      <c r="E64" s="15">
        <v>1610692</v>
      </c>
      <c r="F64" s="15" t="s">
        <v>41</v>
      </c>
      <c r="G64" s="5">
        <v>20316267</v>
      </c>
      <c r="H64" s="15" t="s">
        <v>42</v>
      </c>
      <c r="I64" s="6" t="s">
        <v>2</v>
      </c>
      <c r="J64" s="7" t="s">
        <v>2</v>
      </c>
      <c r="K64" s="15" t="s">
        <v>43</v>
      </c>
      <c r="L64" s="5">
        <v>1</v>
      </c>
      <c r="M64" s="5">
        <v>7</v>
      </c>
      <c r="N64" s="16">
        <v>38.5</v>
      </c>
      <c r="O64" s="16">
        <v>38.5</v>
      </c>
      <c r="P64" s="6" t="s">
        <v>2</v>
      </c>
      <c r="Q64" s="7" t="s">
        <v>2</v>
      </c>
      <c r="T64">
        <f t="shared" si="1"/>
        <v>5.5</v>
      </c>
    </row>
    <row r="65" customFormat="1" spans="4:20">
      <c r="D65" s="14">
        <v>46189</v>
      </c>
      <c r="E65" s="15">
        <v>1612682</v>
      </c>
      <c r="F65" s="15" t="s">
        <v>15</v>
      </c>
      <c r="G65" s="5">
        <v>20316232</v>
      </c>
      <c r="H65" s="15" t="s">
        <v>30</v>
      </c>
      <c r="I65" s="6" t="s">
        <v>2</v>
      </c>
      <c r="J65" s="7" t="s">
        <v>2</v>
      </c>
      <c r="K65" s="15" t="s">
        <v>17</v>
      </c>
      <c r="L65" s="5">
        <v>1</v>
      </c>
      <c r="M65" s="5">
        <v>1</v>
      </c>
      <c r="N65" s="16">
        <v>8</v>
      </c>
      <c r="O65" s="16">
        <v>8</v>
      </c>
      <c r="P65" s="6" t="s">
        <v>2</v>
      </c>
      <c r="Q65" s="7" t="s">
        <v>2</v>
      </c>
      <c r="T65">
        <f t="shared" si="1"/>
        <v>8</v>
      </c>
    </row>
    <row r="66" customFormat="1" spans="4:20">
      <c r="D66" s="14">
        <v>46189</v>
      </c>
      <c r="E66" s="15">
        <v>1612682</v>
      </c>
      <c r="F66" s="15" t="s">
        <v>15</v>
      </c>
      <c r="G66" s="5">
        <v>20316279</v>
      </c>
      <c r="H66" s="15" t="s">
        <v>34</v>
      </c>
      <c r="I66" s="6" t="s">
        <v>2</v>
      </c>
      <c r="J66" s="7" t="s">
        <v>2</v>
      </c>
      <c r="K66" s="15" t="s">
        <v>19</v>
      </c>
      <c r="L66" s="5">
        <v>8</v>
      </c>
      <c r="M66" s="5">
        <v>8</v>
      </c>
      <c r="N66" s="16">
        <v>8</v>
      </c>
      <c r="O66" s="16">
        <v>64</v>
      </c>
      <c r="P66" s="6" t="s">
        <v>2</v>
      </c>
      <c r="Q66" s="7" t="s">
        <v>2</v>
      </c>
      <c r="T66">
        <f t="shared" si="1"/>
        <v>8</v>
      </c>
    </row>
    <row r="67" customFormat="1" spans="4:20">
      <c r="D67" s="14">
        <v>46189</v>
      </c>
      <c r="E67" s="15">
        <v>1612682</v>
      </c>
      <c r="F67" s="15" t="s">
        <v>15</v>
      </c>
      <c r="G67" s="5">
        <v>20316278</v>
      </c>
      <c r="H67" s="15" t="s">
        <v>36</v>
      </c>
      <c r="I67" s="6" t="s">
        <v>2</v>
      </c>
      <c r="J67" s="7" t="s">
        <v>2</v>
      </c>
      <c r="K67" s="15" t="s">
        <v>29</v>
      </c>
      <c r="L67" s="5">
        <v>6</v>
      </c>
      <c r="M67" s="5">
        <v>6</v>
      </c>
      <c r="N67" s="16">
        <v>8</v>
      </c>
      <c r="O67" s="16">
        <v>48</v>
      </c>
      <c r="P67" s="6" t="s">
        <v>2</v>
      </c>
      <c r="Q67" s="7" t="s">
        <v>2</v>
      </c>
      <c r="T67">
        <f t="shared" si="1"/>
        <v>8</v>
      </c>
    </row>
    <row r="68" customFormat="1" spans="4:20">
      <c r="D68" s="14">
        <v>46189</v>
      </c>
      <c r="E68" s="15">
        <v>1612682</v>
      </c>
      <c r="F68" s="15" t="s">
        <v>15</v>
      </c>
      <c r="G68" s="5">
        <v>20316280</v>
      </c>
      <c r="H68" s="15" t="s">
        <v>39</v>
      </c>
      <c r="I68" s="6" t="s">
        <v>2</v>
      </c>
      <c r="J68" s="7" t="s">
        <v>2</v>
      </c>
      <c r="K68" s="15" t="s">
        <v>25</v>
      </c>
      <c r="L68" s="5">
        <v>2</v>
      </c>
      <c r="M68" s="5">
        <v>2</v>
      </c>
      <c r="N68" s="16">
        <v>8</v>
      </c>
      <c r="O68" s="16">
        <v>16</v>
      </c>
      <c r="P68" s="6" t="s">
        <v>2</v>
      </c>
      <c r="Q68" s="7" t="s">
        <v>2</v>
      </c>
      <c r="T68">
        <f t="shared" si="1"/>
        <v>8</v>
      </c>
    </row>
    <row r="69" customFormat="1" spans="4:20">
      <c r="D69" s="14">
        <v>46189</v>
      </c>
      <c r="E69" s="15">
        <v>1612682</v>
      </c>
      <c r="F69" s="15" t="s">
        <v>15</v>
      </c>
      <c r="G69" s="5">
        <v>20316281</v>
      </c>
      <c r="H69" s="15" t="s">
        <v>40</v>
      </c>
      <c r="I69" s="6" t="s">
        <v>2</v>
      </c>
      <c r="J69" s="7" t="s">
        <v>2</v>
      </c>
      <c r="K69" s="15" t="s">
        <v>19</v>
      </c>
      <c r="L69" s="5">
        <v>1</v>
      </c>
      <c r="M69" s="5">
        <v>1</v>
      </c>
      <c r="N69" s="16">
        <v>8</v>
      </c>
      <c r="O69" s="16">
        <v>8</v>
      </c>
      <c r="P69" s="6" t="s">
        <v>2</v>
      </c>
      <c r="Q69" s="7" t="s">
        <v>2</v>
      </c>
      <c r="T69">
        <f t="shared" si="1"/>
        <v>8</v>
      </c>
    </row>
    <row r="70" customFormat="1" spans="4:20">
      <c r="D70" s="14">
        <v>46189</v>
      </c>
      <c r="E70" s="15">
        <v>1612682</v>
      </c>
      <c r="F70" s="15" t="s">
        <v>15</v>
      </c>
      <c r="G70" s="5">
        <v>20316285</v>
      </c>
      <c r="H70" s="15" t="s">
        <v>31</v>
      </c>
      <c r="I70" s="6" t="s">
        <v>2</v>
      </c>
      <c r="J70" s="7" t="s">
        <v>2</v>
      </c>
      <c r="K70" s="15" t="s">
        <v>17</v>
      </c>
      <c r="L70" s="5">
        <v>1</v>
      </c>
      <c r="M70" s="5">
        <v>1</v>
      </c>
      <c r="N70" s="16">
        <v>8</v>
      </c>
      <c r="O70" s="16">
        <v>8</v>
      </c>
      <c r="P70" s="6" t="s">
        <v>2</v>
      </c>
      <c r="Q70" s="7" t="s">
        <v>2</v>
      </c>
      <c r="T70">
        <f t="shared" si="1"/>
        <v>8</v>
      </c>
    </row>
    <row r="71" customFormat="1" spans="4:20">
      <c r="D71" s="14">
        <v>46189</v>
      </c>
      <c r="E71" s="15">
        <v>1612682</v>
      </c>
      <c r="F71" s="15" t="s">
        <v>41</v>
      </c>
      <c r="G71" s="5">
        <v>20316267</v>
      </c>
      <c r="H71" s="15" t="s">
        <v>42</v>
      </c>
      <c r="I71" s="6" t="s">
        <v>2</v>
      </c>
      <c r="J71" s="7" t="s">
        <v>2</v>
      </c>
      <c r="K71" s="15" t="s">
        <v>43</v>
      </c>
      <c r="L71" s="5">
        <v>1</v>
      </c>
      <c r="M71" s="5">
        <v>7</v>
      </c>
      <c r="N71" s="16">
        <v>38.5</v>
      </c>
      <c r="O71" s="16">
        <v>38.5</v>
      </c>
      <c r="P71" s="6" t="s">
        <v>2</v>
      </c>
      <c r="Q71" s="7" t="s">
        <v>2</v>
      </c>
      <c r="T71">
        <f t="shared" si="1"/>
        <v>5.5</v>
      </c>
    </row>
    <row r="72" customFormat="1" spans="4:20">
      <c r="D72" s="14">
        <v>46196</v>
      </c>
      <c r="E72" s="15">
        <v>1614424</v>
      </c>
      <c r="F72" s="15" t="s">
        <v>15</v>
      </c>
      <c r="G72" s="5">
        <v>20316282</v>
      </c>
      <c r="H72" s="15" t="s">
        <v>45</v>
      </c>
      <c r="I72" s="6" t="s">
        <v>2</v>
      </c>
      <c r="J72" s="7" t="s">
        <v>2</v>
      </c>
      <c r="K72" s="15" t="s">
        <v>25</v>
      </c>
      <c r="L72" s="5">
        <v>2</v>
      </c>
      <c r="M72" s="5">
        <v>2</v>
      </c>
      <c r="N72" s="16">
        <v>8</v>
      </c>
      <c r="O72" s="16">
        <v>16</v>
      </c>
      <c r="P72" s="6" t="s">
        <v>2</v>
      </c>
      <c r="Q72" s="7" t="s">
        <v>2</v>
      </c>
      <c r="T72">
        <f t="shared" si="1"/>
        <v>8</v>
      </c>
    </row>
    <row r="73" customFormat="1" spans="4:20">
      <c r="D73" s="14">
        <v>46196</v>
      </c>
      <c r="E73" s="15">
        <v>1614424</v>
      </c>
      <c r="F73" s="15" t="s">
        <v>15</v>
      </c>
      <c r="G73" s="5">
        <v>20316232</v>
      </c>
      <c r="H73" s="15" t="s">
        <v>30</v>
      </c>
      <c r="I73" s="6" t="s">
        <v>2</v>
      </c>
      <c r="J73" s="7" t="s">
        <v>2</v>
      </c>
      <c r="K73" s="15" t="s">
        <v>17</v>
      </c>
      <c r="L73" s="5">
        <v>1</v>
      </c>
      <c r="M73" s="5">
        <v>1</v>
      </c>
      <c r="N73" s="16">
        <v>8</v>
      </c>
      <c r="O73" s="16">
        <v>8</v>
      </c>
      <c r="P73" s="6" t="s">
        <v>2</v>
      </c>
      <c r="Q73" s="7" t="s">
        <v>2</v>
      </c>
      <c r="T73">
        <f t="shared" si="1"/>
        <v>8</v>
      </c>
    </row>
    <row r="74" customFormat="1" spans="4:20">
      <c r="D74" s="14">
        <v>46196</v>
      </c>
      <c r="E74" s="15">
        <v>1614424</v>
      </c>
      <c r="F74" s="15" t="s">
        <v>15</v>
      </c>
      <c r="G74" s="5">
        <v>20316279</v>
      </c>
      <c r="H74" s="15" t="s">
        <v>34</v>
      </c>
      <c r="I74" s="6" t="s">
        <v>2</v>
      </c>
      <c r="J74" s="7" t="s">
        <v>2</v>
      </c>
      <c r="K74" s="15" t="s">
        <v>19</v>
      </c>
      <c r="L74" s="5">
        <v>4</v>
      </c>
      <c r="M74" s="5">
        <v>4</v>
      </c>
      <c r="N74" s="16">
        <v>8</v>
      </c>
      <c r="O74" s="16">
        <v>32</v>
      </c>
      <c r="P74" s="6" t="s">
        <v>2</v>
      </c>
      <c r="Q74" s="7" t="s">
        <v>2</v>
      </c>
      <c r="T74">
        <f t="shared" si="1"/>
        <v>8</v>
      </c>
    </row>
    <row r="75" customFormat="1" spans="4:20">
      <c r="D75" s="14">
        <v>46196</v>
      </c>
      <c r="E75" s="15">
        <v>1614424</v>
      </c>
      <c r="F75" s="15" t="s">
        <v>15</v>
      </c>
      <c r="G75" s="5">
        <v>20316234</v>
      </c>
      <c r="H75" s="15" t="s">
        <v>35</v>
      </c>
      <c r="I75" s="6" t="s">
        <v>2</v>
      </c>
      <c r="J75" s="7" t="s">
        <v>2</v>
      </c>
      <c r="K75" s="15" t="s">
        <v>29</v>
      </c>
      <c r="L75" s="5">
        <v>2</v>
      </c>
      <c r="M75" s="5">
        <v>2</v>
      </c>
      <c r="N75" s="16">
        <v>8</v>
      </c>
      <c r="O75" s="16">
        <v>16</v>
      </c>
      <c r="P75" s="6" t="s">
        <v>2</v>
      </c>
      <c r="Q75" s="7" t="s">
        <v>2</v>
      </c>
      <c r="T75">
        <f t="shared" si="1"/>
        <v>8</v>
      </c>
    </row>
    <row r="76" customFormat="1" spans="4:20">
      <c r="D76" s="14">
        <v>46196</v>
      </c>
      <c r="E76" s="15">
        <v>1614424</v>
      </c>
      <c r="F76" s="15" t="s">
        <v>15</v>
      </c>
      <c r="G76" s="5">
        <v>20316278</v>
      </c>
      <c r="H76" s="15" t="s">
        <v>36</v>
      </c>
      <c r="I76" s="6" t="s">
        <v>2</v>
      </c>
      <c r="J76" s="7" t="s">
        <v>2</v>
      </c>
      <c r="K76" s="15" t="s">
        <v>29</v>
      </c>
      <c r="L76" s="5">
        <v>4</v>
      </c>
      <c r="M76" s="5">
        <v>4</v>
      </c>
      <c r="N76" s="16">
        <v>8</v>
      </c>
      <c r="O76" s="16">
        <v>32</v>
      </c>
      <c r="P76" s="6" t="s">
        <v>2</v>
      </c>
      <c r="Q76" s="7" t="s">
        <v>2</v>
      </c>
      <c r="T76">
        <f t="shared" si="1"/>
        <v>8</v>
      </c>
    </row>
    <row r="77" customFormat="1" spans="4:20">
      <c r="D77" s="14">
        <v>46196</v>
      </c>
      <c r="E77" s="15">
        <v>1614424</v>
      </c>
      <c r="F77" s="15" t="s">
        <v>15</v>
      </c>
      <c r="G77" s="5">
        <v>20316285</v>
      </c>
      <c r="H77" s="15" t="s">
        <v>31</v>
      </c>
      <c r="I77" s="6" t="s">
        <v>2</v>
      </c>
      <c r="J77" s="7" t="s">
        <v>2</v>
      </c>
      <c r="K77" s="15" t="s">
        <v>17</v>
      </c>
      <c r="L77" s="5">
        <v>2</v>
      </c>
      <c r="M77" s="5">
        <v>2</v>
      </c>
      <c r="N77" s="16">
        <v>8</v>
      </c>
      <c r="O77" s="16">
        <v>16</v>
      </c>
      <c r="P77" s="6" t="s">
        <v>2</v>
      </c>
      <c r="Q77" s="7" t="s">
        <v>2</v>
      </c>
      <c r="T77">
        <f t="shared" si="1"/>
        <v>8</v>
      </c>
    </row>
    <row r="78" customFormat="1" spans="4:20">
      <c r="D78" s="14">
        <v>46196</v>
      </c>
      <c r="E78" s="15">
        <v>1614424</v>
      </c>
      <c r="F78" s="15" t="s">
        <v>41</v>
      </c>
      <c r="G78" s="5">
        <v>20316267</v>
      </c>
      <c r="H78" s="15" t="s">
        <v>42</v>
      </c>
      <c r="I78" s="6" t="s">
        <v>2</v>
      </c>
      <c r="J78" s="7" t="s">
        <v>2</v>
      </c>
      <c r="K78" s="15" t="s">
        <v>43</v>
      </c>
      <c r="L78" s="5">
        <v>1</v>
      </c>
      <c r="M78" s="5">
        <v>7</v>
      </c>
      <c r="N78" s="16">
        <v>38.5</v>
      </c>
      <c r="O78" s="16">
        <v>38.5</v>
      </c>
      <c r="P78" s="6" t="s">
        <v>2</v>
      </c>
      <c r="Q78" s="7" t="s">
        <v>2</v>
      </c>
      <c r="T78">
        <f t="shared" si="1"/>
        <v>5.5</v>
      </c>
    </row>
    <row r="79" customFormat="1" spans="4:20">
      <c r="D79" s="14">
        <v>46203</v>
      </c>
      <c r="E79" s="15">
        <v>1616404</v>
      </c>
      <c r="F79" s="15" t="s">
        <v>15</v>
      </c>
      <c r="G79" s="5">
        <v>20316282</v>
      </c>
      <c r="H79" s="15" t="s">
        <v>45</v>
      </c>
      <c r="I79" s="6" t="s">
        <v>2</v>
      </c>
      <c r="J79" s="7" t="s">
        <v>2</v>
      </c>
      <c r="K79" s="15" t="s">
        <v>25</v>
      </c>
      <c r="L79" s="5">
        <v>1</v>
      </c>
      <c r="M79" s="5">
        <v>1</v>
      </c>
      <c r="N79" s="16">
        <v>8</v>
      </c>
      <c r="O79" s="16">
        <v>8</v>
      </c>
      <c r="P79" s="6" t="s">
        <v>2</v>
      </c>
      <c r="Q79" s="7" t="s">
        <v>2</v>
      </c>
      <c r="T79">
        <f t="shared" si="1"/>
        <v>8</v>
      </c>
    </row>
    <row r="80" customFormat="1" spans="4:20">
      <c r="D80" s="14">
        <v>46203</v>
      </c>
      <c r="E80" s="15">
        <v>1616404</v>
      </c>
      <c r="F80" s="15" t="s">
        <v>15</v>
      </c>
      <c r="G80" s="5">
        <v>20316279</v>
      </c>
      <c r="H80" s="15" t="s">
        <v>34</v>
      </c>
      <c r="I80" s="6" t="s">
        <v>2</v>
      </c>
      <c r="J80" s="7" t="s">
        <v>2</v>
      </c>
      <c r="K80" s="15" t="s">
        <v>19</v>
      </c>
      <c r="L80" s="5">
        <v>8</v>
      </c>
      <c r="M80" s="5">
        <v>8</v>
      </c>
      <c r="N80" s="16">
        <v>8</v>
      </c>
      <c r="O80" s="16">
        <v>64</v>
      </c>
      <c r="P80" s="6" t="s">
        <v>2</v>
      </c>
      <c r="Q80" s="7" t="s">
        <v>2</v>
      </c>
      <c r="T80">
        <f t="shared" si="1"/>
        <v>8</v>
      </c>
    </row>
    <row r="81" customFormat="1" spans="4:20">
      <c r="D81" s="14">
        <v>46203</v>
      </c>
      <c r="E81" s="15">
        <v>1616404</v>
      </c>
      <c r="F81" s="15" t="s">
        <v>15</v>
      </c>
      <c r="G81" s="5">
        <v>20316278</v>
      </c>
      <c r="H81" s="15" t="s">
        <v>36</v>
      </c>
      <c r="I81" s="6" t="s">
        <v>2</v>
      </c>
      <c r="J81" s="7" t="s">
        <v>2</v>
      </c>
      <c r="K81" s="15" t="s">
        <v>29</v>
      </c>
      <c r="L81" s="5">
        <v>8</v>
      </c>
      <c r="M81" s="5">
        <v>8</v>
      </c>
      <c r="N81" s="16">
        <v>8</v>
      </c>
      <c r="O81" s="16">
        <v>64</v>
      </c>
      <c r="P81" s="6" t="s">
        <v>2</v>
      </c>
      <c r="Q81" s="7" t="s">
        <v>2</v>
      </c>
      <c r="T81">
        <f t="shared" si="1"/>
        <v>8</v>
      </c>
    </row>
    <row r="82" customFormat="1" spans="4:20">
      <c r="D82" s="14">
        <v>46203</v>
      </c>
      <c r="E82" s="15">
        <v>1616404</v>
      </c>
      <c r="F82" s="15" t="s">
        <v>15</v>
      </c>
      <c r="G82" s="5">
        <v>20316280</v>
      </c>
      <c r="H82" s="15" t="s">
        <v>39</v>
      </c>
      <c r="I82" s="6" t="s">
        <v>2</v>
      </c>
      <c r="J82" s="7" t="s">
        <v>2</v>
      </c>
      <c r="K82" s="15" t="s">
        <v>25</v>
      </c>
      <c r="L82" s="5">
        <v>2</v>
      </c>
      <c r="M82" s="5">
        <v>2</v>
      </c>
      <c r="N82" s="16">
        <v>8</v>
      </c>
      <c r="O82" s="16">
        <v>16</v>
      </c>
      <c r="P82" s="6" t="s">
        <v>2</v>
      </c>
      <c r="Q82" s="7" t="s">
        <v>2</v>
      </c>
      <c r="T82">
        <f t="shared" si="1"/>
        <v>8</v>
      </c>
    </row>
    <row r="83" customFormat="1" spans="4:20">
      <c r="D83" s="14">
        <v>46203</v>
      </c>
      <c r="E83" s="15">
        <v>1616404</v>
      </c>
      <c r="F83" s="15" t="s">
        <v>15</v>
      </c>
      <c r="G83" s="5">
        <v>20316285</v>
      </c>
      <c r="H83" s="15" t="s">
        <v>31</v>
      </c>
      <c r="I83" s="6" t="s">
        <v>2</v>
      </c>
      <c r="J83" s="7" t="s">
        <v>2</v>
      </c>
      <c r="K83" s="15" t="s">
        <v>17</v>
      </c>
      <c r="L83" s="5">
        <v>3</v>
      </c>
      <c r="M83" s="5">
        <v>3</v>
      </c>
      <c r="N83" s="16">
        <v>8</v>
      </c>
      <c r="O83" s="16">
        <v>24</v>
      </c>
      <c r="P83" s="6" t="s">
        <v>2</v>
      </c>
      <c r="Q83" s="7" t="s">
        <v>2</v>
      </c>
      <c r="T83">
        <f t="shared" si="1"/>
        <v>8</v>
      </c>
    </row>
    <row r="84" customFormat="1" spans="4:20">
      <c r="D84" s="14">
        <v>46203</v>
      </c>
      <c r="E84" s="15">
        <v>1616404</v>
      </c>
      <c r="F84" s="15" t="s">
        <v>15</v>
      </c>
      <c r="G84" s="5">
        <v>20316288</v>
      </c>
      <c r="H84" s="15" t="s">
        <v>44</v>
      </c>
      <c r="I84" s="6" t="s">
        <v>2</v>
      </c>
      <c r="J84" s="7" t="s">
        <v>2</v>
      </c>
      <c r="K84" s="15" t="s">
        <v>17</v>
      </c>
      <c r="L84" s="5">
        <v>2</v>
      </c>
      <c r="M84" s="5">
        <v>2</v>
      </c>
      <c r="N84" s="16">
        <v>8</v>
      </c>
      <c r="O84" s="16">
        <v>16</v>
      </c>
      <c r="P84" s="6" t="s">
        <v>2</v>
      </c>
      <c r="Q84" s="7" t="s">
        <v>2</v>
      </c>
      <c r="T84">
        <f t="shared" si="1"/>
        <v>8</v>
      </c>
    </row>
    <row r="85" customFormat="1" spans="4:20">
      <c r="D85" s="14">
        <v>46203</v>
      </c>
      <c r="E85" s="15">
        <v>1616404</v>
      </c>
      <c r="F85" s="15" t="s">
        <v>41</v>
      </c>
      <c r="G85" s="5">
        <v>20316267</v>
      </c>
      <c r="H85" s="15" t="s">
        <v>42</v>
      </c>
      <c r="I85" s="6" t="s">
        <v>2</v>
      </c>
      <c r="J85" s="7" t="s">
        <v>2</v>
      </c>
      <c r="K85" s="15" t="s">
        <v>43</v>
      </c>
      <c r="L85" s="5">
        <v>1</v>
      </c>
      <c r="M85" s="5">
        <v>7</v>
      </c>
      <c r="N85" s="16">
        <v>38.5</v>
      </c>
      <c r="O85" s="16">
        <v>38.5</v>
      </c>
      <c r="P85" s="6" t="s">
        <v>2</v>
      </c>
      <c r="Q85" s="7" t="s">
        <v>2</v>
      </c>
      <c r="T85">
        <f t="shared" si="1"/>
        <v>5.5</v>
      </c>
    </row>
    <row r="86" customFormat="1" ht="0.05" customHeight="1" spans="4:20">
      <c r="T86" t="e">
        <f t="shared" si="1"/>
        <v>#DIV/0!</v>
      </c>
    </row>
    <row r="87" customFormat="1" spans="4:20">
      <c r="T87" t="e">
        <f t="shared" si="1"/>
        <v>#DIV/0!</v>
      </c>
    </row>
    <row r="88" customFormat="1" ht="14.25" spans="4:20">
      <c r="D88" s="11" t="s">
        <v>46</v>
      </c>
      <c r="E88" s="6" t="s">
        <v>2</v>
      </c>
      <c r="F88" s="6" t="s">
        <v>2</v>
      </c>
      <c r="G88" s="6" t="s">
        <v>2</v>
      </c>
      <c r="H88" s="6" t="s">
        <v>2</v>
      </c>
      <c r="I88" s="6" t="s">
        <v>2</v>
      </c>
      <c r="J88" s="6" t="s">
        <v>2</v>
      </c>
      <c r="K88" s="7" t="s">
        <v>2</v>
      </c>
      <c r="L88" s="12">
        <v>7</v>
      </c>
      <c r="M88" s="12">
        <v>25</v>
      </c>
      <c r="N88" s="13">
        <v>107</v>
      </c>
      <c r="O88" s="13">
        <v>155</v>
      </c>
      <c r="P88" s="6" t="s">
        <v>2</v>
      </c>
      <c r="Q88" s="7" t="s">
        <v>2</v>
      </c>
      <c r="T88">
        <f t="shared" si="1"/>
        <v>6.2</v>
      </c>
    </row>
    <row r="89" customFormat="1" spans="4:20">
      <c r="D89" s="14">
        <v>46189</v>
      </c>
      <c r="E89" s="15">
        <v>1612683</v>
      </c>
      <c r="F89" s="15" t="s">
        <v>15</v>
      </c>
      <c r="G89" s="5">
        <v>20316259</v>
      </c>
      <c r="H89" s="15" t="s">
        <v>47</v>
      </c>
      <c r="I89" s="6" t="s">
        <v>2</v>
      </c>
      <c r="J89" s="7" t="s">
        <v>2</v>
      </c>
      <c r="K89" s="15" t="s">
        <v>48</v>
      </c>
      <c r="L89" s="5">
        <v>1</v>
      </c>
      <c r="M89" s="5">
        <v>1</v>
      </c>
      <c r="N89" s="16">
        <v>11</v>
      </c>
      <c r="O89" s="16">
        <v>11</v>
      </c>
      <c r="P89" s="6" t="s">
        <v>2</v>
      </c>
      <c r="Q89" s="7" t="s">
        <v>2</v>
      </c>
      <c r="T89">
        <f t="shared" si="1"/>
        <v>11</v>
      </c>
    </row>
    <row r="90" customFormat="1" spans="4:20">
      <c r="D90" s="14">
        <v>46189</v>
      </c>
      <c r="E90" s="15">
        <v>1612683</v>
      </c>
      <c r="F90" s="15" t="s">
        <v>41</v>
      </c>
      <c r="G90" s="5">
        <v>20325147</v>
      </c>
      <c r="H90" s="15" t="s">
        <v>49</v>
      </c>
      <c r="I90" s="6" t="s">
        <v>2</v>
      </c>
      <c r="J90" s="7" t="s">
        <v>2</v>
      </c>
      <c r="K90" s="15" t="s">
        <v>43</v>
      </c>
      <c r="L90" s="5">
        <v>2</v>
      </c>
      <c r="M90" s="5">
        <v>16</v>
      </c>
      <c r="N90" s="16">
        <v>44</v>
      </c>
      <c r="O90" s="16">
        <v>88</v>
      </c>
      <c r="P90" s="6" t="s">
        <v>2</v>
      </c>
      <c r="Q90" s="7" t="s">
        <v>2</v>
      </c>
      <c r="T90">
        <f t="shared" si="1"/>
        <v>5.5</v>
      </c>
    </row>
    <row r="91" customFormat="1" spans="4:20">
      <c r="D91" s="14">
        <v>46189</v>
      </c>
      <c r="E91" s="15">
        <v>1612683</v>
      </c>
      <c r="F91" s="15" t="s">
        <v>50</v>
      </c>
      <c r="G91" s="5">
        <v>20316265</v>
      </c>
      <c r="H91" s="15" t="s">
        <v>51</v>
      </c>
      <c r="I91" s="6" t="s">
        <v>2</v>
      </c>
      <c r="J91" s="7" t="s">
        <v>2</v>
      </c>
      <c r="K91" s="15" t="s">
        <v>52</v>
      </c>
      <c r="L91" s="5">
        <v>2</v>
      </c>
      <c r="M91" s="5">
        <v>0</v>
      </c>
      <c r="N91" s="16">
        <v>4</v>
      </c>
      <c r="O91" s="16">
        <v>8</v>
      </c>
      <c r="P91" s="6" t="s">
        <v>2</v>
      </c>
      <c r="Q91" s="7" t="s">
        <v>2</v>
      </c>
      <c r="T91" t="e">
        <f t="shared" si="1"/>
        <v>#DIV/0!</v>
      </c>
    </row>
    <row r="92" customFormat="1" spans="4:20">
      <c r="D92" s="14">
        <v>46196</v>
      </c>
      <c r="E92" s="15">
        <v>1614425</v>
      </c>
      <c r="F92" s="15" t="s">
        <v>41</v>
      </c>
      <c r="G92" s="5">
        <v>20325147</v>
      </c>
      <c r="H92" s="15" t="s">
        <v>49</v>
      </c>
      <c r="I92" s="6" t="s">
        <v>2</v>
      </c>
      <c r="J92" s="7" t="s">
        <v>2</v>
      </c>
      <c r="K92" s="15" t="s">
        <v>43</v>
      </c>
      <c r="L92" s="5">
        <v>1</v>
      </c>
      <c r="M92" s="5">
        <v>8</v>
      </c>
      <c r="N92" s="16">
        <v>44</v>
      </c>
      <c r="O92" s="16">
        <v>44</v>
      </c>
      <c r="P92" s="6" t="s">
        <v>2</v>
      </c>
      <c r="Q92" s="7" t="s">
        <v>2</v>
      </c>
      <c r="T92">
        <f t="shared" si="1"/>
        <v>5.5</v>
      </c>
    </row>
    <row r="93" customFormat="1" spans="4:20">
      <c r="D93" s="14">
        <v>46196</v>
      </c>
      <c r="E93" s="15">
        <v>1614425</v>
      </c>
      <c r="F93" s="15" t="s">
        <v>50</v>
      </c>
      <c r="G93" s="5">
        <v>20316265</v>
      </c>
      <c r="H93" s="15" t="s">
        <v>51</v>
      </c>
      <c r="I93" s="6" t="s">
        <v>2</v>
      </c>
      <c r="J93" s="7" t="s">
        <v>2</v>
      </c>
      <c r="K93" s="15" t="s">
        <v>52</v>
      </c>
      <c r="L93" s="5">
        <v>1</v>
      </c>
      <c r="M93" s="5">
        <v>0</v>
      </c>
      <c r="N93" s="16">
        <v>4</v>
      </c>
      <c r="O93" s="16">
        <v>4</v>
      </c>
      <c r="P93" s="6" t="s">
        <v>2</v>
      </c>
      <c r="Q93" s="7" t="s">
        <v>2</v>
      </c>
      <c r="T93" t="e">
        <f t="shared" si="1"/>
        <v>#DIV/0!</v>
      </c>
    </row>
    <row r="94" spans="4:20">
      <c r="T94" t="e">
        <f t="shared" si="1"/>
        <v>#DIV/0!</v>
      </c>
    </row>
  </sheetData>
  <autoFilter xmlns:etc="http://www.wps.cn/officeDocument/2017/etCustomData" ref="T1:T94" etc:filterBottomFollowUsedRange="0">
    <extLst/>
  </autoFilter>
  <mergeCells count="16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D50:K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D88:K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C10:C47"/>
    <mergeCell ref="P2:P4"/>
    <mergeCell ref="C1:I2"/>
    <mergeCell ref="B4:H5"/>
    <mergeCell ref="A8:B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12:38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2026-08-14T04:38:49Z</dcterms:created>
  <dcterms:modified xsi:type="dcterms:W3CDTF">2026-08-14T04:40:26Z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B899650C9FD04F4EBE3C52C84B6EF606_13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