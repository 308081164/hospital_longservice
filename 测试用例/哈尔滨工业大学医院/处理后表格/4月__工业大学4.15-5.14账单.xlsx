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妇科门诊" sheetId="1" r:id="rId1"/>
    <sheet name="急诊科" sheetId="2" r:id="rId2"/>
    <sheet name="口腔科（4楼韩宗凯）" sheetId="3" r:id="rId3"/>
    <sheet name="口腔科（4楼姜杨杨）" sheetId="4" r:id="rId4"/>
    <sheet name="口腔科（4楼金华）" sheetId="5" r:id="rId5"/>
    <sheet name="口腔科（4楼宋雪婧）" sheetId="6" r:id="rId6"/>
    <sheet name="口腔科（4楼于金彪）" sheetId="7" r:id="rId7"/>
    <sheet name="口腔科（5楼白雪）" sheetId="8" r:id="rId8"/>
    <sheet name="口腔科（5楼刘冰）" sheetId="9" r:id="rId9"/>
    <sheet name="口腔科（5楼刘升臣）" sheetId="10" r:id="rId10"/>
    <sheet name="口腔科（5楼穆美玲）" sheetId="11" r:id="rId11"/>
    <sheet name="口腔科（5楼潘昕霞）" sheetId="12" r:id="rId12"/>
    <sheet name="口腔科（5楼姚金辉）" sheetId="13" r:id="rId13"/>
    <sheet name="口腔科（5楼张冬青）" sheetId="14" r:id="rId14"/>
    <sheet name="口腔科（5楼钟志奇）" sheetId="15" r:id="rId15"/>
    <sheet name="口腔科（5楼朱晓丽）" sheetId="16" r:id="rId16"/>
    <sheet name="口腔科（公共二）" sheetId="17" r:id="rId17"/>
    <sheet name="口腔科（公共一）" sheetId="18" r:id="rId18"/>
    <sheet name="口腔科（种植诊室）" sheetId="19" r:id="rId19"/>
    <sheet name="手术室" sheetId="20" r:id="rId20"/>
    <sheet name="外科病房" sheetId="21" r:id="rId21"/>
    <sheet name="五官科" sheetId="22" r:id="rId22"/>
    <sheet name="中医皮肤" sheetId="23" r:id="rId23"/>
    <sheet name="加急" sheetId="24" r:id="rId24"/>
    <sheet name="费用调整" sheetId="25" r:id="rId25"/>
    <sheet name="外来器械" sheetId="26" r:id="rId26"/>
  </sheets>
  <definedNames>
    <definedName name="_xlnm._FilterDatabase" localSheetId="0" hidden="1">妇科门诊!$A$9:$K$29</definedName>
    <definedName name="_xlnm._FilterDatabase" localSheetId="1" hidden="1">急诊科!$J$1:$J$40</definedName>
    <definedName name="_xlnm._FilterDatabase" localSheetId="2" hidden="1">'口腔科（4楼韩宗凯）'!$J$1:$J$95</definedName>
    <definedName name="_xlnm._FilterDatabase" localSheetId="3" hidden="1">'口腔科（4楼姜杨杨）'!$A$7:$K$217</definedName>
    <definedName name="_xlnm._FilterDatabase" localSheetId="4" hidden="1">'口腔科（4楼金华）'!$A$7:$K$160</definedName>
    <definedName name="_xlnm._FilterDatabase" localSheetId="5" hidden="1">'口腔科（4楼宋雪婧）'!$A$7:$K$120</definedName>
    <definedName name="_xlnm._FilterDatabase" localSheetId="6" hidden="1">'口腔科（4楼于金彪）'!$A$7:$K$150</definedName>
    <definedName name="_xlnm._FilterDatabase" localSheetId="7" hidden="1">'口腔科（5楼白雪）'!$A$7:$K$50</definedName>
    <definedName name="_xlnm._FilterDatabase" localSheetId="8" hidden="1">'口腔科（5楼刘冰）'!$A$7:$K$144</definedName>
    <definedName name="_xlnm._FilterDatabase" localSheetId="9" hidden="1">'口腔科（5楼刘升臣）'!$A$7:$K$112</definedName>
    <definedName name="_xlnm._FilterDatabase" localSheetId="10" hidden="1">'口腔科（5楼穆美玲）'!$A$7:$K$122</definedName>
    <definedName name="_xlnm._FilterDatabase" localSheetId="11" hidden="1">'口腔科（5楼潘昕霞）'!$A$7:$K$16</definedName>
    <definedName name="_xlnm._FilterDatabase" localSheetId="12" hidden="1">'口腔科（5楼姚金辉）'!$A$7:$K$91</definedName>
    <definedName name="_xlnm._FilterDatabase" localSheetId="13" hidden="1">'口腔科（5楼张冬青）'!$A$7:$K$212</definedName>
    <definedName name="_xlnm._FilterDatabase" localSheetId="14" hidden="1">'口腔科（5楼钟志奇）'!$A$7:$K$85</definedName>
    <definedName name="_xlnm._FilterDatabase" localSheetId="15" hidden="1">'口腔科（5楼朱晓丽）'!$A$7:$K$93</definedName>
    <definedName name="_xlnm._FilterDatabase" localSheetId="16" hidden="1">'口腔科（公共二）'!$A$7:$K$33</definedName>
    <definedName name="_xlnm._FilterDatabase" localSheetId="17" hidden="1">'口腔科（公共一）'!$A$7:$K$269</definedName>
    <definedName name="_xlnm._FilterDatabase" localSheetId="18" hidden="1">'口腔科（种植诊室）'!$A$7:$K$38</definedName>
    <definedName name="_xlnm._FilterDatabase" localSheetId="19" hidden="1">手术室!$A$7:$K$139</definedName>
    <definedName name="_xlnm._FilterDatabase" localSheetId="20" hidden="1">外科病房!$A$7:$K$30</definedName>
    <definedName name="_xlnm._FilterDatabase" localSheetId="21" hidden="1">五官科!$A$7:$K$87</definedName>
    <definedName name="_xlnm._FilterDatabase" localSheetId="22" hidden="1">中医皮肤!$A$7:$K$42</definedName>
    <definedName name="_xlnm.Print_Titles" localSheetId="0">妇科门诊!$1:$6</definedName>
    <definedName name="_xlnm.Print_Titles" localSheetId="1">急诊科!$1:$6</definedName>
    <definedName name="_xlnm.Print_Titles" localSheetId="2">'口腔科（4楼韩宗凯）'!$1:$6</definedName>
    <definedName name="_xlnm.Print_Titles" localSheetId="3">'口腔科（4楼姜杨杨）'!$1:$6</definedName>
    <definedName name="_xlnm.Print_Titles" localSheetId="4">'口腔科（4楼金华）'!$1:$6</definedName>
    <definedName name="_xlnm.Print_Titles" localSheetId="5">'口腔科（4楼宋雪婧）'!$1:$6</definedName>
    <definedName name="_xlnm.Print_Titles" localSheetId="6">'口腔科（4楼于金彪）'!$1:$6</definedName>
    <definedName name="_xlnm.Print_Titles" localSheetId="7">'口腔科（5楼白雪）'!$1:$6</definedName>
    <definedName name="_xlnm.Print_Titles" localSheetId="8">'口腔科（5楼刘冰）'!$1:$6</definedName>
    <definedName name="_xlnm.Print_Titles" localSheetId="9">'口腔科（5楼刘升臣）'!$1:$6</definedName>
    <definedName name="_xlnm.Print_Titles" localSheetId="10">'口腔科（5楼穆美玲）'!$1:$6</definedName>
    <definedName name="_xlnm.Print_Titles" localSheetId="11">'口腔科（5楼潘昕霞）'!$1:$6</definedName>
    <definedName name="_xlnm.Print_Titles" localSheetId="12">'口腔科（5楼姚金辉）'!$1:$6</definedName>
    <definedName name="_xlnm.Print_Titles" localSheetId="13">'口腔科（5楼张冬青）'!$1:$6</definedName>
    <definedName name="_xlnm.Print_Titles" localSheetId="14">'口腔科（5楼钟志奇）'!$1:$6</definedName>
    <definedName name="_xlnm.Print_Titles" localSheetId="15">'口腔科（5楼朱晓丽）'!$1:$6</definedName>
    <definedName name="_xlnm.Print_Titles" localSheetId="16">'口腔科（公共二）'!$1:$6</definedName>
    <definedName name="_xlnm.Print_Titles" localSheetId="17">'口腔科（公共一）'!$1:$6</definedName>
    <definedName name="_xlnm.Print_Titles" localSheetId="18">'口腔科（种植诊室）'!$1:$6</definedName>
    <definedName name="_xlnm.Print_Titles" localSheetId="19">手术室!$1:$6</definedName>
    <definedName name="_xlnm.Print_Titles" localSheetId="20">外科病房!$1:$6</definedName>
    <definedName name="_xlnm.Print_Titles" localSheetId="21">五官科!$1:$6</definedName>
    <definedName name="_xlnm.Print_Titles" localSheetId="22">中医皮肤!$1:$6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<sst xmlns="http://schemas.openxmlformats.org/spreadsheetml/2006/main" count="4967" uniqueCount="237">
  <si>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</si>
  <si>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2026/5/14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</si>
  <si>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</si>
  <si>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哈尔滨工业大学医院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</si>
  <si>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</si>
  <si>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</si>
  <si>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</si>
  <si>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</si>
  <si>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</si>
  <si>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</si>
  <si>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</si>
  <si>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</si>
  <si>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妇科门诊</t>
  </si>
  <si>
    <t>额外包(无纺布)</t>
  </si>
  <si>
    <t>卵圆钳-10/W6050</t>
  </si>
  <si>
    <t>其他钳子-10/W6050</t>
  </si>
  <si>
    <t>敷料包(纸塑袋)</t>
  </si>
  <si>
    <t>棉球（带线）</t>
  </si>
  <si>
    <t>急诊科</t>
  </si>
  <si>
    <t>器械包</t>
  </si>
  <si>
    <t>缝合包</t>
  </si>
  <si>
    <t>额外包(纸塑袋)</t>
  </si>
  <si>
    <t>剪刀-1/Z1029</t>
  </si>
  <si>
    <t>止血钳-1/Z1029</t>
  </si>
  <si>
    <t>纱布/Z1020</t>
  </si>
  <si>
    <t>气管套管-4/Z1020</t>
  </si>
  <si>
    <t>气管切开包-10/W6050</t>
  </si>
  <si>
    <t>口腔科（4楼韩宗凯）</t>
  </si>
  <si>
    <t>测量尺-1/z7526</t>
  </si>
  <si>
    <t>反光板-1/保Z1526</t>
  </si>
  <si>
    <t>杆-1（标签别遮挡色圈！）/Z7526</t>
  </si>
  <si>
    <t>手机-1件/z7526</t>
  </si>
  <si>
    <t>橡皮障夹子-1/Z7520</t>
  </si>
  <si>
    <t>橡皮障钳子-1/Z1526</t>
  </si>
  <si>
    <t>橡皮障架-1/W6050</t>
  </si>
  <si>
    <t>车针架1针10/Z1026</t>
  </si>
  <si>
    <t>拉钩-1/Z1029</t>
  </si>
  <si>
    <t>马达-1/Z7520</t>
  </si>
  <si>
    <t>机扩针架1针10/Z1020</t>
  </si>
  <si>
    <t>车针-10/z7520</t>
  </si>
  <si>
    <t>车针架1针5/Z1026</t>
  </si>
  <si>
    <t>口镜-1/保/Z7526</t>
  </si>
  <si>
    <t>拉钩-2/Z1029</t>
  </si>
  <si>
    <t>钳子-1/Z1526</t>
  </si>
  <si>
    <t>车针-1/z7520</t>
  </si>
  <si>
    <t>铁片-1/Z1530</t>
  </si>
  <si>
    <t>机扩针架1针6/Z1020</t>
  </si>
  <si>
    <t>开口器-1/z1526</t>
  </si>
  <si>
    <t>手柄-2/Z1026</t>
  </si>
  <si>
    <t>磨牙片-1/Z7520</t>
  </si>
  <si>
    <t>口腔科（4楼姜杨杨）</t>
  </si>
  <si>
    <t>托盘-1/Z1526</t>
  </si>
  <si>
    <t>小剪刀-1/Z7526</t>
  </si>
  <si>
    <t>去冠器头-1/Z7520</t>
  </si>
  <si>
    <t>注射器-1/Z1026</t>
  </si>
  <si>
    <t>拔牙挺-1/Z7526</t>
  </si>
  <si>
    <t>拔牙钳-1/Z1029</t>
  </si>
  <si>
    <t>口腔科（4楼金华）</t>
  </si>
  <si>
    <t>裂针-1件/z7520</t>
  </si>
  <si>
    <t>车针-2/z7520</t>
  </si>
  <si>
    <t>机扩针架1针4/Z1020</t>
  </si>
  <si>
    <t>成型夹-1/Z7520</t>
  </si>
  <si>
    <t>成型片夹-1/Z7520</t>
  </si>
  <si>
    <t>镊子缸-1件/Z2044</t>
  </si>
  <si>
    <t>手柄-1/Z1026</t>
  </si>
  <si>
    <t>机扩针架1针5/Z1020</t>
  </si>
  <si>
    <t>器械架1杆4/z1530</t>
  </si>
  <si>
    <t>机扩针架1针1/Z1020</t>
  </si>
  <si>
    <t>车针-4/z7520</t>
  </si>
  <si>
    <t>口腔科（4楼宋雪婧）</t>
  </si>
  <si>
    <t>车针-5/z7520</t>
  </si>
  <si>
    <t>口腔科（4楼于金彪）</t>
  </si>
  <si>
    <t>机扩针架1针3/Z1020</t>
  </si>
  <si>
    <t>机扩针架1针2/Z1020</t>
  </si>
  <si>
    <t>裂针-4件/z7520</t>
  </si>
  <si>
    <t>口腔科（5楼白雪）</t>
  </si>
  <si>
    <t>镜子-1/Z1520</t>
  </si>
  <si>
    <t>三枪头-1/Z7520</t>
  </si>
  <si>
    <t>口腔科（5楼刘冰）</t>
  </si>
  <si>
    <t>吸唾管-1/Z7534</t>
  </si>
  <si>
    <t>车针-3/z7520</t>
  </si>
  <si>
    <t>口腔科（5楼刘升臣）</t>
  </si>
  <si>
    <t>标尺-1/z7526</t>
  </si>
  <si>
    <t>口腔科（5楼穆美玲）</t>
  </si>
  <si>
    <t>针架1/Z1020</t>
  </si>
  <si>
    <t>口腔科（5楼潘昕霞）</t>
  </si>
  <si>
    <t>口腔科（5楼姚金辉）</t>
  </si>
  <si>
    <t>口腔科（5楼张冬青）</t>
  </si>
  <si>
    <t>扳手-1/Z7520</t>
  </si>
  <si>
    <t>螺丝起-1/Z7526</t>
  </si>
  <si>
    <t>愈合基台-1件/Z7520</t>
  </si>
  <si>
    <t>锤子-1/W6050</t>
  </si>
  <si>
    <t>口腔科（5楼钟志奇）</t>
  </si>
  <si>
    <t>机扩针架1针8/Z1020</t>
  </si>
  <si>
    <t>机扩针架1针7/Z1020</t>
  </si>
  <si>
    <t>口腔科（5楼朱晓丽）</t>
  </si>
  <si>
    <t>口腔科（公共二）</t>
  </si>
  <si>
    <t>口腔科（公共一）</t>
  </si>
  <si>
    <t>手术包大-9件</t>
  </si>
  <si>
    <t>剥离子-1/Z7534</t>
  </si>
  <si>
    <t>持针器-1/Z1026</t>
  </si>
  <si>
    <t>唇钩-1/Z7520</t>
  </si>
  <si>
    <t>金冠剪-1/Z1026</t>
  </si>
  <si>
    <t>手术包小-3件/W6050</t>
  </si>
  <si>
    <t>毛巾-2（卷状）/Z2032</t>
  </si>
  <si>
    <t>碗-1/Z2530</t>
  </si>
  <si>
    <t>镊子-1/Z7530</t>
  </si>
  <si>
    <t>口腔科（种植诊室）</t>
  </si>
  <si>
    <t>三角尺-1/Z1026</t>
  </si>
  <si>
    <t>种植手机-1件/z7526</t>
  </si>
  <si>
    <t>器械包(ZSD)</t>
  </si>
  <si>
    <t>种植手术包</t>
  </si>
  <si>
    <t>DT种植盒-31件 盒1/w6050</t>
  </si>
  <si>
    <t>单包装包</t>
  </si>
  <si>
    <t>ITI种植盒-31件 盒1/w7050</t>
  </si>
  <si>
    <t>菠萝钻-1/Z7520</t>
  </si>
  <si>
    <t>球钻-1/Z7520</t>
  </si>
  <si>
    <t>去骨钻-1/Z7520</t>
  </si>
  <si>
    <t>骨挤压器-3件/W6050</t>
  </si>
  <si>
    <t>手术室</t>
  </si>
  <si>
    <t>包皮包</t>
  </si>
  <si>
    <t>持物钳罐-2/Z2044</t>
  </si>
  <si>
    <t>器械包(低温等离子)</t>
  </si>
  <si>
    <t>胆囊包24件（盒1）</t>
  </si>
  <si>
    <t>单包装包(老肯低温)</t>
  </si>
  <si>
    <t>4K镜头30度-1/Z2060</t>
  </si>
  <si>
    <t>腹腔镜器械</t>
  </si>
  <si>
    <t>擦手巾/Z3044</t>
  </si>
  <si>
    <t>体表包</t>
  </si>
  <si>
    <t>压线布/Z1535</t>
  </si>
  <si>
    <t>大盆1，小盆2/W7050</t>
  </si>
  <si>
    <t>弯盘3麻杯2/W6050</t>
  </si>
  <si>
    <t>清创包</t>
  </si>
  <si>
    <t>肛门拉钩-1/Z2032</t>
  </si>
  <si>
    <t>肛门拉钩-4件/W6050</t>
  </si>
  <si>
    <t>清创包-7件/W9050</t>
  </si>
  <si>
    <t>手科包-8件/W6050</t>
  </si>
  <si>
    <t>刮勺-1/z7534</t>
  </si>
  <si>
    <t>弯盘-1/Z2032</t>
  </si>
  <si>
    <t>骨科租赁器械包-不带植入物</t>
  </si>
  <si>
    <t>姚元浩-取出器械  1/1</t>
  </si>
  <si>
    <t>普外加件-6件/w6050</t>
  </si>
  <si>
    <t>胃肠阑尾</t>
  </si>
  <si>
    <t>剖探包</t>
  </si>
  <si>
    <t>S拉钩-2/W7050</t>
  </si>
  <si>
    <t>美容器械-6/W6050</t>
  </si>
  <si>
    <t>擦手巾/Z2032</t>
  </si>
  <si>
    <t>克氏针3.0-3/Z7530</t>
  </si>
  <si>
    <t>剥离子-3/W6050</t>
  </si>
  <si>
    <t>咬骨钳-1/W6050</t>
  </si>
  <si>
    <t>凿子包-8/W6050</t>
  </si>
  <si>
    <t>额外包(低温等离子)</t>
  </si>
  <si>
    <t>灯把-1/Z2040</t>
  </si>
  <si>
    <t>驱血带-1/Z2030</t>
  </si>
  <si>
    <t>内固定取出包</t>
  </si>
  <si>
    <t>胸科包-18件</t>
  </si>
  <si>
    <t>克扣钳-1/Z1029</t>
  </si>
  <si>
    <t>眼科剪刀-1/Z7526</t>
  </si>
  <si>
    <t>止血钳-2/Z1530</t>
  </si>
  <si>
    <t>骨科螺丝刀-2/Z1535</t>
  </si>
  <si>
    <t>克氏针-5/Z7530</t>
  </si>
  <si>
    <t>克氏针-6/Z7530</t>
  </si>
  <si>
    <t>凿子-1/Z7530</t>
  </si>
  <si>
    <t>S拉钩-3/W7050</t>
  </si>
  <si>
    <t>克氏针48钢丝4/W6050</t>
  </si>
  <si>
    <t>拉丝线锯-8/W6050</t>
  </si>
  <si>
    <t>取髓内针-4/W7050</t>
  </si>
  <si>
    <t>爪钩-3/W6050</t>
  </si>
  <si>
    <t>爪钩包-2/W6050</t>
  </si>
  <si>
    <t>克氏针-3/z7534</t>
  </si>
  <si>
    <t>备用螺丝刀-7/W6050</t>
  </si>
  <si>
    <t>显微器械-17筐1/W6050</t>
  </si>
  <si>
    <t>穿刺器-2件/z1530</t>
  </si>
  <si>
    <t>电凝钩 导线-2/Z3044</t>
  </si>
  <si>
    <t>气腹针-1/z1026</t>
  </si>
  <si>
    <t>软性锯齿钳-1/Z1545</t>
  </si>
  <si>
    <t>尿道膀胱镜5件</t>
  </si>
  <si>
    <t>普外腔镜器械包</t>
  </si>
  <si>
    <t>刀柄-1/Z7526</t>
  </si>
  <si>
    <t>小盆-2/Z2530</t>
  </si>
  <si>
    <t>肛门特器-4/W6050</t>
  </si>
  <si>
    <t>胸科包-75件</t>
  </si>
  <si>
    <t>外科病房</t>
  </si>
  <si>
    <t>缝合包-6/W6050</t>
  </si>
  <si>
    <t>大纱垫/Z3032</t>
  </si>
  <si>
    <t>舌钳子-1/Z1526</t>
  </si>
  <si>
    <t>气管套管-3/Z1020</t>
  </si>
  <si>
    <t>气管切开包-24/W6050</t>
  </si>
  <si>
    <t>刀头-1/Z7520</t>
  </si>
  <si>
    <t>肛门镜-2/Z2032</t>
  </si>
  <si>
    <t>扩肛棒-1/Z7530</t>
  </si>
  <si>
    <t>尿道探子-1/Z7537</t>
  </si>
  <si>
    <t>三棱针-1/Z1026</t>
  </si>
  <si>
    <t>五官科</t>
  </si>
  <si>
    <t>睑板腺镊-1/Z7520</t>
  </si>
  <si>
    <t>穿刺针-2/Z1020</t>
  </si>
  <si>
    <t>枪状镊-2/Z1029</t>
  </si>
  <si>
    <t>枪状镊-1//Z7530</t>
  </si>
  <si>
    <t>泪道探针-1/Z7520</t>
  </si>
  <si>
    <t>喉异物钳-1/Z1535</t>
  </si>
  <si>
    <t>显微镊子--1/Z7526</t>
  </si>
  <si>
    <t>睑板腺夹-1/Z7520</t>
  </si>
  <si>
    <t>中医皮肤</t>
  </si>
  <si>
    <t>剪刀，止血钳-2件/Z1530</t>
  </si>
  <si>
    <t>手术包</t>
  </si>
  <si>
    <t>小剪子-1/Z7520</t>
  </si>
  <si>
    <t>哈尔滨工业大学医院2026年4月加急灭菌费合计1948.75元，加急物流费合计600元，总计金额2548.75元。</t>
  </si>
  <si>
    <t>哈尔滨工业大学医院2026年4月16日加急灭菌费36+36*25%=45元，加急物流费150元，合计金额195元。</t>
  </si>
  <si>
    <t>30度腹腔镜头-1件（盒1）/Z2060</t>
  </si>
  <si>
    <t>合计</t>
  </si>
  <si>
    <t>哈尔滨工业大学医院2026年4月19日加急灭菌费1049+1049*25%=1311.25元，加急物流费150元，合计金额1461.25元。</t>
  </si>
  <si>
    <t>戳卡3气腹针1/Z2035</t>
  </si>
  <si>
    <t>胆囊包18件（盒1）</t>
  </si>
  <si>
    <t>哈尔滨工业大学医院2026年5月6日加急灭菌费193+193*25%=241.25元，加急物流费150元，合计金额391.25元。</t>
  </si>
  <si>
    <t>哈尔滨工业大学医院2026年5月13日加急灭菌费281+281*25%=351.25元，加急物流费150元，合计金额501.25元。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</si>
  <si>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</si>
  <si>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2026/5/15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2026/5/15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</si>
  <si>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</si>
  <si>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</si>
  <si>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</si>
  <si>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</si>
  <si>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</si>
  <si>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</si>
  <si>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</si>
  <si>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</si>
  <si>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</si>
  <si>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2026/4/15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2026/5/14</t>
    </r>
  </si>
  <si>
    <t>基本类型</t>
  </si>
  <si>
    <t>包编号</t>
  </si>
  <si>
    <t>包数量</t>
  </si>
  <si>
    <t>器械数量</t>
  </si>
  <si>
    <t>哈尔滨荣钛医疗科技有限公司</t>
  </si>
  <si>
    <t>工业大学</t>
  </si>
  <si>
    <t>骨科租赁器械包</t>
  </si>
  <si>
    <t>骨科租赁器械包-带植入物</t>
  </si>
  <si>
    <t>张航瑞-锁骨骨折  1/2</t>
  </si>
  <si>
    <t>张航瑞-锁骨骨折  2/2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</si>
</sst>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;\(0\)"/>
    <numFmt numFmtId="177" formatCode="[$-10804]0.00;\(0.00\)"/>
    <numFmt numFmtId="178" formatCode="[$-10804]yyyy/m/d"/>
    <numFmt numFmtId="179" formatCode="[$-10804]0.00"/>
    <numFmt numFmtId="180" formatCode="[$-10804]yyyy/m/d\ h:mm:ss"/>
  </numFmts>
  <fonts count="36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sz val="11"/>
      <color rgb="FF000000"/>
      <name val="Droid Sans Fallback"/>
      <charset val="134"/>
    </font>
    <font>
      <b/>
      <sz val="10"/>
      <color rgb="FF000000"/>
      <name val="Droid Sans Fallback"/>
      <charset val="134"/>
    </font>
    <font>
      <b/>
      <sz val="12"/>
      <color rgb="FFFFFFFF"/>
      <name val="宋体"/>
      <charset val="134"/>
    </font>
    <font>
      <sz val="10"/>
      <color rgb="FF000000"/>
      <name val="宋体"/>
      <charset val="134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name val="Droid Sans Fallback"/>
      <charset val="134"/>
    </font>
    <font>
      <sz val="12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2" applyNumberFormat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5" fillId="0" borderId="0"/>
  </cellStyleXfs>
  <cellXfs count="57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4" fillId="2" borderId="1" xfId="0" applyNumberFormat="1" applyFont="1" applyFill="1" applyBorder="1" applyAlignment="1">
      <alignment vertical="top" wrapText="1" readingOrder="1"/>
    </xf>
    <xf numFmtId="0" fontId="5" fillId="2" borderId="1" xfId="0" applyNumberFormat="1" applyFont="1" applyFill="1" applyBorder="1" applyAlignment="1">
      <alignment horizontal="center" vertical="top" wrapText="1" readingOrder="1"/>
    </xf>
    <xf numFmtId="176" fontId="5" fillId="2" borderId="1" xfId="0" applyNumberFormat="1" applyFont="1" applyFill="1" applyBorder="1" applyAlignment="1">
      <alignment horizontal="center" vertical="top" wrapText="1" readingOrder="1"/>
    </xf>
    <xf numFmtId="177" fontId="5" fillId="2" borderId="1" xfId="0" applyNumberFormat="1" applyFont="1" applyFill="1" applyBorder="1" applyAlignment="1">
      <alignment vertical="top" wrapText="1" readingOrder="1"/>
    </xf>
    <xf numFmtId="0" fontId="6" fillId="3" borderId="1" xfId="0" applyNumberFormat="1" applyFont="1" applyFill="1" applyBorder="1" applyAlignment="1">
      <alignment vertical="top" wrapText="1" readingOrder="1"/>
    </xf>
    <xf numFmtId="0" fontId="7" fillId="3" borderId="1" xfId="0" applyNumberFormat="1" applyFont="1" applyFill="1" applyBorder="1" applyAlignment="1">
      <alignment horizontal="center" vertical="top" wrapText="1" readingOrder="1"/>
    </xf>
    <xf numFmtId="176" fontId="7" fillId="3" borderId="1" xfId="0" applyNumberFormat="1" applyFont="1" applyFill="1" applyBorder="1" applyAlignment="1">
      <alignment horizontal="center" vertical="top" wrapText="1" readingOrder="1"/>
    </xf>
    <xf numFmtId="177" fontId="7" fillId="3" borderId="1" xfId="0" applyNumberFormat="1" applyFont="1" applyFill="1" applyBorder="1" applyAlignment="1">
      <alignment vertical="top" wrapText="1" readingOrder="1"/>
    </xf>
    <xf numFmtId="178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horizontal="left"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0" fontId="7" fillId="0" borderId="2" xfId="0" applyNumberFormat="1" applyFont="1" applyFill="1" applyBorder="1" applyAlignment="1">
      <alignment horizontal="center" vertical="top" wrapText="1" readingOrder="1"/>
    </xf>
    <xf numFmtId="176" fontId="7" fillId="0" borderId="2" xfId="0" applyNumberFormat="1" applyFont="1" applyFill="1" applyBorder="1" applyAlignment="1">
      <alignment horizontal="center" vertical="top" wrapText="1" readingOrder="1"/>
    </xf>
    <xf numFmtId="177" fontId="7" fillId="0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8" fillId="2" borderId="1" xfId="0" applyNumberFormat="1" applyFont="1" applyFill="1" applyBorder="1" applyAlignment="1">
      <alignment vertical="top" wrapText="1" readingOrder="1"/>
    </xf>
    <xf numFmtId="0" fontId="3" fillId="2" borderId="1" xfId="0" applyNumberFormat="1" applyFont="1" applyFill="1" applyBorder="1" applyAlignment="1">
      <alignment vertical="top" wrapText="1" readingOrder="1"/>
    </xf>
    <xf numFmtId="179" fontId="3" fillId="2" borderId="1" xfId="0" applyNumberFormat="1" applyFont="1" applyFill="1" applyBorder="1" applyAlignment="1">
      <alignment vertical="top" wrapText="1" readingOrder="1"/>
    </xf>
    <xf numFmtId="0" fontId="3" fillId="3" borderId="1" xfId="0" applyNumberFormat="1" applyFont="1" applyFill="1" applyBorder="1" applyAlignment="1">
      <alignment vertical="top" wrapText="1" readingOrder="1"/>
    </xf>
    <xf numFmtId="179" fontId="3" fillId="3" borderId="1" xfId="0" applyNumberFormat="1" applyFont="1" applyFill="1" applyBorder="1" applyAlignment="1">
      <alignment vertical="top" wrapText="1" readingOrder="1"/>
    </xf>
    <xf numFmtId="0" fontId="3" fillId="4" borderId="1" xfId="0" applyNumberFormat="1" applyFont="1" applyFill="1" applyBorder="1" applyAlignment="1">
      <alignment horizontal="left" vertical="top" wrapText="1" readingOrder="1"/>
    </xf>
    <xf numFmtId="0" fontId="3" fillId="4" borderId="1" xfId="0" applyNumberFormat="1" applyFont="1" applyFill="1" applyBorder="1" applyAlignment="1">
      <alignment vertical="top" wrapText="1" readingOrder="1"/>
    </xf>
    <xf numFmtId="179" fontId="3" fillId="4" borderId="1" xfId="0" applyNumberFormat="1" applyFont="1" applyFill="1" applyBorder="1" applyAlignment="1">
      <alignment vertical="top" wrapText="1" readingOrder="1"/>
    </xf>
    <xf numFmtId="180" fontId="3" fillId="0" borderId="2" xfId="0" applyNumberFormat="1" applyFont="1" applyFill="1" applyBorder="1" applyAlignment="1">
      <alignment horizontal="left" vertical="top" wrapText="1" readingOrder="1"/>
    </xf>
    <xf numFmtId="0" fontId="9" fillId="0" borderId="2" xfId="0" applyNumberFormat="1" applyFont="1" applyFill="1" applyBorder="1" applyAlignment="1">
      <alignment vertical="top" wrapText="1" readingOrder="1"/>
    </xf>
    <xf numFmtId="180" fontId="3" fillId="0" borderId="2" xfId="0" applyNumberFormat="1" applyFont="1" applyFill="1" applyBorder="1" applyAlignment="1">
      <alignment vertical="top" wrapText="1" readingOrder="1"/>
    </xf>
    <xf numFmtId="179" fontId="3" fillId="0" borderId="2" xfId="0" applyNumberFormat="1" applyFont="1" applyFill="1" applyBorder="1" applyAlignment="1">
      <alignment vertical="top" wrapText="1" readingOrder="1"/>
    </xf>
    <xf numFmtId="0" fontId="10" fillId="0" borderId="0" xfId="0" applyNumberFormat="1" applyFont="1" applyFill="1" applyAlignment="1">
      <alignment horizontal="center" vertical="center" readingOrder="1"/>
    </xf>
    <xf numFmtId="0" fontId="11" fillId="0" borderId="0" xfId="0" applyFont="1" applyFill="1" applyAlignment="1">
      <alignment horizontal="center" vertical="center" wrapText="1"/>
    </xf>
    <xf numFmtId="0" fontId="12" fillId="0" borderId="4" xfId="0" applyNumberFormat="1" applyFont="1" applyFill="1" applyBorder="1" applyAlignment="1">
      <alignment horizontal="center" vertical="top" wrapText="1" readingOrder="1"/>
    </xf>
    <xf numFmtId="178" fontId="3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177" fontId="3" fillId="0" borderId="4" xfId="0" applyNumberFormat="1" applyFont="1" applyFill="1" applyBorder="1" applyAlignment="1">
      <alignment horizontal="center" vertical="top" wrapText="1" readingOrder="1"/>
    </xf>
    <xf numFmtId="0" fontId="0" fillId="0" borderId="4" xfId="0" applyFont="1" applyFill="1" applyBorder="1" applyAlignment="1">
      <alignment horizontal="center"/>
    </xf>
    <xf numFmtId="177" fontId="13" fillId="0" borderId="4" xfId="0" applyNumberFormat="1" applyFont="1" applyFill="1" applyBorder="1" applyAlignment="1">
      <alignment horizontal="center" vertical="top" wrapText="1" readingOrder="1"/>
    </xf>
    <xf numFmtId="0" fontId="12" fillId="0" borderId="4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5" xfId="0" applyNumberFormat="1" applyFont="1" applyFill="1" applyBorder="1" applyAlignment="1">
      <alignment horizontal="center" vertical="top" wrapText="1" readingOrder="1"/>
    </xf>
    <xf numFmtId="0" fontId="6" fillId="3" borderId="2" xfId="0" applyNumberFormat="1" applyFont="1" applyFill="1" applyBorder="1" applyAlignment="1">
      <alignment vertical="top" wrapText="1" readingOrder="1"/>
    </xf>
    <xf numFmtId="0" fontId="0" fillId="0" borderId="6" xfId="0" applyNumberFormat="1" applyFont="1" applyFill="1" applyBorder="1" applyAlignment="1">
      <alignment vertical="top" wrapText="1"/>
    </xf>
    <xf numFmtId="0" fontId="6" fillId="3" borderId="2" xfId="0" applyNumberFormat="1" applyFont="1" applyFill="1" applyBorder="1" applyAlignment="1">
      <alignment horizontal="center" vertical="top" wrapText="1" readingOrder="1"/>
    </xf>
    <xf numFmtId="177" fontId="6" fillId="3" borderId="2" xfId="0" applyNumberFormat="1" applyFont="1" applyFill="1" applyBorder="1" applyAlignment="1">
      <alignment horizontal="center" vertical="top" wrapText="1" readingOrder="1"/>
    </xf>
    <xf numFmtId="178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horizontal="center" vertical="top" wrapText="1" readingOrder="1"/>
    </xf>
    <xf numFmtId="0" fontId="12" fillId="0" borderId="2" xfId="0" applyNumberFormat="1" applyFont="1" applyFill="1" applyBorder="1" applyAlignment="1">
      <alignment vertical="top" wrapText="1" readingOrder="1"/>
    </xf>
    <xf numFmtId="177" fontId="13" fillId="0" borderId="2" xfId="0" applyNumberFormat="1" applyFont="1" applyFill="1" applyBorder="1" applyAlignment="1">
      <alignment horizontal="center" vertical="top" wrapText="1" readingOrder="1"/>
    </xf>
    <xf numFmtId="0" fontId="14" fillId="2" borderId="2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7" fontId="4" fillId="2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9525</xdr:rowOff>
    </xdr:from>
    <xdr:to>
      <xdr:col>10</xdr:col>
      <xdr:colOff>737953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304165</xdr:colOff>
      <xdr:row>1</xdr:row>
      <xdr:rowOff>19050</xdr:rowOff>
    </xdr:from>
    <xdr:to>
      <xdr:col>10</xdr:col>
      <xdr:colOff>814153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27215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0</xdr:rowOff>
    </xdr:from>
    <xdr:to>
      <xdr:col>10</xdr:col>
      <xdr:colOff>747478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247015</xdr:colOff>
      <xdr:row>0</xdr:row>
      <xdr:rowOff>123825</xdr:rowOff>
    </xdr:from>
    <xdr:to>
      <xdr:col>10</xdr:col>
      <xdr:colOff>757003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006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47625</xdr:rowOff>
    </xdr:from>
    <xdr:to>
      <xdr:col>10</xdr:col>
      <xdr:colOff>737953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47625</xdr:rowOff>
    </xdr:from>
    <xdr:to>
      <xdr:col>10</xdr:col>
      <xdr:colOff>709378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9525</xdr:rowOff>
    </xdr:from>
    <xdr:to>
      <xdr:col>10</xdr:col>
      <xdr:colOff>766528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1</xdr:row>
      <xdr:rowOff>9525</xdr:rowOff>
    </xdr:from>
    <xdr:to>
      <xdr:col>10</xdr:col>
      <xdr:colOff>709378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0</xdr:row>
      <xdr:rowOff>152400</xdr:rowOff>
    </xdr:from>
    <xdr:to>
      <xdr:col>10</xdr:col>
      <xdr:colOff>766528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0</xdr:row>
      <xdr:rowOff>161925</xdr:rowOff>
    </xdr:from>
    <xdr:to>
      <xdr:col>10</xdr:col>
      <xdr:colOff>737953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170815</xdr:colOff>
      <xdr:row>0</xdr:row>
      <xdr:rowOff>161925</xdr:rowOff>
    </xdr:from>
    <xdr:to>
      <xdr:col>10</xdr:col>
      <xdr:colOff>680803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9386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256540</xdr:colOff>
      <xdr:row>1</xdr:row>
      <xdr:rowOff>9525</xdr:rowOff>
    </xdr:from>
    <xdr:to>
      <xdr:col>10</xdr:col>
      <xdr:colOff>766528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7959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19050</xdr:rowOff>
    </xdr:from>
    <xdr:to>
      <xdr:col>10</xdr:col>
      <xdr:colOff>804628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189865</xdr:colOff>
      <xdr:row>1</xdr:row>
      <xdr:rowOff>0</xdr:rowOff>
    </xdr:from>
    <xdr:to>
      <xdr:col>10</xdr:col>
      <xdr:colOff>699853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129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28575</xdr:rowOff>
    </xdr:from>
    <xdr:to>
      <xdr:col>10</xdr:col>
      <xdr:colOff>728428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0</xdr:row>
      <xdr:rowOff>123825</xdr:rowOff>
    </xdr:from>
    <xdr:to>
      <xdr:col>10</xdr:col>
      <xdr:colOff>776053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0</xdr:row>
      <xdr:rowOff>161925</xdr:rowOff>
    </xdr:from>
    <xdr:to>
      <xdr:col>10</xdr:col>
      <xdr:colOff>709378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266065</xdr:colOff>
      <xdr:row>1</xdr:row>
      <xdr:rowOff>28575</xdr:rowOff>
    </xdr:from>
    <xdr:to>
      <xdr:col>10</xdr:col>
      <xdr:colOff>776053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1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38100</xdr:rowOff>
    </xdr:from>
    <xdr:to>
      <xdr:col>10</xdr:col>
      <xdr:colOff>795103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294640</xdr:colOff>
      <xdr:row>1</xdr:row>
      <xdr:rowOff>19050</xdr:rowOff>
    </xdr:from>
    <xdr:to>
      <xdr:col>10</xdr:col>
      <xdr:colOff>804628</xdr:colOff>
      <xdr:row>4</xdr:row>
      <xdr:rowOff>16510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17690" y="190500"/>
          <a:ext cx="509905" cy="50863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199390</xdr:colOff>
      <xdr:row>0</xdr:row>
      <xdr:rowOff>161925</xdr:rowOff>
    </xdr:from>
    <xdr:to>
      <xdr:col>10</xdr:col>
      <xdr:colOff>709378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244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237490</xdr:colOff>
      <xdr:row>1</xdr:row>
      <xdr:rowOff>28575</xdr:rowOff>
    </xdr:from>
    <xdr:to>
      <xdr:col>10</xdr:col>
      <xdr:colOff>747478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605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227965</xdr:colOff>
      <xdr:row>1</xdr:row>
      <xdr:rowOff>0</xdr:rowOff>
    </xdr:from>
    <xdr:to>
      <xdr:col>10</xdr:col>
      <xdr:colOff>737953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01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568960</xdr:colOff>
      <xdr:row>0</xdr:row>
      <xdr:rowOff>57785</xdr:rowOff>
    </xdr:from>
    <xdr:to>
      <xdr:col>7</xdr:col>
      <xdr:colOff>1078948</xdr:colOff>
      <xdr:row>3</xdr:row>
      <xdr:rowOff>48260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746875" y="57785"/>
          <a:ext cx="509905" cy="5016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251460</xdr:colOff>
      <xdr:row>0</xdr:row>
      <xdr:rowOff>106045</xdr:rowOff>
    </xdr:from>
    <xdr:to>
      <xdr:col>10</xdr:col>
      <xdr:colOff>761448</xdr:colOff>
      <xdr:row>3</xdr:row>
      <xdr:rowOff>125095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325360" y="10604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  <col min="12" max="12" width="10.375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20" t="s">
        <v>2</v>
      </c>
      <c r="C7" s="20" t="s">
        <v>2</v>
      </c>
      <c r="D7" s="20" t="s">
        <v>2</v>
      </c>
      <c r="E7" s="20" t="s">
        <v>2</v>
      </c>
      <c r="F7" s="20" t="s">
        <v>2</v>
      </c>
      <c r="G7" s="20" t="s">
        <v>2</v>
      </c>
      <c r="H7" s="20" t="s">
        <v>2</v>
      </c>
      <c r="I7" s="20" t="s">
        <v>2</v>
      </c>
      <c r="J7" s="20" t="s">
        <v>2</v>
      </c>
      <c r="K7" s="20" t="s">
        <v>2</v>
      </c>
    </row>
    <row r="8" ht="15" spans="2:12">
      <c r="C8" s="3" t="s">
        <v>2</v>
      </c>
      <c r="D8" s="54" t="s">
        <v>3</v>
      </c>
      <c r="E8" s="46" t="s">
        <v>2</v>
      </c>
      <c r="F8" s="46" t="s">
        <v>2</v>
      </c>
      <c r="G8" s="46" t="s">
        <v>2</v>
      </c>
      <c r="H8" s="46" t="s">
        <v>2</v>
      </c>
      <c r="I8" s="55"/>
      <c r="J8" s="56"/>
      <c r="K8" s="56"/>
    </row>
    <row r="9" spans="2:12">
      <c r="C9" s="3" t="s">
        <v>2</v>
      </c>
      <c r="D9" s="50" t="s">
        <v>4</v>
      </c>
      <c r="E9" s="50" t="s">
        <v>5</v>
      </c>
      <c r="F9" s="50" t="s">
        <v>6</v>
      </c>
      <c r="G9" s="50" t="s">
        <v>7</v>
      </c>
      <c r="H9" s="50" t="s">
        <v>8</v>
      </c>
      <c r="I9" s="50" t="s">
        <v>9</v>
      </c>
      <c r="J9" s="50" t="s">
        <v>10</v>
      </c>
      <c r="K9" s="50" t="s">
        <v>11</v>
      </c>
    </row>
    <row r="10" ht="14.25" spans="2:12">
      <c r="D10" s="45" t="s">
        <v>12</v>
      </c>
      <c r="E10" s="46" t="s">
        <v>2</v>
      </c>
      <c r="F10" s="46" t="s">
        <v>2</v>
      </c>
      <c r="G10" s="46" t="s">
        <v>2</v>
      </c>
      <c r="H10" s="46" t="s">
        <v>2</v>
      </c>
      <c r="I10" s="47">
        <v>66</v>
      </c>
      <c r="J10" s="48"/>
      <c r="K10" s="48">
        <v>2265</v>
      </c>
      <c r="L10">
        <f>K10+急诊科!K8+'口腔科（4楼韩宗凯）'!K8+'口腔科（4楼姜杨杨）'!K8+'口腔科（4楼金华）'!K8+'口腔科（4楼宋雪婧）'!K8+'口腔科（4楼于金彪）'!K8+'口腔科（5楼白雪）'!K8+'口腔科（5楼刘冰）'!K8+'口腔科（5楼刘升臣）'!K8+'口腔科（5楼穆美玲）'!K8+'口腔科（5楼潘昕霞）'!K8+'口腔科（5楼姚金辉）'!K8+'口腔科（5楼张冬青）'!K8+'口腔科（5楼钟志奇）'!K8+'口腔科（5楼朱晓丽）'!K8+'口腔科（公共二）'!K8+'口腔科（公共一）'!K8+'口腔科（种植诊室）'!K8+手术室!K8+外科病房!K8+五官科!K8+外来器械!K7+加急!I5-8</f>
        <v>103150.25</v>
      </c>
    </row>
    <row r="11" spans="2:12">
      <c r="D11" s="49">
        <v>46128</v>
      </c>
      <c r="E11" s="16">
        <v>1595460</v>
      </c>
      <c r="F11" s="16" t="s">
        <v>13</v>
      </c>
      <c r="G11" s="50">
        <v>20005834</v>
      </c>
      <c r="H11" s="16" t="s">
        <v>14</v>
      </c>
      <c r="I11" s="50">
        <v>5</v>
      </c>
      <c r="J11" s="51">
        <v>55</v>
      </c>
      <c r="K11" s="51">
        <v>275</v>
      </c>
      <c r="L11">
        <f>K10+急诊科!K8+'口腔科（4楼韩宗凯）'!K8+'口腔科（4楼姜杨杨）'!K8+'口腔科（4楼金华）'!K8+'口腔科（4楼宋雪婧）'!K8+'口腔科（4楼于金彪）'!K8+'口腔科（5楼白雪）'!K8+'口腔科（5楼刘冰）'!K8+'口腔科（5楼刘升臣）'!K8+'口腔科（5楼穆美玲）'!K8+'口腔科（5楼潘昕霞）'!K8+'口腔科（5楼姚金辉）'!K8+'口腔科（5楼张冬青）'!K8+'口腔科（5楼钟志奇）'!K8+'口腔科（5楼朱晓丽）'!K8+'口腔科（公共二）'!K8+'口腔科（公共一）'!K8+'口腔科（种植诊室）'!K8+手术室!K8+外科病房!K8+五官科!K8+中医皮肤!K8+加急!I5+外来器械!K8-8</f>
        <v>104582.25</v>
      </c>
    </row>
    <row r="12" spans="2:12">
      <c r="D12" s="49">
        <v>46128</v>
      </c>
      <c r="E12" s="16">
        <v>1595460</v>
      </c>
      <c r="F12" s="16" t="s">
        <v>13</v>
      </c>
      <c r="G12" s="50">
        <v>20005835</v>
      </c>
      <c r="H12" s="16" t="s">
        <v>15</v>
      </c>
      <c r="I12" s="50">
        <v>1</v>
      </c>
      <c r="J12" s="51">
        <v>55</v>
      </c>
      <c r="K12" s="51">
        <v>55</v>
      </c>
    </row>
    <row r="13" spans="2:12">
      <c r="D13" s="49">
        <v>46132</v>
      </c>
      <c r="E13" s="16">
        <v>1596400</v>
      </c>
      <c r="F13" s="16" t="s">
        <v>13</v>
      </c>
      <c r="G13" s="50">
        <v>20005834</v>
      </c>
      <c r="H13" s="16" t="s">
        <v>14</v>
      </c>
      <c r="I13" s="50">
        <v>3</v>
      </c>
      <c r="J13" s="51">
        <v>55</v>
      </c>
      <c r="K13" s="51">
        <v>165</v>
      </c>
    </row>
    <row r="14" spans="2:12">
      <c r="D14" s="49">
        <v>46132</v>
      </c>
      <c r="E14" s="16">
        <v>1596400</v>
      </c>
      <c r="F14" s="16" t="s">
        <v>13</v>
      </c>
      <c r="G14" s="50">
        <v>20005835</v>
      </c>
      <c r="H14" s="16" t="s">
        <v>15</v>
      </c>
      <c r="I14" s="50">
        <v>1</v>
      </c>
      <c r="J14" s="51">
        <v>55</v>
      </c>
      <c r="K14" s="51">
        <v>55</v>
      </c>
    </row>
    <row r="15" spans="2:12">
      <c r="D15" s="49">
        <v>46135</v>
      </c>
      <c r="E15" s="16">
        <v>1597574</v>
      </c>
      <c r="F15" s="16" t="s">
        <v>13</v>
      </c>
      <c r="G15" s="50">
        <v>20005834</v>
      </c>
      <c r="H15" s="16" t="s">
        <v>14</v>
      </c>
      <c r="I15" s="50">
        <v>4</v>
      </c>
      <c r="J15" s="51">
        <v>55</v>
      </c>
      <c r="K15" s="51">
        <v>220</v>
      </c>
    </row>
    <row r="16" spans="2:12">
      <c r="D16" s="49">
        <v>46135</v>
      </c>
      <c r="E16" s="16">
        <v>1597574</v>
      </c>
      <c r="F16" s="16" t="s">
        <v>13</v>
      </c>
      <c r="G16" s="50">
        <v>20005835</v>
      </c>
      <c r="H16" s="16" t="s">
        <v>15</v>
      </c>
      <c r="I16" s="50">
        <v>1</v>
      </c>
      <c r="J16" s="51">
        <v>55</v>
      </c>
      <c r="K16" s="51">
        <v>55</v>
      </c>
    </row>
    <row r="17" spans="4:11">
      <c r="D17" s="49">
        <v>46139</v>
      </c>
      <c r="E17" s="16">
        <v>1598453</v>
      </c>
      <c r="F17" s="16" t="s">
        <v>13</v>
      </c>
      <c r="G17" s="50">
        <v>20005834</v>
      </c>
      <c r="H17" s="16" t="s">
        <v>14</v>
      </c>
      <c r="I17" s="50">
        <v>3</v>
      </c>
      <c r="J17" s="51">
        <v>55</v>
      </c>
      <c r="K17" s="51">
        <v>165</v>
      </c>
    </row>
    <row r="18" spans="4:11">
      <c r="D18" s="49">
        <v>46139</v>
      </c>
      <c r="E18" s="16">
        <v>1598453</v>
      </c>
      <c r="F18" s="16" t="s">
        <v>16</v>
      </c>
      <c r="G18" s="50">
        <v>20008021</v>
      </c>
      <c r="H18" s="16" t="s">
        <v>17</v>
      </c>
      <c r="I18" s="50">
        <v>26</v>
      </c>
      <c r="J18" s="51">
        <v>2.5</v>
      </c>
      <c r="K18" s="51">
        <v>65</v>
      </c>
    </row>
    <row r="19" spans="4:11">
      <c r="D19" s="49">
        <v>46141</v>
      </c>
      <c r="E19" s="16">
        <v>1599298</v>
      </c>
      <c r="F19" s="16" t="s">
        <v>13</v>
      </c>
      <c r="G19" s="50">
        <v>20005834</v>
      </c>
      <c r="H19" s="16" t="s">
        <v>14</v>
      </c>
      <c r="I19" s="50">
        <v>3</v>
      </c>
      <c r="J19" s="51">
        <v>55</v>
      </c>
      <c r="K19" s="51">
        <v>165</v>
      </c>
    </row>
    <row r="20" spans="4:11">
      <c r="D20" s="49">
        <v>46141</v>
      </c>
      <c r="E20" s="16">
        <v>1599298</v>
      </c>
      <c r="F20" s="16" t="s">
        <v>13</v>
      </c>
      <c r="G20" s="50">
        <v>20005835</v>
      </c>
      <c r="H20" s="16" t="s">
        <v>15</v>
      </c>
      <c r="I20" s="50">
        <v>1</v>
      </c>
      <c r="J20" s="51">
        <v>55</v>
      </c>
      <c r="K20" s="51">
        <v>55</v>
      </c>
    </row>
    <row r="21" spans="4:11">
      <c r="D21" s="49">
        <v>46142</v>
      </c>
      <c r="E21" s="16">
        <v>1599729</v>
      </c>
      <c r="F21" s="16" t="s">
        <v>13</v>
      </c>
      <c r="G21" s="50">
        <v>20005834</v>
      </c>
      <c r="H21" s="16" t="s">
        <v>14</v>
      </c>
      <c r="I21" s="50">
        <v>2</v>
      </c>
      <c r="J21" s="51">
        <v>55</v>
      </c>
      <c r="K21" s="51">
        <v>110</v>
      </c>
    </row>
    <row r="22" spans="4:11">
      <c r="D22" s="49">
        <v>46148</v>
      </c>
      <c r="E22" s="16">
        <v>1600482</v>
      </c>
      <c r="F22" s="16" t="s">
        <v>13</v>
      </c>
      <c r="G22" s="50">
        <v>20005835</v>
      </c>
      <c r="H22" s="16" t="s">
        <v>15</v>
      </c>
      <c r="I22" s="50">
        <v>3</v>
      </c>
      <c r="J22" s="51">
        <v>55</v>
      </c>
      <c r="K22" s="51">
        <v>165</v>
      </c>
    </row>
    <row r="23" spans="4:11">
      <c r="D23" s="49">
        <v>46150</v>
      </c>
      <c r="E23" s="16">
        <v>1601336</v>
      </c>
      <c r="F23" s="16" t="s">
        <v>13</v>
      </c>
      <c r="G23" s="50">
        <v>20005834</v>
      </c>
      <c r="H23" s="16" t="s">
        <v>14</v>
      </c>
      <c r="I23" s="50">
        <v>3</v>
      </c>
      <c r="J23" s="51">
        <v>55</v>
      </c>
      <c r="K23" s="51">
        <v>165</v>
      </c>
    </row>
    <row r="24" spans="4:11">
      <c r="D24" s="49">
        <v>46150</v>
      </c>
      <c r="E24" s="16">
        <v>1601336</v>
      </c>
      <c r="F24" s="16" t="s">
        <v>13</v>
      </c>
      <c r="G24" s="50">
        <v>20005835</v>
      </c>
      <c r="H24" s="16" t="s">
        <v>15</v>
      </c>
      <c r="I24" s="50">
        <v>1</v>
      </c>
      <c r="J24" s="51">
        <v>55</v>
      </c>
      <c r="K24" s="51">
        <v>55</v>
      </c>
    </row>
    <row r="25" spans="4:11">
      <c r="D25" s="49">
        <v>46153</v>
      </c>
      <c r="E25" s="16">
        <v>1602027</v>
      </c>
      <c r="F25" s="16" t="s">
        <v>13</v>
      </c>
      <c r="G25" s="50">
        <v>20005834</v>
      </c>
      <c r="H25" s="16" t="s">
        <v>14</v>
      </c>
      <c r="I25" s="50">
        <v>2</v>
      </c>
      <c r="J25" s="51">
        <v>55</v>
      </c>
      <c r="K25" s="51">
        <v>110</v>
      </c>
    </row>
    <row r="26" spans="4:11">
      <c r="D26" s="49">
        <v>46155</v>
      </c>
      <c r="E26" s="16">
        <v>1602765</v>
      </c>
      <c r="F26" s="16" t="s">
        <v>13</v>
      </c>
      <c r="G26" s="50">
        <v>20005834</v>
      </c>
      <c r="H26" s="16" t="s">
        <v>14</v>
      </c>
      <c r="I26" s="50">
        <v>3</v>
      </c>
      <c r="J26" s="51">
        <v>55</v>
      </c>
      <c r="K26" s="51">
        <v>165</v>
      </c>
    </row>
    <row r="27" spans="4:11">
      <c r="D27" s="49">
        <v>46155</v>
      </c>
      <c r="E27" s="16">
        <v>1602765</v>
      </c>
      <c r="F27" s="16" t="s">
        <v>13</v>
      </c>
      <c r="G27" s="50">
        <v>20005835</v>
      </c>
      <c r="H27" s="16" t="s">
        <v>15</v>
      </c>
      <c r="I27" s="50">
        <v>2</v>
      </c>
      <c r="J27" s="51">
        <v>55</v>
      </c>
      <c r="K27" s="51">
        <v>110</v>
      </c>
    </row>
    <row r="28" spans="4:11">
      <c r="D28" s="49">
        <v>46156</v>
      </c>
      <c r="E28" s="16">
        <v>1603132</v>
      </c>
      <c r="F28" s="16" t="s">
        <v>13</v>
      </c>
      <c r="G28" s="50">
        <v>20005834</v>
      </c>
      <c r="H28" s="16" t="s">
        <v>14</v>
      </c>
      <c r="I28" s="50">
        <v>1</v>
      </c>
      <c r="J28" s="51">
        <v>55</v>
      </c>
      <c r="K28" s="51">
        <v>55</v>
      </c>
    </row>
    <row r="29" spans="4:11">
      <c r="D29" s="49">
        <v>46156</v>
      </c>
      <c r="E29" s="16">
        <v>1603132</v>
      </c>
      <c r="F29" s="16" t="s">
        <v>13</v>
      </c>
      <c r="G29" s="50">
        <v>20005835</v>
      </c>
      <c r="H29" s="16" t="s">
        <v>15</v>
      </c>
      <c r="I29" s="50">
        <v>1</v>
      </c>
      <c r="J29" s="51">
        <v>55</v>
      </c>
      <c r="K29" s="51">
        <v>55</v>
      </c>
    </row>
  </sheetData>
  <autoFilter xmlns:etc="http://www.wps.cn/officeDocument/2017/etCustomData" ref="A9:K29" etc:filterBottomFollowUsedRange="0">
    <extLst/>
  </autoFilter>
  <mergeCells count="6">
    <mergeCell ref="D8:H8"/>
    <mergeCell ref="D10:H10"/>
    <mergeCell ref="C9:C29"/>
    <mergeCell ref="B4:H5"/>
    <mergeCell ref="C1:H2"/>
    <mergeCell ref="A8:B2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18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149</v>
      </c>
      <c r="J8" s="48"/>
      <c r="K8" s="48">
        <v>1681.5</v>
      </c>
    </row>
    <row r="9" spans="1:11">
      <c r="D9" s="49">
        <v>46128</v>
      </c>
      <c r="E9" s="16">
        <v>1595461</v>
      </c>
      <c r="F9" s="16" t="s">
        <v>19</v>
      </c>
      <c r="G9" s="50">
        <v>20005202</v>
      </c>
      <c r="H9" s="16" t="s">
        <v>20</v>
      </c>
      <c r="I9" s="50">
        <v>4</v>
      </c>
      <c r="J9" s="51">
        <v>33</v>
      </c>
      <c r="K9" s="51">
        <v>132</v>
      </c>
    </row>
    <row r="10" spans="1:11">
      <c r="D10" s="49">
        <v>46128</v>
      </c>
      <c r="E10" s="16">
        <v>1595461</v>
      </c>
      <c r="F10" s="16" t="s">
        <v>21</v>
      </c>
      <c r="G10" s="50">
        <v>20324084</v>
      </c>
      <c r="H10" s="16" t="s">
        <v>22</v>
      </c>
      <c r="I10" s="50">
        <v>5</v>
      </c>
      <c r="J10" s="51">
        <v>8</v>
      </c>
      <c r="K10" s="51">
        <v>40</v>
      </c>
    </row>
    <row r="11" spans="1:11">
      <c r="D11" s="49">
        <v>46128</v>
      </c>
      <c r="E11" s="16">
        <v>1595461</v>
      </c>
      <c r="F11" s="16" t="s">
        <v>21</v>
      </c>
      <c r="G11" s="50">
        <v>20005930</v>
      </c>
      <c r="H11" s="16" t="s">
        <v>23</v>
      </c>
      <c r="I11" s="50">
        <v>3</v>
      </c>
      <c r="J11" s="51">
        <v>8</v>
      </c>
      <c r="K11" s="51">
        <v>24</v>
      </c>
    </row>
    <row r="12" spans="1:11">
      <c r="D12" s="49">
        <v>46132</v>
      </c>
      <c r="E12" s="16">
        <v>1596401</v>
      </c>
      <c r="F12" s="16" t="s">
        <v>19</v>
      </c>
      <c r="G12" s="50">
        <v>20005202</v>
      </c>
      <c r="H12" s="16" t="s">
        <v>20</v>
      </c>
      <c r="I12" s="50">
        <v>1</v>
      </c>
      <c r="J12" s="51">
        <v>33</v>
      </c>
      <c r="K12" s="51">
        <v>33</v>
      </c>
    </row>
    <row r="13" spans="1:11">
      <c r="D13" s="49">
        <v>46132</v>
      </c>
      <c r="E13" s="16">
        <v>1596401</v>
      </c>
      <c r="F13" s="16" t="s">
        <v>21</v>
      </c>
      <c r="G13" s="50">
        <v>20324084</v>
      </c>
      <c r="H13" s="16" t="s">
        <v>22</v>
      </c>
      <c r="I13" s="50">
        <v>2</v>
      </c>
      <c r="J13" s="51">
        <v>8</v>
      </c>
      <c r="K13" s="51">
        <v>16</v>
      </c>
    </row>
    <row r="14" spans="1:11">
      <c r="D14" s="49">
        <v>46132</v>
      </c>
      <c r="E14" s="16">
        <v>1596401</v>
      </c>
      <c r="F14" s="16" t="s">
        <v>21</v>
      </c>
      <c r="G14" s="50">
        <v>20005930</v>
      </c>
      <c r="H14" s="16" t="s">
        <v>23</v>
      </c>
      <c r="I14" s="50">
        <v>3</v>
      </c>
      <c r="J14" s="51">
        <v>8</v>
      </c>
      <c r="K14" s="51">
        <v>24</v>
      </c>
    </row>
    <row r="15" spans="1:11">
      <c r="D15" s="49">
        <v>46135</v>
      </c>
      <c r="E15" s="16">
        <v>1597575</v>
      </c>
      <c r="F15" s="16" t="s">
        <v>19</v>
      </c>
      <c r="G15" s="50">
        <v>20005202</v>
      </c>
      <c r="H15" s="16" t="s">
        <v>20</v>
      </c>
      <c r="I15" s="50">
        <v>2</v>
      </c>
      <c r="J15" s="51">
        <v>33</v>
      </c>
      <c r="K15" s="51">
        <v>66</v>
      </c>
    </row>
    <row r="16" spans="1:11">
      <c r="D16" s="49">
        <v>46135</v>
      </c>
      <c r="E16" s="16">
        <v>1597575</v>
      </c>
      <c r="F16" s="16" t="s">
        <v>21</v>
      </c>
      <c r="G16" s="50">
        <v>20324084</v>
      </c>
      <c r="H16" s="16" t="s">
        <v>22</v>
      </c>
      <c r="I16" s="50">
        <v>4</v>
      </c>
      <c r="J16" s="51">
        <v>8</v>
      </c>
      <c r="K16" s="51">
        <v>32</v>
      </c>
    </row>
    <row r="17" spans="4:11">
      <c r="D17" s="49">
        <v>46135</v>
      </c>
      <c r="E17" s="16">
        <v>1597575</v>
      </c>
      <c r="F17" s="16" t="s">
        <v>16</v>
      </c>
      <c r="G17" s="50">
        <v>20383630</v>
      </c>
      <c r="H17" s="16" t="s">
        <v>24</v>
      </c>
      <c r="I17" s="50">
        <v>15</v>
      </c>
      <c r="J17" s="51">
        <v>2.5</v>
      </c>
      <c r="K17" s="51">
        <v>37.5</v>
      </c>
    </row>
    <row r="18" spans="4:11">
      <c r="D18" s="49">
        <v>46139</v>
      </c>
      <c r="E18" s="16">
        <v>1598454</v>
      </c>
      <c r="F18" s="16" t="s">
        <v>19</v>
      </c>
      <c r="G18" s="50">
        <v>20005202</v>
      </c>
      <c r="H18" s="16" t="s">
        <v>20</v>
      </c>
      <c r="I18" s="50">
        <v>8</v>
      </c>
      <c r="J18" s="51">
        <v>33</v>
      </c>
      <c r="K18" s="51">
        <v>264</v>
      </c>
    </row>
    <row r="19" spans="4:11">
      <c r="D19" s="49">
        <v>46139</v>
      </c>
      <c r="E19" s="16">
        <v>1598454</v>
      </c>
      <c r="F19" s="16" t="s">
        <v>21</v>
      </c>
      <c r="G19" s="50">
        <v>20324084</v>
      </c>
      <c r="H19" s="16" t="s">
        <v>22</v>
      </c>
      <c r="I19" s="50">
        <v>7</v>
      </c>
      <c r="J19" s="51">
        <v>8</v>
      </c>
      <c r="K19" s="51">
        <v>56</v>
      </c>
    </row>
    <row r="20" spans="4:11">
      <c r="D20" s="49">
        <v>46139</v>
      </c>
      <c r="E20" s="16">
        <v>1598454</v>
      </c>
      <c r="F20" s="16" t="s">
        <v>21</v>
      </c>
      <c r="G20" s="50">
        <v>20005930</v>
      </c>
      <c r="H20" s="16" t="s">
        <v>23</v>
      </c>
      <c r="I20" s="50">
        <v>4</v>
      </c>
      <c r="J20" s="51">
        <v>8</v>
      </c>
      <c r="K20" s="51">
        <v>32</v>
      </c>
    </row>
    <row r="21" spans="4:11">
      <c r="D21" s="49">
        <v>46140</v>
      </c>
      <c r="E21" s="16">
        <v>1598620</v>
      </c>
      <c r="F21" s="16" t="s">
        <v>16</v>
      </c>
      <c r="G21" s="50">
        <v>20383630</v>
      </c>
      <c r="H21" s="16" t="s">
        <v>24</v>
      </c>
      <c r="I21" s="50">
        <v>22</v>
      </c>
      <c r="J21" s="51">
        <v>2.5</v>
      </c>
      <c r="K21" s="51">
        <v>55</v>
      </c>
    </row>
    <row r="22" spans="4:11">
      <c r="D22" s="49">
        <v>46141</v>
      </c>
      <c r="E22" s="16">
        <v>1599299</v>
      </c>
      <c r="F22" s="16" t="s">
        <v>19</v>
      </c>
      <c r="G22" s="50">
        <v>20005202</v>
      </c>
      <c r="H22" s="16" t="s">
        <v>20</v>
      </c>
      <c r="I22" s="50">
        <v>1</v>
      </c>
      <c r="J22" s="51">
        <v>33</v>
      </c>
      <c r="K22" s="51">
        <v>33</v>
      </c>
    </row>
    <row r="23" spans="4:11">
      <c r="D23" s="49">
        <v>46141</v>
      </c>
      <c r="E23" s="16">
        <v>1599299</v>
      </c>
      <c r="F23" s="16" t="s">
        <v>21</v>
      </c>
      <c r="G23" s="50">
        <v>20324084</v>
      </c>
      <c r="H23" s="16" t="s">
        <v>22</v>
      </c>
      <c r="I23" s="50">
        <v>3</v>
      </c>
      <c r="J23" s="51">
        <v>8</v>
      </c>
      <c r="K23" s="51">
        <v>24</v>
      </c>
    </row>
    <row r="24" spans="4:11">
      <c r="D24" s="49">
        <v>46141</v>
      </c>
      <c r="E24" s="16">
        <v>1599299</v>
      </c>
      <c r="F24" s="16" t="s">
        <v>21</v>
      </c>
      <c r="G24" s="50">
        <v>20005930</v>
      </c>
      <c r="H24" s="16" t="s">
        <v>23</v>
      </c>
      <c r="I24" s="50">
        <v>3</v>
      </c>
      <c r="J24" s="51">
        <v>8</v>
      </c>
      <c r="K24" s="51">
        <v>24</v>
      </c>
    </row>
    <row r="25" spans="4:11">
      <c r="D25" s="49">
        <v>46142</v>
      </c>
      <c r="E25" s="16">
        <v>1599730</v>
      </c>
      <c r="F25" s="16" t="s">
        <v>19</v>
      </c>
      <c r="G25" s="50">
        <v>20005202</v>
      </c>
      <c r="H25" s="16" t="s">
        <v>20</v>
      </c>
      <c r="I25" s="50">
        <v>2</v>
      </c>
      <c r="J25" s="51">
        <v>33</v>
      </c>
      <c r="K25" s="51">
        <v>66</v>
      </c>
    </row>
    <row r="26" spans="4:11">
      <c r="D26" s="49">
        <v>46142</v>
      </c>
      <c r="E26" s="16">
        <v>1599730</v>
      </c>
      <c r="F26" s="16" t="s">
        <v>21</v>
      </c>
      <c r="G26" s="50">
        <v>20324084</v>
      </c>
      <c r="H26" s="16" t="s">
        <v>22</v>
      </c>
      <c r="I26" s="50">
        <v>1</v>
      </c>
      <c r="J26" s="51">
        <v>8</v>
      </c>
      <c r="K26" s="51">
        <v>8</v>
      </c>
    </row>
    <row r="27" spans="4:11">
      <c r="D27" s="49">
        <v>46142</v>
      </c>
      <c r="E27" s="16">
        <v>1599730</v>
      </c>
      <c r="F27" s="16" t="s">
        <v>21</v>
      </c>
      <c r="G27" s="50">
        <v>20005930</v>
      </c>
      <c r="H27" s="16" t="s">
        <v>23</v>
      </c>
      <c r="I27" s="50">
        <v>1</v>
      </c>
      <c r="J27" s="51">
        <v>8</v>
      </c>
      <c r="K27" s="51">
        <v>8</v>
      </c>
    </row>
    <row r="28" spans="4:11">
      <c r="D28" s="49">
        <v>46147</v>
      </c>
      <c r="E28" s="16">
        <v>1600283</v>
      </c>
      <c r="F28" s="16" t="s">
        <v>19</v>
      </c>
      <c r="G28" s="50">
        <v>20005202</v>
      </c>
      <c r="H28" s="16" t="s">
        <v>20</v>
      </c>
      <c r="I28" s="50">
        <v>7</v>
      </c>
      <c r="J28" s="51">
        <v>33</v>
      </c>
      <c r="K28" s="51">
        <v>231</v>
      </c>
    </row>
    <row r="29" spans="4:11">
      <c r="D29" s="49">
        <v>46147</v>
      </c>
      <c r="E29" s="16">
        <v>1600283</v>
      </c>
      <c r="F29" s="16" t="s">
        <v>21</v>
      </c>
      <c r="G29" s="50">
        <v>20324084</v>
      </c>
      <c r="H29" s="16" t="s">
        <v>22</v>
      </c>
      <c r="I29" s="50">
        <v>3</v>
      </c>
      <c r="J29" s="51">
        <v>8</v>
      </c>
      <c r="K29" s="51">
        <v>24</v>
      </c>
    </row>
    <row r="30" spans="4:11">
      <c r="D30" s="49">
        <v>46150</v>
      </c>
      <c r="E30" s="16">
        <v>1601337</v>
      </c>
      <c r="F30" s="16" t="s">
        <v>19</v>
      </c>
      <c r="G30" s="50">
        <v>20005202</v>
      </c>
      <c r="H30" s="16" t="s">
        <v>20</v>
      </c>
      <c r="I30" s="50">
        <v>2</v>
      </c>
      <c r="J30" s="51">
        <v>33</v>
      </c>
      <c r="K30" s="51">
        <v>66</v>
      </c>
    </row>
    <row r="31" spans="4:11">
      <c r="D31" s="49">
        <v>46150</v>
      </c>
      <c r="E31" s="16">
        <v>1601337</v>
      </c>
      <c r="F31" s="16" t="s">
        <v>21</v>
      </c>
      <c r="G31" s="50">
        <v>20324084</v>
      </c>
      <c r="H31" s="16" t="s">
        <v>22</v>
      </c>
      <c r="I31" s="50">
        <v>3</v>
      </c>
      <c r="J31" s="51">
        <v>8</v>
      </c>
      <c r="K31" s="51">
        <v>24</v>
      </c>
    </row>
    <row r="32" spans="4:11">
      <c r="D32" s="49">
        <v>46150</v>
      </c>
      <c r="E32" s="16">
        <v>1601337</v>
      </c>
      <c r="F32" s="16" t="s">
        <v>21</v>
      </c>
      <c r="G32" s="50">
        <v>20005930</v>
      </c>
      <c r="H32" s="16" t="s">
        <v>23</v>
      </c>
      <c r="I32" s="50">
        <v>1</v>
      </c>
      <c r="J32" s="51">
        <v>8</v>
      </c>
      <c r="K32" s="51">
        <v>8</v>
      </c>
    </row>
    <row r="33" spans="4:11">
      <c r="D33" s="49">
        <v>46153</v>
      </c>
      <c r="E33" s="16">
        <v>1602028</v>
      </c>
      <c r="F33" s="16" t="s">
        <v>19</v>
      </c>
      <c r="G33" s="50">
        <v>20005202</v>
      </c>
      <c r="H33" s="16" t="s">
        <v>20</v>
      </c>
      <c r="I33" s="50">
        <v>4</v>
      </c>
      <c r="J33" s="51">
        <v>33</v>
      </c>
      <c r="K33" s="51">
        <v>132</v>
      </c>
    </row>
    <row r="34" spans="4:11">
      <c r="D34" s="49">
        <v>46153</v>
      </c>
      <c r="E34" s="16">
        <v>1602028</v>
      </c>
      <c r="F34" s="16" t="s">
        <v>21</v>
      </c>
      <c r="G34" s="50">
        <v>20324084</v>
      </c>
      <c r="H34" s="16" t="s">
        <v>22</v>
      </c>
      <c r="I34" s="50">
        <v>2</v>
      </c>
      <c r="J34" s="51">
        <v>8</v>
      </c>
      <c r="K34" s="51">
        <v>16</v>
      </c>
    </row>
    <row r="35" spans="4:11">
      <c r="D35" s="49">
        <v>46153</v>
      </c>
      <c r="E35" s="16">
        <v>1602028</v>
      </c>
      <c r="F35" s="16" t="s">
        <v>21</v>
      </c>
      <c r="G35" s="50">
        <v>20005930</v>
      </c>
      <c r="H35" s="16" t="s">
        <v>23</v>
      </c>
      <c r="I35" s="50">
        <v>2</v>
      </c>
      <c r="J35" s="51">
        <v>8</v>
      </c>
      <c r="K35" s="51">
        <v>16</v>
      </c>
    </row>
    <row r="36" spans="4:11">
      <c r="D36" s="49">
        <v>46153</v>
      </c>
      <c r="E36" s="16">
        <v>1602028</v>
      </c>
      <c r="F36" s="16" t="s">
        <v>16</v>
      </c>
      <c r="G36" s="50">
        <v>20383630</v>
      </c>
      <c r="H36" s="16" t="s">
        <v>24</v>
      </c>
      <c r="I36" s="50">
        <v>26</v>
      </c>
      <c r="J36" s="51">
        <v>2.5</v>
      </c>
      <c r="K36" s="51">
        <v>65</v>
      </c>
    </row>
    <row r="37" spans="4:11">
      <c r="D37" s="49">
        <v>46156</v>
      </c>
      <c r="E37" s="16">
        <v>1603133</v>
      </c>
      <c r="F37" s="16" t="s">
        <v>21</v>
      </c>
      <c r="G37" s="50">
        <v>20324084</v>
      </c>
      <c r="H37" s="16" t="s">
        <v>22</v>
      </c>
      <c r="I37" s="50">
        <v>3</v>
      </c>
      <c r="J37" s="51">
        <v>8</v>
      </c>
      <c r="K37" s="51">
        <v>24</v>
      </c>
    </row>
    <row r="38" spans="4:11">
      <c r="D38" s="49">
        <v>46156</v>
      </c>
      <c r="E38" s="16">
        <v>1603133</v>
      </c>
      <c r="F38" s="16" t="s">
        <v>21</v>
      </c>
      <c r="G38" s="50">
        <v>20300248</v>
      </c>
      <c r="H38" s="16" t="s">
        <v>25</v>
      </c>
      <c r="I38" s="50">
        <v>1</v>
      </c>
      <c r="J38" s="51">
        <v>22</v>
      </c>
      <c r="K38" s="51">
        <v>22</v>
      </c>
    </row>
    <row r="39" spans="4:11">
      <c r="D39" s="49">
        <v>46156</v>
      </c>
      <c r="E39" s="16">
        <v>1603133</v>
      </c>
      <c r="F39" s="16" t="s">
        <v>21</v>
      </c>
      <c r="G39" s="50">
        <v>20005930</v>
      </c>
      <c r="H39" s="16" t="s">
        <v>23</v>
      </c>
      <c r="I39" s="50">
        <v>3</v>
      </c>
      <c r="J39" s="51">
        <v>8</v>
      </c>
      <c r="K39" s="51">
        <v>24</v>
      </c>
    </row>
    <row r="40" spans="4:11">
      <c r="D40" s="49">
        <v>46156</v>
      </c>
      <c r="E40" s="16">
        <v>1603133</v>
      </c>
      <c r="F40" s="16" t="s">
        <v>13</v>
      </c>
      <c r="G40" s="50">
        <v>20300144</v>
      </c>
      <c r="H40" s="16" t="s">
        <v>26</v>
      </c>
      <c r="I40" s="50">
        <v>1</v>
      </c>
      <c r="J40" s="51">
        <v>55</v>
      </c>
      <c r="K40" s="51">
        <v>55</v>
      </c>
    </row>
    <row r="41" ht="0.05" customHeight="1"/>
  </sheetData>
  <autoFilter xmlns:etc="http://www.wps.cn/officeDocument/2017/etCustomData" ref="J1:J40" etc:filterBottomFollowUsedRange="0">
    <extLst/>
  </autoFilter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27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142</v>
      </c>
      <c r="J8" s="48"/>
      <c r="K8" s="48">
        <v>1458.5</v>
      </c>
    </row>
    <row r="9" spans="1:11">
      <c r="D9" s="49">
        <v>46127</v>
      </c>
      <c r="E9" s="16">
        <v>1594865</v>
      </c>
      <c r="F9" s="16" t="s">
        <v>21</v>
      </c>
      <c r="G9" s="50">
        <v>20376624</v>
      </c>
      <c r="H9" s="16" t="s">
        <v>28</v>
      </c>
      <c r="I9" s="50">
        <v>1</v>
      </c>
      <c r="J9" s="51">
        <v>8</v>
      </c>
      <c r="K9" s="51">
        <v>8</v>
      </c>
    </row>
    <row r="10" spans="1:11">
      <c r="D10" s="49">
        <v>46127</v>
      </c>
      <c r="E10" s="16">
        <v>1594865</v>
      </c>
      <c r="F10" s="16" t="s">
        <v>21</v>
      </c>
      <c r="G10" s="50">
        <v>20394943</v>
      </c>
      <c r="H10" s="16" t="s">
        <v>29</v>
      </c>
      <c r="I10" s="50">
        <v>1</v>
      </c>
      <c r="J10" s="51">
        <v>11</v>
      </c>
      <c r="K10" s="51">
        <v>11</v>
      </c>
    </row>
    <row r="11" spans="1:11">
      <c r="D11" s="49">
        <v>46127</v>
      </c>
      <c r="E11" s="16">
        <v>1594865</v>
      </c>
      <c r="F11" s="16" t="s">
        <v>21</v>
      </c>
      <c r="G11" s="50">
        <v>20313588</v>
      </c>
      <c r="H11" s="16" t="s">
        <v>30</v>
      </c>
      <c r="I11" s="50">
        <v>4</v>
      </c>
      <c r="J11" s="51">
        <v>8</v>
      </c>
      <c r="K11" s="51">
        <v>32</v>
      </c>
    </row>
    <row r="12" spans="1:11">
      <c r="D12" s="49">
        <v>46127</v>
      </c>
      <c r="E12" s="16">
        <v>1594865</v>
      </c>
      <c r="F12" s="16" t="s">
        <v>21</v>
      </c>
      <c r="G12" s="50">
        <v>20377357</v>
      </c>
      <c r="H12" s="16" t="s">
        <v>31</v>
      </c>
      <c r="I12" s="50">
        <v>1</v>
      </c>
      <c r="J12" s="51">
        <v>8</v>
      </c>
      <c r="K12" s="51">
        <v>8</v>
      </c>
    </row>
    <row r="13" spans="1:11">
      <c r="D13" s="49">
        <v>46127</v>
      </c>
      <c r="E13" s="16">
        <v>1594865</v>
      </c>
      <c r="F13" s="16" t="s">
        <v>21</v>
      </c>
      <c r="G13" s="50">
        <v>20395865</v>
      </c>
      <c r="H13" s="16" t="s">
        <v>32</v>
      </c>
      <c r="I13" s="50">
        <v>1</v>
      </c>
      <c r="J13" s="51">
        <v>8</v>
      </c>
      <c r="K13" s="51">
        <v>8</v>
      </c>
    </row>
    <row r="14" spans="1:11">
      <c r="D14" s="49">
        <v>46127</v>
      </c>
      <c r="E14" s="16">
        <v>1594865</v>
      </c>
      <c r="F14" s="16" t="s">
        <v>21</v>
      </c>
      <c r="G14" s="50">
        <v>20395867</v>
      </c>
      <c r="H14" s="16" t="s">
        <v>33</v>
      </c>
      <c r="I14" s="50">
        <v>1</v>
      </c>
      <c r="J14" s="51">
        <v>11</v>
      </c>
      <c r="K14" s="51">
        <v>11</v>
      </c>
    </row>
    <row r="15" spans="1:11">
      <c r="D15" s="49">
        <v>46127</v>
      </c>
      <c r="E15" s="16">
        <v>1594865</v>
      </c>
      <c r="F15" s="16" t="s">
        <v>13</v>
      </c>
      <c r="G15" s="50">
        <v>20395868</v>
      </c>
      <c r="H15" s="16" t="s">
        <v>34</v>
      </c>
      <c r="I15" s="50">
        <v>1</v>
      </c>
      <c r="J15" s="51">
        <v>16.5</v>
      </c>
      <c r="K15" s="51">
        <v>16.5</v>
      </c>
    </row>
    <row r="16" spans="1:11">
      <c r="D16" s="49">
        <v>46127</v>
      </c>
      <c r="E16" s="16">
        <v>1595210</v>
      </c>
      <c r="F16" s="16" t="s">
        <v>21</v>
      </c>
      <c r="G16" s="50">
        <v>20401317</v>
      </c>
      <c r="H16" s="16" t="s">
        <v>35</v>
      </c>
      <c r="I16" s="50">
        <v>3</v>
      </c>
      <c r="J16" s="51">
        <v>16.5</v>
      </c>
      <c r="K16" s="51">
        <v>49.5</v>
      </c>
    </row>
    <row r="17" spans="4:11">
      <c r="D17" s="49">
        <v>46127</v>
      </c>
      <c r="E17" s="16">
        <v>1595210</v>
      </c>
      <c r="F17" s="16" t="s">
        <v>21</v>
      </c>
      <c r="G17" s="50">
        <v>20394943</v>
      </c>
      <c r="H17" s="16" t="s">
        <v>29</v>
      </c>
      <c r="I17" s="50">
        <v>1</v>
      </c>
      <c r="J17" s="51">
        <v>11</v>
      </c>
      <c r="K17" s="51">
        <v>11</v>
      </c>
    </row>
    <row r="18" spans="4:11">
      <c r="D18" s="49">
        <v>46127</v>
      </c>
      <c r="E18" s="16">
        <v>1595210</v>
      </c>
      <c r="F18" s="16" t="s">
        <v>21</v>
      </c>
      <c r="G18" s="50">
        <v>20396337</v>
      </c>
      <c r="H18" s="16" t="s">
        <v>36</v>
      </c>
      <c r="I18" s="50">
        <v>2</v>
      </c>
      <c r="J18" s="51">
        <v>8</v>
      </c>
      <c r="K18" s="51">
        <v>16</v>
      </c>
    </row>
    <row r="19" spans="4:11">
      <c r="D19" s="49">
        <v>46127</v>
      </c>
      <c r="E19" s="16">
        <v>1595210</v>
      </c>
      <c r="F19" s="16" t="s">
        <v>21</v>
      </c>
      <c r="G19" s="50">
        <v>20396335</v>
      </c>
      <c r="H19" s="16" t="s">
        <v>37</v>
      </c>
      <c r="I19" s="50">
        <v>1</v>
      </c>
      <c r="J19" s="51">
        <v>8</v>
      </c>
      <c r="K19" s="51">
        <v>8</v>
      </c>
    </row>
    <row r="20" spans="4:11">
      <c r="D20" s="49">
        <v>46127</v>
      </c>
      <c r="E20" s="16">
        <v>1595210</v>
      </c>
      <c r="F20" s="16" t="s">
        <v>21</v>
      </c>
      <c r="G20" s="50">
        <v>20377357</v>
      </c>
      <c r="H20" s="16" t="s">
        <v>31</v>
      </c>
      <c r="I20" s="50">
        <v>3</v>
      </c>
      <c r="J20" s="51">
        <v>8</v>
      </c>
      <c r="K20" s="51">
        <v>24</v>
      </c>
    </row>
    <row r="21" spans="4:11">
      <c r="D21" s="49">
        <v>46128</v>
      </c>
      <c r="E21" s="16">
        <v>1595336</v>
      </c>
      <c r="F21" s="16" t="s">
        <v>21</v>
      </c>
      <c r="G21" s="50">
        <v>20402556</v>
      </c>
      <c r="H21" s="16" t="s">
        <v>38</v>
      </c>
      <c r="I21" s="50">
        <v>2</v>
      </c>
      <c r="J21" s="51">
        <v>16.5</v>
      </c>
      <c r="K21" s="51">
        <v>33</v>
      </c>
    </row>
    <row r="22" spans="4:11">
      <c r="D22" s="49">
        <v>46128</v>
      </c>
      <c r="E22" s="16">
        <v>1595336</v>
      </c>
      <c r="F22" s="16" t="s">
        <v>21</v>
      </c>
      <c r="G22" s="50">
        <v>20396337</v>
      </c>
      <c r="H22" s="16" t="s">
        <v>36</v>
      </c>
      <c r="I22" s="50">
        <v>1</v>
      </c>
      <c r="J22" s="51">
        <v>8</v>
      </c>
      <c r="K22" s="51">
        <v>8</v>
      </c>
    </row>
    <row r="23" spans="4:11">
      <c r="D23" s="49">
        <v>46129</v>
      </c>
      <c r="E23" s="16">
        <v>1595639</v>
      </c>
      <c r="F23" s="16" t="s">
        <v>21</v>
      </c>
      <c r="G23" s="50">
        <v>20376624</v>
      </c>
      <c r="H23" s="16" t="s">
        <v>28</v>
      </c>
      <c r="I23" s="50">
        <v>1</v>
      </c>
      <c r="J23" s="51">
        <v>8</v>
      </c>
      <c r="K23" s="51">
        <v>8</v>
      </c>
    </row>
    <row r="24" spans="4:11">
      <c r="D24" s="49">
        <v>46129</v>
      </c>
      <c r="E24" s="16">
        <v>1595639</v>
      </c>
      <c r="F24" s="16" t="s">
        <v>21</v>
      </c>
      <c r="G24" s="50">
        <v>20406253</v>
      </c>
      <c r="H24" s="16" t="s">
        <v>39</v>
      </c>
      <c r="I24" s="50">
        <v>1</v>
      </c>
      <c r="J24" s="51">
        <v>13.5</v>
      </c>
      <c r="K24" s="51">
        <v>13.5</v>
      </c>
    </row>
    <row r="25" spans="4:11">
      <c r="D25" s="49">
        <v>46129</v>
      </c>
      <c r="E25" s="16">
        <v>1595639</v>
      </c>
      <c r="F25" s="16" t="s">
        <v>21</v>
      </c>
      <c r="G25" s="50">
        <v>20396338</v>
      </c>
      <c r="H25" s="16" t="s">
        <v>40</v>
      </c>
      <c r="I25" s="50">
        <v>1</v>
      </c>
      <c r="J25" s="51">
        <v>13.5</v>
      </c>
      <c r="K25" s="51">
        <v>13.5</v>
      </c>
    </row>
    <row r="26" spans="4:11">
      <c r="D26" s="49">
        <v>46129</v>
      </c>
      <c r="E26" s="16">
        <v>1595639</v>
      </c>
      <c r="F26" s="16" t="s">
        <v>21</v>
      </c>
      <c r="G26" s="50">
        <v>20313588</v>
      </c>
      <c r="H26" s="16" t="s">
        <v>30</v>
      </c>
      <c r="I26" s="50">
        <v>2</v>
      </c>
      <c r="J26" s="51">
        <v>8</v>
      </c>
      <c r="K26" s="51">
        <v>16</v>
      </c>
    </row>
    <row r="27" spans="4:11">
      <c r="D27" s="49">
        <v>46129</v>
      </c>
      <c r="E27" s="16">
        <v>1595639</v>
      </c>
      <c r="F27" s="16" t="s">
        <v>21</v>
      </c>
      <c r="G27" s="50">
        <v>20395836</v>
      </c>
      <c r="H27" s="16" t="s">
        <v>41</v>
      </c>
      <c r="I27" s="50">
        <v>1</v>
      </c>
      <c r="J27" s="51">
        <v>8</v>
      </c>
      <c r="K27" s="51">
        <v>8</v>
      </c>
    </row>
    <row r="28" spans="4:11">
      <c r="D28" s="49">
        <v>46129</v>
      </c>
      <c r="E28" s="16">
        <v>1595639</v>
      </c>
      <c r="F28" s="16" t="s">
        <v>21</v>
      </c>
      <c r="G28" s="50">
        <v>20396335</v>
      </c>
      <c r="H28" s="16" t="s">
        <v>37</v>
      </c>
      <c r="I28" s="50">
        <v>1</v>
      </c>
      <c r="J28" s="51">
        <v>8</v>
      </c>
      <c r="K28" s="51">
        <v>8</v>
      </c>
    </row>
    <row r="29" spans="4:11">
      <c r="D29" s="49">
        <v>46129</v>
      </c>
      <c r="E29" s="16">
        <v>1595639</v>
      </c>
      <c r="F29" s="16" t="s">
        <v>21</v>
      </c>
      <c r="G29" s="50">
        <v>20395865</v>
      </c>
      <c r="H29" s="16" t="s">
        <v>32</v>
      </c>
      <c r="I29" s="50">
        <v>1</v>
      </c>
      <c r="J29" s="51">
        <v>8</v>
      </c>
      <c r="K29" s="51">
        <v>8</v>
      </c>
    </row>
    <row r="30" spans="4:11">
      <c r="D30" s="49">
        <v>46129</v>
      </c>
      <c r="E30" s="16">
        <v>1595639</v>
      </c>
      <c r="F30" s="16" t="s">
        <v>21</v>
      </c>
      <c r="G30" s="50">
        <v>20395867</v>
      </c>
      <c r="H30" s="16" t="s">
        <v>33</v>
      </c>
      <c r="I30" s="50">
        <v>1</v>
      </c>
      <c r="J30" s="51">
        <v>11</v>
      </c>
      <c r="K30" s="51">
        <v>11</v>
      </c>
    </row>
    <row r="31" spans="4:11">
      <c r="D31" s="49">
        <v>46129</v>
      </c>
      <c r="E31" s="16">
        <v>1595639</v>
      </c>
      <c r="F31" s="16" t="s">
        <v>13</v>
      </c>
      <c r="G31" s="50">
        <v>20395868</v>
      </c>
      <c r="H31" s="16" t="s">
        <v>34</v>
      </c>
      <c r="I31" s="50">
        <v>1</v>
      </c>
      <c r="J31" s="51">
        <v>16.5</v>
      </c>
      <c r="K31" s="51">
        <v>16.5</v>
      </c>
    </row>
    <row r="32" spans="4:11">
      <c r="D32" s="49">
        <v>46129</v>
      </c>
      <c r="E32" s="16">
        <v>1595776</v>
      </c>
      <c r="F32" s="16" t="s">
        <v>21</v>
      </c>
      <c r="G32" s="50">
        <v>20406253</v>
      </c>
      <c r="H32" s="16" t="s">
        <v>39</v>
      </c>
      <c r="I32" s="50">
        <v>1</v>
      </c>
      <c r="J32" s="51">
        <v>13.5</v>
      </c>
      <c r="K32" s="51">
        <v>13.5</v>
      </c>
    </row>
    <row r="33" spans="4:11">
      <c r="D33" s="49">
        <v>46129</v>
      </c>
      <c r="E33" s="16">
        <v>1595776</v>
      </c>
      <c r="F33" s="16" t="s">
        <v>21</v>
      </c>
      <c r="G33" s="50">
        <v>20394943</v>
      </c>
      <c r="H33" s="16" t="s">
        <v>29</v>
      </c>
      <c r="I33" s="50">
        <v>1</v>
      </c>
      <c r="J33" s="51">
        <v>11</v>
      </c>
      <c r="K33" s="51">
        <v>11</v>
      </c>
    </row>
    <row r="34" spans="4:11">
      <c r="D34" s="49">
        <v>46129</v>
      </c>
      <c r="E34" s="16">
        <v>1595776</v>
      </c>
      <c r="F34" s="16" t="s">
        <v>21</v>
      </c>
      <c r="G34" s="50">
        <v>20313588</v>
      </c>
      <c r="H34" s="16" t="s">
        <v>30</v>
      </c>
      <c r="I34" s="50">
        <v>1</v>
      </c>
      <c r="J34" s="51">
        <v>8</v>
      </c>
      <c r="K34" s="51">
        <v>8</v>
      </c>
    </row>
    <row r="35" spans="4:11">
      <c r="D35" s="49">
        <v>46129</v>
      </c>
      <c r="E35" s="16">
        <v>1595776</v>
      </c>
      <c r="F35" s="16" t="s">
        <v>21</v>
      </c>
      <c r="G35" s="50">
        <v>20396337</v>
      </c>
      <c r="H35" s="16" t="s">
        <v>36</v>
      </c>
      <c r="I35" s="50">
        <v>1</v>
      </c>
      <c r="J35" s="51">
        <v>8</v>
      </c>
      <c r="K35" s="51">
        <v>8</v>
      </c>
    </row>
    <row r="36" spans="4:11">
      <c r="D36" s="49">
        <v>46129</v>
      </c>
      <c r="E36" s="16">
        <v>1595776</v>
      </c>
      <c r="F36" s="16" t="s">
        <v>21</v>
      </c>
      <c r="G36" s="50">
        <v>20395495</v>
      </c>
      <c r="H36" s="16" t="s">
        <v>42</v>
      </c>
      <c r="I36" s="50">
        <v>3</v>
      </c>
      <c r="J36" s="51">
        <v>13.5</v>
      </c>
      <c r="K36" s="51">
        <v>40.5</v>
      </c>
    </row>
    <row r="37" spans="4:11">
      <c r="D37" s="49">
        <v>46133</v>
      </c>
      <c r="E37" s="16">
        <v>1596687</v>
      </c>
      <c r="F37" s="16" t="s">
        <v>21</v>
      </c>
      <c r="G37" s="50">
        <v>20401317</v>
      </c>
      <c r="H37" s="16" t="s">
        <v>35</v>
      </c>
      <c r="I37" s="50">
        <v>1</v>
      </c>
      <c r="J37" s="51">
        <v>16.5</v>
      </c>
      <c r="K37" s="51">
        <v>16.5</v>
      </c>
    </row>
    <row r="38" spans="4:11">
      <c r="D38" s="49">
        <v>46133</v>
      </c>
      <c r="E38" s="16">
        <v>1596687</v>
      </c>
      <c r="F38" s="16" t="s">
        <v>21</v>
      </c>
      <c r="G38" s="50">
        <v>20313588</v>
      </c>
      <c r="H38" s="16" t="s">
        <v>30</v>
      </c>
      <c r="I38" s="50">
        <v>6</v>
      </c>
      <c r="J38" s="51">
        <v>8</v>
      </c>
      <c r="K38" s="51">
        <v>48</v>
      </c>
    </row>
    <row r="39" spans="4:11">
      <c r="D39" s="49">
        <v>46133</v>
      </c>
      <c r="E39" s="16">
        <v>1596687</v>
      </c>
      <c r="F39" s="16" t="s">
        <v>21</v>
      </c>
      <c r="G39" s="50">
        <v>20396339</v>
      </c>
      <c r="H39" s="16" t="s">
        <v>43</v>
      </c>
      <c r="I39" s="50">
        <v>4</v>
      </c>
      <c r="J39" s="51">
        <v>11</v>
      </c>
      <c r="K39" s="51">
        <v>44</v>
      </c>
    </row>
    <row r="40" spans="4:11">
      <c r="D40" s="49">
        <v>46133</v>
      </c>
      <c r="E40" s="16">
        <v>1596687</v>
      </c>
      <c r="F40" s="16" t="s">
        <v>21</v>
      </c>
      <c r="G40" s="50">
        <v>20377357</v>
      </c>
      <c r="H40" s="16" t="s">
        <v>31</v>
      </c>
      <c r="I40" s="50">
        <v>1</v>
      </c>
      <c r="J40" s="51">
        <v>8</v>
      </c>
      <c r="K40" s="51">
        <v>8</v>
      </c>
    </row>
    <row r="41" spans="4:11">
      <c r="D41" s="49">
        <v>46134</v>
      </c>
      <c r="E41" s="16">
        <v>1596955</v>
      </c>
      <c r="F41" s="16" t="s">
        <v>21</v>
      </c>
      <c r="G41" s="50">
        <v>20398872</v>
      </c>
      <c r="H41" s="16" t="s">
        <v>44</v>
      </c>
      <c r="I41" s="50">
        <v>1</v>
      </c>
      <c r="J41" s="51">
        <v>8</v>
      </c>
      <c r="K41" s="51">
        <v>8</v>
      </c>
    </row>
    <row r="42" spans="4:11">
      <c r="D42" s="49">
        <v>46134</v>
      </c>
      <c r="E42" s="16">
        <v>1596955</v>
      </c>
      <c r="F42" s="16" t="s">
        <v>21</v>
      </c>
      <c r="G42" s="50">
        <v>20394943</v>
      </c>
      <c r="H42" s="16" t="s">
        <v>29</v>
      </c>
      <c r="I42" s="50">
        <v>1</v>
      </c>
      <c r="J42" s="51">
        <v>11</v>
      </c>
      <c r="K42" s="51">
        <v>11</v>
      </c>
    </row>
    <row r="43" spans="4:11">
      <c r="D43" s="49">
        <v>46134</v>
      </c>
      <c r="E43" s="16">
        <v>1596955</v>
      </c>
      <c r="F43" s="16" t="s">
        <v>21</v>
      </c>
      <c r="G43" s="50">
        <v>20396337</v>
      </c>
      <c r="H43" s="16" t="s">
        <v>36</v>
      </c>
      <c r="I43" s="50">
        <v>1</v>
      </c>
      <c r="J43" s="51">
        <v>8</v>
      </c>
      <c r="K43" s="51">
        <v>8</v>
      </c>
    </row>
    <row r="44" spans="4:11">
      <c r="D44" s="49">
        <v>46134</v>
      </c>
      <c r="E44" s="16">
        <v>1596955</v>
      </c>
      <c r="F44" s="16" t="s">
        <v>21</v>
      </c>
      <c r="G44" s="50">
        <v>20395495</v>
      </c>
      <c r="H44" s="16" t="s">
        <v>42</v>
      </c>
      <c r="I44" s="50">
        <v>2</v>
      </c>
      <c r="J44" s="51">
        <v>13.5</v>
      </c>
      <c r="K44" s="51">
        <v>27</v>
      </c>
    </row>
    <row r="45" spans="4:11">
      <c r="D45" s="49">
        <v>46134</v>
      </c>
      <c r="E45" s="16">
        <v>1596955</v>
      </c>
      <c r="F45" s="16" t="s">
        <v>21</v>
      </c>
      <c r="G45" s="50">
        <v>20396335</v>
      </c>
      <c r="H45" s="16" t="s">
        <v>37</v>
      </c>
      <c r="I45" s="50">
        <v>2</v>
      </c>
      <c r="J45" s="51">
        <v>8</v>
      </c>
      <c r="K45" s="51">
        <v>16</v>
      </c>
    </row>
    <row r="46" spans="4:11">
      <c r="D46" s="49">
        <v>46134</v>
      </c>
      <c r="E46" s="16">
        <v>1596955</v>
      </c>
      <c r="F46" s="16" t="s">
        <v>21</v>
      </c>
      <c r="G46" s="50">
        <v>20377357</v>
      </c>
      <c r="H46" s="16" t="s">
        <v>31</v>
      </c>
      <c r="I46" s="50">
        <v>1</v>
      </c>
      <c r="J46" s="51">
        <v>8</v>
      </c>
      <c r="K46" s="51">
        <v>8</v>
      </c>
    </row>
    <row r="47" spans="4:11">
      <c r="D47" s="49">
        <v>46134</v>
      </c>
      <c r="E47" s="16">
        <v>1597054</v>
      </c>
      <c r="F47" s="16" t="s">
        <v>21</v>
      </c>
      <c r="G47" s="50">
        <v>20394943</v>
      </c>
      <c r="H47" s="16" t="s">
        <v>29</v>
      </c>
      <c r="I47" s="50">
        <v>1</v>
      </c>
      <c r="J47" s="51">
        <v>11</v>
      </c>
      <c r="K47" s="51">
        <v>11</v>
      </c>
    </row>
    <row r="48" spans="4:11">
      <c r="D48" s="49">
        <v>46134</v>
      </c>
      <c r="E48" s="16">
        <v>1597054</v>
      </c>
      <c r="F48" s="16" t="s">
        <v>21</v>
      </c>
      <c r="G48" s="50">
        <v>20313588</v>
      </c>
      <c r="H48" s="16" t="s">
        <v>30</v>
      </c>
      <c r="I48" s="50">
        <v>3</v>
      </c>
      <c r="J48" s="51">
        <v>8</v>
      </c>
      <c r="K48" s="51">
        <v>24</v>
      </c>
    </row>
    <row r="49" spans="4:11">
      <c r="D49" s="49">
        <v>46134</v>
      </c>
      <c r="E49" s="16">
        <v>1597054</v>
      </c>
      <c r="F49" s="16" t="s">
        <v>21</v>
      </c>
      <c r="G49" s="50">
        <v>20396337</v>
      </c>
      <c r="H49" s="16" t="s">
        <v>36</v>
      </c>
      <c r="I49" s="50">
        <v>2</v>
      </c>
      <c r="J49" s="51">
        <v>8</v>
      </c>
      <c r="K49" s="51">
        <v>16</v>
      </c>
    </row>
    <row r="50" spans="4:11">
      <c r="D50" s="49">
        <v>46134</v>
      </c>
      <c r="E50" s="16">
        <v>1597054</v>
      </c>
      <c r="F50" s="16" t="s">
        <v>21</v>
      </c>
      <c r="G50" s="50">
        <v>20395495</v>
      </c>
      <c r="H50" s="16" t="s">
        <v>42</v>
      </c>
      <c r="I50" s="50">
        <v>3</v>
      </c>
      <c r="J50" s="51">
        <v>13.5</v>
      </c>
      <c r="K50" s="51">
        <v>40.5</v>
      </c>
    </row>
    <row r="51" spans="4:11">
      <c r="D51" s="49">
        <v>46134</v>
      </c>
      <c r="E51" s="16">
        <v>1597054</v>
      </c>
      <c r="F51" s="16" t="s">
        <v>21</v>
      </c>
      <c r="G51" s="50">
        <v>20396335</v>
      </c>
      <c r="H51" s="16" t="s">
        <v>37</v>
      </c>
      <c r="I51" s="50">
        <v>1</v>
      </c>
      <c r="J51" s="51">
        <v>8</v>
      </c>
      <c r="K51" s="51">
        <v>8</v>
      </c>
    </row>
    <row r="52" spans="4:11">
      <c r="D52" s="49">
        <v>46134</v>
      </c>
      <c r="E52" s="16">
        <v>1597054</v>
      </c>
      <c r="F52" s="16" t="s">
        <v>21</v>
      </c>
      <c r="G52" s="50">
        <v>20396339</v>
      </c>
      <c r="H52" s="16" t="s">
        <v>43</v>
      </c>
      <c r="I52" s="50">
        <v>1</v>
      </c>
      <c r="J52" s="51">
        <v>11</v>
      </c>
      <c r="K52" s="51">
        <v>11</v>
      </c>
    </row>
    <row r="53" spans="4:11">
      <c r="D53" s="49">
        <v>46134</v>
      </c>
      <c r="E53" s="16">
        <v>1597054</v>
      </c>
      <c r="F53" s="16" t="s">
        <v>21</v>
      </c>
      <c r="G53" s="50">
        <v>20398525</v>
      </c>
      <c r="H53" s="16" t="s">
        <v>45</v>
      </c>
      <c r="I53" s="50">
        <v>1</v>
      </c>
      <c r="J53" s="51">
        <v>11</v>
      </c>
      <c r="K53" s="51">
        <v>11</v>
      </c>
    </row>
    <row r="54" spans="4:11">
      <c r="D54" s="49">
        <v>46136</v>
      </c>
      <c r="E54" s="16">
        <v>1597714</v>
      </c>
      <c r="F54" s="16" t="s">
        <v>21</v>
      </c>
      <c r="G54" s="50">
        <v>20396339</v>
      </c>
      <c r="H54" s="16" t="s">
        <v>43</v>
      </c>
      <c r="I54" s="50">
        <v>4</v>
      </c>
      <c r="J54" s="51">
        <v>11</v>
      </c>
      <c r="K54" s="51">
        <v>44</v>
      </c>
    </row>
    <row r="55" spans="4:11">
      <c r="D55" s="49">
        <v>46136</v>
      </c>
      <c r="E55" s="16">
        <v>1597714</v>
      </c>
      <c r="F55" s="16" t="s">
        <v>21</v>
      </c>
      <c r="G55" s="50">
        <v>20377357</v>
      </c>
      <c r="H55" s="16" t="s">
        <v>31</v>
      </c>
      <c r="I55" s="50">
        <v>1</v>
      </c>
      <c r="J55" s="51">
        <v>8</v>
      </c>
      <c r="K55" s="51">
        <v>8</v>
      </c>
    </row>
    <row r="56" spans="4:11">
      <c r="D56" s="49">
        <v>46136</v>
      </c>
      <c r="E56" s="16">
        <v>1597833</v>
      </c>
      <c r="F56" s="16" t="s">
        <v>21</v>
      </c>
      <c r="G56" s="50">
        <v>20313588</v>
      </c>
      <c r="H56" s="16" t="s">
        <v>30</v>
      </c>
      <c r="I56" s="50">
        <v>2</v>
      </c>
      <c r="J56" s="51">
        <v>8</v>
      </c>
      <c r="K56" s="51">
        <v>16</v>
      </c>
    </row>
    <row r="57" spans="4:11">
      <c r="D57" s="49">
        <v>46136</v>
      </c>
      <c r="E57" s="16">
        <v>1597833</v>
      </c>
      <c r="F57" s="16" t="s">
        <v>21</v>
      </c>
      <c r="G57" s="50">
        <v>20396335</v>
      </c>
      <c r="H57" s="16" t="s">
        <v>37</v>
      </c>
      <c r="I57" s="50">
        <v>1</v>
      </c>
      <c r="J57" s="51">
        <v>8</v>
      </c>
      <c r="K57" s="51">
        <v>8</v>
      </c>
    </row>
    <row r="58" spans="4:11">
      <c r="D58" s="49">
        <v>46136</v>
      </c>
      <c r="E58" s="16">
        <v>1597833</v>
      </c>
      <c r="F58" s="16" t="s">
        <v>21</v>
      </c>
      <c r="G58" s="50">
        <v>20377357</v>
      </c>
      <c r="H58" s="16" t="s">
        <v>31</v>
      </c>
      <c r="I58" s="50">
        <v>1</v>
      </c>
      <c r="J58" s="51">
        <v>8</v>
      </c>
      <c r="K58" s="51">
        <v>8</v>
      </c>
    </row>
    <row r="59" spans="4:11">
      <c r="D59" s="49">
        <v>46137</v>
      </c>
      <c r="E59" s="16">
        <v>1598084</v>
      </c>
      <c r="F59" s="16" t="s">
        <v>21</v>
      </c>
      <c r="G59" s="50">
        <v>20401317</v>
      </c>
      <c r="H59" s="16" t="s">
        <v>35</v>
      </c>
      <c r="I59" s="50">
        <v>1</v>
      </c>
      <c r="J59" s="51">
        <v>16.5</v>
      </c>
      <c r="K59" s="51">
        <v>16.5</v>
      </c>
    </row>
    <row r="60" spans="4:11">
      <c r="D60" s="49">
        <v>46137</v>
      </c>
      <c r="E60" s="16">
        <v>1598084</v>
      </c>
      <c r="F60" s="16" t="s">
        <v>21</v>
      </c>
      <c r="G60" s="50">
        <v>20394943</v>
      </c>
      <c r="H60" s="16" t="s">
        <v>29</v>
      </c>
      <c r="I60" s="50">
        <v>1</v>
      </c>
      <c r="J60" s="51">
        <v>11</v>
      </c>
      <c r="K60" s="51">
        <v>11</v>
      </c>
    </row>
    <row r="61" spans="4:11">
      <c r="D61" s="49">
        <v>46137</v>
      </c>
      <c r="E61" s="16">
        <v>1598084</v>
      </c>
      <c r="F61" s="16" t="s">
        <v>21</v>
      </c>
      <c r="G61" s="50">
        <v>20396337</v>
      </c>
      <c r="H61" s="16" t="s">
        <v>36</v>
      </c>
      <c r="I61" s="50">
        <v>1</v>
      </c>
      <c r="J61" s="51">
        <v>8</v>
      </c>
      <c r="K61" s="51">
        <v>8</v>
      </c>
    </row>
    <row r="62" spans="4:11">
      <c r="D62" s="49">
        <v>46137</v>
      </c>
      <c r="E62" s="16">
        <v>1598084</v>
      </c>
      <c r="F62" s="16" t="s">
        <v>21</v>
      </c>
      <c r="G62" s="50">
        <v>20377357</v>
      </c>
      <c r="H62" s="16" t="s">
        <v>31</v>
      </c>
      <c r="I62" s="50">
        <v>1</v>
      </c>
      <c r="J62" s="51">
        <v>8</v>
      </c>
      <c r="K62" s="51">
        <v>8</v>
      </c>
    </row>
    <row r="63" spans="4:11">
      <c r="D63" s="49">
        <v>46142</v>
      </c>
      <c r="E63" s="16">
        <v>1599900</v>
      </c>
      <c r="F63" s="16" t="s">
        <v>21</v>
      </c>
      <c r="G63" s="50">
        <v>20394943</v>
      </c>
      <c r="H63" s="16" t="s">
        <v>29</v>
      </c>
      <c r="I63" s="50">
        <v>1</v>
      </c>
      <c r="J63" s="51">
        <v>11</v>
      </c>
      <c r="K63" s="51">
        <v>11</v>
      </c>
    </row>
    <row r="64" spans="4:11">
      <c r="D64" s="49">
        <v>46142</v>
      </c>
      <c r="E64" s="16">
        <v>1599900</v>
      </c>
      <c r="F64" s="16" t="s">
        <v>21</v>
      </c>
      <c r="G64" s="50">
        <v>20313588</v>
      </c>
      <c r="H64" s="16" t="s">
        <v>30</v>
      </c>
      <c r="I64" s="50">
        <v>6</v>
      </c>
      <c r="J64" s="51">
        <v>8</v>
      </c>
      <c r="K64" s="51">
        <v>48</v>
      </c>
    </row>
    <row r="65" spans="4:11">
      <c r="D65" s="49">
        <v>46142</v>
      </c>
      <c r="E65" s="16">
        <v>1599900</v>
      </c>
      <c r="F65" s="16" t="s">
        <v>21</v>
      </c>
      <c r="G65" s="50">
        <v>20409657</v>
      </c>
      <c r="H65" s="16" t="s">
        <v>46</v>
      </c>
      <c r="I65" s="50">
        <v>2</v>
      </c>
      <c r="J65" s="51">
        <v>16.5</v>
      </c>
      <c r="K65" s="51">
        <v>33</v>
      </c>
    </row>
    <row r="66" spans="4:11">
      <c r="D66" s="49">
        <v>46142</v>
      </c>
      <c r="E66" s="16">
        <v>1599900</v>
      </c>
      <c r="F66" s="16" t="s">
        <v>21</v>
      </c>
      <c r="G66" s="50">
        <v>20393917</v>
      </c>
      <c r="H66" s="16" t="s">
        <v>47</v>
      </c>
      <c r="I66" s="50">
        <v>2</v>
      </c>
      <c r="J66" s="51">
        <v>11</v>
      </c>
      <c r="K66" s="51">
        <v>22</v>
      </c>
    </row>
    <row r="67" spans="4:11">
      <c r="D67" s="49">
        <v>46142</v>
      </c>
      <c r="E67" s="16">
        <v>1599900</v>
      </c>
      <c r="F67" s="16" t="s">
        <v>21</v>
      </c>
      <c r="G67" s="50">
        <v>20395865</v>
      </c>
      <c r="H67" s="16" t="s">
        <v>32</v>
      </c>
      <c r="I67" s="50">
        <v>3</v>
      </c>
      <c r="J67" s="51">
        <v>8</v>
      </c>
      <c r="K67" s="51">
        <v>24</v>
      </c>
    </row>
    <row r="68" spans="4:11">
      <c r="D68" s="49">
        <v>46149</v>
      </c>
      <c r="E68" s="16">
        <v>1600752</v>
      </c>
      <c r="F68" s="16" t="s">
        <v>21</v>
      </c>
      <c r="G68" s="50">
        <v>20394943</v>
      </c>
      <c r="H68" s="16" t="s">
        <v>29</v>
      </c>
      <c r="I68" s="50">
        <v>1</v>
      </c>
      <c r="J68" s="51">
        <v>11</v>
      </c>
      <c r="K68" s="51">
        <v>11</v>
      </c>
    </row>
    <row r="69" spans="4:11">
      <c r="D69" s="49">
        <v>46149</v>
      </c>
      <c r="E69" s="16">
        <v>1600752</v>
      </c>
      <c r="F69" s="16" t="s">
        <v>21</v>
      </c>
      <c r="G69" s="50">
        <v>20396337</v>
      </c>
      <c r="H69" s="16" t="s">
        <v>36</v>
      </c>
      <c r="I69" s="50">
        <v>1</v>
      </c>
      <c r="J69" s="51">
        <v>8</v>
      </c>
      <c r="K69" s="51">
        <v>8</v>
      </c>
    </row>
    <row r="70" spans="4:11">
      <c r="D70" s="49">
        <v>46149</v>
      </c>
      <c r="E70" s="16">
        <v>1600752</v>
      </c>
      <c r="F70" s="16" t="s">
        <v>21</v>
      </c>
      <c r="G70" s="50">
        <v>20395495</v>
      </c>
      <c r="H70" s="16" t="s">
        <v>42</v>
      </c>
      <c r="I70" s="50">
        <v>2</v>
      </c>
      <c r="J70" s="51">
        <v>13.5</v>
      </c>
      <c r="K70" s="51">
        <v>27</v>
      </c>
    </row>
    <row r="71" spans="4:11">
      <c r="D71" s="49">
        <v>46149</v>
      </c>
      <c r="E71" s="16">
        <v>1600752</v>
      </c>
      <c r="F71" s="16" t="s">
        <v>21</v>
      </c>
      <c r="G71" s="50">
        <v>20396339</v>
      </c>
      <c r="H71" s="16" t="s">
        <v>43</v>
      </c>
      <c r="I71" s="50">
        <v>2</v>
      </c>
      <c r="J71" s="51">
        <v>11</v>
      </c>
      <c r="K71" s="51">
        <v>22</v>
      </c>
    </row>
    <row r="72" spans="4:11">
      <c r="D72" s="49">
        <v>46149</v>
      </c>
      <c r="E72" s="16">
        <v>1600752</v>
      </c>
      <c r="F72" s="16" t="s">
        <v>21</v>
      </c>
      <c r="G72" s="50">
        <v>20411300</v>
      </c>
      <c r="H72" s="16" t="s">
        <v>48</v>
      </c>
      <c r="I72" s="50">
        <v>1</v>
      </c>
      <c r="J72" s="51">
        <v>13.5</v>
      </c>
      <c r="K72" s="51">
        <v>13.5</v>
      </c>
    </row>
    <row r="73" spans="4:11">
      <c r="D73" s="49">
        <v>46150</v>
      </c>
      <c r="E73" s="16">
        <v>1601063</v>
      </c>
      <c r="F73" s="16" t="s">
        <v>21</v>
      </c>
      <c r="G73" s="50">
        <v>20313588</v>
      </c>
      <c r="H73" s="16" t="s">
        <v>30</v>
      </c>
      <c r="I73" s="50">
        <v>2</v>
      </c>
      <c r="J73" s="51">
        <v>8</v>
      </c>
      <c r="K73" s="51">
        <v>16</v>
      </c>
    </row>
    <row r="74" spans="4:11">
      <c r="D74" s="49">
        <v>46150</v>
      </c>
      <c r="E74" s="16">
        <v>1601063</v>
      </c>
      <c r="F74" s="16" t="s">
        <v>21</v>
      </c>
      <c r="G74" s="50">
        <v>20396337</v>
      </c>
      <c r="H74" s="16" t="s">
        <v>36</v>
      </c>
      <c r="I74" s="50">
        <v>1</v>
      </c>
      <c r="J74" s="51">
        <v>8</v>
      </c>
      <c r="K74" s="51">
        <v>8</v>
      </c>
    </row>
    <row r="75" spans="4:11">
      <c r="D75" s="49">
        <v>46150</v>
      </c>
      <c r="E75" s="16">
        <v>1601063</v>
      </c>
      <c r="F75" s="16" t="s">
        <v>21</v>
      </c>
      <c r="G75" s="50">
        <v>20377357</v>
      </c>
      <c r="H75" s="16" t="s">
        <v>31</v>
      </c>
      <c r="I75" s="50">
        <v>1</v>
      </c>
      <c r="J75" s="51">
        <v>8</v>
      </c>
      <c r="K75" s="51">
        <v>8</v>
      </c>
    </row>
    <row r="76" spans="4:11">
      <c r="D76" s="49">
        <v>46150</v>
      </c>
      <c r="E76" s="16">
        <v>1601182</v>
      </c>
      <c r="F76" s="16" t="s">
        <v>21</v>
      </c>
      <c r="G76" s="50">
        <v>20401317</v>
      </c>
      <c r="H76" s="16" t="s">
        <v>35</v>
      </c>
      <c r="I76" s="50">
        <v>1</v>
      </c>
      <c r="J76" s="51">
        <v>16.5</v>
      </c>
      <c r="K76" s="51">
        <v>16.5</v>
      </c>
    </row>
    <row r="77" spans="4:11">
      <c r="D77" s="49">
        <v>46150</v>
      </c>
      <c r="E77" s="16">
        <v>1601182</v>
      </c>
      <c r="F77" s="16" t="s">
        <v>21</v>
      </c>
      <c r="G77" s="50">
        <v>20394943</v>
      </c>
      <c r="H77" s="16" t="s">
        <v>29</v>
      </c>
      <c r="I77" s="50">
        <v>2</v>
      </c>
      <c r="J77" s="51">
        <v>11</v>
      </c>
      <c r="K77" s="51">
        <v>22</v>
      </c>
    </row>
    <row r="78" spans="4:11">
      <c r="D78" s="49">
        <v>46150</v>
      </c>
      <c r="E78" s="16">
        <v>1601182</v>
      </c>
      <c r="F78" s="16" t="s">
        <v>21</v>
      </c>
      <c r="G78" s="50">
        <v>20395495</v>
      </c>
      <c r="H78" s="16" t="s">
        <v>42</v>
      </c>
      <c r="I78" s="50">
        <v>1</v>
      </c>
      <c r="J78" s="51">
        <v>13.5</v>
      </c>
      <c r="K78" s="51">
        <v>13.5</v>
      </c>
    </row>
    <row r="79" spans="4:11">
      <c r="D79" s="49">
        <v>46150</v>
      </c>
      <c r="E79" s="16">
        <v>1601182</v>
      </c>
      <c r="F79" s="16" t="s">
        <v>21</v>
      </c>
      <c r="G79" s="50">
        <v>20377357</v>
      </c>
      <c r="H79" s="16" t="s">
        <v>31</v>
      </c>
      <c r="I79" s="50">
        <v>1</v>
      </c>
      <c r="J79" s="51">
        <v>8</v>
      </c>
      <c r="K79" s="51">
        <v>8</v>
      </c>
    </row>
    <row r="80" spans="4:11">
      <c r="D80" s="49">
        <v>46151</v>
      </c>
      <c r="E80" s="16">
        <v>1601492</v>
      </c>
      <c r="F80" s="16" t="s">
        <v>21</v>
      </c>
      <c r="G80" s="50">
        <v>20401317</v>
      </c>
      <c r="H80" s="16" t="s">
        <v>35</v>
      </c>
      <c r="I80" s="50">
        <v>1</v>
      </c>
      <c r="J80" s="51">
        <v>16.5</v>
      </c>
      <c r="K80" s="51">
        <v>16.5</v>
      </c>
    </row>
    <row r="81" spans="4:11">
      <c r="D81" s="49">
        <v>46151</v>
      </c>
      <c r="E81" s="16">
        <v>1601492</v>
      </c>
      <c r="F81" s="16" t="s">
        <v>21</v>
      </c>
      <c r="G81" s="50">
        <v>20313588</v>
      </c>
      <c r="H81" s="16" t="s">
        <v>30</v>
      </c>
      <c r="I81" s="50">
        <v>1</v>
      </c>
      <c r="J81" s="51">
        <v>8</v>
      </c>
      <c r="K81" s="51">
        <v>8</v>
      </c>
    </row>
    <row r="82" spans="4:11">
      <c r="D82" s="49">
        <v>46151</v>
      </c>
      <c r="E82" s="16">
        <v>1601492</v>
      </c>
      <c r="F82" s="16" t="s">
        <v>21</v>
      </c>
      <c r="G82" s="50">
        <v>20377357</v>
      </c>
      <c r="H82" s="16" t="s">
        <v>31</v>
      </c>
      <c r="I82" s="50">
        <v>1</v>
      </c>
      <c r="J82" s="51">
        <v>8</v>
      </c>
      <c r="K82" s="51">
        <v>8</v>
      </c>
    </row>
    <row r="83" spans="4:11">
      <c r="D83" s="49">
        <v>46151</v>
      </c>
      <c r="E83" s="16">
        <v>1601492</v>
      </c>
      <c r="F83" s="16" t="s">
        <v>21</v>
      </c>
      <c r="G83" s="50">
        <v>20398525</v>
      </c>
      <c r="H83" s="16" t="s">
        <v>45</v>
      </c>
      <c r="I83" s="50">
        <v>3</v>
      </c>
      <c r="J83" s="51">
        <v>11</v>
      </c>
      <c r="K83" s="51">
        <v>33</v>
      </c>
    </row>
    <row r="84" spans="4:11">
      <c r="D84" s="49">
        <v>46151</v>
      </c>
      <c r="E84" s="16">
        <v>1601792</v>
      </c>
      <c r="F84" s="16" t="s">
        <v>21</v>
      </c>
      <c r="G84" s="50">
        <v>20401317</v>
      </c>
      <c r="H84" s="16" t="s">
        <v>35</v>
      </c>
      <c r="I84" s="50">
        <v>1</v>
      </c>
      <c r="J84" s="51">
        <v>16.5</v>
      </c>
      <c r="K84" s="51">
        <v>16.5</v>
      </c>
    </row>
    <row r="85" spans="4:11">
      <c r="D85" s="49">
        <v>46151</v>
      </c>
      <c r="E85" s="16">
        <v>1601792</v>
      </c>
      <c r="F85" s="16" t="s">
        <v>21</v>
      </c>
      <c r="G85" s="50">
        <v>20394943</v>
      </c>
      <c r="H85" s="16" t="s">
        <v>29</v>
      </c>
      <c r="I85" s="50">
        <v>1</v>
      </c>
      <c r="J85" s="51">
        <v>11</v>
      </c>
      <c r="K85" s="51">
        <v>11</v>
      </c>
    </row>
    <row r="86" spans="4:11">
      <c r="D86" s="49">
        <v>46151</v>
      </c>
      <c r="E86" s="16">
        <v>1601792</v>
      </c>
      <c r="F86" s="16" t="s">
        <v>21</v>
      </c>
      <c r="G86" s="50">
        <v>20396337</v>
      </c>
      <c r="H86" s="16" t="s">
        <v>36</v>
      </c>
      <c r="I86" s="50">
        <v>1</v>
      </c>
      <c r="J86" s="51">
        <v>8</v>
      </c>
      <c r="K86" s="51">
        <v>8</v>
      </c>
    </row>
    <row r="87" spans="4:11">
      <c r="D87" s="49">
        <v>46151</v>
      </c>
      <c r="E87" s="16">
        <v>1601792</v>
      </c>
      <c r="F87" s="16" t="s">
        <v>21</v>
      </c>
      <c r="G87" s="50">
        <v>20395495</v>
      </c>
      <c r="H87" s="16" t="s">
        <v>42</v>
      </c>
      <c r="I87" s="50">
        <v>3</v>
      </c>
      <c r="J87" s="51">
        <v>13.5</v>
      </c>
      <c r="K87" s="51">
        <v>40.5</v>
      </c>
    </row>
    <row r="88" spans="4:11">
      <c r="D88" s="49">
        <v>46151</v>
      </c>
      <c r="E88" s="16">
        <v>1601792</v>
      </c>
      <c r="F88" s="16" t="s">
        <v>21</v>
      </c>
      <c r="G88" s="50">
        <v>20423781</v>
      </c>
      <c r="H88" s="16" t="s">
        <v>49</v>
      </c>
      <c r="I88" s="50">
        <v>1</v>
      </c>
      <c r="J88" s="51">
        <v>8</v>
      </c>
      <c r="K88" s="51">
        <v>8</v>
      </c>
    </row>
    <row r="89" spans="4:11">
      <c r="D89" s="49">
        <v>46151</v>
      </c>
      <c r="E89" s="16">
        <v>1601792</v>
      </c>
      <c r="F89" s="16" t="s">
        <v>21</v>
      </c>
      <c r="G89" s="50">
        <v>20377357</v>
      </c>
      <c r="H89" s="16" t="s">
        <v>31</v>
      </c>
      <c r="I89" s="50">
        <v>3</v>
      </c>
      <c r="J89" s="51">
        <v>8</v>
      </c>
      <c r="K89" s="51">
        <v>24</v>
      </c>
    </row>
    <row r="90" spans="4:11">
      <c r="D90" s="49">
        <v>46155</v>
      </c>
      <c r="E90" s="16">
        <v>1602674</v>
      </c>
      <c r="F90" s="16" t="s">
        <v>21</v>
      </c>
      <c r="G90" s="50">
        <v>20398872</v>
      </c>
      <c r="H90" s="16" t="s">
        <v>44</v>
      </c>
      <c r="I90" s="50">
        <v>1</v>
      </c>
      <c r="J90" s="51">
        <v>8</v>
      </c>
      <c r="K90" s="51">
        <v>8</v>
      </c>
    </row>
    <row r="91" spans="4:11">
      <c r="D91" s="49">
        <v>46155</v>
      </c>
      <c r="E91" s="16">
        <v>1602674</v>
      </c>
      <c r="F91" s="16" t="s">
        <v>21</v>
      </c>
      <c r="G91" s="50">
        <v>20401317</v>
      </c>
      <c r="H91" s="16" t="s">
        <v>35</v>
      </c>
      <c r="I91" s="50">
        <v>1</v>
      </c>
      <c r="J91" s="51">
        <v>16.5</v>
      </c>
      <c r="K91" s="51">
        <v>16.5</v>
      </c>
    </row>
    <row r="92" spans="4:11">
      <c r="D92" s="49">
        <v>46155</v>
      </c>
      <c r="E92" s="16">
        <v>1602674</v>
      </c>
      <c r="F92" s="16" t="s">
        <v>21</v>
      </c>
      <c r="G92" s="50">
        <v>20313588</v>
      </c>
      <c r="H92" s="16" t="s">
        <v>30</v>
      </c>
      <c r="I92" s="50">
        <v>1</v>
      </c>
      <c r="J92" s="51">
        <v>8</v>
      </c>
      <c r="K92" s="51">
        <v>8</v>
      </c>
    </row>
    <row r="93" spans="4:11">
      <c r="D93" s="49">
        <v>46155</v>
      </c>
      <c r="E93" s="16">
        <v>1602674</v>
      </c>
      <c r="F93" s="16" t="s">
        <v>21</v>
      </c>
      <c r="G93" s="50">
        <v>20396339</v>
      </c>
      <c r="H93" s="16" t="s">
        <v>43</v>
      </c>
      <c r="I93" s="50">
        <v>2</v>
      </c>
      <c r="J93" s="51">
        <v>11</v>
      </c>
      <c r="K93" s="51">
        <v>22</v>
      </c>
    </row>
    <row r="94" spans="4:11">
      <c r="D94" s="49">
        <v>46155</v>
      </c>
      <c r="E94" s="16">
        <v>1602674</v>
      </c>
      <c r="F94" s="16" t="s">
        <v>21</v>
      </c>
      <c r="G94" s="50">
        <v>20377357</v>
      </c>
      <c r="H94" s="16" t="s">
        <v>31</v>
      </c>
      <c r="I94" s="50">
        <v>3</v>
      </c>
      <c r="J94" s="51">
        <v>8</v>
      </c>
      <c r="K94" s="51">
        <v>24</v>
      </c>
    </row>
    <row r="95" spans="4:11">
      <c r="D95" s="49">
        <v>46156</v>
      </c>
      <c r="E95" s="16">
        <v>1602913</v>
      </c>
      <c r="F95" s="16" t="s">
        <v>21</v>
      </c>
      <c r="G95" s="50">
        <v>20377357</v>
      </c>
      <c r="H95" s="16" t="s">
        <v>31</v>
      </c>
      <c r="I95" s="50">
        <v>3</v>
      </c>
      <c r="J95" s="51">
        <v>8</v>
      </c>
      <c r="K95" s="51">
        <v>24</v>
      </c>
    </row>
    <row r="96" ht="0.05" customHeight="1"/>
  </sheetData>
  <autoFilter xmlns:etc="http://www.wps.cn/officeDocument/2017/etCustomData" ref="J1:J95" etc:filterBottomFollowUsedRange="0">
    <extLst/>
  </autoFilter>
  <mergeCells count="5">
    <mergeCell ref="D8:H8"/>
    <mergeCell ref="C7:C95"/>
    <mergeCell ref="B4:H5"/>
    <mergeCell ref="A7:B9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50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944</v>
      </c>
      <c r="J8" s="48"/>
      <c r="K8" s="48">
        <v>9002</v>
      </c>
    </row>
    <row r="9" spans="1:11">
      <c r="D9" s="49">
        <v>46127</v>
      </c>
      <c r="E9" s="16">
        <v>1594866</v>
      </c>
      <c r="F9" s="16" t="s">
        <v>21</v>
      </c>
      <c r="G9" s="50">
        <v>20406253</v>
      </c>
      <c r="H9" s="16" t="s">
        <v>39</v>
      </c>
      <c r="I9" s="50">
        <v>6</v>
      </c>
      <c r="J9" s="51">
        <v>13.5</v>
      </c>
      <c r="K9" s="51">
        <v>81</v>
      </c>
    </row>
    <row r="10" spans="1:11">
      <c r="D10" s="49">
        <v>46127</v>
      </c>
      <c r="E10" s="16">
        <v>1594866</v>
      </c>
      <c r="F10" s="16" t="s">
        <v>21</v>
      </c>
      <c r="G10" s="50">
        <v>20313588</v>
      </c>
      <c r="H10" s="16" t="s">
        <v>30</v>
      </c>
      <c r="I10" s="50">
        <v>7</v>
      </c>
      <c r="J10" s="51">
        <v>8</v>
      </c>
      <c r="K10" s="51">
        <v>56</v>
      </c>
    </row>
    <row r="11" spans="1:11">
      <c r="D11" s="49">
        <v>46127</v>
      </c>
      <c r="E11" s="16">
        <v>1594866</v>
      </c>
      <c r="F11" s="16" t="s">
        <v>21</v>
      </c>
      <c r="G11" s="50">
        <v>20396339</v>
      </c>
      <c r="H11" s="16" t="s">
        <v>43</v>
      </c>
      <c r="I11" s="50">
        <v>1</v>
      </c>
      <c r="J11" s="51">
        <v>11</v>
      </c>
      <c r="K11" s="51">
        <v>11</v>
      </c>
    </row>
    <row r="12" spans="1:11">
      <c r="D12" s="49">
        <v>46127</v>
      </c>
      <c r="E12" s="16">
        <v>1594866</v>
      </c>
      <c r="F12" s="16" t="s">
        <v>21</v>
      </c>
      <c r="G12" s="50">
        <v>20377357</v>
      </c>
      <c r="H12" s="16" t="s">
        <v>31</v>
      </c>
      <c r="I12" s="50">
        <v>13</v>
      </c>
      <c r="J12" s="51">
        <v>8</v>
      </c>
      <c r="K12" s="51">
        <v>104</v>
      </c>
    </row>
    <row r="13" spans="1:11">
      <c r="D13" s="49">
        <v>46127</v>
      </c>
      <c r="E13" s="16">
        <v>1594866</v>
      </c>
      <c r="F13" s="16" t="s">
        <v>21</v>
      </c>
      <c r="G13" s="50">
        <v>20312027</v>
      </c>
      <c r="H13" s="16" t="s">
        <v>51</v>
      </c>
      <c r="I13" s="50">
        <v>12</v>
      </c>
      <c r="J13" s="51">
        <v>11</v>
      </c>
      <c r="K13" s="51">
        <v>132</v>
      </c>
    </row>
    <row r="14" spans="1:11">
      <c r="D14" s="49">
        <v>46127</v>
      </c>
      <c r="E14" s="16">
        <v>1594866</v>
      </c>
      <c r="F14" s="16" t="s">
        <v>21</v>
      </c>
      <c r="G14" s="50">
        <v>20314990</v>
      </c>
      <c r="H14" s="16" t="s">
        <v>52</v>
      </c>
      <c r="I14" s="50">
        <v>7</v>
      </c>
      <c r="J14" s="51">
        <v>8</v>
      </c>
      <c r="K14" s="51">
        <v>56</v>
      </c>
    </row>
    <row r="15" spans="1:11">
      <c r="D15" s="49">
        <v>46127</v>
      </c>
      <c r="E15" s="16">
        <v>1594965</v>
      </c>
      <c r="F15" s="16" t="s">
        <v>21</v>
      </c>
      <c r="G15" s="50">
        <v>20406253</v>
      </c>
      <c r="H15" s="16" t="s">
        <v>39</v>
      </c>
      <c r="I15" s="50">
        <v>2</v>
      </c>
      <c r="J15" s="51">
        <v>13.5</v>
      </c>
      <c r="K15" s="51">
        <v>27</v>
      </c>
    </row>
    <row r="16" spans="1:11">
      <c r="D16" s="49">
        <v>46127</v>
      </c>
      <c r="E16" s="16">
        <v>1594965</v>
      </c>
      <c r="F16" s="16" t="s">
        <v>21</v>
      </c>
      <c r="G16" s="50">
        <v>20313588</v>
      </c>
      <c r="H16" s="16" t="s">
        <v>30</v>
      </c>
      <c r="I16" s="50">
        <v>2</v>
      </c>
      <c r="J16" s="51">
        <v>8</v>
      </c>
      <c r="K16" s="51">
        <v>16</v>
      </c>
    </row>
    <row r="17" spans="4:11">
      <c r="D17" s="49">
        <v>46127</v>
      </c>
      <c r="E17" s="16">
        <v>1594965</v>
      </c>
      <c r="F17" s="16" t="s">
        <v>21</v>
      </c>
      <c r="G17" s="50">
        <v>20347963</v>
      </c>
      <c r="H17" s="16" t="s">
        <v>53</v>
      </c>
      <c r="I17" s="50">
        <v>3</v>
      </c>
      <c r="J17" s="51">
        <v>8</v>
      </c>
      <c r="K17" s="51">
        <v>24</v>
      </c>
    </row>
    <row r="18" spans="4:11">
      <c r="D18" s="49">
        <v>46127</v>
      </c>
      <c r="E18" s="16">
        <v>1594965</v>
      </c>
      <c r="F18" s="16" t="s">
        <v>21</v>
      </c>
      <c r="G18" s="50">
        <v>20377357</v>
      </c>
      <c r="H18" s="16" t="s">
        <v>31</v>
      </c>
      <c r="I18" s="50">
        <v>6</v>
      </c>
      <c r="J18" s="51">
        <v>8</v>
      </c>
      <c r="K18" s="51">
        <v>48</v>
      </c>
    </row>
    <row r="19" spans="4:11">
      <c r="D19" s="49">
        <v>46127</v>
      </c>
      <c r="E19" s="16">
        <v>1594965</v>
      </c>
      <c r="F19" s="16" t="s">
        <v>21</v>
      </c>
      <c r="G19" s="50">
        <v>20314990</v>
      </c>
      <c r="H19" s="16" t="s">
        <v>52</v>
      </c>
      <c r="I19" s="50">
        <v>3</v>
      </c>
      <c r="J19" s="51">
        <v>8</v>
      </c>
      <c r="K19" s="51">
        <v>24</v>
      </c>
    </row>
    <row r="20" spans="4:11">
      <c r="D20" s="49">
        <v>46127</v>
      </c>
      <c r="E20" s="16">
        <v>1595211</v>
      </c>
      <c r="F20" s="16" t="s">
        <v>21</v>
      </c>
      <c r="G20" s="50">
        <v>20406253</v>
      </c>
      <c r="H20" s="16" t="s">
        <v>39</v>
      </c>
      <c r="I20" s="50">
        <v>3</v>
      </c>
      <c r="J20" s="51">
        <v>13.5</v>
      </c>
      <c r="K20" s="51">
        <v>40.5</v>
      </c>
    </row>
    <row r="21" spans="4:11">
      <c r="D21" s="49">
        <v>46127</v>
      </c>
      <c r="E21" s="16">
        <v>1595211</v>
      </c>
      <c r="F21" s="16" t="s">
        <v>21</v>
      </c>
      <c r="G21" s="50">
        <v>20313588</v>
      </c>
      <c r="H21" s="16" t="s">
        <v>30</v>
      </c>
      <c r="I21" s="50">
        <v>4</v>
      </c>
      <c r="J21" s="51">
        <v>8</v>
      </c>
      <c r="K21" s="51">
        <v>32</v>
      </c>
    </row>
    <row r="22" spans="4:11">
      <c r="D22" s="49">
        <v>46127</v>
      </c>
      <c r="E22" s="16">
        <v>1595211</v>
      </c>
      <c r="F22" s="16" t="s">
        <v>21</v>
      </c>
      <c r="G22" s="50">
        <v>20377357</v>
      </c>
      <c r="H22" s="16" t="s">
        <v>31</v>
      </c>
      <c r="I22" s="50">
        <v>5</v>
      </c>
      <c r="J22" s="51">
        <v>8</v>
      </c>
      <c r="K22" s="51">
        <v>40</v>
      </c>
    </row>
    <row r="23" spans="4:11">
      <c r="D23" s="49">
        <v>46127</v>
      </c>
      <c r="E23" s="16">
        <v>1595211</v>
      </c>
      <c r="F23" s="16" t="s">
        <v>21</v>
      </c>
      <c r="G23" s="50">
        <v>20312027</v>
      </c>
      <c r="H23" s="16" t="s">
        <v>51</v>
      </c>
      <c r="I23" s="50">
        <v>14</v>
      </c>
      <c r="J23" s="51">
        <v>11</v>
      </c>
      <c r="K23" s="51">
        <v>154</v>
      </c>
    </row>
    <row r="24" spans="4:11">
      <c r="D24" s="49">
        <v>46127</v>
      </c>
      <c r="E24" s="16">
        <v>1595211</v>
      </c>
      <c r="F24" s="16" t="s">
        <v>21</v>
      </c>
      <c r="G24" s="50">
        <v>20314990</v>
      </c>
      <c r="H24" s="16" t="s">
        <v>52</v>
      </c>
      <c r="I24" s="50">
        <v>1</v>
      </c>
      <c r="J24" s="51">
        <v>8</v>
      </c>
      <c r="K24" s="51">
        <v>8</v>
      </c>
    </row>
    <row r="25" spans="4:11">
      <c r="D25" s="49">
        <v>46127</v>
      </c>
      <c r="E25" s="16">
        <v>1595211</v>
      </c>
      <c r="F25" s="16" t="s">
        <v>21</v>
      </c>
      <c r="G25" s="50">
        <v>20005849</v>
      </c>
      <c r="H25" s="16" t="s">
        <v>54</v>
      </c>
      <c r="I25" s="50">
        <v>1</v>
      </c>
      <c r="J25" s="51">
        <v>8</v>
      </c>
      <c r="K25" s="51">
        <v>8</v>
      </c>
    </row>
    <row r="26" spans="4:11">
      <c r="D26" s="49">
        <v>46128</v>
      </c>
      <c r="E26" s="16">
        <v>1595337</v>
      </c>
      <c r="F26" s="16" t="s">
        <v>21</v>
      </c>
      <c r="G26" s="50">
        <v>20005208</v>
      </c>
      <c r="H26" s="16" t="s">
        <v>55</v>
      </c>
      <c r="I26" s="50">
        <v>1</v>
      </c>
      <c r="J26" s="51">
        <v>8</v>
      </c>
      <c r="K26" s="51">
        <v>8</v>
      </c>
    </row>
    <row r="27" spans="4:11">
      <c r="D27" s="49">
        <v>46128</v>
      </c>
      <c r="E27" s="16">
        <v>1595337</v>
      </c>
      <c r="F27" s="16" t="s">
        <v>21</v>
      </c>
      <c r="G27" s="50">
        <v>20406253</v>
      </c>
      <c r="H27" s="16" t="s">
        <v>39</v>
      </c>
      <c r="I27" s="50">
        <v>4</v>
      </c>
      <c r="J27" s="51">
        <v>13.5</v>
      </c>
      <c r="K27" s="51">
        <v>54</v>
      </c>
    </row>
    <row r="28" spans="4:11">
      <c r="D28" s="49">
        <v>46128</v>
      </c>
      <c r="E28" s="16">
        <v>1595337</v>
      </c>
      <c r="F28" s="16" t="s">
        <v>21</v>
      </c>
      <c r="G28" s="50">
        <v>20313588</v>
      </c>
      <c r="H28" s="16" t="s">
        <v>30</v>
      </c>
      <c r="I28" s="50">
        <v>6</v>
      </c>
      <c r="J28" s="51">
        <v>8</v>
      </c>
      <c r="K28" s="51">
        <v>48</v>
      </c>
    </row>
    <row r="29" spans="4:11">
      <c r="D29" s="49">
        <v>46128</v>
      </c>
      <c r="E29" s="16">
        <v>1595337</v>
      </c>
      <c r="F29" s="16" t="s">
        <v>21</v>
      </c>
      <c r="G29" s="50">
        <v>20347963</v>
      </c>
      <c r="H29" s="16" t="s">
        <v>53</v>
      </c>
      <c r="I29" s="50">
        <v>3</v>
      </c>
      <c r="J29" s="51">
        <v>8</v>
      </c>
      <c r="K29" s="51">
        <v>24</v>
      </c>
    </row>
    <row r="30" spans="4:11">
      <c r="D30" s="49">
        <v>46128</v>
      </c>
      <c r="E30" s="16">
        <v>1595337</v>
      </c>
      <c r="F30" s="16" t="s">
        <v>21</v>
      </c>
      <c r="G30" s="50">
        <v>20377357</v>
      </c>
      <c r="H30" s="16" t="s">
        <v>31</v>
      </c>
      <c r="I30" s="50">
        <v>11</v>
      </c>
      <c r="J30" s="51">
        <v>8</v>
      </c>
      <c r="K30" s="51">
        <v>88</v>
      </c>
    </row>
    <row r="31" spans="4:11">
      <c r="D31" s="49">
        <v>46128</v>
      </c>
      <c r="E31" s="16">
        <v>1595337</v>
      </c>
      <c r="F31" s="16" t="s">
        <v>21</v>
      </c>
      <c r="G31" s="50">
        <v>20398525</v>
      </c>
      <c r="H31" s="16" t="s">
        <v>45</v>
      </c>
      <c r="I31" s="50">
        <v>1</v>
      </c>
      <c r="J31" s="51">
        <v>11</v>
      </c>
      <c r="K31" s="51">
        <v>11</v>
      </c>
    </row>
    <row r="32" spans="4:11">
      <c r="D32" s="49">
        <v>46128</v>
      </c>
      <c r="E32" s="16">
        <v>1595337</v>
      </c>
      <c r="F32" s="16" t="s">
        <v>21</v>
      </c>
      <c r="G32" s="50">
        <v>20314990</v>
      </c>
      <c r="H32" s="16" t="s">
        <v>52</v>
      </c>
      <c r="I32" s="50">
        <v>2</v>
      </c>
      <c r="J32" s="51">
        <v>8</v>
      </c>
      <c r="K32" s="51">
        <v>16</v>
      </c>
    </row>
    <row r="33" spans="4:11">
      <c r="D33" s="49">
        <v>46129</v>
      </c>
      <c r="E33" s="16">
        <v>1595640</v>
      </c>
      <c r="F33" s="16" t="s">
        <v>21</v>
      </c>
      <c r="G33" s="50">
        <v>20406253</v>
      </c>
      <c r="H33" s="16" t="s">
        <v>39</v>
      </c>
      <c r="I33" s="50">
        <v>3</v>
      </c>
      <c r="J33" s="51">
        <v>13.5</v>
      </c>
      <c r="K33" s="51">
        <v>40.5</v>
      </c>
    </row>
    <row r="34" spans="4:11">
      <c r="D34" s="49">
        <v>46129</v>
      </c>
      <c r="E34" s="16">
        <v>1595640</v>
      </c>
      <c r="F34" s="16" t="s">
        <v>21</v>
      </c>
      <c r="G34" s="50">
        <v>20313588</v>
      </c>
      <c r="H34" s="16" t="s">
        <v>30</v>
      </c>
      <c r="I34" s="50">
        <v>4</v>
      </c>
      <c r="J34" s="51">
        <v>8</v>
      </c>
      <c r="K34" s="51">
        <v>32</v>
      </c>
    </row>
    <row r="35" spans="4:11">
      <c r="D35" s="49">
        <v>46129</v>
      </c>
      <c r="E35" s="16">
        <v>1595640</v>
      </c>
      <c r="F35" s="16" t="s">
        <v>21</v>
      </c>
      <c r="G35" s="50">
        <v>20347963</v>
      </c>
      <c r="H35" s="16" t="s">
        <v>53</v>
      </c>
      <c r="I35" s="50">
        <v>1</v>
      </c>
      <c r="J35" s="51">
        <v>8</v>
      </c>
      <c r="K35" s="51">
        <v>8</v>
      </c>
    </row>
    <row r="36" spans="4:11">
      <c r="D36" s="49">
        <v>46129</v>
      </c>
      <c r="E36" s="16">
        <v>1595640</v>
      </c>
      <c r="F36" s="16" t="s">
        <v>21</v>
      </c>
      <c r="G36" s="50">
        <v>20377357</v>
      </c>
      <c r="H36" s="16" t="s">
        <v>31</v>
      </c>
      <c r="I36" s="50">
        <v>10</v>
      </c>
      <c r="J36" s="51">
        <v>8</v>
      </c>
      <c r="K36" s="51">
        <v>80</v>
      </c>
    </row>
    <row r="37" spans="4:11">
      <c r="D37" s="49">
        <v>46129</v>
      </c>
      <c r="E37" s="16">
        <v>1595640</v>
      </c>
      <c r="F37" s="16" t="s">
        <v>21</v>
      </c>
      <c r="G37" s="50">
        <v>20312027</v>
      </c>
      <c r="H37" s="16" t="s">
        <v>51</v>
      </c>
      <c r="I37" s="50">
        <v>11</v>
      </c>
      <c r="J37" s="51">
        <v>11</v>
      </c>
      <c r="K37" s="51">
        <v>121</v>
      </c>
    </row>
    <row r="38" spans="4:11">
      <c r="D38" s="49">
        <v>46129</v>
      </c>
      <c r="E38" s="16">
        <v>1595640</v>
      </c>
      <c r="F38" s="16" t="s">
        <v>21</v>
      </c>
      <c r="G38" s="50">
        <v>20314990</v>
      </c>
      <c r="H38" s="16" t="s">
        <v>52</v>
      </c>
      <c r="I38" s="50">
        <v>4</v>
      </c>
      <c r="J38" s="51">
        <v>8</v>
      </c>
      <c r="K38" s="51">
        <v>32</v>
      </c>
    </row>
    <row r="39" spans="4:11">
      <c r="D39" s="49">
        <v>46129</v>
      </c>
      <c r="E39" s="16">
        <v>1595777</v>
      </c>
      <c r="F39" s="16" t="s">
        <v>21</v>
      </c>
      <c r="G39" s="50">
        <v>20406253</v>
      </c>
      <c r="H39" s="16" t="s">
        <v>39</v>
      </c>
      <c r="I39" s="50">
        <v>1</v>
      </c>
      <c r="J39" s="51">
        <v>13.5</v>
      </c>
      <c r="K39" s="51">
        <v>13.5</v>
      </c>
    </row>
    <row r="40" spans="4:11">
      <c r="D40" s="49">
        <v>46129</v>
      </c>
      <c r="E40" s="16">
        <v>1595777</v>
      </c>
      <c r="F40" s="16" t="s">
        <v>21</v>
      </c>
      <c r="G40" s="50">
        <v>20313588</v>
      </c>
      <c r="H40" s="16" t="s">
        <v>30</v>
      </c>
      <c r="I40" s="50">
        <v>1</v>
      </c>
      <c r="J40" s="51">
        <v>8</v>
      </c>
      <c r="K40" s="51">
        <v>8</v>
      </c>
    </row>
    <row r="41" spans="4:11">
      <c r="D41" s="49">
        <v>46129</v>
      </c>
      <c r="E41" s="16">
        <v>1595777</v>
      </c>
      <c r="F41" s="16" t="s">
        <v>21</v>
      </c>
      <c r="G41" s="50">
        <v>20347963</v>
      </c>
      <c r="H41" s="16" t="s">
        <v>53</v>
      </c>
      <c r="I41" s="50">
        <v>1</v>
      </c>
      <c r="J41" s="51">
        <v>8</v>
      </c>
      <c r="K41" s="51">
        <v>8</v>
      </c>
    </row>
    <row r="42" spans="4:11">
      <c r="D42" s="49">
        <v>46129</v>
      </c>
      <c r="E42" s="16">
        <v>1595777</v>
      </c>
      <c r="F42" s="16" t="s">
        <v>21</v>
      </c>
      <c r="G42" s="50">
        <v>20377357</v>
      </c>
      <c r="H42" s="16" t="s">
        <v>31</v>
      </c>
      <c r="I42" s="50">
        <v>5</v>
      </c>
      <c r="J42" s="51">
        <v>8</v>
      </c>
      <c r="K42" s="51">
        <v>40</v>
      </c>
    </row>
    <row r="43" spans="4:11">
      <c r="D43" s="49">
        <v>46129</v>
      </c>
      <c r="E43" s="16">
        <v>1595777</v>
      </c>
      <c r="F43" s="16" t="s">
        <v>21</v>
      </c>
      <c r="G43" s="50">
        <v>20314990</v>
      </c>
      <c r="H43" s="16" t="s">
        <v>52</v>
      </c>
      <c r="I43" s="50">
        <v>1</v>
      </c>
      <c r="J43" s="51">
        <v>8</v>
      </c>
      <c r="K43" s="51">
        <v>8</v>
      </c>
    </row>
    <row r="44" spans="4:11">
      <c r="D44" s="49">
        <v>46129</v>
      </c>
      <c r="E44" s="16">
        <v>1595777</v>
      </c>
      <c r="F44" s="16" t="s">
        <v>21</v>
      </c>
      <c r="G44" s="50">
        <v>20005849</v>
      </c>
      <c r="H44" s="16" t="s">
        <v>54</v>
      </c>
      <c r="I44" s="50">
        <v>1</v>
      </c>
      <c r="J44" s="51">
        <v>8</v>
      </c>
      <c r="K44" s="51">
        <v>8</v>
      </c>
    </row>
    <row r="45" spans="4:11">
      <c r="D45" s="49">
        <v>46130</v>
      </c>
      <c r="E45" s="16">
        <v>1596009</v>
      </c>
      <c r="F45" s="16" t="s">
        <v>21</v>
      </c>
      <c r="G45" s="50">
        <v>20406253</v>
      </c>
      <c r="H45" s="16" t="s">
        <v>39</v>
      </c>
      <c r="I45" s="50">
        <v>3</v>
      </c>
      <c r="J45" s="51">
        <v>13.5</v>
      </c>
      <c r="K45" s="51">
        <v>40.5</v>
      </c>
    </row>
    <row r="46" spans="4:11">
      <c r="D46" s="49">
        <v>46130</v>
      </c>
      <c r="E46" s="16">
        <v>1596009</v>
      </c>
      <c r="F46" s="16" t="s">
        <v>21</v>
      </c>
      <c r="G46" s="50">
        <v>20313588</v>
      </c>
      <c r="H46" s="16" t="s">
        <v>30</v>
      </c>
      <c r="I46" s="50">
        <v>4</v>
      </c>
      <c r="J46" s="51">
        <v>8</v>
      </c>
      <c r="K46" s="51">
        <v>32</v>
      </c>
    </row>
    <row r="47" spans="4:11">
      <c r="D47" s="49">
        <v>46130</v>
      </c>
      <c r="E47" s="16">
        <v>1596009</v>
      </c>
      <c r="F47" s="16" t="s">
        <v>21</v>
      </c>
      <c r="G47" s="50">
        <v>20396339</v>
      </c>
      <c r="H47" s="16" t="s">
        <v>43</v>
      </c>
      <c r="I47" s="50">
        <v>1</v>
      </c>
      <c r="J47" s="51">
        <v>11</v>
      </c>
      <c r="K47" s="51">
        <v>11</v>
      </c>
    </row>
    <row r="48" spans="4:11">
      <c r="D48" s="49">
        <v>46130</v>
      </c>
      <c r="E48" s="16">
        <v>1596009</v>
      </c>
      <c r="F48" s="16" t="s">
        <v>21</v>
      </c>
      <c r="G48" s="50">
        <v>20377357</v>
      </c>
      <c r="H48" s="16" t="s">
        <v>31</v>
      </c>
      <c r="I48" s="50">
        <v>6</v>
      </c>
      <c r="J48" s="51">
        <v>8</v>
      </c>
      <c r="K48" s="51">
        <v>48</v>
      </c>
    </row>
    <row r="49" spans="4:11">
      <c r="D49" s="49">
        <v>46130</v>
      </c>
      <c r="E49" s="16">
        <v>1596009</v>
      </c>
      <c r="F49" s="16" t="s">
        <v>21</v>
      </c>
      <c r="G49" s="50">
        <v>20312027</v>
      </c>
      <c r="H49" s="16" t="s">
        <v>51</v>
      </c>
      <c r="I49" s="50">
        <v>12</v>
      </c>
      <c r="J49" s="51">
        <v>11</v>
      </c>
      <c r="K49" s="51">
        <v>132</v>
      </c>
    </row>
    <row r="50" spans="4:11">
      <c r="D50" s="49">
        <v>46130</v>
      </c>
      <c r="E50" s="16">
        <v>1596009</v>
      </c>
      <c r="F50" s="16" t="s">
        <v>21</v>
      </c>
      <c r="G50" s="50">
        <v>20314990</v>
      </c>
      <c r="H50" s="16" t="s">
        <v>52</v>
      </c>
      <c r="I50" s="50">
        <v>3</v>
      </c>
      <c r="J50" s="51">
        <v>8</v>
      </c>
      <c r="K50" s="51">
        <v>24</v>
      </c>
    </row>
    <row r="51" spans="4:11">
      <c r="D51" s="49">
        <v>46133</v>
      </c>
      <c r="E51" s="16">
        <v>1596594</v>
      </c>
      <c r="F51" s="16" t="s">
        <v>21</v>
      </c>
      <c r="G51" s="50">
        <v>20005208</v>
      </c>
      <c r="H51" s="16" t="s">
        <v>55</v>
      </c>
      <c r="I51" s="50">
        <v>1</v>
      </c>
      <c r="J51" s="51">
        <v>8</v>
      </c>
      <c r="K51" s="51">
        <v>8</v>
      </c>
    </row>
    <row r="52" spans="4:11">
      <c r="D52" s="49">
        <v>46133</v>
      </c>
      <c r="E52" s="16">
        <v>1596594</v>
      </c>
      <c r="F52" s="16" t="s">
        <v>21</v>
      </c>
      <c r="G52" s="50">
        <v>20313588</v>
      </c>
      <c r="H52" s="16" t="s">
        <v>30</v>
      </c>
      <c r="I52" s="50">
        <v>2</v>
      </c>
      <c r="J52" s="51">
        <v>8</v>
      </c>
      <c r="K52" s="51">
        <v>16</v>
      </c>
    </row>
    <row r="53" spans="4:11">
      <c r="D53" s="49">
        <v>46133</v>
      </c>
      <c r="E53" s="16">
        <v>1596594</v>
      </c>
      <c r="F53" s="16" t="s">
        <v>21</v>
      </c>
      <c r="G53" s="50">
        <v>20347963</v>
      </c>
      <c r="H53" s="16" t="s">
        <v>53</v>
      </c>
      <c r="I53" s="50">
        <v>1</v>
      </c>
      <c r="J53" s="51">
        <v>8</v>
      </c>
      <c r="K53" s="51">
        <v>8</v>
      </c>
    </row>
    <row r="54" spans="4:11">
      <c r="D54" s="49">
        <v>46133</v>
      </c>
      <c r="E54" s="16">
        <v>1596594</v>
      </c>
      <c r="F54" s="16" t="s">
        <v>21</v>
      </c>
      <c r="G54" s="50">
        <v>20377357</v>
      </c>
      <c r="H54" s="16" t="s">
        <v>31</v>
      </c>
      <c r="I54" s="50">
        <v>3</v>
      </c>
      <c r="J54" s="51">
        <v>8</v>
      </c>
      <c r="K54" s="51">
        <v>24</v>
      </c>
    </row>
    <row r="55" spans="4:11">
      <c r="D55" s="49">
        <v>46133</v>
      </c>
      <c r="E55" s="16">
        <v>1596594</v>
      </c>
      <c r="F55" s="16" t="s">
        <v>21</v>
      </c>
      <c r="G55" s="50">
        <v>20312027</v>
      </c>
      <c r="H55" s="16" t="s">
        <v>51</v>
      </c>
      <c r="I55" s="50">
        <v>12</v>
      </c>
      <c r="J55" s="51">
        <v>11</v>
      </c>
      <c r="K55" s="51">
        <v>132</v>
      </c>
    </row>
    <row r="56" spans="4:11">
      <c r="D56" s="49">
        <v>46133</v>
      </c>
      <c r="E56" s="16">
        <v>1596594</v>
      </c>
      <c r="F56" s="16" t="s">
        <v>21</v>
      </c>
      <c r="G56" s="50">
        <v>20314990</v>
      </c>
      <c r="H56" s="16" t="s">
        <v>52</v>
      </c>
      <c r="I56" s="50">
        <v>3</v>
      </c>
      <c r="J56" s="51">
        <v>8</v>
      </c>
      <c r="K56" s="51">
        <v>24</v>
      </c>
    </row>
    <row r="57" spans="4:11">
      <c r="D57" s="49">
        <v>46133</v>
      </c>
      <c r="E57" s="16">
        <v>1596688</v>
      </c>
      <c r="F57" s="16" t="s">
        <v>21</v>
      </c>
      <c r="G57" s="50">
        <v>20406253</v>
      </c>
      <c r="H57" s="16" t="s">
        <v>39</v>
      </c>
      <c r="I57" s="50">
        <v>4</v>
      </c>
      <c r="J57" s="51">
        <v>13.5</v>
      </c>
      <c r="K57" s="51">
        <v>54</v>
      </c>
    </row>
    <row r="58" spans="4:11">
      <c r="D58" s="49">
        <v>46133</v>
      </c>
      <c r="E58" s="16">
        <v>1596688</v>
      </c>
      <c r="F58" s="16" t="s">
        <v>21</v>
      </c>
      <c r="G58" s="50">
        <v>20313588</v>
      </c>
      <c r="H58" s="16" t="s">
        <v>30</v>
      </c>
      <c r="I58" s="50">
        <v>6</v>
      </c>
      <c r="J58" s="51">
        <v>8</v>
      </c>
      <c r="K58" s="51">
        <v>48</v>
      </c>
    </row>
    <row r="59" spans="4:11">
      <c r="D59" s="49">
        <v>46133</v>
      </c>
      <c r="E59" s="16">
        <v>1596688</v>
      </c>
      <c r="F59" s="16" t="s">
        <v>21</v>
      </c>
      <c r="G59" s="50">
        <v>20396339</v>
      </c>
      <c r="H59" s="16" t="s">
        <v>43</v>
      </c>
      <c r="I59" s="50">
        <v>1</v>
      </c>
      <c r="J59" s="51">
        <v>11</v>
      </c>
      <c r="K59" s="51">
        <v>11</v>
      </c>
    </row>
    <row r="60" spans="4:11">
      <c r="D60" s="49">
        <v>46133</v>
      </c>
      <c r="E60" s="16">
        <v>1596688</v>
      </c>
      <c r="F60" s="16" t="s">
        <v>21</v>
      </c>
      <c r="G60" s="50">
        <v>20377357</v>
      </c>
      <c r="H60" s="16" t="s">
        <v>31</v>
      </c>
      <c r="I60" s="50">
        <v>9</v>
      </c>
      <c r="J60" s="51">
        <v>8</v>
      </c>
      <c r="K60" s="51">
        <v>72</v>
      </c>
    </row>
    <row r="61" spans="4:11">
      <c r="D61" s="49">
        <v>46133</v>
      </c>
      <c r="E61" s="16">
        <v>1596688</v>
      </c>
      <c r="F61" s="16" t="s">
        <v>21</v>
      </c>
      <c r="G61" s="50">
        <v>20314990</v>
      </c>
      <c r="H61" s="16" t="s">
        <v>52</v>
      </c>
      <c r="I61" s="50">
        <v>3</v>
      </c>
      <c r="J61" s="51">
        <v>8</v>
      </c>
      <c r="K61" s="51">
        <v>24</v>
      </c>
    </row>
    <row r="62" spans="4:11">
      <c r="D62" s="49">
        <v>46134</v>
      </c>
      <c r="E62" s="16">
        <v>1596956</v>
      </c>
      <c r="F62" s="16" t="s">
        <v>21</v>
      </c>
      <c r="G62" s="50">
        <v>20406253</v>
      </c>
      <c r="H62" s="16" t="s">
        <v>39</v>
      </c>
      <c r="I62" s="50">
        <v>3</v>
      </c>
      <c r="J62" s="51">
        <v>13.5</v>
      </c>
      <c r="K62" s="51">
        <v>40.5</v>
      </c>
    </row>
    <row r="63" spans="4:11">
      <c r="D63" s="49">
        <v>46134</v>
      </c>
      <c r="E63" s="16">
        <v>1596956</v>
      </c>
      <c r="F63" s="16" t="s">
        <v>21</v>
      </c>
      <c r="G63" s="50">
        <v>20313588</v>
      </c>
      <c r="H63" s="16" t="s">
        <v>30</v>
      </c>
      <c r="I63" s="50">
        <v>6</v>
      </c>
      <c r="J63" s="51">
        <v>8</v>
      </c>
      <c r="K63" s="51">
        <v>48</v>
      </c>
    </row>
    <row r="64" spans="4:11">
      <c r="D64" s="49">
        <v>46134</v>
      </c>
      <c r="E64" s="16">
        <v>1596956</v>
      </c>
      <c r="F64" s="16" t="s">
        <v>21</v>
      </c>
      <c r="G64" s="50">
        <v>20347963</v>
      </c>
      <c r="H64" s="16" t="s">
        <v>53</v>
      </c>
      <c r="I64" s="50">
        <v>2</v>
      </c>
      <c r="J64" s="51">
        <v>8</v>
      </c>
      <c r="K64" s="51">
        <v>16</v>
      </c>
    </row>
    <row r="65" spans="4:11">
      <c r="D65" s="49">
        <v>46134</v>
      </c>
      <c r="E65" s="16">
        <v>1596956</v>
      </c>
      <c r="F65" s="16" t="s">
        <v>21</v>
      </c>
      <c r="G65" s="50">
        <v>20377357</v>
      </c>
      <c r="H65" s="16" t="s">
        <v>31</v>
      </c>
      <c r="I65" s="50">
        <v>5</v>
      </c>
      <c r="J65" s="51">
        <v>8</v>
      </c>
      <c r="K65" s="51">
        <v>40</v>
      </c>
    </row>
    <row r="66" spans="4:11">
      <c r="D66" s="49">
        <v>46134</v>
      </c>
      <c r="E66" s="16">
        <v>1596956</v>
      </c>
      <c r="F66" s="16" t="s">
        <v>21</v>
      </c>
      <c r="G66" s="50">
        <v>20398525</v>
      </c>
      <c r="H66" s="16" t="s">
        <v>45</v>
      </c>
      <c r="I66" s="50">
        <v>1</v>
      </c>
      <c r="J66" s="51">
        <v>11</v>
      </c>
      <c r="K66" s="51">
        <v>11</v>
      </c>
    </row>
    <row r="67" spans="4:11">
      <c r="D67" s="49">
        <v>46134</v>
      </c>
      <c r="E67" s="16">
        <v>1596956</v>
      </c>
      <c r="F67" s="16" t="s">
        <v>21</v>
      </c>
      <c r="G67" s="50">
        <v>20312027</v>
      </c>
      <c r="H67" s="16" t="s">
        <v>51</v>
      </c>
      <c r="I67" s="50">
        <v>23</v>
      </c>
      <c r="J67" s="51">
        <v>11</v>
      </c>
      <c r="K67" s="51">
        <v>253</v>
      </c>
    </row>
    <row r="68" spans="4:11">
      <c r="D68" s="49">
        <v>46134</v>
      </c>
      <c r="E68" s="16">
        <v>1596956</v>
      </c>
      <c r="F68" s="16" t="s">
        <v>21</v>
      </c>
      <c r="G68" s="50">
        <v>20314990</v>
      </c>
      <c r="H68" s="16" t="s">
        <v>52</v>
      </c>
      <c r="I68" s="50">
        <v>3</v>
      </c>
      <c r="J68" s="51">
        <v>8</v>
      </c>
      <c r="K68" s="51">
        <v>24</v>
      </c>
    </row>
    <row r="69" spans="4:11">
      <c r="D69" s="49">
        <v>46134</v>
      </c>
      <c r="E69" s="16">
        <v>1596956</v>
      </c>
      <c r="F69" s="16" t="s">
        <v>21</v>
      </c>
      <c r="G69" s="50">
        <v>20005849</v>
      </c>
      <c r="H69" s="16" t="s">
        <v>54</v>
      </c>
      <c r="I69" s="50">
        <v>1</v>
      </c>
      <c r="J69" s="51">
        <v>8</v>
      </c>
      <c r="K69" s="51">
        <v>8</v>
      </c>
    </row>
    <row r="70" spans="4:11">
      <c r="D70" s="49">
        <v>46134</v>
      </c>
      <c r="E70" s="16">
        <v>1597055</v>
      </c>
      <c r="F70" s="16" t="s">
        <v>21</v>
      </c>
      <c r="G70" s="50">
        <v>20406253</v>
      </c>
      <c r="H70" s="16" t="s">
        <v>39</v>
      </c>
      <c r="I70" s="50">
        <v>2</v>
      </c>
      <c r="J70" s="51">
        <v>13.5</v>
      </c>
      <c r="K70" s="51">
        <v>27</v>
      </c>
    </row>
    <row r="71" spans="4:11">
      <c r="D71" s="49">
        <v>46134</v>
      </c>
      <c r="E71" s="16">
        <v>1597055</v>
      </c>
      <c r="F71" s="16" t="s">
        <v>21</v>
      </c>
      <c r="G71" s="50">
        <v>20313588</v>
      </c>
      <c r="H71" s="16" t="s">
        <v>30</v>
      </c>
      <c r="I71" s="50">
        <v>3</v>
      </c>
      <c r="J71" s="51">
        <v>8</v>
      </c>
      <c r="K71" s="51">
        <v>24</v>
      </c>
    </row>
    <row r="72" spans="4:11">
      <c r="D72" s="49">
        <v>46134</v>
      </c>
      <c r="E72" s="16">
        <v>1597055</v>
      </c>
      <c r="F72" s="16" t="s">
        <v>21</v>
      </c>
      <c r="G72" s="50">
        <v>20347963</v>
      </c>
      <c r="H72" s="16" t="s">
        <v>53</v>
      </c>
      <c r="I72" s="50">
        <v>3</v>
      </c>
      <c r="J72" s="51">
        <v>8</v>
      </c>
      <c r="K72" s="51">
        <v>24</v>
      </c>
    </row>
    <row r="73" spans="4:11">
      <c r="D73" s="49">
        <v>46134</v>
      </c>
      <c r="E73" s="16">
        <v>1597055</v>
      </c>
      <c r="F73" s="16" t="s">
        <v>21</v>
      </c>
      <c r="G73" s="50">
        <v>20377357</v>
      </c>
      <c r="H73" s="16" t="s">
        <v>31</v>
      </c>
      <c r="I73" s="50">
        <v>5</v>
      </c>
      <c r="J73" s="51">
        <v>8</v>
      </c>
      <c r="K73" s="51">
        <v>40</v>
      </c>
    </row>
    <row r="74" spans="4:11">
      <c r="D74" s="49">
        <v>46134</v>
      </c>
      <c r="E74" s="16">
        <v>1597055</v>
      </c>
      <c r="F74" s="16" t="s">
        <v>21</v>
      </c>
      <c r="G74" s="50">
        <v>20314990</v>
      </c>
      <c r="H74" s="16" t="s">
        <v>52</v>
      </c>
      <c r="I74" s="50">
        <v>2</v>
      </c>
      <c r="J74" s="51">
        <v>8</v>
      </c>
      <c r="K74" s="51">
        <v>16</v>
      </c>
    </row>
    <row r="75" spans="4:11">
      <c r="D75" s="49">
        <v>46135</v>
      </c>
      <c r="E75" s="16">
        <v>1597325</v>
      </c>
      <c r="F75" s="16" t="s">
        <v>21</v>
      </c>
      <c r="G75" s="50">
        <v>20406253</v>
      </c>
      <c r="H75" s="16" t="s">
        <v>39</v>
      </c>
      <c r="I75" s="50">
        <v>4</v>
      </c>
      <c r="J75" s="51">
        <v>13.5</v>
      </c>
      <c r="K75" s="51">
        <v>54</v>
      </c>
    </row>
    <row r="76" spans="4:11">
      <c r="D76" s="49">
        <v>46135</v>
      </c>
      <c r="E76" s="16">
        <v>1597325</v>
      </c>
      <c r="F76" s="16" t="s">
        <v>21</v>
      </c>
      <c r="G76" s="50">
        <v>20313588</v>
      </c>
      <c r="H76" s="16" t="s">
        <v>30</v>
      </c>
      <c r="I76" s="50">
        <v>4</v>
      </c>
      <c r="J76" s="51">
        <v>8</v>
      </c>
      <c r="K76" s="51">
        <v>32</v>
      </c>
    </row>
    <row r="77" spans="4:11">
      <c r="D77" s="49">
        <v>46135</v>
      </c>
      <c r="E77" s="16">
        <v>1597325</v>
      </c>
      <c r="F77" s="16" t="s">
        <v>21</v>
      </c>
      <c r="G77" s="50">
        <v>20347963</v>
      </c>
      <c r="H77" s="16" t="s">
        <v>53</v>
      </c>
      <c r="I77" s="50">
        <v>3</v>
      </c>
      <c r="J77" s="51">
        <v>8</v>
      </c>
      <c r="K77" s="51">
        <v>24</v>
      </c>
    </row>
    <row r="78" spans="4:11">
      <c r="D78" s="49">
        <v>46135</v>
      </c>
      <c r="E78" s="16">
        <v>1597325</v>
      </c>
      <c r="F78" s="16" t="s">
        <v>21</v>
      </c>
      <c r="G78" s="50">
        <v>20377357</v>
      </c>
      <c r="H78" s="16" t="s">
        <v>31</v>
      </c>
      <c r="I78" s="50">
        <v>9</v>
      </c>
      <c r="J78" s="51">
        <v>8</v>
      </c>
      <c r="K78" s="51">
        <v>72</v>
      </c>
    </row>
    <row r="79" spans="4:11">
      <c r="D79" s="49">
        <v>46135</v>
      </c>
      <c r="E79" s="16">
        <v>1597325</v>
      </c>
      <c r="F79" s="16" t="s">
        <v>21</v>
      </c>
      <c r="G79" s="50">
        <v>20312027</v>
      </c>
      <c r="H79" s="16" t="s">
        <v>51</v>
      </c>
      <c r="I79" s="50">
        <v>19</v>
      </c>
      <c r="J79" s="51">
        <v>11</v>
      </c>
      <c r="K79" s="51">
        <v>209</v>
      </c>
    </row>
    <row r="80" spans="4:11">
      <c r="D80" s="49">
        <v>46135</v>
      </c>
      <c r="E80" s="16">
        <v>1597325</v>
      </c>
      <c r="F80" s="16" t="s">
        <v>21</v>
      </c>
      <c r="G80" s="50">
        <v>20314990</v>
      </c>
      <c r="H80" s="16" t="s">
        <v>52</v>
      </c>
      <c r="I80" s="50">
        <v>5</v>
      </c>
      <c r="J80" s="51">
        <v>8</v>
      </c>
      <c r="K80" s="51">
        <v>40</v>
      </c>
    </row>
    <row r="81" spans="4:11">
      <c r="D81" s="49">
        <v>46135</v>
      </c>
      <c r="E81" s="16">
        <v>1597433</v>
      </c>
      <c r="F81" s="16" t="s">
        <v>21</v>
      </c>
      <c r="G81" s="50">
        <v>20406253</v>
      </c>
      <c r="H81" s="16" t="s">
        <v>39</v>
      </c>
      <c r="I81" s="50">
        <v>4</v>
      </c>
      <c r="J81" s="51">
        <v>13.5</v>
      </c>
      <c r="K81" s="51">
        <v>54</v>
      </c>
    </row>
    <row r="82" spans="4:11">
      <c r="D82" s="49">
        <v>46135</v>
      </c>
      <c r="E82" s="16">
        <v>1597433</v>
      </c>
      <c r="F82" s="16" t="s">
        <v>21</v>
      </c>
      <c r="G82" s="50">
        <v>20313588</v>
      </c>
      <c r="H82" s="16" t="s">
        <v>30</v>
      </c>
      <c r="I82" s="50">
        <v>6</v>
      </c>
      <c r="J82" s="51">
        <v>8</v>
      </c>
      <c r="K82" s="51">
        <v>48</v>
      </c>
    </row>
    <row r="83" spans="4:11">
      <c r="D83" s="49">
        <v>46135</v>
      </c>
      <c r="E83" s="16">
        <v>1597433</v>
      </c>
      <c r="F83" s="16" t="s">
        <v>21</v>
      </c>
      <c r="G83" s="50">
        <v>20347963</v>
      </c>
      <c r="H83" s="16" t="s">
        <v>53</v>
      </c>
      <c r="I83" s="50">
        <v>2</v>
      </c>
      <c r="J83" s="51">
        <v>8</v>
      </c>
      <c r="K83" s="51">
        <v>16</v>
      </c>
    </row>
    <row r="84" spans="4:11">
      <c r="D84" s="49">
        <v>46135</v>
      </c>
      <c r="E84" s="16">
        <v>1597433</v>
      </c>
      <c r="F84" s="16" t="s">
        <v>21</v>
      </c>
      <c r="G84" s="50">
        <v>20377357</v>
      </c>
      <c r="H84" s="16" t="s">
        <v>31</v>
      </c>
      <c r="I84" s="50">
        <v>8</v>
      </c>
      <c r="J84" s="51">
        <v>8</v>
      </c>
      <c r="K84" s="51">
        <v>64</v>
      </c>
    </row>
    <row r="85" spans="4:11">
      <c r="D85" s="49">
        <v>46135</v>
      </c>
      <c r="E85" s="16">
        <v>1597433</v>
      </c>
      <c r="F85" s="16" t="s">
        <v>21</v>
      </c>
      <c r="G85" s="50">
        <v>20314990</v>
      </c>
      <c r="H85" s="16" t="s">
        <v>52</v>
      </c>
      <c r="I85" s="50">
        <v>3</v>
      </c>
      <c r="J85" s="51">
        <v>8</v>
      </c>
      <c r="K85" s="51">
        <v>24</v>
      </c>
    </row>
    <row r="86" spans="4:11">
      <c r="D86" s="49">
        <v>46136</v>
      </c>
      <c r="E86" s="16">
        <v>1597715</v>
      </c>
      <c r="F86" s="16" t="s">
        <v>21</v>
      </c>
      <c r="G86" s="50">
        <v>20005207</v>
      </c>
      <c r="H86" s="16" t="s">
        <v>56</v>
      </c>
      <c r="I86" s="50">
        <v>1</v>
      </c>
      <c r="J86" s="51">
        <v>8</v>
      </c>
      <c r="K86" s="51">
        <v>8</v>
      </c>
    </row>
    <row r="87" spans="4:11">
      <c r="D87" s="49">
        <v>46136</v>
      </c>
      <c r="E87" s="16">
        <v>1597715</v>
      </c>
      <c r="F87" s="16" t="s">
        <v>21</v>
      </c>
      <c r="G87" s="50">
        <v>20406253</v>
      </c>
      <c r="H87" s="16" t="s">
        <v>39</v>
      </c>
      <c r="I87" s="50">
        <v>4</v>
      </c>
      <c r="J87" s="51">
        <v>13.5</v>
      </c>
      <c r="K87" s="51">
        <v>54</v>
      </c>
    </row>
    <row r="88" spans="4:11">
      <c r="D88" s="49">
        <v>46136</v>
      </c>
      <c r="E88" s="16">
        <v>1597715</v>
      </c>
      <c r="F88" s="16" t="s">
        <v>21</v>
      </c>
      <c r="G88" s="50">
        <v>20313588</v>
      </c>
      <c r="H88" s="16" t="s">
        <v>30</v>
      </c>
      <c r="I88" s="50">
        <v>5</v>
      </c>
      <c r="J88" s="51">
        <v>8</v>
      </c>
      <c r="K88" s="51">
        <v>40</v>
      </c>
    </row>
    <row r="89" spans="4:11">
      <c r="D89" s="49">
        <v>46136</v>
      </c>
      <c r="E89" s="16">
        <v>1597715</v>
      </c>
      <c r="F89" s="16" t="s">
        <v>21</v>
      </c>
      <c r="G89" s="50">
        <v>20347963</v>
      </c>
      <c r="H89" s="16" t="s">
        <v>53</v>
      </c>
      <c r="I89" s="50">
        <v>3</v>
      </c>
      <c r="J89" s="51">
        <v>8</v>
      </c>
      <c r="K89" s="51">
        <v>24</v>
      </c>
    </row>
    <row r="90" spans="4:11">
      <c r="D90" s="49">
        <v>46136</v>
      </c>
      <c r="E90" s="16">
        <v>1597715</v>
      </c>
      <c r="F90" s="16" t="s">
        <v>21</v>
      </c>
      <c r="G90" s="50">
        <v>20377357</v>
      </c>
      <c r="H90" s="16" t="s">
        <v>31</v>
      </c>
      <c r="I90" s="50">
        <v>9</v>
      </c>
      <c r="J90" s="51">
        <v>8</v>
      </c>
      <c r="K90" s="51">
        <v>72</v>
      </c>
    </row>
    <row r="91" spans="4:11">
      <c r="D91" s="49">
        <v>46136</v>
      </c>
      <c r="E91" s="16">
        <v>1597715</v>
      </c>
      <c r="F91" s="16" t="s">
        <v>21</v>
      </c>
      <c r="G91" s="50">
        <v>20312027</v>
      </c>
      <c r="H91" s="16" t="s">
        <v>51</v>
      </c>
      <c r="I91" s="50">
        <v>8</v>
      </c>
      <c r="J91" s="51">
        <v>11</v>
      </c>
      <c r="K91" s="51">
        <v>88</v>
      </c>
    </row>
    <row r="92" spans="4:11">
      <c r="D92" s="49">
        <v>46136</v>
      </c>
      <c r="E92" s="16">
        <v>1597715</v>
      </c>
      <c r="F92" s="16" t="s">
        <v>21</v>
      </c>
      <c r="G92" s="50">
        <v>20314990</v>
      </c>
      <c r="H92" s="16" t="s">
        <v>52</v>
      </c>
      <c r="I92" s="50">
        <v>3</v>
      </c>
      <c r="J92" s="51">
        <v>8</v>
      </c>
      <c r="K92" s="51">
        <v>24</v>
      </c>
    </row>
    <row r="93" spans="4:11">
      <c r="D93" s="49">
        <v>46136</v>
      </c>
      <c r="E93" s="16">
        <v>1597834</v>
      </c>
      <c r="F93" s="16" t="s">
        <v>21</v>
      </c>
      <c r="G93" s="50">
        <v>20406253</v>
      </c>
      <c r="H93" s="16" t="s">
        <v>39</v>
      </c>
      <c r="I93" s="50">
        <v>3</v>
      </c>
      <c r="J93" s="51">
        <v>13.5</v>
      </c>
      <c r="K93" s="51">
        <v>40.5</v>
      </c>
    </row>
    <row r="94" spans="4:11">
      <c r="D94" s="49">
        <v>46136</v>
      </c>
      <c r="E94" s="16">
        <v>1597834</v>
      </c>
      <c r="F94" s="16" t="s">
        <v>21</v>
      </c>
      <c r="G94" s="50">
        <v>20313588</v>
      </c>
      <c r="H94" s="16" t="s">
        <v>30</v>
      </c>
      <c r="I94" s="50">
        <v>4</v>
      </c>
      <c r="J94" s="51">
        <v>8</v>
      </c>
      <c r="K94" s="51">
        <v>32</v>
      </c>
    </row>
    <row r="95" spans="4:11">
      <c r="D95" s="49">
        <v>46136</v>
      </c>
      <c r="E95" s="16">
        <v>1597834</v>
      </c>
      <c r="F95" s="16" t="s">
        <v>21</v>
      </c>
      <c r="G95" s="50">
        <v>20377357</v>
      </c>
      <c r="H95" s="16" t="s">
        <v>31</v>
      </c>
      <c r="I95" s="50">
        <v>9</v>
      </c>
      <c r="J95" s="51">
        <v>8</v>
      </c>
      <c r="K95" s="51">
        <v>72</v>
      </c>
    </row>
    <row r="96" spans="4:11">
      <c r="D96" s="49">
        <v>46136</v>
      </c>
      <c r="E96" s="16">
        <v>1597834</v>
      </c>
      <c r="F96" s="16" t="s">
        <v>21</v>
      </c>
      <c r="G96" s="50">
        <v>20314990</v>
      </c>
      <c r="H96" s="16" t="s">
        <v>52</v>
      </c>
      <c r="I96" s="50">
        <v>3</v>
      </c>
      <c r="J96" s="51">
        <v>8</v>
      </c>
      <c r="K96" s="51">
        <v>24</v>
      </c>
    </row>
    <row r="97" spans="4:11">
      <c r="D97" s="49">
        <v>46137</v>
      </c>
      <c r="E97" s="16">
        <v>1598085</v>
      </c>
      <c r="F97" s="16" t="s">
        <v>21</v>
      </c>
      <c r="G97" s="50">
        <v>20005208</v>
      </c>
      <c r="H97" s="16" t="s">
        <v>55</v>
      </c>
      <c r="I97" s="50">
        <v>2</v>
      </c>
      <c r="J97" s="51">
        <v>8</v>
      </c>
      <c r="K97" s="51">
        <v>16</v>
      </c>
    </row>
    <row r="98" spans="4:11">
      <c r="D98" s="49">
        <v>46137</v>
      </c>
      <c r="E98" s="16">
        <v>1598085</v>
      </c>
      <c r="F98" s="16" t="s">
        <v>21</v>
      </c>
      <c r="G98" s="50">
        <v>20406253</v>
      </c>
      <c r="H98" s="16" t="s">
        <v>39</v>
      </c>
      <c r="I98" s="50">
        <v>4</v>
      </c>
      <c r="J98" s="51">
        <v>13.5</v>
      </c>
      <c r="K98" s="51">
        <v>54</v>
      </c>
    </row>
    <row r="99" spans="4:11">
      <c r="D99" s="49">
        <v>46137</v>
      </c>
      <c r="E99" s="16">
        <v>1598085</v>
      </c>
      <c r="F99" s="16" t="s">
        <v>21</v>
      </c>
      <c r="G99" s="50">
        <v>20313588</v>
      </c>
      <c r="H99" s="16" t="s">
        <v>30</v>
      </c>
      <c r="I99" s="50">
        <v>6</v>
      </c>
      <c r="J99" s="51">
        <v>8</v>
      </c>
      <c r="K99" s="51">
        <v>48</v>
      </c>
    </row>
    <row r="100" spans="4:11">
      <c r="D100" s="49">
        <v>46137</v>
      </c>
      <c r="E100" s="16">
        <v>1598085</v>
      </c>
      <c r="F100" s="16" t="s">
        <v>21</v>
      </c>
      <c r="G100" s="50">
        <v>20347963</v>
      </c>
      <c r="H100" s="16" t="s">
        <v>53</v>
      </c>
      <c r="I100" s="50">
        <v>2</v>
      </c>
      <c r="J100" s="51">
        <v>8</v>
      </c>
      <c r="K100" s="51">
        <v>16</v>
      </c>
    </row>
    <row r="101" spans="4:11">
      <c r="D101" s="49">
        <v>46137</v>
      </c>
      <c r="E101" s="16">
        <v>1598085</v>
      </c>
      <c r="F101" s="16" t="s">
        <v>21</v>
      </c>
      <c r="G101" s="50">
        <v>20377357</v>
      </c>
      <c r="H101" s="16" t="s">
        <v>31</v>
      </c>
      <c r="I101" s="50">
        <v>8</v>
      </c>
      <c r="J101" s="51">
        <v>8</v>
      </c>
      <c r="K101" s="51">
        <v>64</v>
      </c>
    </row>
    <row r="102" spans="4:11">
      <c r="D102" s="49">
        <v>46137</v>
      </c>
      <c r="E102" s="16">
        <v>1598085</v>
      </c>
      <c r="F102" s="16" t="s">
        <v>21</v>
      </c>
      <c r="G102" s="50">
        <v>20312027</v>
      </c>
      <c r="H102" s="16" t="s">
        <v>51</v>
      </c>
      <c r="I102" s="50">
        <v>8</v>
      </c>
      <c r="J102" s="51">
        <v>11</v>
      </c>
      <c r="K102" s="51">
        <v>88</v>
      </c>
    </row>
    <row r="103" spans="4:11">
      <c r="D103" s="49">
        <v>46137</v>
      </c>
      <c r="E103" s="16">
        <v>1598085</v>
      </c>
      <c r="F103" s="16" t="s">
        <v>21</v>
      </c>
      <c r="G103" s="50">
        <v>20314990</v>
      </c>
      <c r="H103" s="16" t="s">
        <v>52</v>
      </c>
      <c r="I103" s="50">
        <v>3</v>
      </c>
      <c r="J103" s="51">
        <v>8</v>
      </c>
      <c r="K103" s="51">
        <v>24</v>
      </c>
    </row>
    <row r="104" spans="4:11">
      <c r="D104" s="49">
        <v>46137</v>
      </c>
      <c r="E104" s="16">
        <v>1598085</v>
      </c>
      <c r="F104" s="16" t="s">
        <v>21</v>
      </c>
      <c r="G104" s="50">
        <v>20005849</v>
      </c>
      <c r="H104" s="16" t="s">
        <v>54</v>
      </c>
      <c r="I104" s="50">
        <v>1</v>
      </c>
      <c r="J104" s="51">
        <v>8</v>
      </c>
      <c r="K104" s="51">
        <v>8</v>
      </c>
    </row>
    <row r="105" spans="4:11">
      <c r="D105" s="49">
        <v>46140</v>
      </c>
      <c r="E105" s="16">
        <v>1598621</v>
      </c>
      <c r="F105" s="16" t="s">
        <v>21</v>
      </c>
      <c r="G105" s="50">
        <v>20312027</v>
      </c>
      <c r="H105" s="16" t="s">
        <v>51</v>
      </c>
      <c r="I105" s="50">
        <v>13</v>
      </c>
      <c r="J105" s="51">
        <v>11</v>
      </c>
      <c r="K105" s="51">
        <v>143</v>
      </c>
    </row>
    <row r="106" spans="4:11">
      <c r="D106" s="49">
        <v>46140</v>
      </c>
      <c r="E106" s="16">
        <v>1598748</v>
      </c>
      <c r="F106" s="16" t="s">
        <v>21</v>
      </c>
      <c r="G106" s="50">
        <v>20406253</v>
      </c>
      <c r="H106" s="16" t="s">
        <v>39</v>
      </c>
      <c r="I106" s="50">
        <v>2</v>
      </c>
      <c r="J106" s="51">
        <v>13.5</v>
      </c>
      <c r="K106" s="51">
        <v>27</v>
      </c>
    </row>
    <row r="107" spans="4:11">
      <c r="D107" s="49">
        <v>46140</v>
      </c>
      <c r="E107" s="16">
        <v>1598748</v>
      </c>
      <c r="F107" s="16" t="s">
        <v>21</v>
      </c>
      <c r="G107" s="50">
        <v>20313588</v>
      </c>
      <c r="H107" s="16" t="s">
        <v>30</v>
      </c>
      <c r="I107" s="50">
        <v>3</v>
      </c>
      <c r="J107" s="51">
        <v>8</v>
      </c>
      <c r="K107" s="51">
        <v>24</v>
      </c>
    </row>
    <row r="108" spans="4:11">
      <c r="D108" s="49">
        <v>46140</v>
      </c>
      <c r="E108" s="16">
        <v>1598748</v>
      </c>
      <c r="F108" s="16" t="s">
        <v>21</v>
      </c>
      <c r="G108" s="50">
        <v>20396339</v>
      </c>
      <c r="H108" s="16" t="s">
        <v>43</v>
      </c>
      <c r="I108" s="50">
        <v>1</v>
      </c>
      <c r="J108" s="51">
        <v>11</v>
      </c>
      <c r="K108" s="51">
        <v>11</v>
      </c>
    </row>
    <row r="109" spans="4:11">
      <c r="D109" s="49">
        <v>46140</v>
      </c>
      <c r="E109" s="16">
        <v>1598748</v>
      </c>
      <c r="F109" s="16" t="s">
        <v>21</v>
      </c>
      <c r="G109" s="50">
        <v>20347963</v>
      </c>
      <c r="H109" s="16" t="s">
        <v>53</v>
      </c>
      <c r="I109" s="50">
        <v>1</v>
      </c>
      <c r="J109" s="51">
        <v>8</v>
      </c>
      <c r="K109" s="51">
        <v>8</v>
      </c>
    </row>
    <row r="110" spans="4:11">
      <c r="D110" s="49">
        <v>46140</v>
      </c>
      <c r="E110" s="16">
        <v>1598748</v>
      </c>
      <c r="F110" s="16" t="s">
        <v>21</v>
      </c>
      <c r="G110" s="50">
        <v>20377357</v>
      </c>
      <c r="H110" s="16" t="s">
        <v>31</v>
      </c>
      <c r="I110" s="50">
        <v>9</v>
      </c>
      <c r="J110" s="51">
        <v>8</v>
      </c>
      <c r="K110" s="51">
        <v>72</v>
      </c>
    </row>
    <row r="111" spans="4:11">
      <c r="D111" s="49">
        <v>46140</v>
      </c>
      <c r="E111" s="16">
        <v>1598748</v>
      </c>
      <c r="F111" s="16" t="s">
        <v>21</v>
      </c>
      <c r="G111" s="50">
        <v>20312027</v>
      </c>
      <c r="H111" s="16" t="s">
        <v>51</v>
      </c>
      <c r="I111" s="50">
        <v>5</v>
      </c>
      <c r="J111" s="51">
        <v>11</v>
      </c>
      <c r="K111" s="51">
        <v>55</v>
      </c>
    </row>
    <row r="112" spans="4:11">
      <c r="D112" s="49">
        <v>46140</v>
      </c>
      <c r="E112" s="16">
        <v>1598748</v>
      </c>
      <c r="F112" s="16" t="s">
        <v>21</v>
      </c>
      <c r="G112" s="50">
        <v>20314990</v>
      </c>
      <c r="H112" s="16" t="s">
        <v>52</v>
      </c>
      <c r="I112" s="50">
        <v>1</v>
      </c>
      <c r="J112" s="51">
        <v>8</v>
      </c>
      <c r="K112" s="51">
        <v>8</v>
      </c>
    </row>
    <row r="113" spans="4:11">
      <c r="D113" s="49">
        <v>46141</v>
      </c>
      <c r="E113" s="16">
        <v>1599053</v>
      </c>
      <c r="F113" s="16" t="s">
        <v>21</v>
      </c>
      <c r="G113" s="50">
        <v>20376624</v>
      </c>
      <c r="H113" s="16" t="s">
        <v>28</v>
      </c>
      <c r="I113" s="50">
        <v>1</v>
      </c>
      <c r="J113" s="51">
        <v>8</v>
      </c>
      <c r="K113" s="51">
        <v>8</v>
      </c>
    </row>
    <row r="114" spans="4:11">
      <c r="D114" s="49">
        <v>46141</v>
      </c>
      <c r="E114" s="16">
        <v>1599053</v>
      </c>
      <c r="F114" s="16" t="s">
        <v>21</v>
      </c>
      <c r="G114" s="50">
        <v>20406253</v>
      </c>
      <c r="H114" s="16" t="s">
        <v>39</v>
      </c>
      <c r="I114" s="50">
        <v>6</v>
      </c>
      <c r="J114" s="51">
        <v>13.5</v>
      </c>
      <c r="K114" s="51">
        <v>81</v>
      </c>
    </row>
    <row r="115" spans="4:11">
      <c r="D115" s="49">
        <v>46141</v>
      </c>
      <c r="E115" s="16">
        <v>1599053</v>
      </c>
      <c r="F115" s="16" t="s">
        <v>21</v>
      </c>
      <c r="G115" s="50">
        <v>20313588</v>
      </c>
      <c r="H115" s="16" t="s">
        <v>30</v>
      </c>
      <c r="I115" s="50">
        <v>9</v>
      </c>
      <c r="J115" s="51">
        <v>8</v>
      </c>
      <c r="K115" s="51">
        <v>72</v>
      </c>
    </row>
    <row r="116" spans="4:11">
      <c r="D116" s="49">
        <v>46141</v>
      </c>
      <c r="E116" s="16">
        <v>1599053</v>
      </c>
      <c r="F116" s="16" t="s">
        <v>21</v>
      </c>
      <c r="G116" s="50">
        <v>20347963</v>
      </c>
      <c r="H116" s="16" t="s">
        <v>53</v>
      </c>
      <c r="I116" s="50">
        <v>3</v>
      </c>
      <c r="J116" s="51">
        <v>8</v>
      </c>
      <c r="K116" s="51">
        <v>24</v>
      </c>
    </row>
    <row r="117" spans="4:11">
      <c r="D117" s="49">
        <v>46141</v>
      </c>
      <c r="E117" s="16">
        <v>1599053</v>
      </c>
      <c r="F117" s="16" t="s">
        <v>21</v>
      </c>
      <c r="G117" s="50">
        <v>20377357</v>
      </c>
      <c r="H117" s="16" t="s">
        <v>31</v>
      </c>
      <c r="I117" s="50">
        <v>13</v>
      </c>
      <c r="J117" s="51">
        <v>8</v>
      </c>
      <c r="K117" s="51">
        <v>104</v>
      </c>
    </row>
    <row r="118" spans="4:11">
      <c r="D118" s="49">
        <v>46141</v>
      </c>
      <c r="E118" s="16">
        <v>1599053</v>
      </c>
      <c r="F118" s="16" t="s">
        <v>21</v>
      </c>
      <c r="G118" s="50">
        <v>20398525</v>
      </c>
      <c r="H118" s="16" t="s">
        <v>45</v>
      </c>
      <c r="I118" s="50">
        <v>1</v>
      </c>
      <c r="J118" s="51">
        <v>11</v>
      </c>
      <c r="K118" s="51">
        <v>11</v>
      </c>
    </row>
    <row r="119" spans="4:11">
      <c r="D119" s="49">
        <v>46141</v>
      </c>
      <c r="E119" s="16">
        <v>1599053</v>
      </c>
      <c r="F119" s="16" t="s">
        <v>21</v>
      </c>
      <c r="G119" s="50">
        <v>20312027</v>
      </c>
      <c r="H119" s="16" t="s">
        <v>51</v>
      </c>
      <c r="I119" s="50">
        <v>12</v>
      </c>
      <c r="J119" s="51">
        <v>11</v>
      </c>
      <c r="K119" s="51">
        <v>132</v>
      </c>
    </row>
    <row r="120" spans="4:11">
      <c r="D120" s="49">
        <v>46141</v>
      </c>
      <c r="E120" s="16">
        <v>1599053</v>
      </c>
      <c r="F120" s="16" t="s">
        <v>21</v>
      </c>
      <c r="G120" s="50">
        <v>20314990</v>
      </c>
      <c r="H120" s="16" t="s">
        <v>52</v>
      </c>
      <c r="I120" s="50">
        <v>7</v>
      </c>
      <c r="J120" s="51">
        <v>8</v>
      </c>
      <c r="K120" s="51">
        <v>56</v>
      </c>
    </row>
    <row r="121" spans="4:11">
      <c r="D121" s="49">
        <v>46141</v>
      </c>
      <c r="E121" s="16">
        <v>1599053</v>
      </c>
      <c r="F121" s="16" t="s">
        <v>21</v>
      </c>
      <c r="G121" s="50">
        <v>20005849</v>
      </c>
      <c r="H121" s="16" t="s">
        <v>54</v>
      </c>
      <c r="I121" s="50">
        <v>1</v>
      </c>
      <c r="J121" s="51">
        <v>8</v>
      </c>
      <c r="K121" s="51">
        <v>8</v>
      </c>
    </row>
    <row r="122" spans="4:11">
      <c r="D122" s="49">
        <v>46141</v>
      </c>
      <c r="E122" s="16">
        <v>1599069</v>
      </c>
      <c r="F122" s="16" t="s">
        <v>21</v>
      </c>
      <c r="G122" s="50">
        <v>20376624</v>
      </c>
      <c r="H122" s="16" t="s">
        <v>28</v>
      </c>
      <c r="I122" s="50">
        <v>1</v>
      </c>
      <c r="J122" s="51">
        <v>8</v>
      </c>
      <c r="K122" s="51">
        <v>8</v>
      </c>
    </row>
    <row r="123" spans="4:11">
      <c r="D123" s="49">
        <v>46141</v>
      </c>
      <c r="E123" s="16">
        <v>1599151</v>
      </c>
      <c r="F123" s="16" t="s">
        <v>21</v>
      </c>
      <c r="G123" s="50">
        <v>20376624</v>
      </c>
      <c r="H123" s="16" t="s">
        <v>28</v>
      </c>
      <c r="I123" s="50">
        <v>1</v>
      </c>
      <c r="J123" s="51">
        <v>8</v>
      </c>
      <c r="K123" s="51">
        <v>8</v>
      </c>
    </row>
    <row r="124" spans="4:11">
      <c r="D124" s="49">
        <v>46141</v>
      </c>
      <c r="E124" s="16">
        <v>1599151</v>
      </c>
      <c r="F124" s="16" t="s">
        <v>21</v>
      </c>
      <c r="G124" s="50">
        <v>20406253</v>
      </c>
      <c r="H124" s="16" t="s">
        <v>39</v>
      </c>
      <c r="I124" s="50">
        <v>3</v>
      </c>
      <c r="J124" s="51">
        <v>13.5</v>
      </c>
      <c r="K124" s="51">
        <v>40.5</v>
      </c>
    </row>
    <row r="125" spans="4:11">
      <c r="D125" s="49">
        <v>46141</v>
      </c>
      <c r="E125" s="16">
        <v>1599151</v>
      </c>
      <c r="F125" s="16" t="s">
        <v>21</v>
      </c>
      <c r="G125" s="50">
        <v>20313588</v>
      </c>
      <c r="H125" s="16" t="s">
        <v>30</v>
      </c>
      <c r="I125" s="50">
        <v>5</v>
      </c>
      <c r="J125" s="51">
        <v>8</v>
      </c>
      <c r="K125" s="51">
        <v>40</v>
      </c>
    </row>
    <row r="126" spans="4:11">
      <c r="D126" s="49">
        <v>46141</v>
      </c>
      <c r="E126" s="16">
        <v>1599151</v>
      </c>
      <c r="F126" s="16" t="s">
        <v>21</v>
      </c>
      <c r="G126" s="50">
        <v>20347963</v>
      </c>
      <c r="H126" s="16" t="s">
        <v>53</v>
      </c>
      <c r="I126" s="50">
        <v>1</v>
      </c>
      <c r="J126" s="51">
        <v>8</v>
      </c>
      <c r="K126" s="51">
        <v>8</v>
      </c>
    </row>
    <row r="127" spans="4:11">
      <c r="D127" s="49">
        <v>46141</v>
      </c>
      <c r="E127" s="16">
        <v>1599151</v>
      </c>
      <c r="F127" s="16" t="s">
        <v>21</v>
      </c>
      <c r="G127" s="50">
        <v>20377357</v>
      </c>
      <c r="H127" s="16" t="s">
        <v>31</v>
      </c>
      <c r="I127" s="50">
        <v>4</v>
      </c>
      <c r="J127" s="51">
        <v>8</v>
      </c>
      <c r="K127" s="51">
        <v>32</v>
      </c>
    </row>
    <row r="128" spans="4:11">
      <c r="D128" s="49">
        <v>46141</v>
      </c>
      <c r="E128" s="16">
        <v>1599151</v>
      </c>
      <c r="F128" s="16" t="s">
        <v>21</v>
      </c>
      <c r="G128" s="50">
        <v>20312027</v>
      </c>
      <c r="H128" s="16" t="s">
        <v>51</v>
      </c>
      <c r="I128" s="50">
        <v>8</v>
      </c>
      <c r="J128" s="51">
        <v>11</v>
      </c>
      <c r="K128" s="51">
        <v>88</v>
      </c>
    </row>
    <row r="129" spans="4:11">
      <c r="D129" s="49">
        <v>46141</v>
      </c>
      <c r="E129" s="16">
        <v>1599151</v>
      </c>
      <c r="F129" s="16" t="s">
        <v>21</v>
      </c>
      <c r="G129" s="50">
        <v>20314990</v>
      </c>
      <c r="H129" s="16" t="s">
        <v>52</v>
      </c>
      <c r="I129" s="50">
        <v>5</v>
      </c>
      <c r="J129" s="51">
        <v>8</v>
      </c>
      <c r="K129" s="51">
        <v>40</v>
      </c>
    </row>
    <row r="130" spans="4:11">
      <c r="D130" s="49">
        <v>46142</v>
      </c>
      <c r="E130" s="16">
        <v>1599443</v>
      </c>
      <c r="F130" s="16" t="s">
        <v>21</v>
      </c>
      <c r="G130" s="50">
        <v>20406253</v>
      </c>
      <c r="H130" s="16" t="s">
        <v>39</v>
      </c>
      <c r="I130" s="50">
        <v>3</v>
      </c>
      <c r="J130" s="51">
        <v>13.5</v>
      </c>
      <c r="K130" s="51">
        <v>40.5</v>
      </c>
    </row>
    <row r="131" spans="4:11">
      <c r="D131" s="49">
        <v>46142</v>
      </c>
      <c r="E131" s="16">
        <v>1599443</v>
      </c>
      <c r="F131" s="16" t="s">
        <v>21</v>
      </c>
      <c r="G131" s="50">
        <v>20313588</v>
      </c>
      <c r="H131" s="16" t="s">
        <v>30</v>
      </c>
      <c r="I131" s="50">
        <v>7</v>
      </c>
      <c r="J131" s="51">
        <v>8</v>
      </c>
      <c r="K131" s="51">
        <v>56</v>
      </c>
    </row>
    <row r="132" spans="4:11">
      <c r="D132" s="49">
        <v>46142</v>
      </c>
      <c r="E132" s="16">
        <v>1599443</v>
      </c>
      <c r="F132" s="16" t="s">
        <v>21</v>
      </c>
      <c r="G132" s="50">
        <v>20347963</v>
      </c>
      <c r="H132" s="16" t="s">
        <v>53</v>
      </c>
      <c r="I132" s="50">
        <v>2</v>
      </c>
      <c r="J132" s="51">
        <v>8</v>
      </c>
      <c r="K132" s="51">
        <v>16</v>
      </c>
    </row>
    <row r="133" spans="4:11">
      <c r="D133" s="49">
        <v>46142</v>
      </c>
      <c r="E133" s="16">
        <v>1599443</v>
      </c>
      <c r="F133" s="16" t="s">
        <v>21</v>
      </c>
      <c r="G133" s="50">
        <v>20377357</v>
      </c>
      <c r="H133" s="16" t="s">
        <v>31</v>
      </c>
      <c r="I133" s="50">
        <v>6</v>
      </c>
      <c r="J133" s="51">
        <v>8</v>
      </c>
      <c r="K133" s="51">
        <v>48</v>
      </c>
    </row>
    <row r="134" spans="4:11">
      <c r="D134" s="49">
        <v>46142</v>
      </c>
      <c r="E134" s="16">
        <v>1599443</v>
      </c>
      <c r="F134" s="16" t="s">
        <v>21</v>
      </c>
      <c r="G134" s="50">
        <v>20312027</v>
      </c>
      <c r="H134" s="16" t="s">
        <v>51</v>
      </c>
      <c r="I134" s="50">
        <v>3</v>
      </c>
      <c r="J134" s="51">
        <v>11</v>
      </c>
      <c r="K134" s="51">
        <v>33</v>
      </c>
    </row>
    <row r="135" spans="4:11">
      <c r="D135" s="49">
        <v>46142</v>
      </c>
      <c r="E135" s="16">
        <v>1599443</v>
      </c>
      <c r="F135" s="16" t="s">
        <v>21</v>
      </c>
      <c r="G135" s="50">
        <v>20314990</v>
      </c>
      <c r="H135" s="16" t="s">
        <v>52</v>
      </c>
      <c r="I135" s="50">
        <v>1</v>
      </c>
      <c r="J135" s="51">
        <v>8</v>
      </c>
      <c r="K135" s="51">
        <v>8</v>
      </c>
    </row>
    <row r="136" spans="4:11">
      <c r="D136" s="49">
        <v>46142</v>
      </c>
      <c r="E136" s="16">
        <v>1599611</v>
      </c>
      <c r="F136" s="16" t="s">
        <v>21</v>
      </c>
      <c r="G136" s="50">
        <v>20406253</v>
      </c>
      <c r="H136" s="16" t="s">
        <v>39</v>
      </c>
      <c r="I136" s="50">
        <v>4</v>
      </c>
      <c r="J136" s="51">
        <v>13.5</v>
      </c>
      <c r="K136" s="51">
        <v>54</v>
      </c>
    </row>
    <row r="137" spans="4:11">
      <c r="D137" s="49">
        <v>46142</v>
      </c>
      <c r="E137" s="16">
        <v>1599611</v>
      </c>
      <c r="F137" s="16" t="s">
        <v>21</v>
      </c>
      <c r="G137" s="50">
        <v>20313588</v>
      </c>
      <c r="H137" s="16" t="s">
        <v>30</v>
      </c>
      <c r="I137" s="50">
        <v>6</v>
      </c>
      <c r="J137" s="51">
        <v>8</v>
      </c>
      <c r="K137" s="51">
        <v>48</v>
      </c>
    </row>
    <row r="138" spans="4:11">
      <c r="D138" s="49">
        <v>46142</v>
      </c>
      <c r="E138" s="16">
        <v>1599611</v>
      </c>
      <c r="F138" s="16" t="s">
        <v>21</v>
      </c>
      <c r="G138" s="50">
        <v>20377357</v>
      </c>
      <c r="H138" s="16" t="s">
        <v>31</v>
      </c>
      <c r="I138" s="50">
        <v>10</v>
      </c>
      <c r="J138" s="51">
        <v>8</v>
      </c>
      <c r="K138" s="51">
        <v>80</v>
      </c>
    </row>
    <row r="139" spans="4:11">
      <c r="D139" s="49">
        <v>46142</v>
      </c>
      <c r="E139" s="16">
        <v>1599611</v>
      </c>
      <c r="F139" s="16" t="s">
        <v>21</v>
      </c>
      <c r="G139" s="50">
        <v>20314990</v>
      </c>
      <c r="H139" s="16" t="s">
        <v>52</v>
      </c>
      <c r="I139" s="50">
        <v>2</v>
      </c>
      <c r="J139" s="51">
        <v>8</v>
      </c>
      <c r="K139" s="51">
        <v>16</v>
      </c>
    </row>
    <row r="140" spans="4:11">
      <c r="D140" s="49">
        <v>46142</v>
      </c>
      <c r="E140" s="16">
        <v>1599901</v>
      </c>
      <c r="F140" s="16" t="s">
        <v>21</v>
      </c>
      <c r="G140" s="50">
        <v>20406253</v>
      </c>
      <c r="H140" s="16" t="s">
        <v>39</v>
      </c>
      <c r="I140" s="50">
        <v>3</v>
      </c>
      <c r="J140" s="51">
        <v>13.5</v>
      </c>
      <c r="K140" s="51">
        <v>40.5</v>
      </c>
    </row>
    <row r="141" spans="4:11">
      <c r="D141" s="49">
        <v>46142</v>
      </c>
      <c r="E141" s="16">
        <v>1599901</v>
      </c>
      <c r="F141" s="16" t="s">
        <v>21</v>
      </c>
      <c r="G141" s="50">
        <v>20313588</v>
      </c>
      <c r="H141" s="16" t="s">
        <v>30</v>
      </c>
      <c r="I141" s="50">
        <v>6</v>
      </c>
      <c r="J141" s="51">
        <v>8</v>
      </c>
      <c r="K141" s="51">
        <v>48</v>
      </c>
    </row>
    <row r="142" spans="4:11">
      <c r="D142" s="49">
        <v>46142</v>
      </c>
      <c r="E142" s="16">
        <v>1599901</v>
      </c>
      <c r="F142" s="16" t="s">
        <v>21</v>
      </c>
      <c r="G142" s="50">
        <v>20377357</v>
      </c>
      <c r="H142" s="16" t="s">
        <v>31</v>
      </c>
      <c r="I142" s="50">
        <v>8</v>
      </c>
      <c r="J142" s="51">
        <v>8</v>
      </c>
      <c r="K142" s="51">
        <v>64</v>
      </c>
    </row>
    <row r="143" spans="4:11">
      <c r="D143" s="49">
        <v>46142</v>
      </c>
      <c r="E143" s="16">
        <v>1599901</v>
      </c>
      <c r="F143" s="16" t="s">
        <v>21</v>
      </c>
      <c r="G143" s="50">
        <v>20312027</v>
      </c>
      <c r="H143" s="16" t="s">
        <v>51</v>
      </c>
      <c r="I143" s="50">
        <v>10</v>
      </c>
      <c r="J143" s="51">
        <v>11</v>
      </c>
      <c r="K143" s="51">
        <v>110</v>
      </c>
    </row>
    <row r="144" spans="4:11">
      <c r="D144" s="49">
        <v>46142</v>
      </c>
      <c r="E144" s="16">
        <v>1599901</v>
      </c>
      <c r="F144" s="16" t="s">
        <v>21</v>
      </c>
      <c r="G144" s="50">
        <v>20314990</v>
      </c>
      <c r="H144" s="16" t="s">
        <v>52</v>
      </c>
      <c r="I144" s="50">
        <v>1</v>
      </c>
      <c r="J144" s="51">
        <v>8</v>
      </c>
      <c r="K144" s="51">
        <v>8</v>
      </c>
    </row>
    <row r="145" spans="4:11">
      <c r="D145" s="49">
        <v>46148</v>
      </c>
      <c r="E145" s="16">
        <v>1600662</v>
      </c>
      <c r="F145" s="16" t="s">
        <v>21</v>
      </c>
      <c r="G145" s="50">
        <v>20312027</v>
      </c>
      <c r="H145" s="16" t="s">
        <v>51</v>
      </c>
      <c r="I145" s="50">
        <v>11</v>
      </c>
      <c r="J145" s="51">
        <v>11</v>
      </c>
      <c r="K145" s="51">
        <v>121</v>
      </c>
    </row>
    <row r="146" spans="4:11">
      <c r="D146" s="49">
        <v>46149</v>
      </c>
      <c r="E146" s="16">
        <v>1600753</v>
      </c>
      <c r="F146" s="16" t="s">
        <v>21</v>
      </c>
      <c r="G146" s="50">
        <v>20406253</v>
      </c>
      <c r="H146" s="16" t="s">
        <v>39</v>
      </c>
      <c r="I146" s="50">
        <v>2</v>
      </c>
      <c r="J146" s="51">
        <v>13.5</v>
      </c>
      <c r="K146" s="51">
        <v>27</v>
      </c>
    </row>
    <row r="147" spans="4:11">
      <c r="D147" s="49">
        <v>46149</v>
      </c>
      <c r="E147" s="16">
        <v>1600753</v>
      </c>
      <c r="F147" s="16" t="s">
        <v>21</v>
      </c>
      <c r="G147" s="50">
        <v>20313588</v>
      </c>
      <c r="H147" s="16" t="s">
        <v>30</v>
      </c>
      <c r="I147" s="50">
        <v>4</v>
      </c>
      <c r="J147" s="51">
        <v>8</v>
      </c>
      <c r="K147" s="51">
        <v>32</v>
      </c>
    </row>
    <row r="148" spans="4:11">
      <c r="D148" s="49">
        <v>46149</v>
      </c>
      <c r="E148" s="16">
        <v>1600753</v>
      </c>
      <c r="F148" s="16" t="s">
        <v>21</v>
      </c>
      <c r="G148" s="50">
        <v>20396339</v>
      </c>
      <c r="H148" s="16" t="s">
        <v>43</v>
      </c>
      <c r="I148" s="50">
        <v>1</v>
      </c>
      <c r="J148" s="51">
        <v>11</v>
      </c>
      <c r="K148" s="51">
        <v>11</v>
      </c>
    </row>
    <row r="149" spans="4:11">
      <c r="D149" s="49">
        <v>46149</v>
      </c>
      <c r="E149" s="16">
        <v>1600753</v>
      </c>
      <c r="F149" s="16" t="s">
        <v>21</v>
      </c>
      <c r="G149" s="50">
        <v>20347963</v>
      </c>
      <c r="H149" s="16" t="s">
        <v>53</v>
      </c>
      <c r="I149" s="50">
        <v>1</v>
      </c>
      <c r="J149" s="51">
        <v>8</v>
      </c>
      <c r="K149" s="51">
        <v>8</v>
      </c>
    </row>
    <row r="150" spans="4:11">
      <c r="D150" s="49">
        <v>46149</v>
      </c>
      <c r="E150" s="16">
        <v>1600753</v>
      </c>
      <c r="F150" s="16" t="s">
        <v>21</v>
      </c>
      <c r="G150" s="50">
        <v>20377357</v>
      </c>
      <c r="H150" s="16" t="s">
        <v>31</v>
      </c>
      <c r="I150" s="50">
        <v>9</v>
      </c>
      <c r="J150" s="51">
        <v>8</v>
      </c>
      <c r="K150" s="51">
        <v>72</v>
      </c>
    </row>
    <row r="151" spans="4:11">
      <c r="D151" s="49">
        <v>46149</v>
      </c>
      <c r="E151" s="16">
        <v>1600753</v>
      </c>
      <c r="F151" s="16" t="s">
        <v>21</v>
      </c>
      <c r="G151" s="50">
        <v>20314990</v>
      </c>
      <c r="H151" s="16" t="s">
        <v>52</v>
      </c>
      <c r="I151" s="50">
        <v>1</v>
      </c>
      <c r="J151" s="51">
        <v>8</v>
      </c>
      <c r="K151" s="51">
        <v>8</v>
      </c>
    </row>
    <row r="152" spans="4:11">
      <c r="D152" s="49">
        <v>46150</v>
      </c>
      <c r="E152" s="16">
        <v>1601064</v>
      </c>
      <c r="F152" s="16" t="s">
        <v>21</v>
      </c>
      <c r="G152" s="50">
        <v>20406253</v>
      </c>
      <c r="H152" s="16" t="s">
        <v>39</v>
      </c>
      <c r="I152" s="50">
        <v>4</v>
      </c>
      <c r="J152" s="51">
        <v>13.5</v>
      </c>
      <c r="K152" s="51">
        <v>54</v>
      </c>
    </row>
    <row r="153" spans="4:11">
      <c r="D153" s="49">
        <v>46150</v>
      </c>
      <c r="E153" s="16">
        <v>1601064</v>
      </c>
      <c r="F153" s="16" t="s">
        <v>21</v>
      </c>
      <c r="G153" s="50">
        <v>20313588</v>
      </c>
      <c r="H153" s="16" t="s">
        <v>30</v>
      </c>
      <c r="I153" s="50">
        <v>4</v>
      </c>
      <c r="J153" s="51">
        <v>8</v>
      </c>
      <c r="K153" s="51">
        <v>32</v>
      </c>
    </row>
    <row r="154" spans="4:11">
      <c r="D154" s="49">
        <v>46150</v>
      </c>
      <c r="E154" s="16">
        <v>1601064</v>
      </c>
      <c r="F154" s="16" t="s">
        <v>21</v>
      </c>
      <c r="G154" s="50">
        <v>20396339</v>
      </c>
      <c r="H154" s="16" t="s">
        <v>43</v>
      </c>
      <c r="I154" s="50">
        <v>1</v>
      </c>
      <c r="J154" s="51">
        <v>11</v>
      </c>
      <c r="K154" s="51">
        <v>11</v>
      </c>
    </row>
    <row r="155" spans="4:11">
      <c r="D155" s="49">
        <v>46150</v>
      </c>
      <c r="E155" s="16">
        <v>1601064</v>
      </c>
      <c r="F155" s="16" t="s">
        <v>21</v>
      </c>
      <c r="G155" s="50">
        <v>20347963</v>
      </c>
      <c r="H155" s="16" t="s">
        <v>53</v>
      </c>
      <c r="I155" s="50">
        <v>2</v>
      </c>
      <c r="J155" s="51">
        <v>8</v>
      </c>
      <c r="K155" s="51">
        <v>16</v>
      </c>
    </row>
    <row r="156" spans="4:11">
      <c r="D156" s="49">
        <v>46150</v>
      </c>
      <c r="E156" s="16">
        <v>1601064</v>
      </c>
      <c r="F156" s="16" t="s">
        <v>21</v>
      </c>
      <c r="G156" s="50">
        <v>20377357</v>
      </c>
      <c r="H156" s="16" t="s">
        <v>31</v>
      </c>
      <c r="I156" s="50">
        <v>12</v>
      </c>
      <c r="J156" s="51">
        <v>8</v>
      </c>
      <c r="K156" s="51">
        <v>96</v>
      </c>
    </row>
    <row r="157" spans="4:11">
      <c r="D157" s="49">
        <v>46150</v>
      </c>
      <c r="E157" s="16">
        <v>1601064</v>
      </c>
      <c r="F157" s="16" t="s">
        <v>21</v>
      </c>
      <c r="G157" s="50">
        <v>20312027</v>
      </c>
      <c r="H157" s="16" t="s">
        <v>51</v>
      </c>
      <c r="I157" s="50">
        <v>13</v>
      </c>
      <c r="J157" s="51">
        <v>11</v>
      </c>
      <c r="K157" s="51">
        <v>143</v>
      </c>
    </row>
    <row r="158" spans="4:11">
      <c r="D158" s="49">
        <v>46150</v>
      </c>
      <c r="E158" s="16">
        <v>1601064</v>
      </c>
      <c r="F158" s="16" t="s">
        <v>21</v>
      </c>
      <c r="G158" s="50">
        <v>20314990</v>
      </c>
      <c r="H158" s="16" t="s">
        <v>52</v>
      </c>
      <c r="I158" s="50">
        <v>1</v>
      </c>
      <c r="J158" s="51">
        <v>8</v>
      </c>
      <c r="K158" s="51">
        <v>8</v>
      </c>
    </row>
    <row r="159" spans="4:11">
      <c r="D159" s="49">
        <v>46150</v>
      </c>
      <c r="E159" s="16">
        <v>1601183</v>
      </c>
      <c r="F159" s="16" t="s">
        <v>21</v>
      </c>
      <c r="G159" s="50">
        <v>20406253</v>
      </c>
      <c r="H159" s="16" t="s">
        <v>39</v>
      </c>
      <c r="I159" s="50">
        <v>3</v>
      </c>
      <c r="J159" s="51">
        <v>13.5</v>
      </c>
      <c r="K159" s="51">
        <v>40.5</v>
      </c>
    </row>
    <row r="160" spans="4:11">
      <c r="D160" s="49">
        <v>46150</v>
      </c>
      <c r="E160" s="16">
        <v>1601183</v>
      </c>
      <c r="F160" s="16" t="s">
        <v>21</v>
      </c>
      <c r="G160" s="50">
        <v>20313588</v>
      </c>
      <c r="H160" s="16" t="s">
        <v>30</v>
      </c>
      <c r="I160" s="50">
        <v>5</v>
      </c>
      <c r="J160" s="51">
        <v>8</v>
      </c>
      <c r="K160" s="51">
        <v>40</v>
      </c>
    </row>
    <row r="161" spans="4:11">
      <c r="D161" s="49">
        <v>46150</v>
      </c>
      <c r="E161" s="16">
        <v>1601183</v>
      </c>
      <c r="F161" s="16" t="s">
        <v>21</v>
      </c>
      <c r="G161" s="50">
        <v>20324084</v>
      </c>
      <c r="H161" s="16" t="s">
        <v>22</v>
      </c>
      <c r="I161" s="50">
        <v>3</v>
      </c>
      <c r="J161" s="51">
        <v>8</v>
      </c>
      <c r="K161" s="51">
        <v>24</v>
      </c>
    </row>
    <row r="162" spans="4:11">
      <c r="D162" s="49">
        <v>46150</v>
      </c>
      <c r="E162" s="16">
        <v>1601183</v>
      </c>
      <c r="F162" s="16" t="s">
        <v>21</v>
      </c>
      <c r="G162" s="50">
        <v>20347963</v>
      </c>
      <c r="H162" s="16" t="s">
        <v>53</v>
      </c>
      <c r="I162" s="50">
        <v>3</v>
      </c>
      <c r="J162" s="51">
        <v>8</v>
      </c>
      <c r="K162" s="51">
        <v>24</v>
      </c>
    </row>
    <row r="163" spans="4:11">
      <c r="D163" s="49">
        <v>46150</v>
      </c>
      <c r="E163" s="16">
        <v>1601183</v>
      </c>
      <c r="F163" s="16" t="s">
        <v>21</v>
      </c>
      <c r="G163" s="50">
        <v>20377357</v>
      </c>
      <c r="H163" s="16" t="s">
        <v>31</v>
      </c>
      <c r="I163" s="50">
        <v>3</v>
      </c>
      <c r="J163" s="51">
        <v>8</v>
      </c>
      <c r="K163" s="51">
        <v>24</v>
      </c>
    </row>
    <row r="164" spans="4:11">
      <c r="D164" s="49">
        <v>46151</v>
      </c>
      <c r="E164" s="16">
        <v>1601493</v>
      </c>
      <c r="F164" s="16" t="s">
        <v>21</v>
      </c>
      <c r="G164" s="50">
        <v>20005208</v>
      </c>
      <c r="H164" s="16" t="s">
        <v>55</v>
      </c>
      <c r="I164" s="50">
        <v>1</v>
      </c>
      <c r="J164" s="51">
        <v>8</v>
      </c>
      <c r="K164" s="51">
        <v>8</v>
      </c>
    </row>
    <row r="165" spans="4:11">
      <c r="D165" s="49">
        <v>46151</v>
      </c>
      <c r="E165" s="16">
        <v>1601493</v>
      </c>
      <c r="F165" s="16" t="s">
        <v>21</v>
      </c>
      <c r="G165" s="50">
        <v>20406253</v>
      </c>
      <c r="H165" s="16" t="s">
        <v>39</v>
      </c>
      <c r="I165" s="50">
        <v>4</v>
      </c>
      <c r="J165" s="51">
        <v>13.5</v>
      </c>
      <c r="K165" s="51">
        <v>54</v>
      </c>
    </row>
    <row r="166" spans="4:11">
      <c r="D166" s="49">
        <v>46151</v>
      </c>
      <c r="E166" s="16">
        <v>1601493</v>
      </c>
      <c r="F166" s="16" t="s">
        <v>21</v>
      </c>
      <c r="G166" s="50">
        <v>20313588</v>
      </c>
      <c r="H166" s="16" t="s">
        <v>30</v>
      </c>
      <c r="I166" s="50">
        <v>2</v>
      </c>
      <c r="J166" s="51">
        <v>8</v>
      </c>
      <c r="K166" s="51">
        <v>16</v>
      </c>
    </row>
    <row r="167" spans="4:11">
      <c r="D167" s="49">
        <v>46151</v>
      </c>
      <c r="E167" s="16">
        <v>1601493</v>
      </c>
      <c r="F167" s="16" t="s">
        <v>21</v>
      </c>
      <c r="G167" s="50">
        <v>20347963</v>
      </c>
      <c r="H167" s="16" t="s">
        <v>53</v>
      </c>
      <c r="I167" s="50">
        <v>3</v>
      </c>
      <c r="J167" s="51">
        <v>8</v>
      </c>
      <c r="K167" s="51">
        <v>24</v>
      </c>
    </row>
    <row r="168" spans="4:11">
      <c r="D168" s="49">
        <v>46151</v>
      </c>
      <c r="E168" s="16">
        <v>1601493</v>
      </c>
      <c r="F168" s="16" t="s">
        <v>21</v>
      </c>
      <c r="G168" s="50">
        <v>20377357</v>
      </c>
      <c r="H168" s="16" t="s">
        <v>31</v>
      </c>
      <c r="I168" s="50">
        <v>8</v>
      </c>
      <c r="J168" s="51">
        <v>8</v>
      </c>
      <c r="K168" s="51">
        <v>64</v>
      </c>
    </row>
    <row r="169" spans="4:11">
      <c r="D169" s="49">
        <v>46151</v>
      </c>
      <c r="E169" s="16">
        <v>1601493</v>
      </c>
      <c r="F169" s="16" t="s">
        <v>21</v>
      </c>
      <c r="G169" s="50">
        <v>20312027</v>
      </c>
      <c r="H169" s="16" t="s">
        <v>51</v>
      </c>
      <c r="I169" s="50">
        <v>11</v>
      </c>
      <c r="J169" s="51">
        <v>11</v>
      </c>
      <c r="K169" s="51">
        <v>121</v>
      </c>
    </row>
    <row r="170" spans="4:11">
      <c r="D170" s="49">
        <v>46151</v>
      </c>
      <c r="E170" s="16">
        <v>1601493</v>
      </c>
      <c r="F170" s="16" t="s">
        <v>21</v>
      </c>
      <c r="G170" s="50">
        <v>20314990</v>
      </c>
      <c r="H170" s="16" t="s">
        <v>52</v>
      </c>
      <c r="I170" s="50">
        <v>7</v>
      </c>
      <c r="J170" s="51">
        <v>8</v>
      </c>
      <c r="K170" s="51">
        <v>56</v>
      </c>
    </row>
    <row r="171" spans="4:11">
      <c r="D171" s="49">
        <v>46151</v>
      </c>
      <c r="E171" s="16">
        <v>1601609</v>
      </c>
      <c r="F171" s="16" t="s">
        <v>21</v>
      </c>
      <c r="G171" s="50">
        <v>20406253</v>
      </c>
      <c r="H171" s="16" t="s">
        <v>39</v>
      </c>
      <c r="I171" s="50">
        <v>2</v>
      </c>
      <c r="J171" s="51">
        <v>13.5</v>
      </c>
      <c r="K171" s="51">
        <v>27</v>
      </c>
    </row>
    <row r="172" spans="4:11">
      <c r="D172" s="49">
        <v>46151</v>
      </c>
      <c r="E172" s="16">
        <v>1601609</v>
      </c>
      <c r="F172" s="16" t="s">
        <v>21</v>
      </c>
      <c r="G172" s="50">
        <v>20395495</v>
      </c>
      <c r="H172" s="16" t="s">
        <v>42</v>
      </c>
      <c r="I172" s="50">
        <v>1</v>
      </c>
      <c r="J172" s="51">
        <v>13.5</v>
      </c>
      <c r="K172" s="51">
        <v>13.5</v>
      </c>
    </row>
    <row r="173" spans="4:11">
      <c r="D173" s="49">
        <v>46151</v>
      </c>
      <c r="E173" s="16">
        <v>1601609</v>
      </c>
      <c r="F173" s="16" t="s">
        <v>21</v>
      </c>
      <c r="G173" s="50">
        <v>20396339</v>
      </c>
      <c r="H173" s="16" t="s">
        <v>43</v>
      </c>
      <c r="I173" s="50">
        <v>1</v>
      </c>
      <c r="J173" s="51">
        <v>11</v>
      </c>
      <c r="K173" s="51">
        <v>11</v>
      </c>
    </row>
    <row r="174" spans="4:11">
      <c r="D174" s="49">
        <v>46151</v>
      </c>
      <c r="E174" s="16">
        <v>1601609</v>
      </c>
      <c r="F174" s="16" t="s">
        <v>21</v>
      </c>
      <c r="G174" s="50">
        <v>20347963</v>
      </c>
      <c r="H174" s="16" t="s">
        <v>53</v>
      </c>
      <c r="I174" s="50">
        <v>1</v>
      </c>
      <c r="J174" s="51">
        <v>8</v>
      </c>
      <c r="K174" s="51">
        <v>8</v>
      </c>
    </row>
    <row r="175" spans="4:11">
      <c r="D175" s="49">
        <v>46151</v>
      </c>
      <c r="E175" s="16">
        <v>1601609</v>
      </c>
      <c r="F175" s="16" t="s">
        <v>21</v>
      </c>
      <c r="G175" s="50">
        <v>20377357</v>
      </c>
      <c r="H175" s="16" t="s">
        <v>31</v>
      </c>
      <c r="I175" s="50">
        <v>5</v>
      </c>
      <c r="J175" s="51">
        <v>8</v>
      </c>
      <c r="K175" s="51">
        <v>40</v>
      </c>
    </row>
    <row r="176" spans="4:11">
      <c r="D176" s="49">
        <v>46151</v>
      </c>
      <c r="E176" s="16">
        <v>1601609</v>
      </c>
      <c r="F176" s="16" t="s">
        <v>21</v>
      </c>
      <c r="G176" s="50">
        <v>20312027</v>
      </c>
      <c r="H176" s="16" t="s">
        <v>51</v>
      </c>
      <c r="I176" s="50">
        <v>1</v>
      </c>
      <c r="J176" s="51">
        <v>11</v>
      </c>
      <c r="K176" s="51">
        <v>11</v>
      </c>
    </row>
    <row r="177" spans="4:11">
      <c r="D177" s="49">
        <v>46151</v>
      </c>
      <c r="E177" s="16">
        <v>1601609</v>
      </c>
      <c r="F177" s="16" t="s">
        <v>21</v>
      </c>
      <c r="G177" s="50">
        <v>20314990</v>
      </c>
      <c r="H177" s="16" t="s">
        <v>52</v>
      </c>
      <c r="I177" s="50">
        <v>1</v>
      </c>
      <c r="J177" s="51">
        <v>8</v>
      </c>
      <c r="K177" s="51">
        <v>8</v>
      </c>
    </row>
    <row r="178" spans="4:11">
      <c r="D178" s="49">
        <v>46151</v>
      </c>
      <c r="E178" s="16">
        <v>1601609</v>
      </c>
      <c r="F178" s="16" t="s">
        <v>21</v>
      </c>
      <c r="G178" s="50">
        <v>20005849</v>
      </c>
      <c r="H178" s="16" t="s">
        <v>54</v>
      </c>
      <c r="I178" s="50">
        <v>1</v>
      </c>
      <c r="J178" s="51">
        <v>8</v>
      </c>
      <c r="K178" s="51">
        <v>8</v>
      </c>
    </row>
    <row r="179" spans="4:11">
      <c r="D179" s="49">
        <v>46151</v>
      </c>
      <c r="E179" s="16">
        <v>1601793</v>
      </c>
      <c r="F179" s="16" t="s">
        <v>21</v>
      </c>
      <c r="G179" s="50">
        <v>20406253</v>
      </c>
      <c r="H179" s="16" t="s">
        <v>39</v>
      </c>
      <c r="I179" s="50">
        <v>3</v>
      </c>
      <c r="J179" s="51">
        <v>13.5</v>
      </c>
      <c r="K179" s="51">
        <v>40.5</v>
      </c>
    </row>
    <row r="180" spans="4:11">
      <c r="D180" s="49">
        <v>46151</v>
      </c>
      <c r="E180" s="16">
        <v>1601793</v>
      </c>
      <c r="F180" s="16" t="s">
        <v>21</v>
      </c>
      <c r="G180" s="50">
        <v>20313588</v>
      </c>
      <c r="H180" s="16" t="s">
        <v>30</v>
      </c>
      <c r="I180" s="50">
        <v>3</v>
      </c>
      <c r="J180" s="51">
        <v>8</v>
      </c>
      <c r="K180" s="51">
        <v>24</v>
      </c>
    </row>
    <row r="181" spans="4:11">
      <c r="D181" s="49">
        <v>46151</v>
      </c>
      <c r="E181" s="16">
        <v>1601793</v>
      </c>
      <c r="F181" s="16" t="s">
        <v>21</v>
      </c>
      <c r="G181" s="50">
        <v>20347963</v>
      </c>
      <c r="H181" s="16" t="s">
        <v>53</v>
      </c>
      <c r="I181" s="50">
        <v>3</v>
      </c>
      <c r="J181" s="51">
        <v>8</v>
      </c>
      <c r="K181" s="51">
        <v>24</v>
      </c>
    </row>
    <row r="182" spans="4:11">
      <c r="D182" s="49">
        <v>46151</v>
      </c>
      <c r="E182" s="16">
        <v>1601793</v>
      </c>
      <c r="F182" s="16" t="s">
        <v>21</v>
      </c>
      <c r="G182" s="50">
        <v>20377357</v>
      </c>
      <c r="H182" s="16" t="s">
        <v>31</v>
      </c>
      <c r="I182" s="50">
        <v>10</v>
      </c>
      <c r="J182" s="51">
        <v>8</v>
      </c>
      <c r="K182" s="51">
        <v>80</v>
      </c>
    </row>
    <row r="183" spans="4:11">
      <c r="D183" s="49">
        <v>46151</v>
      </c>
      <c r="E183" s="16">
        <v>1601793</v>
      </c>
      <c r="F183" s="16" t="s">
        <v>21</v>
      </c>
      <c r="G183" s="50">
        <v>20312027</v>
      </c>
      <c r="H183" s="16" t="s">
        <v>51</v>
      </c>
      <c r="I183" s="50">
        <v>13</v>
      </c>
      <c r="J183" s="51">
        <v>11</v>
      </c>
      <c r="K183" s="51">
        <v>143</v>
      </c>
    </row>
    <row r="184" spans="4:11">
      <c r="D184" s="49">
        <v>46151</v>
      </c>
      <c r="E184" s="16">
        <v>1601793</v>
      </c>
      <c r="F184" s="16" t="s">
        <v>21</v>
      </c>
      <c r="G184" s="50">
        <v>20314990</v>
      </c>
      <c r="H184" s="16" t="s">
        <v>52</v>
      </c>
      <c r="I184" s="50">
        <v>2</v>
      </c>
      <c r="J184" s="51">
        <v>8</v>
      </c>
      <c r="K184" s="51">
        <v>16</v>
      </c>
    </row>
    <row r="185" spans="4:11">
      <c r="D185" s="49">
        <v>46153</v>
      </c>
      <c r="E185" s="16">
        <v>1602162</v>
      </c>
      <c r="F185" s="16" t="s">
        <v>21</v>
      </c>
      <c r="G185" s="50">
        <v>20312027</v>
      </c>
      <c r="H185" s="16" t="s">
        <v>51</v>
      </c>
      <c r="I185" s="50">
        <v>12</v>
      </c>
      <c r="J185" s="51">
        <v>11</v>
      </c>
      <c r="K185" s="51">
        <v>132</v>
      </c>
    </row>
    <row r="186" spans="4:11">
      <c r="D186" s="49">
        <v>46154</v>
      </c>
      <c r="E186" s="16">
        <v>1602298</v>
      </c>
      <c r="F186" s="16" t="s">
        <v>21</v>
      </c>
      <c r="G186" s="50">
        <v>20406253</v>
      </c>
      <c r="H186" s="16" t="s">
        <v>39</v>
      </c>
      <c r="I186" s="50">
        <v>3</v>
      </c>
      <c r="J186" s="51">
        <v>13.5</v>
      </c>
      <c r="K186" s="51">
        <v>40.5</v>
      </c>
    </row>
    <row r="187" spans="4:11">
      <c r="D187" s="49">
        <v>46154</v>
      </c>
      <c r="E187" s="16">
        <v>1602298</v>
      </c>
      <c r="F187" s="16" t="s">
        <v>21</v>
      </c>
      <c r="G187" s="50">
        <v>20313588</v>
      </c>
      <c r="H187" s="16" t="s">
        <v>30</v>
      </c>
      <c r="I187" s="50">
        <v>2</v>
      </c>
      <c r="J187" s="51">
        <v>8</v>
      </c>
      <c r="K187" s="51">
        <v>16</v>
      </c>
    </row>
    <row r="188" spans="4:11">
      <c r="D188" s="49">
        <v>46154</v>
      </c>
      <c r="E188" s="16">
        <v>1602298</v>
      </c>
      <c r="F188" s="16" t="s">
        <v>21</v>
      </c>
      <c r="G188" s="50">
        <v>20396339</v>
      </c>
      <c r="H188" s="16" t="s">
        <v>43</v>
      </c>
      <c r="I188" s="50">
        <v>1</v>
      </c>
      <c r="J188" s="51">
        <v>11</v>
      </c>
      <c r="K188" s="51">
        <v>11</v>
      </c>
    </row>
    <row r="189" spans="4:11">
      <c r="D189" s="49">
        <v>46154</v>
      </c>
      <c r="E189" s="16">
        <v>1602298</v>
      </c>
      <c r="F189" s="16" t="s">
        <v>21</v>
      </c>
      <c r="G189" s="50">
        <v>20347963</v>
      </c>
      <c r="H189" s="16" t="s">
        <v>53</v>
      </c>
      <c r="I189" s="50">
        <v>1</v>
      </c>
      <c r="J189" s="51">
        <v>8</v>
      </c>
      <c r="K189" s="51">
        <v>8</v>
      </c>
    </row>
    <row r="190" spans="4:11">
      <c r="D190" s="49">
        <v>46154</v>
      </c>
      <c r="E190" s="16">
        <v>1602298</v>
      </c>
      <c r="F190" s="16" t="s">
        <v>21</v>
      </c>
      <c r="G190" s="50">
        <v>20377357</v>
      </c>
      <c r="H190" s="16" t="s">
        <v>31</v>
      </c>
      <c r="I190" s="50">
        <v>11</v>
      </c>
      <c r="J190" s="51">
        <v>8</v>
      </c>
      <c r="K190" s="51">
        <v>88</v>
      </c>
    </row>
    <row r="191" spans="4:11">
      <c r="D191" s="49">
        <v>46154</v>
      </c>
      <c r="E191" s="16">
        <v>1602298</v>
      </c>
      <c r="F191" s="16" t="s">
        <v>21</v>
      </c>
      <c r="G191" s="50">
        <v>20312027</v>
      </c>
      <c r="H191" s="16" t="s">
        <v>51</v>
      </c>
      <c r="I191" s="50">
        <v>2</v>
      </c>
      <c r="J191" s="51">
        <v>11</v>
      </c>
      <c r="K191" s="51">
        <v>22</v>
      </c>
    </row>
    <row r="192" spans="4:11">
      <c r="D192" s="49">
        <v>46154</v>
      </c>
      <c r="E192" s="16">
        <v>1602298</v>
      </c>
      <c r="F192" s="16" t="s">
        <v>21</v>
      </c>
      <c r="G192" s="50">
        <v>20314990</v>
      </c>
      <c r="H192" s="16" t="s">
        <v>52</v>
      </c>
      <c r="I192" s="50">
        <v>3</v>
      </c>
      <c r="J192" s="51">
        <v>8</v>
      </c>
      <c r="K192" s="51">
        <v>24</v>
      </c>
    </row>
    <row r="193" spans="4:11">
      <c r="D193" s="49">
        <v>46154</v>
      </c>
      <c r="E193" s="16">
        <v>1602556</v>
      </c>
      <c r="F193" s="16" t="s">
        <v>21</v>
      </c>
      <c r="G193" s="50">
        <v>20406253</v>
      </c>
      <c r="H193" s="16" t="s">
        <v>39</v>
      </c>
      <c r="I193" s="50">
        <v>5</v>
      </c>
      <c r="J193" s="51">
        <v>13.5</v>
      </c>
      <c r="K193" s="51">
        <v>67.5</v>
      </c>
    </row>
    <row r="194" spans="4:11">
      <c r="D194" s="49">
        <v>46154</v>
      </c>
      <c r="E194" s="16">
        <v>1602556</v>
      </c>
      <c r="F194" s="16" t="s">
        <v>21</v>
      </c>
      <c r="G194" s="50">
        <v>20313588</v>
      </c>
      <c r="H194" s="16" t="s">
        <v>30</v>
      </c>
      <c r="I194" s="50">
        <v>3</v>
      </c>
      <c r="J194" s="51">
        <v>8</v>
      </c>
      <c r="K194" s="51">
        <v>24</v>
      </c>
    </row>
    <row r="195" spans="4:11">
      <c r="D195" s="49">
        <v>46154</v>
      </c>
      <c r="E195" s="16">
        <v>1602556</v>
      </c>
      <c r="F195" s="16" t="s">
        <v>21</v>
      </c>
      <c r="G195" s="50">
        <v>20347963</v>
      </c>
      <c r="H195" s="16" t="s">
        <v>53</v>
      </c>
      <c r="I195" s="50">
        <v>2</v>
      </c>
      <c r="J195" s="51">
        <v>8</v>
      </c>
      <c r="K195" s="51">
        <v>16</v>
      </c>
    </row>
    <row r="196" spans="4:11">
      <c r="D196" s="49">
        <v>46154</v>
      </c>
      <c r="E196" s="16">
        <v>1602556</v>
      </c>
      <c r="F196" s="16" t="s">
        <v>21</v>
      </c>
      <c r="G196" s="50">
        <v>20377357</v>
      </c>
      <c r="H196" s="16" t="s">
        <v>31</v>
      </c>
      <c r="I196" s="50">
        <v>8</v>
      </c>
      <c r="J196" s="51">
        <v>8</v>
      </c>
      <c r="K196" s="51">
        <v>64</v>
      </c>
    </row>
    <row r="197" spans="4:11">
      <c r="D197" s="49">
        <v>46154</v>
      </c>
      <c r="E197" s="16">
        <v>1602556</v>
      </c>
      <c r="F197" s="16" t="s">
        <v>21</v>
      </c>
      <c r="G197" s="50">
        <v>20312027</v>
      </c>
      <c r="H197" s="16" t="s">
        <v>51</v>
      </c>
      <c r="I197" s="50">
        <v>18</v>
      </c>
      <c r="J197" s="51">
        <v>11</v>
      </c>
      <c r="K197" s="51">
        <v>198</v>
      </c>
    </row>
    <row r="198" spans="4:11">
      <c r="D198" s="49">
        <v>46154</v>
      </c>
      <c r="E198" s="16">
        <v>1602556</v>
      </c>
      <c r="F198" s="16" t="s">
        <v>21</v>
      </c>
      <c r="G198" s="50">
        <v>20314990</v>
      </c>
      <c r="H198" s="16" t="s">
        <v>52</v>
      </c>
      <c r="I198" s="50">
        <v>3</v>
      </c>
      <c r="J198" s="51">
        <v>8</v>
      </c>
      <c r="K198" s="51">
        <v>24</v>
      </c>
    </row>
    <row r="199" spans="4:11">
      <c r="D199" s="49">
        <v>46154</v>
      </c>
      <c r="E199" s="16">
        <v>1602556</v>
      </c>
      <c r="F199" s="16" t="s">
        <v>21</v>
      </c>
      <c r="G199" s="50">
        <v>20005849</v>
      </c>
      <c r="H199" s="16" t="s">
        <v>54</v>
      </c>
      <c r="I199" s="50">
        <v>1</v>
      </c>
      <c r="J199" s="51">
        <v>8</v>
      </c>
      <c r="K199" s="51">
        <v>8</v>
      </c>
    </row>
    <row r="200" spans="4:11">
      <c r="D200" s="49">
        <v>46155</v>
      </c>
      <c r="E200" s="16">
        <v>1602675</v>
      </c>
      <c r="F200" s="16" t="s">
        <v>21</v>
      </c>
      <c r="G200" s="50">
        <v>20406253</v>
      </c>
      <c r="H200" s="16" t="s">
        <v>39</v>
      </c>
      <c r="I200" s="50">
        <v>3</v>
      </c>
      <c r="J200" s="51">
        <v>13.5</v>
      </c>
      <c r="K200" s="51">
        <v>40.5</v>
      </c>
    </row>
    <row r="201" spans="4:11">
      <c r="D201" s="49">
        <v>46155</v>
      </c>
      <c r="E201" s="16">
        <v>1602675</v>
      </c>
      <c r="F201" s="16" t="s">
        <v>21</v>
      </c>
      <c r="G201" s="50">
        <v>20313588</v>
      </c>
      <c r="H201" s="16" t="s">
        <v>30</v>
      </c>
      <c r="I201" s="50">
        <v>3</v>
      </c>
      <c r="J201" s="51">
        <v>8</v>
      </c>
      <c r="K201" s="51">
        <v>24</v>
      </c>
    </row>
    <row r="202" spans="4:11">
      <c r="D202" s="49">
        <v>46155</v>
      </c>
      <c r="E202" s="16">
        <v>1602675</v>
      </c>
      <c r="F202" s="16" t="s">
        <v>21</v>
      </c>
      <c r="G202" s="50">
        <v>20377357</v>
      </c>
      <c r="H202" s="16" t="s">
        <v>31</v>
      </c>
      <c r="I202" s="50">
        <v>5</v>
      </c>
      <c r="J202" s="51">
        <v>8</v>
      </c>
      <c r="K202" s="51">
        <v>40</v>
      </c>
    </row>
    <row r="203" spans="4:11">
      <c r="D203" s="49">
        <v>46155</v>
      </c>
      <c r="E203" s="16">
        <v>1602675</v>
      </c>
      <c r="F203" s="16" t="s">
        <v>21</v>
      </c>
      <c r="G203" s="50">
        <v>20314990</v>
      </c>
      <c r="H203" s="16" t="s">
        <v>52</v>
      </c>
      <c r="I203" s="50">
        <v>3</v>
      </c>
      <c r="J203" s="51">
        <v>8</v>
      </c>
      <c r="K203" s="51">
        <v>24</v>
      </c>
    </row>
    <row r="204" spans="4:11">
      <c r="D204" s="49">
        <v>46156</v>
      </c>
      <c r="E204" s="16">
        <v>1602914</v>
      </c>
      <c r="F204" s="16" t="s">
        <v>21</v>
      </c>
      <c r="G204" s="50">
        <v>20406253</v>
      </c>
      <c r="H204" s="16" t="s">
        <v>39</v>
      </c>
      <c r="I204" s="50">
        <v>3</v>
      </c>
      <c r="J204" s="51">
        <v>13.5</v>
      </c>
      <c r="K204" s="51">
        <v>40.5</v>
      </c>
    </row>
    <row r="205" spans="4:11">
      <c r="D205" s="49">
        <v>46156</v>
      </c>
      <c r="E205" s="16">
        <v>1602914</v>
      </c>
      <c r="F205" s="16" t="s">
        <v>21</v>
      </c>
      <c r="G205" s="50">
        <v>20313588</v>
      </c>
      <c r="H205" s="16" t="s">
        <v>30</v>
      </c>
      <c r="I205" s="50">
        <v>2</v>
      </c>
      <c r="J205" s="51">
        <v>8</v>
      </c>
      <c r="K205" s="51">
        <v>16</v>
      </c>
    </row>
    <row r="206" spans="4:11">
      <c r="D206" s="49">
        <v>46156</v>
      </c>
      <c r="E206" s="16">
        <v>1602914</v>
      </c>
      <c r="F206" s="16" t="s">
        <v>21</v>
      </c>
      <c r="G206" s="50">
        <v>20396339</v>
      </c>
      <c r="H206" s="16" t="s">
        <v>43</v>
      </c>
      <c r="I206" s="50">
        <v>1</v>
      </c>
      <c r="J206" s="51">
        <v>11</v>
      </c>
      <c r="K206" s="51">
        <v>11</v>
      </c>
    </row>
    <row r="207" spans="4:11">
      <c r="D207" s="49">
        <v>46156</v>
      </c>
      <c r="E207" s="16">
        <v>1602914</v>
      </c>
      <c r="F207" s="16" t="s">
        <v>21</v>
      </c>
      <c r="G207" s="50">
        <v>20347963</v>
      </c>
      <c r="H207" s="16" t="s">
        <v>53</v>
      </c>
      <c r="I207" s="50">
        <v>2</v>
      </c>
      <c r="J207" s="51">
        <v>8</v>
      </c>
      <c r="K207" s="51">
        <v>16</v>
      </c>
    </row>
    <row r="208" spans="4:11">
      <c r="D208" s="49">
        <v>46156</v>
      </c>
      <c r="E208" s="16">
        <v>1602914</v>
      </c>
      <c r="F208" s="16" t="s">
        <v>21</v>
      </c>
      <c r="G208" s="50">
        <v>20377357</v>
      </c>
      <c r="H208" s="16" t="s">
        <v>31</v>
      </c>
      <c r="I208" s="50">
        <v>7</v>
      </c>
      <c r="J208" s="51">
        <v>8</v>
      </c>
      <c r="K208" s="51">
        <v>56</v>
      </c>
    </row>
    <row r="209" spans="4:11">
      <c r="D209" s="49">
        <v>46156</v>
      </c>
      <c r="E209" s="16">
        <v>1602914</v>
      </c>
      <c r="F209" s="16" t="s">
        <v>21</v>
      </c>
      <c r="G209" s="50">
        <v>20312027</v>
      </c>
      <c r="H209" s="16" t="s">
        <v>51</v>
      </c>
      <c r="I209" s="50">
        <v>18</v>
      </c>
      <c r="J209" s="51">
        <v>11</v>
      </c>
      <c r="K209" s="51">
        <v>198</v>
      </c>
    </row>
    <row r="210" spans="4:11">
      <c r="D210" s="49">
        <v>46156</v>
      </c>
      <c r="E210" s="16">
        <v>1602914</v>
      </c>
      <c r="F210" s="16" t="s">
        <v>21</v>
      </c>
      <c r="G210" s="50">
        <v>20314990</v>
      </c>
      <c r="H210" s="16" t="s">
        <v>52</v>
      </c>
      <c r="I210" s="50">
        <v>3</v>
      </c>
      <c r="J210" s="51">
        <v>8</v>
      </c>
      <c r="K210" s="51">
        <v>24</v>
      </c>
    </row>
    <row r="211" spans="4:11">
      <c r="D211" s="49">
        <v>46156</v>
      </c>
      <c r="E211" s="16">
        <v>1602914</v>
      </c>
      <c r="F211" s="16" t="s">
        <v>21</v>
      </c>
      <c r="G211" s="50">
        <v>20005849</v>
      </c>
      <c r="H211" s="16" t="s">
        <v>54</v>
      </c>
      <c r="I211" s="50">
        <v>1</v>
      </c>
      <c r="J211" s="51">
        <v>8</v>
      </c>
      <c r="K211" s="51">
        <v>8</v>
      </c>
    </row>
    <row r="212" spans="4:11">
      <c r="D212" s="49">
        <v>46156</v>
      </c>
      <c r="E212" s="16">
        <v>1603035</v>
      </c>
      <c r="F212" s="16" t="s">
        <v>21</v>
      </c>
      <c r="G212" s="50">
        <v>20406253</v>
      </c>
      <c r="H212" s="16" t="s">
        <v>39</v>
      </c>
      <c r="I212" s="50">
        <v>1</v>
      </c>
      <c r="J212" s="51">
        <v>13.5</v>
      </c>
      <c r="K212" s="51">
        <v>13.5</v>
      </c>
    </row>
    <row r="213" spans="4:11">
      <c r="D213" s="49">
        <v>46156</v>
      </c>
      <c r="E213" s="16">
        <v>1603035</v>
      </c>
      <c r="F213" s="16" t="s">
        <v>21</v>
      </c>
      <c r="G213" s="50">
        <v>20313588</v>
      </c>
      <c r="H213" s="16" t="s">
        <v>30</v>
      </c>
      <c r="I213" s="50">
        <v>2</v>
      </c>
      <c r="J213" s="51">
        <v>8</v>
      </c>
      <c r="K213" s="51">
        <v>16</v>
      </c>
    </row>
    <row r="214" spans="4:11">
      <c r="D214" s="49">
        <v>46156</v>
      </c>
      <c r="E214" s="16">
        <v>1603035</v>
      </c>
      <c r="F214" s="16" t="s">
        <v>21</v>
      </c>
      <c r="G214" s="50">
        <v>20395495</v>
      </c>
      <c r="H214" s="16" t="s">
        <v>42</v>
      </c>
      <c r="I214" s="50">
        <v>1</v>
      </c>
      <c r="J214" s="51">
        <v>13.5</v>
      </c>
      <c r="K214" s="51">
        <v>13.5</v>
      </c>
    </row>
    <row r="215" spans="4:11">
      <c r="D215" s="49">
        <v>46156</v>
      </c>
      <c r="E215" s="16">
        <v>1603035</v>
      </c>
      <c r="F215" s="16" t="s">
        <v>21</v>
      </c>
      <c r="G215" s="50">
        <v>20347963</v>
      </c>
      <c r="H215" s="16" t="s">
        <v>53</v>
      </c>
      <c r="I215" s="50">
        <v>1</v>
      </c>
      <c r="J215" s="51">
        <v>8</v>
      </c>
      <c r="K215" s="51">
        <v>8</v>
      </c>
    </row>
    <row r="216" spans="4:11">
      <c r="D216" s="49">
        <v>46156</v>
      </c>
      <c r="E216" s="16">
        <v>1603035</v>
      </c>
      <c r="F216" s="16" t="s">
        <v>21</v>
      </c>
      <c r="G216" s="50">
        <v>20377357</v>
      </c>
      <c r="H216" s="16" t="s">
        <v>31</v>
      </c>
      <c r="I216" s="50">
        <v>4</v>
      </c>
      <c r="J216" s="51">
        <v>8</v>
      </c>
      <c r="K216" s="51">
        <v>32</v>
      </c>
    </row>
    <row r="217" spans="4:11">
      <c r="D217" s="49">
        <v>46156</v>
      </c>
      <c r="E217" s="16">
        <v>1603035</v>
      </c>
      <c r="F217" s="16" t="s">
        <v>21</v>
      </c>
      <c r="G217" s="50">
        <v>20312027</v>
      </c>
      <c r="H217" s="16" t="s">
        <v>51</v>
      </c>
      <c r="I217" s="50">
        <v>8</v>
      </c>
      <c r="J217" s="51">
        <v>11</v>
      </c>
      <c r="K217" s="51">
        <v>88</v>
      </c>
    </row>
    <row r="218" ht="0.05" customHeight="1"/>
  </sheetData>
  <autoFilter xmlns:etc="http://www.wps.cn/officeDocument/2017/etCustomData" ref="A7:K217" etc:filterBottomFollowUsedRange="0">
    <extLst/>
  </autoFilter>
  <mergeCells count="5">
    <mergeCell ref="D8:H8"/>
    <mergeCell ref="C7:C217"/>
    <mergeCell ref="B4:H5"/>
    <mergeCell ref="A7:B21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6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57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434</v>
      </c>
      <c r="J8" s="48"/>
      <c r="K8" s="48">
        <v>4006.5</v>
      </c>
    </row>
    <row r="9" spans="1:11">
      <c r="D9" s="49">
        <v>46127</v>
      </c>
      <c r="E9" s="16">
        <v>1594867</v>
      </c>
      <c r="F9" s="16" t="s">
        <v>21</v>
      </c>
      <c r="G9" s="50">
        <v>20398872</v>
      </c>
      <c r="H9" s="16" t="s">
        <v>44</v>
      </c>
      <c r="I9" s="50">
        <v>1</v>
      </c>
      <c r="J9" s="51">
        <v>8</v>
      </c>
      <c r="K9" s="51">
        <v>8</v>
      </c>
    </row>
    <row r="10" spans="1:11">
      <c r="D10" s="49">
        <v>46127</v>
      </c>
      <c r="E10" s="16">
        <v>1594867</v>
      </c>
      <c r="F10" s="16" t="s">
        <v>21</v>
      </c>
      <c r="G10" s="50">
        <v>20406253</v>
      </c>
      <c r="H10" s="16" t="s">
        <v>39</v>
      </c>
      <c r="I10" s="50">
        <v>2</v>
      </c>
      <c r="J10" s="51">
        <v>13.5</v>
      </c>
      <c r="K10" s="51">
        <v>27</v>
      </c>
    </row>
    <row r="11" spans="1:11">
      <c r="D11" s="49">
        <v>46127</v>
      </c>
      <c r="E11" s="16">
        <v>1594867</v>
      </c>
      <c r="F11" s="16" t="s">
        <v>21</v>
      </c>
      <c r="G11" s="50">
        <v>20394943</v>
      </c>
      <c r="H11" s="16" t="s">
        <v>29</v>
      </c>
      <c r="I11" s="50">
        <v>1</v>
      </c>
      <c r="J11" s="51">
        <v>11</v>
      </c>
      <c r="K11" s="51">
        <v>11</v>
      </c>
    </row>
    <row r="12" spans="1:11">
      <c r="D12" s="49">
        <v>46127</v>
      </c>
      <c r="E12" s="16">
        <v>1594867</v>
      </c>
      <c r="F12" s="16" t="s">
        <v>21</v>
      </c>
      <c r="G12" s="50">
        <v>20313588</v>
      </c>
      <c r="H12" s="16" t="s">
        <v>30</v>
      </c>
      <c r="I12" s="50">
        <v>3</v>
      </c>
      <c r="J12" s="51">
        <v>8</v>
      </c>
      <c r="K12" s="51">
        <v>24</v>
      </c>
    </row>
    <row r="13" spans="1:11">
      <c r="D13" s="49">
        <v>46127</v>
      </c>
      <c r="E13" s="16">
        <v>1594867</v>
      </c>
      <c r="F13" s="16" t="s">
        <v>21</v>
      </c>
      <c r="G13" s="50">
        <v>20396337</v>
      </c>
      <c r="H13" s="16" t="s">
        <v>36</v>
      </c>
      <c r="I13" s="50">
        <v>1</v>
      </c>
      <c r="J13" s="51">
        <v>8</v>
      </c>
      <c r="K13" s="51">
        <v>8</v>
      </c>
    </row>
    <row r="14" spans="1:11">
      <c r="D14" s="49">
        <v>46127</v>
      </c>
      <c r="E14" s="16">
        <v>1594867</v>
      </c>
      <c r="F14" s="16" t="s">
        <v>21</v>
      </c>
      <c r="G14" s="50">
        <v>20395495</v>
      </c>
      <c r="H14" s="16" t="s">
        <v>42</v>
      </c>
      <c r="I14" s="50">
        <v>2</v>
      </c>
      <c r="J14" s="51">
        <v>13.5</v>
      </c>
      <c r="K14" s="51">
        <v>27</v>
      </c>
    </row>
    <row r="15" spans="1:11">
      <c r="D15" s="49">
        <v>46127</v>
      </c>
      <c r="E15" s="16">
        <v>1594867</v>
      </c>
      <c r="F15" s="16" t="s">
        <v>21</v>
      </c>
      <c r="G15" s="50">
        <v>20376620</v>
      </c>
      <c r="H15" s="16" t="s">
        <v>58</v>
      </c>
      <c r="I15" s="50">
        <v>1</v>
      </c>
      <c r="J15" s="51">
        <v>8</v>
      </c>
      <c r="K15" s="51">
        <v>8</v>
      </c>
    </row>
    <row r="16" spans="1:11">
      <c r="D16" s="49">
        <v>46127</v>
      </c>
      <c r="E16" s="16">
        <v>1594867</v>
      </c>
      <c r="F16" s="16" t="s">
        <v>21</v>
      </c>
      <c r="G16" s="50">
        <v>20377357</v>
      </c>
      <c r="H16" s="16" t="s">
        <v>31</v>
      </c>
      <c r="I16" s="50">
        <v>4</v>
      </c>
      <c r="J16" s="51">
        <v>8</v>
      </c>
      <c r="K16" s="51">
        <v>32</v>
      </c>
    </row>
    <row r="17" spans="4:11">
      <c r="D17" s="49">
        <v>46127</v>
      </c>
      <c r="E17" s="16">
        <v>1594966</v>
      </c>
      <c r="F17" s="16" t="s">
        <v>21</v>
      </c>
      <c r="G17" s="50">
        <v>20406253</v>
      </c>
      <c r="H17" s="16" t="s">
        <v>39</v>
      </c>
      <c r="I17" s="50">
        <v>2</v>
      </c>
      <c r="J17" s="51">
        <v>13.5</v>
      </c>
      <c r="K17" s="51">
        <v>27</v>
      </c>
    </row>
    <row r="18" spans="4:11">
      <c r="D18" s="49">
        <v>46127</v>
      </c>
      <c r="E18" s="16">
        <v>1594966</v>
      </c>
      <c r="F18" s="16" t="s">
        <v>21</v>
      </c>
      <c r="G18" s="50">
        <v>20313588</v>
      </c>
      <c r="H18" s="16" t="s">
        <v>30</v>
      </c>
      <c r="I18" s="50">
        <v>6</v>
      </c>
      <c r="J18" s="51">
        <v>8</v>
      </c>
      <c r="K18" s="51">
        <v>48</v>
      </c>
    </row>
    <row r="19" spans="4:11">
      <c r="D19" s="49">
        <v>46127</v>
      </c>
      <c r="E19" s="16">
        <v>1594966</v>
      </c>
      <c r="F19" s="16" t="s">
        <v>21</v>
      </c>
      <c r="G19" s="50">
        <v>20376620</v>
      </c>
      <c r="H19" s="16" t="s">
        <v>58</v>
      </c>
      <c r="I19" s="50">
        <v>2</v>
      </c>
      <c r="J19" s="51">
        <v>8</v>
      </c>
      <c r="K19" s="51">
        <v>16</v>
      </c>
    </row>
    <row r="20" spans="4:11">
      <c r="D20" s="49">
        <v>46127</v>
      </c>
      <c r="E20" s="16">
        <v>1594966</v>
      </c>
      <c r="F20" s="16" t="s">
        <v>21</v>
      </c>
      <c r="G20" s="50">
        <v>20377357</v>
      </c>
      <c r="H20" s="16" t="s">
        <v>31</v>
      </c>
      <c r="I20" s="50">
        <v>5</v>
      </c>
      <c r="J20" s="51">
        <v>8</v>
      </c>
      <c r="K20" s="51">
        <v>40</v>
      </c>
    </row>
    <row r="21" spans="4:11">
      <c r="D21" s="49">
        <v>46127</v>
      </c>
      <c r="E21" s="16">
        <v>1595212</v>
      </c>
      <c r="F21" s="16" t="s">
        <v>21</v>
      </c>
      <c r="G21" s="50">
        <v>20376624</v>
      </c>
      <c r="H21" s="16" t="s">
        <v>28</v>
      </c>
      <c r="I21" s="50">
        <v>1</v>
      </c>
      <c r="J21" s="51">
        <v>8</v>
      </c>
      <c r="K21" s="51">
        <v>8</v>
      </c>
    </row>
    <row r="22" spans="4:11">
      <c r="D22" s="49">
        <v>46127</v>
      </c>
      <c r="E22" s="16">
        <v>1595212</v>
      </c>
      <c r="F22" s="16" t="s">
        <v>21</v>
      </c>
      <c r="G22" s="50">
        <v>20406253</v>
      </c>
      <c r="H22" s="16" t="s">
        <v>39</v>
      </c>
      <c r="I22" s="50">
        <v>3</v>
      </c>
      <c r="J22" s="51">
        <v>13.5</v>
      </c>
      <c r="K22" s="51">
        <v>40.5</v>
      </c>
    </row>
    <row r="23" spans="4:11">
      <c r="D23" s="49">
        <v>46127</v>
      </c>
      <c r="E23" s="16">
        <v>1595212</v>
      </c>
      <c r="F23" s="16" t="s">
        <v>21</v>
      </c>
      <c r="G23" s="50">
        <v>20400912</v>
      </c>
      <c r="H23" s="16" t="s">
        <v>59</v>
      </c>
      <c r="I23" s="50">
        <v>1</v>
      </c>
      <c r="J23" s="51">
        <v>8</v>
      </c>
      <c r="K23" s="51">
        <v>8</v>
      </c>
    </row>
    <row r="24" spans="4:11">
      <c r="D24" s="49">
        <v>46127</v>
      </c>
      <c r="E24" s="16">
        <v>1595212</v>
      </c>
      <c r="F24" s="16" t="s">
        <v>21</v>
      </c>
      <c r="G24" s="50">
        <v>20313588</v>
      </c>
      <c r="H24" s="16" t="s">
        <v>30</v>
      </c>
      <c r="I24" s="50">
        <v>6</v>
      </c>
      <c r="J24" s="51">
        <v>8</v>
      </c>
      <c r="K24" s="51">
        <v>48</v>
      </c>
    </row>
    <row r="25" spans="4:11">
      <c r="D25" s="49">
        <v>46127</v>
      </c>
      <c r="E25" s="16">
        <v>1595212</v>
      </c>
      <c r="F25" s="16" t="s">
        <v>21</v>
      </c>
      <c r="G25" s="50">
        <v>20396160</v>
      </c>
      <c r="H25" s="16" t="s">
        <v>60</v>
      </c>
      <c r="I25" s="50">
        <v>1</v>
      </c>
      <c r="J25" s="51">
        <v>13.5</v>
      </c>
      <c r="K25" s="51">
        <v>13.5</v>
      </c>
    </row>
    <row r="26" spans="4:11">
      <c r="D26" s="49">
        <v>46127</v>
      </c>
      <c r="E26" s="16">
        <v>1595212</v>
      </c>
      <c r="F26" s="16" t="s">
        <v>21</v>
      </c>
      <c r="G26" s="50">
        <v>20376620</v>
      </c>
      <c r="H26" s="16" t="s">
        <v>58</v>
      </c>
      <c r="I26" s="50">
        <v>1</v>
      </c>
      <c r="J26" s="51">
        <v>8</v>
      </c>
      <c r="K26" s="51">
        <v>8</v>
      </c>
    </row>
    <row r="27" spans="4:11">
      <c r="D27" s="49">
        <v>46127</v>
      </c>
      <c r="E27" s="16">
        <v>1595212</v>
      </c>
      <c r="F27" s="16" t="s">
        <v>21</v>
      </c>
      <c r="G27" s="50">
        <v>20377357</v>
      </c>
      <c r="H27" s="16" t="s">
        <v>31</v>
      </c>
      <c r="I27" s="50">
        <v>7</v>
      </c>
      <c r="J27" s="51">
        <v>8</v>
      </c>
      <c r="K27" s="51">
        <v>56</v>
      </c>
    </row>
    <row r="28" spans="4:11">
      <c r="D28" s="49">
        <v>46128</v>
      </c>
      <c r="E28" s="16">
        <v>1595338</v>
      </c>
      <c r="F28" s="16" t="s">
        <v>21</v>
      </c>
      <c r="G28" s="50">
        <v>20406253</v>
      </c>
      <c r="H28" s="16" t="s">
        <v>39</v>
      </c>
      <c r="I28" s="50">
        <v>2</v>
      </c>
      <c r="J28" s="51">
        <v>13.5</v>
      </c>
      <c r="K28" s="51">
        <v>27</v>
      </c>
    </row>
    <row r="29" spans="4:11">
      <c r="D29" s="49">
        <v>46128</v>
      </c>
      <c r="E29" s="16">
        <v>1595338</v>
      </c>
      <c r="F29" s="16" t="s">
        <v>21</v>
      </c>
      <c r="G29" s="50">
        <v>20394769</v>
      </c>
      <c r="H29" s="16" t="s">
        <v>61</v>
      </c>
      <c r="I29" s="50">
        <v>1</v>
      </c>
      <c r="J29" s="51">
        <v>8</v>
      </c>
      <c r="K29" s="51">
        <v>8</v>
      </c>
    </row>
    <row r="30" spans="4:11">
      <c r="D30" s="49">
        <v>46128</v>
      </c>
      <c r="E30" s="16">
        <v>1595338</v>
      </c>
      <c r="F30" s="16" t="s">
        <v>21</v>
      </c>
      <c r="G30" s="50">
        <v>20313588</v>
      </c>
      <c r="H30" s="16" t="s">
        <v>30</v>
      </c>
      <c r="I30" s="50">
        <v>5</v>
      </c>
      <c r="J30" s="51">
        <v>8</v>
      </c>
      <c r="K30" s="51">
        <v>40</v>
      </c>
    </row>
    <row r="31" spans="4:11">
      <c r="D31" s="49">
        <v>46128</v>
      </c>
      <c r="E31" s="16">
        <v>1595338</v>
      </c>
      <c r="F31" s="16" t="s">
        <v>21</v>
      </c>
      <c r="G31" s="50">
        <v>20396160</v>
      </c>
      <c r="H31" s="16" t="s">
        <v>60</v>
      </c>
      <c r="I31" s="50">
        <v>1</v>
      </c>
      <c r="J31" s="51">
        <v>13.5</v>
      </c>
      <c r="K31" s="51">
        <v>13.5</v>
      </c>
    </row>
    <row r="32" spans="4:11">
      <c r="D32" s="49">
        <v>46128</v>
      </c>
      <c r="E32" s="16">
        <v>1595338</v>
      </c>
      <c r="F32" s="16" t="s">
        <v>21</v>
      </c>
      <c r="G32" s="50">
        <v>20377357</v>
      </c>
      <c r="H32" s="16" t="s">
        <v>31</v>
      </c>
      <c r="I32" s="50">
        <v>4</v>
      </c>
      <c r="J32" s="51">
        <v>8</v>
      </c>
      <c r="K32" s="51">
        <v>32</v>
      </c>
    </row>
    <row r="33" spans="4:11">
      <c r="D33" s="49">
        <v>46129</v>
      </c>
      <c r="E33" s="16">
        <v>1595641</v>
      </c>
      <c r="F33" s="16" t="s">
        <v>21</v>
      </c>
      <c r="G33" s="50">
        <v>20376624</v>
      </c>
      <c r="H33" s="16" t="s">
        <v>28</v>
      </c>
      <c r="I33" s="50">
        <v>2</v>
      </c>
      <c r="J33" s="51">
        <v>8</v>
      </c>
      <c r="K33" s="51">
        <v>16</v>
      </c>
    </row>
    <row r="34" spans="4:11">
      <c r="D34" s="49">
        <v>46129</v>
      </c>
      <c r="E34" s="16">
        <v>1595641</v>
      </c>
      <c r="F34" s="16" t="s">
        <v>21</v>
      </c>
      <c r="G34" s="50">
        <v>20406253</v>
      </c>
      <c r="H34" s="16" t="s">
        <v>39</v>
      </c>
      <c r="I34" s="50">
        <v>4</v>
      </c>
      <c r="J34" s="51">
        <v>13.5</v>
      </c>
      <c r="K34" s="51">
        <v>54</v>
      </c>
    </row>
    <row r="35" spans="4:11">
      <c r="D35" s="49">
        <v>46129</v>
      </c>
      <c r="E35" s="16">
        <v>1595641</v>
      </c>
      <c r="F35" s="16" t="s">
        <v>21</v>
      </c>
      <c r="G35" s="50">
        <v>20414939</v>
      </c>
      <c r="H35" s="16" t="s">
        <v>62</v>
      </c>
      <c r="I35" s="50">
        <v>1</v>
      </c>
      <c r="J35" s="51">
        <v>8</v>
      </c>
      <c r="K35" s="51">
        <v>8</v>
      </c>
    </row>
    <row r="36" spans="4:11">
      <c r="D36" s="49">
        <v>46129</v>
      </c>
      <c r="E36" s="16">
        <v>1595641</v>
      </c>
      <c r="F36" s="16" t="s">
        <v>21</v>
      </c>
      <c r="G36" s="50">
        <v>20313588</v>
      </c>
      <c r="H36" s="16" t="s">
        <v>30</v>
      </c>
      <c r="I36" s="50">
        <v>7</v>
      </c>
      <c r="J36" s="51">
        <v>8</v>
      </c>
      <c r="K36" s="51">
        <v>56</v>
      </c>
    </row>
    <row r="37" spans="4:11">
      <c r="D37" s="49">
        <v>46129</v>
      </c>
      <c r="E37" s="16">
        <v>1595641</v>
      </c>
      <c r="F37" s="16" t="s">
        <v>21</v>
      </c>
      <c r="G37" s="50">
        <v>20396160</v>
      </c>
      <c r="H37" s="16" t="s">
        <v>60</v>
      </c>
      <c r="I37" s="50">
        <v>1</v>
      </c>
      <c r="J37" s="51">
        <v>13.5</v>
      </c>
      <c r="K37" s="51">
        <v>13.5</v>
      </c>
    </row>
    <row r="38" spans="4:11">
      <c r="D38" s="49">
        <v>46129</v>
      </c>
      <c r="E38" s="16">
        <v>1595641</v>
      </c>
      <c r="F38" s="16" t="s">
        <v>21</v>
      </c>
      <c r="G38" s="50">
        <v>20401469</v>
      </c>
      <c r="H38" s="16" t="s">
        <v>63</v>
      </c>
      <c r="I38" s="50">
        <v>1</v>
      </c>
      <c r="J38" s="51">
        <v>13</v>
      </c>
      <c r="K38" s="51">
        <v>13</v>
      </c>
    </row>
    <row r="39" spans="4:11">
      <c r="D39" s="49">
        <v>46129</v>
      </c>
      <c r="E39" s="16">
        <v>1595641</v>
      </c>
      <c r="F39" s="16" t="s">
        <v>21</v>
      </c>
      <c r="G39" s="50">
        <v>20411302</v>
      </c>
      <c r="H39" s="16" t="s">
        <v>64</v>
      </c>
      <c r="I39" s="50">
        <v>1</v>
      </c>
      <c r="J39" s="51">
        <v>8</v>
      </c>
      <c r="K39" s="51">
        <v>8</v>
      </c>
    </row>
    <row r="40" spans="4:11">
      <c r="D40" s="49">
        <v>46129</v>
      </c>
      <c r="E40" s="16">
        <v>1595641</v>
      </c>
      <c r="F40" s="16" t="s">
        <v>21</v>
      </c>
      <c r="G40" s="50">
        <v>20377357</v>
      </c>
      <c r="H40" s="16" t="s">
        <v>31</v>
      </c>
      <c r="I40" s="50">
        <v>5</v>
      </c>
      <c r="J40" s="51">
        <v>8</v>
      </c>
      <c r="K40" s="51">
        <v>40</v>
      </c>
    </row>
    <row r="41" spans="4:11">
      <c r="D41" s="49">
        <v>46129</v>
      </c>
      <c r="E41" s="16">
        <v>1595641</v>
      </c>
      <c r="F41" s="16" t="s">
        <v>21</v>
      </c>
      <c r="G41" s="50">
        <v>20312027</v>
      </c>
      <c r="H41" s="16" t="s">
        <v>51</v>
      </c>
      <c r="I41" s="50">
        <v>1</v>
      </c>
      <c r="J41" s="51">
        <v>11</v>
      </c>
      <c r="K41" s="51">
        <v>11</v>
      </c>
    </row>
    <row r="42" spans="4:11">
      <c r="D42" s="49">
        <v>46130</v>
      </c>
      <c r="E42" s="16">
        <v>1596010</v>
      </c>
      <c r="F42" s="16" t="s">
        <v>21</v>
      </c>
      <c r="G42" s="50">
        <v>20376624</v>
      </c>
      <c r="H42" s="16" t="s">
        <v>28</v>
      </c>
      <c r="I42" s="50">
        <v>4</v>
      </c>
      <c r="J42" s="51">
        <v>8</v>
      </c>
      <c r="K42" s="51">
        <v>32</v>
      </c>
    </row>
    <row r="43" spans="4:11">
      <c r="D43" s="49">
        <v>46130</v>
      </c>
      <c r="E43" s="16">
        <v>1596010</v>
      </c>
      <c r="F43" s="16" t="s">
        <v>21</v>
      </c>
      <c r="G43" s="50">
        <v>20406253</v>
      </c>
      <c r="H43" s="16" t="s">
        <v>39</v>
      </c>
      <c r="I43" s="50">
        <v>8</v>
      </c>
      <c r="J43" s="51">
        <v>13.5</v>
      </c>
      <c r="K43" s="51">
        <v>108</v>
      </c>
    </row>
    <row r="44" spans="4:11">
      <c r="D44" s="49">
        <v>46130</v>
      </c>
      <c r="E44" s="16">
        <v>1596010</v>
      </c>
      <c r="F44" s="16" t="s">
        <v>21</v>
      </c>
      <c r="G44" s="50">
        <v>20313588</v>
      </c>
      <c r="H44" s="16" t="s">
        <v>30</v>
      </c>
      <c r="I44" s="50">
        <v>10</v>
      </c>
      <c r="J44" s="51">
        <v>8</v>
      </c>
      <c r="K44" s="51">
        <v>80</v>
      </c>
    </row>
    <row r="45" spans="4:11">
      <c r="D45" s="49">
        <v>46130</v>
      </c>
      <c r="E45" s="16">
        <v>1596010</v>
      </c>
      <c r="F45" s="16" t="s">
        <v>21</v>
      </c>
      <c r="G45" s="50">
        <v>20397287</v>
      </c>
      <c r="H45" s="16" t="s">
        <v>65</v>
      </c>
      <c r="I45" s="50">
        <v>2</v>
      </c>
      <c r="J45" s="51">
        <v>13.5</v>
      </c>
      <c r="K45" s="51">
        <v>27</v>
      </c>
    </row>
    <row r="46" spans="4:11">
      <c r="D46" s="49">
        <v>46130</v>
      </c>
      <c r="E46" s="16">
        <v>1596010</v>
      </c>
      <c r="F46" s="16" t="s">
        <v>21</v>
      </c>
      <c r="G46" s="50">
        <v>20409657</v>
      </c>
      <c r="H46" s="16" t="s">
        <v>46</v>
      </c>
      <c r="I46" s="50">
        <v>1</v>
      </c>
      <c r="J46" s="51">
        <v>16.5</v>
      </c>
      <c r="K46" s="51">
        <v>16.5</v>
      </c>
    </row>
    <row r="47" spans="4:11">
      <c r="D47" s="49">
        <v>46130</v>
      </c>
      <c r="E47" s="16">
        <v>1596010</v>
      </c>
      <c r="F47" s="16" t="s">
        <v>21</v>
      </c>
      <c r="G47" s="50">
        <v>20376620</v>
      </c>
      <c r="H47" s="16" t="s">
        <v>58</v>
      </c>
      <c r="I47" s="50">
        <v>1</v>
      </c>
      <c r="J47" s="51">
        <v>8</v>
      </c>
      <c r="K47" s="51">
        <v>8</v>
      </c>
    </row>
    <row r="48" spans="4:11">
      <c r="D48" s="49">
        <v>46130</v>
      </c>
      <c r="E48" s="16">
        <v>1596010</v>
      </c>
      <c r="F48" s="16" t="s">
        <v>21</v>
      </c>
      <c r="G48" s="50">
        <v>20377357</v>
      </c>
      <c r="H48" s="16" t="s">
        <v>31</v>
      </c>
      <c r="I48" s="50">
        <v>1</v>
      </c>
      <c r="J48" s="51">
        <v>8</v>
      </c>
      <c r="K48" s="51">
        <v>8</v>
      </c>
    </row>
    <row r="49" spans="4:11">
      <c r="D49" s="49">
        <v>46133</v>
      </c>
      <c r="E49" s="16">
        <v>1596595</v>
      </c>
      <c r="F49" s="16" t="s">
        <v>21</v>
      </c>
      <c r="G49" s="50">
        <v>20406253</v>
      </c>
      <c r="H49" s="16" t="s">
        <v>39</v>
      </c>
      <c r="I49" s="50">
        <v>1</v>
      </c>
      <c r="J49" s="51">
        <v>13.5</v>
      </c>
      <c r="K49" s="51">
        <v>13.5</v>
      </c>
    </row>
    <row r="50" spans="4:11">
      <c r="D50" s="49">
        <v>46133</v>
      </c>
      <c r="E50" s="16">
        <v>1596595</v>
      </c>
      <c r="F50" s="16" t="s">
        <v>21</v>
      </c>
      <c r="G50" s="50">
        <v>20313588</v>
      </c>
      <c r="H50" s="16" t="s">
        <v>30</v>
      </c>
      <c r="I50" s="50">
        <v>2</v>
      </c>
      <c r="J50" s="51">
        <v>8</v>
      </c>
      <c r="K50" s="51">
        <v>16</v>
      </c>
    </row>
    <row r="51" spans="4:11">
      <c r="D51" s="49">
        <v>46133</v>
      </c>
      <c r="E51" s="16">
        <v>1596595</v>
      </c>
      <c r="F51" s="16" t="s">
        <v>21</v>
      </c>
      <c r="G51" s="50">
        <v>20377357</v>
      </c>
      <c r="H51" s="16" t="s">
        <v>31</v>
      </c>
      <c r="I51" s="50">
        <v>2</v>
      </c>
      <c r="J51" s="51">
        <v>8</v>
      </c>
      <c r="K51" s="51">
        <v>16</v>
      </c>
    </row>
    <row r="52" spans="4:11">
      <c r="D52" s="49">
        <v>46133</v>
      </c>
      <c r="E52" s="16">
        <v>1596689</v>
      </c>
      <c r="F52" s="16" t="s">
        <v>21</v>
      </c>
      <c r="G52" s="50">
        <v>20406253</v>
      </c>
      <c r="H52" s="16" t="s">
        <v>39</v>
      </c>
      <c r="I52" s="50">
        <v>1</v>
      </c>
      <c r="J52" s="51">
        <v>13.5</v>
      </c>
      <c r="K52" s="51">
        <v>13.5</v>
      </c>
    </row>
    <row r="53" spans="4:11">
      <c r="D53" s="49">
        <v>46133</v>
      </c>
      <c r="E53" s="16">
        <v>1596689</v>
      </c>
      <c r="F53" s="16" t="s">
        <v>21</v>
      </c>
      <c r="G53" s="50">
        <v>20313588</v>
      </c>
      <c r="H53" s="16" t="s">
        <v>30</v>
      </c>
      <c r="I53" s="50">
        <v>6</v>
      </c>
      <c r="J53" s="51">
        <v>8</v>
      </c>
      <c r="K53" s="51">
        <v>48</v>
      </c>
    </row>
    <row r="54" spans="4:11">
      <c r="D54" s="49">
        <v>46133</v>
      </c>
      <c r="E54" s="16">
        <v>1596689</v>
      </c>
      <c r="F54" s="16" t="s">
        <v>21</v>
      </c>
      <c r="G54" s="50">
        <v>20376620</v>
      </c>
      <c r="H54" s="16" t="s">
        <v>58</v>
      </c>
      <c r="I54" s="50">
        <v>2</v>
      </c>
      <c r="J54" s="51">
        <v>8</v>
      </c>
      <c r="K54" s="51">
        <v>16</v>
      </c>
    </row>
    <row r="55" spans="4:11">
      <c r="D55" s="49">
        <v>46133</v>
      </c>
      <c r="E55" s="16">
        <v>1596689</v>
      </c>
      <c r="F55" s="16" t="s">
        <v>21</v>
      </c>
      <c r="G55" s="50">
        <v>20404173</v>
      </c>
      <c r="H55" s="16" t="s">
        <v>66</v>
      </c>
      <c r="I55" s="50">
        <v>1</v>
      </c>
      <c r="J55" s="51">
        <v>27.5</v>
      </c>
      <c r="K55" s="51">
        <v>27.5</v>
      </c>
    </row>
    <row r="56" spans="4:11">
      <c r="D56" s="49">
        <v>46133</v>
      </c>
      <c r="E56" s="16">
        <v>1596689</v>
      </c>
      <c r="F56" s="16" t="s">
        <v>21</v>
      </c>
      <c r="G56" s="50">
        <v>20377357</v>
      </c>
      <c r="H56" s="16" t="s">
        <v>31</v>
      </c>
      <c r="I56" s="50">
        <v>3</v>
      </c>
      <c r="J56" s="51">
        <v>8</v>
      </c>
      <c r="K56" s="51">
        <v>24</v>
      </c>
    </row>
    <row r="57" spans="4:11">
      <c r="D57" s="49">
        <v>46134</v>
      </c>
      <c r="E57" s="16">
        <v>1596957</v>
      </c>
      <c r="F57" s="16" t="s">
        <v>21</v>
      </c>
      <c r="G57" s="50">
        <v>20406253</v>
      </c>
      <c r="H57" s="16" t="s">
        <v>39</v>
      </c>
      <c r="I57" s="50">
        <v>1</v>
      </c>
      <c r="J57" s="51">
        <v>13.5</v>
      </c>
      <c r="K57" s="51">
        <v>13.5</v>
      </c>
    </row>
    <row r="58" spans="4:11">
      <c r="D58" s="49">
        <v>46134</v>
      </c>
      <c r="E58" s="16">
        <v>1596957</v>
      </c>
      <c r="F58" s="16" t="s">
        <v>21</v>
      </c>
      <c r="G58" s="50">
        <v>20313588</v>
      </c>
      <c r="H58" s="16" t="s">
        <v>30</v>
      </c>
      <c r="I58" s="50">
        <v>5</v>
      </c>
      <c r="J58" s="51">
        <v>8</v>
      </c>
      <c r="K58" s="51">
        <v>40</v>
      </c>
    </row>
    <row r="59" spans="4:11">
      <c r="D59" s="49">
        <v>46134</v>
      </c>
      <c r="E59" s="16">
        <v>1596957</v>
      </c>
      <c r="F59" s="16" t="s">
        <v>21</v>
      </c>
      <c r="G59" s="50">
        <v>20377357</v>
      </c>
      <c r="H59" s="16" t="s">
        <v>31</v>
      </c>
      <c r="I59" s="50">
        <v>3</v>
      </c>
      <c r="J59" s="51">
        <v>8</v>
      </c>
      <c r="K59" s="51">
        <v>24</v>
      </c>
    </row>
    <row r="60" spans="4:11">
      <c r="D60" s="49">
        <v>46134</v>
      </c>
      <c r="E60" s="16">
        <v>1596957</v>
      </c>
      <c r="F60" s="16" t="s">
        <v>21</v>
      </c>
      <c r="G60" s="50">
        <v>20395865</v>
      </c>
      <c r="H60" s="16" t="s">
        <v>32</v>
      </c>
      <c r="I60" s="50">
        <v>2</v>
      </c>
      <c r="J60" s="51">
        <v>8</v>
      </c>
      <c r="K60" s="51">
        <v>16</v>
      </c>
    </row>
    <row r="61" spans="4:11">
      <c r="D61" s="49">
        <v>46134</v>
      </c>
      <c r="E61" s="16">
        <v>1596957</v>
      </c>
      <c r="F61" s="16" t="s">
        <v>21</v>
      </c>
      <c r="G61" s="50">
        <v>20395867</v>
      </c>
      <c r="H61" s="16" t="s">
        <v>33</v>
      </c>
      <c r="I61" s="50">
        <v>1</v>
      </c>
      <c r="J61" s="51">
        <v>11</v>
      </c>
      <c r="K61" s="51">
        <v>11</v>
      </c>
    </row>
    <row r="62" spans="4:11">
      <c r="D62" s="49">
        <v>46134</v>
      </c>
      <c r="E62" s="16">
        <v>1597056</v>
      </c>
      <c r="F62" s="16" t="s">
        <v>21</v>
      </c>
      <c r="G62" s="50">
        <v>20376624</v>
      </c>
      <c r="H62" s="16" t="s">
        <v>28</v>
      </c>
      <c r="I62" s="50">
        <v>1</v>
      </c>
      <c r="J62" s="51">
        <v>8</v>
      </c>
      <c r="K62" s="51">
        <v>8</v>
      </c>
    </row>
    <row r="63" spans="4:11">
      <c r="D63" s="49">
        <v>46134</v>
      </c>
      <c r="E63" s="16">
        <v>1597056</v>
      </c>
      <c r="F63" s="16" t="s">
        <v>21</v>
      </c>
      <c r="G63" s="50">
        <v>20406253</v>
      </c>
      <c r="H63" s="16" t="s">
        <v>39</v>
      </c>
      <c r="I63" s="50">
        <v>3</v>
      </c>
      <c r="J63" s="51">
        <v>13.5</v>
      </c>
      <c r="K63" s="51">
        <v>40.5</v>
      </c>
    </row>
    <row r="64" spans="4:11">
      <c r="D64" s="49">
        <v>46134</v>
      </c>
      <c r="E64" s="16">
        <v>1597056</v>
      </c>
      <c r="F64" s="16" t="s">
        <v>21</v>
      </c>
      <c r="G64" s="50">
        <v>20313588</v>
      </c>
      <c r="H64" s="16" t="s">
        <v>30</v>
      </c>
      <c r="I64" s="50">
        <v>6</v>
      </c>
      <c r="J64" s="51">
        <v>8</v>
      </c>
      <c r="K64" s="51">
        <v>48</v>
      </c>
    </row>
    <row r="65" spans="4:11">
      <c r="D65" s="49">
        <v>46134</v>
      </c>
      <c r="E65" s="16">
        <v>1597056</v>
      </c>
      <c r="F65" s="16" t="s">
        <v>21</v>
      </c>
      <c r="G65" s="50">
        <v>20396160</v>
      </c>
      <c r="H65" s="16" t="s">
        <v>60</v>
      </c>
      <c r="I65" s="50">
        <v>1</v>
      </c>
      <c r="J65" s="51">
        <v>13.5</v>
      </c>
      <c r="K65" s="51">
        <v>13.5</v>
      </c>
    </row>
    <row r="66" spans="4:11">
      <c r="D66" s="49">
        <v>46134</v>
      </c>
      <c r="E66" s="16">
        <v>1597056</v>
      </c>
      <c r="F66" s="16" t="s">
        <v>21</v>
      </c>
      <c r="G66" s="50">
        <v>20377357</v>
      </c>
      <c r="H66" s="16" t="s">
        <v>31</v>
      </c>
      <c r="I66" s="50">
        <v>5</v>
      </c>
      <c r="J66" s="51">
        <v>8</v>
      </c>
      <c r="K66" s="51">
        <v>40</v>
      </c>
    </row>
    <row r="67" spans="4:11">
      <c r="D67" s="49">
        <v>46135</v>
      </c>
      <c r="E67" s="16">
        <v>1597326</v>
      </c>
      <c r="F67" s="16" t="s">
        <v>21</v>
      </c>
      <c r="G67" s="50">
        <v>20376624</v>
      </c>
      <c r="H67" s="16" t="s">
        <v>28</v>
      </c>
      <c r="I67" s="50">
        <v>1</v>
      </c>
      <c r="J67" s="51">
        <v>8</v>
      </c>
      <c r="K67" s="51">
        <v>8</v>
      </c>
    </row>
    <row r="68" spans="4:11">
      <c r="D68" s="49">
        <v>46135</v>
      </c>
      <c r="E68" s="16">
        <v>1597326</v>
      </c>
      <c r="F68" s="16" t="s">
        <v>21</v>
      </c>
      <c r="G68" s="50">
        <v>20313588</v>
      </c>
      <c r="H68" s="16" t="s">
        <v>30</v>
      </c>
      <c r="I68" s="50">
        <v>1</v>
      </c>
      <c r="J68" s="51">
        <v>8</v>
      </c>
      <c r="K68" s="51">
        <v>8</v>
      </c>
    </row>
    <row r="69" spans="4:11">
      <c r="D69" s="49">
        <v>46135</v>
      </c>
      <c r="E69" s="16">
        <v>1597326</v>
      </c>
      <c r="F69" s="16" t="s">
        <v>21</v>
      </c>
      <c r="G69" s="50">
        <v>20376620</v>
      </c>
      <c r="H69" s="16" t="s">
        <v>58</v>
      </c>
      <c r="I69" s="50">
        <v>3</v>
      </c>
      <c r="J69" s="51">
        <v>8</v>
      </c>
      <c r="K69" s="51">
        <v>24</v>
      </c>
    </row>
    <row r="70" spans="4:11">
      <c r="D70" s="49">
        <v>46135</v>
      </c>
      <c r="E70" s="16">
        <v>1597326</v>
      </c>
      <c r="F70" s="16" t="s">
        <v>21</v>
      </c>
      <c r="G70" s="50">
        <v>20377357</v>
      </c>
      <c r="H70" s="16" t="s">
        <v>31</v>
      </c>
      <c r="I70" s="50">
        <v>4</v>
      </c>
      <c r="J70" s="51">
        <v>8</v>
      </c>
      <c r="K70" s="51">
        <v>32</v>
      </c>
    </row>
    <row r="71" spans="4:11">
      <c r="D71" s="49">
        <v>46135</v>
      </c>
      <c r="E71" s="16">
        <v>1597434</v>
      </c>
      <c r="F71" s="16" t="s">
        <v>21</v>
      </c>
      <c r="G71" s="50">
        <v>20406253</v>
      </c>
      <c r="H71" s="16" t="s">
        <v>39</v>
      </c>
      <c r="I71" s="50">
        <v>3</v>
      </c>
      <c r="J71" s="51">
        <v>13.5</v>
      </c>
      <c r="K71" s="51">
        <v>40.5</v>
      </c>
    </row>
    <row r="72" spans="4:11">
      <c r="D72" s="49">
        <v>46135</v>
      </c>
      <c r="E72" s="16">
        <v>1597434</v>
      </c>
      <c r="F72" s="16" t="s">
        <v>21</v>
      </c>
      <c r="G72" s="50">
        <v>20313588</v>
      </c>
      <c r="H72" s="16" t="s">
        <v>30</v>
      </c>
      <c r="I72" s="50">
        <v>6</v>
      </c>
      <c r="J72" s="51">
        <v>8</v>
      </c>
      <c r="K72" s="51">
        <v>48</v>
      </c>
    </row>
    <row r="73" spans="4:11">
      <c r="D73" s="49">
        <v>46135</v>
      </c>
      <c r="E73" s="16">
        <v>1597434</v>
      </c>
      <c r="F73" s="16" t="s">
        <v>21</v>
      </c>
      <c r="G73" s="50">
        <v>20377357</v>
      </c>
      <c r="H73" s="16" t="s">
        <v>31</v>
      </c>
      <c r="I73" s="50">
        <v>5</v>
      </c>
      <c r="J73" s="51">
        <v>8</v>
      </c>
      <c r="K73" s="51">
        <v>40</v>
      </c>
    </row>
    <row r="74" spans="4:11">
      <c r="D74" s="49">
        <v>46136</v>
      </c>
      <c r="E74" s="16">
        <v>1597716</v>
      </c>
      <c r="F74" s="16" t="s">
        <v>21</v>
      </c>
      <c r="G74" s="50">
        <v>20376624</v>
      </c>
      <c r="H74" s="16" t="s">
        <v>28</v>
      </c>
      <c r="I74" s="50">
        <v>2</v>
      </c>
      <c r="J74" s="51">
        <v>8</v>
      </c>
      <c r="K74" s="51">
        <v>16</v>
      </c>
    </row>
    <row r="75" spans="4:11">
      <c r="D75" s="49">
        <v>46136</v>
      </c>
      <c r="E75" s="16">
        <v>1597716</v>
      </c>
      <c r="F75" s="16" t="s">
        <v>21</v>
      </c>
      <c r="G75" s="50">
        <v>20406253</v>
      </c>
      <c r="H75" s="16" t="s">
        <v>39</v>
      </c>
      <c r="I75" s="50">
        <v>2</v>
      </c>
      <c r="J75" s="51">
        <v>13.5</v>
      </c>
      <c r="K75" s="51">
        <v>27</v>
      </c>
    </row>
    <row r="76" spans="4:11">
      <c r="D76" s="49">
        <v>46136</v>
      </c>
      <c r="E76" s="16">
        <v>1597716</v>
      </c>
      <c r="F76" s="16" t="s">
        <v>21</v>
      </c>
      <c r="G76" s="50">
        <v>20400912</v>
      </c>
      <c r="H76" s="16" t="s">
        <v>59</v>
      </c>
      <c r="I76" s="50">
        <v>1</v>
      </c>
      <c r="J76" s="51">
        <v>8</v>
      </c>
      <c r="K76" s="51">
        <v>8</v>
      </c>
    </row>
    <row r="77" spans="4:11">
      <c r="D77" s="49">
        <v>46136</v>
      </c>
      <c r="E77" s="16">
        <v>1597716</v>
      </c>
      <c r="F77" s="16" t="s">
        <v>21</v>
      </c>
      <c r="G77" s="50">
        <v>20313588</v>
      </c>
      <c r="H77" s="16" t="s">
        <v>30</v>
      </c>
      <c r="I77" s="50">
        <v>7</v>
      </c>
      <c r="J77" s="51">
        <v>8</v>
      </c>
      <c r="K77" s="51">
        <v>56</v>
      </c>
    </row>
    <row r="78" spans="4:11">
      <c r="D78" s="49">
        <v>46136</v>
      </c>
      <c r="E78" s="16">
        <v>1597716</v>
      </c>
      <c r="F78" s="16" t="s">
        <v>21</v>
      </c>
      <c r="G78" s="50">
        <v>20396160</v>
      </c>
      <c r="H78" s="16" t="s">
        <v>60</v>
      </c>
      <c r="I78" s="50">
        <v>1</v>
      </c>
      <c r="J78" s="51">
        <v>13.5</v>
      </c>
      <c r="K78" s="51">
        <v>13.5</v>
      </c>
    </row>
    <row r="79" spans="4:11">
      <c r="D79" s="49">
        <v>46136</v>
      </c>
      <c r="E79" s="16">
        <v>1597716</v>
      </c>
      <c r="F79" s="16" t="s">
        <v>21</v>
      </c>
      <c r="G79" s="50">
        <v>20377357</v>
      </c>
      <c r="H79" s="16" t="s">
        <v>31</v>
      </c>
      <c r="I79" s="50">
        <v>4</v>
      </c>
      <c r="J79" s="51">
        <v>8</v>
      </c>
      <c r="K79" s="51">
        <v>32</v>
      </c>
    </row>
    <row r="80" spans="4:11">
      <c r="D80" s="49">
        <v>46136</v>
      </c>
      <c r="E80" s="16">
        <v>1597835</v>
      </c>
      <c r="F80" s="16" t="s">
        <v>21</v>
      </c>
      <c r="G80" s="50">
        <v>20406253</v>
      </c>
      <c r="H80" s="16" t="s">
        <v>39</v>
      </c>
      <c r="I80" s="50">
        <v>2</v>
      </c>
      <c r="J80" s="51">
        <v>13.5</v>
      </c>
      <c r="K80" s="51">
        <v>27</v>
      </c>
    </row>
    <row r="81" spans="4:11">
      <c r="D81" s="49">
        <v>46136</v>
      </c>
      <c r="E81" s="16">
        <v>1597835</v>
      </c>
      <c r="F81" s="16" t="s">
        <v>21</v>
      </c>
      <c r="G81" s="50">
        <v>20313588</v>
      </c>
      <c r="H81" s="16" t="s">
        <v>30</v>
      </c>
      <c r="I81" s="50">
        <v>5</v>
      </c>
      <c r="J81" s="51">
        <v>8</v>
      </c>
      <c r="K81" s="51">
        <v>40</v>
      </c>
    </row>
    <row r="82" spans="4:11">
      <c r="D82" s="49">
        <v>46136</v>
      </c>
      <c r="E82" s="16">
        <v>1597835</v>
      </c>
      <c r="F82" s="16" t="s">
        <v>21</v>
      </c>
      <c r="G82" s="50">
        <v>20377357</v>
      </c>
      <c r="H82" s="16" t="s">
        <v>31</v>
      </c>
      <c r="I82" s="50">
        <v>5</v>
      </c>
      <c r="J82" s="51">
        <v>8</v>
      </c>
      <c r="K82" s="51">
        <v>40</v>
      </c>
    </row>
    <row r="83" spans="4:11">
      <c r="D83" s="49">
        <v>46136</v>
      </c>
      <c r="E83" s="16">
        <v>1597835</v>
      </c>
      <c r="F83" s="16" t="s">
        <v>21</v>
      </c>
      <c r="G83" s="50">
        <v>20395865</v>
      </c>
      <c r="H83" s="16" t="s">
        <v>32</v>
      </c>
      <c r="I83" s="50">
        <v>1</v>
      </c>
      <c r="J83" s="51">
        <v>8</v>
      </c>
      <c r="K83" s="51">
        <v>8</v>
      </c>
    </row>
    <row r="84" spans="4:11">
      <c r="D84" s="49">
        <v>46137</v>
      </c>
      <c r="E84" s="16">
        <v>1598086</v>
      </c>
      <c r="F84" s="16" t="s">
        <v>21</v>
      </c>
      <c r="G84" s="50">
        <v>20376624</v>
      </c>
      <c r="H84" s="16" t="s">
        <v>28</v>
      </c>
      <c r="I84" s="50">
        <v>2</v>
      </c>
      <c r="J84" s="51">
        <v>8</v>
      </c>
      <c r="K84" s="51">
        <v>16</v>
      </c>
    </row>
    <row r="85" spans="4:11">
      <c r="D85" s="49">
        <v>46137</v>
      </c>
      <c r="E85" s="16">
        <v>1598086</v>
      </c>
      <c r="F85" s="16" t="s">
        <v>21</v>
      </c>
      <c r="G85" s="50">
        <v>20406253</v>
      </c>
      <c r="H85" s="16" t="s">
        <v>39</v>
      </c>
      <c r="I85" s="50">
        <v>2</v>
      </c>
      <c r="J85" s="51">
        <v>13.5</v>
      </c>
      <c r="K85" s="51">
        <v>27</v>
      </c>
    </row>
    <row r="86" spans="4:11">
      <c r="D86" s="49">
        <v>46137</v>
      </c>
      <c r="E86" s="16">
        <v>1598086</v>
      </c>
      <c r="F86" s="16" t="s">
        <v>21</v>
      </c>
      <c r="G86" s="50">
        <v>20396338</v>
      </c>
      <c r="H86" s="16" t="s">
        <v>40</v>
      </c>
      <c r="I86" s="50">
        <v>1</v>
      </c>
      <c r="J86" s="51">
        <v>13.5</v>
      </c>
      <c r="K86" s="51">
        <v>13.5</v>
      </c>
    </row>
    <row r="87" spans="4:11">
      <c r="D87" s="49">
        <v>46137</v>
      </c>
      <c r="E87" s="16">
        <v>1598086</v>
      </c>
      <c r="F87" s="16" t="s">
        <v>21</v>
      </c>
      <c r="G87" s="50">
        <v>20313588</v>
      </c>
      <c r="H87" s="16" t="s">
        <v>30</v>
      </c>
      <c r="I87" s="50">
        <v>3</v>
      </c>
      <c r="J87" s="51">
        <v>8</v>
      </c>
      <c r="K87" s="51">
        <v>24</v>
      </c>
    </row>
    <row r="88" spans="4:11">
      <c r="D88" s="49">
        <v>46137</v>
      </c>
      <c r="E88" s="16">
        <v>1598086</v>
      </c>
      <c r="F88" s="16" t="s">
        <v>21</v>
      </c>
      <c r="G88" s="50">
        <v>20396160</v>
      </c>
      <c r="H88" s="16" t="s">
        <v>60</v>
      </c>
      <c r="I88" s="50">
        <v>1</v>
      </c>
      <c r="J88" s="51">
        <v>13.5</v>
      </c>
      <c r="K88" s="51">
        <v>13.5</v>
      </c>
    </row>
    <row r="89" spans="4:11">
      <c r="D89" s="49">
        <v>46137</v>
      </c>
      <c r="E89" s="16">
        <v>1598086</v>
      </c>
      <c r="F89" s="16" t="s">
        <v>21</v>
      </c>
      <c r="G89" s="50">
        <v>20376620</v>
      </c>
      <c r="H89" s="16" t="s">
        <v>58</v>
      </c>
      <c r="I89" s="50">
        <v>1</v>
      </c>
      <c r="J89" s="51">
        <v>8</v>
      </c>
      <c r="K89" s="51">
        <v>8</v>
      </c>
    </row>
    <row r="90" spans="4:11">
      <c r="D90" s="49">
        <v>46137</v>
      </c>
      <c r="E90" s="16">
        <v>1598086</v>
      </c>
      <c r="F90" s="16" t="s">
        <v>21</v>
      </c>
      <c r="G90" s="50">
        <v>20377357</v>
      </c>
      <c r="H90" s="16" t="s">
        <v>31</v>
      </c>
      <c r="I90" s="50">
        <v>6</v>
      </c>
      <c r="J90" s="51">
        <v>8</v>
      </c>
      <c r="K90" s="51">
        <v>48</v>
      </c>
    </row>
    <row r="91" spans="4:11">
      <c r="D91" s="49">
        <v>46137</v>
      </c>
      <c r="E91" s="16">
        <v>1598119</v>
      </c>
      <c r="F91" s="16" t="s">
        <v>21</v>
      </c>
      <c r="G91" s="50">
        <v>20376620</v>
      </c>
      <c r="H91" s="16" t="s">
        <v>58</v>
      </c>
      <c r="I91" s="50">
        <v>1</v>
      </c>
      <c r="J91" s="51">
        <v>8</v>
      </c>
      <c r="K91" s="51">
        <v>8</v>
      </c>
    </row>
    <row r="92" spans="4:11">
      <c r="D92" s="49">
        <v>46140</v>
      </c>
      <c r="E92" s="16">
        <v>1598749</v>
      </c>
      <c r="F92" s="16" t="s">
        <v>21</v>
      </c>
      <c r="G92" s="50">
        <v>20376624</v>
      </c>
      <c r="H92" s="16" t="s">
        <v>28</v>
      </c>
      <c r="I92" s="50">
        <v>2</v>
      </c>
      <c r="J92" s="51">
        <v>8</v>
      </c>
      <c r="K92" s="51">
        <v>16</v>
      </c>
    </row>
    <row r="93" spans="4:11">
      <c r="D93" s="49">
        <v>46140</v>
      </c>
      <c r="E93" s="16">
        <v>1598749</v>
      </c>
      <c r="F93" s="16" t="s">
        <v>21</v>
      </c>
      <c r="G93" s="50">
        <v>20406253</v>
      </c>
      <c r="H93" s="16" t="s">
        <v>39</v>
      </c>
      <c r="I93" s="50">
        <v>2</v>
      </c>
      <c r="J93" s="51">
        <v>13.5</v>
      </c>
      <c r="K93" s="51">
        <v>27</v>
      </c>
    </row>
    <row r="94" spans="4:11">
      <c r="D94" s="49">
        <v>46140</v>
      </c>
      <c r="E94" s="16">
        <v>1598749</v>
      </c>
      <c r="F94" s="16" t="s">
        <v>21</v>
      </c>
      <c r="G94" s="50">
        <v>20313588</v>
      </c>
      <c r="H94" s="16" t="s">
        <v>30</v>
      </c>
      <c r="I94" s="50">
        <v>4</v>
      </c>
      <c r="J94" s="51">
        <v>8</v>
      </c>
      <c r="K94" s="51">
        <v>32</v>
      </c>
    </row>
    <row r="95" spans="4:11">
      <c r="D95" s="49">
        <v>46140</v>
      </c>
      <c r="E95" s="16">
        <v>1598749</v>
      </c>
      <c r="F95" s="16" t="s">
        <v>21</v>
      </c>
      <c r="G95" s="50">
        <v>20396160</v>
      </c>
      <c r="H95" s="16" t="s">
        <v>60</v>
      </c>
      <c r="I95" s="50">
        <v>1</v>
      </c>
      <c r="J95" s="51">
        <v>13.5</v>
      </c>
      <c r="K95" s="51">
        <v>13.5</v>
      </c>
    </row>
    <row r="96" spans="4:11">
      <c r="D96" s="49">
        <v>46140</v>
      </c>
      <c r="E96" s="16">
        <v>1598749</v>
      </c>
      <c r="F96" s="16" t="s">
        <v>21</v>
      </c>
      <c r="G96" s="50">
        <v>20377357</v>
      </c>
      <c r="H96" s="16" t="s">
        <v>31</v>
      </c>
      <c r="I96" s="50">
        <v>4</v>
      </c>
      <c r="J96" s="51">
        <v>8</v>
      </c>
      <c r="K96" s="51">
        <v>32</v>
      </c>
    </row>
    <row r="97" spans="4:11">
      <c r="D97" s="49">
        <v>46141</v>
      </c>
      <c r="E97" s="16">
        <v>1599054</v>
      </c>
      <c r="F97" s="16" t="s">
        <v>21</v>
      </c>
      <c r="G97" s="50">
        <v>20376624</v>
      </c>
      <c r="H97" s="16" t="s">
        <v>28</v>
      </c>
      <c r="I97" s="50">
        <v>3</v>
      </c>
      <c r="J97" s="51">
        <v>8</v>
      </c>
      <c r="K97" s="51">
        <v>24</v>
      </c>
    </row>
    <row r="98" spans="4:11">
      <c r="D98" s="49">
        <v>46141</v>
      </c>
      <c r="E98" s="16">
        <v>1599054</v>
      </c>
      <c r="F98" s="16" t="s">
        <v>21</v>
      </c>
      <c r="G98" s="50">
        <v>20406253</v>
      </c>
      <c r="H98" s="16" t="s">
        <v>39</v>
      </c>
      <c r="I98" s="50">
        <v>4</v>
      </c>
      <c r="J98" s="51">
        <v>13.5</v>
      </c>
      <c r="K98" s="51">
        <v>54</v>
      </c>
    </row>
    <row r="99" spans="4:11">
      <c r="D99" s="49">
        <v>46141</v>
      </c>
      <c r="E99" s="16">
        <v>1599054</v>
      </c>
      <c r="F99" s="16" t="s">
        <v>21</v>
      </c>
      <c r="G99" s="50">
        <v>20313588</v>
      </c>
      <c r="H99" s="16" t="s">
        <v>30</v>
      </c>
      <c r="I99" s="50">
        <v>6</v>
      </c>
      <c r="J99" s="51">
        <v>8</v>
      </c>
      <c r="K99" s="51">
        <v>48</v>
      </c>
    </row>
    <row r="100" spans="4:11">
      <c r="D100" s="49">
        <v>46141</v>
      </c>
      <c r="E100" s="16">
        <v>1599054</v>
      </c>
      <c r="F100" s="16" t="s">
        <v>21</v>
      </c>
      <c r="G100" s="50">
        <v>20396160</v>
      </c>
      <c r="H100" s="16" t="s">
        <v>60</v>
      </c>
      <c r="I100" s="50">
        <v>1</v>
      </c>
      <c r="J100" s="51">
        <v>13.5</v>
      </c>
      <c r="K100" s="51">
        <v>13.5</v>
      </c>
    </row>
    <row r="101" spans="4:11">
      <c r="D101" s="49">
        <v>46141</v>
      </c>
      <c r="E101" s="16">
        <v>1599054</v>
      </c>
      <c r="F101" s="16" t="s">
        <v>21</v>
      </c>
      <c r="G101" s="50">
        <v>20397287</v>
      </c>
      <c r="H101" s="16" t="s">
        <v>65</v>
      </c>
      <c r="I101" s="50">
        <v>1</v>
      </c>
      <c r="J101" s="51">
        <v>13.5</v>
      </c>
      <c r="K101" s="51">
        <v>13.5</v>
      </c>
    </row>
    <row r="102" spans="4:11">
      <c r="D102" s="49">
        <v>46141</v>
      </c>
      <c r="E102" s="16">
        <v>1599054</v>
      </c>
      <c r="F102" s="16" t="s">
        <v>21</v>
      </c>
      <c r="G102" s="50">
        <v>20377357</v>
      </c>
      <c r="H102" s="16" t="s">
        <v>31</v>
      </c>
      <c r="I102" s="50">
        <v>6</v>
      </c>
      <c r="J102" s="51">
        <v>8</v>
      </c>
      <c r="K102" s="51">
        <v>48</v>
      </c>
    </row>
    <row r="103" spans="4:11">
      <c r="D103" s="49">
        <v>46141</v>
      </c>
      <c r="E103" s="16">
        <v>1599152</v>
      </c>
      <c r="F103" s="16" t="s">
        <v>21</v>
      </c>
      <c r="G103" s="50">
        <v>20406253</v>
      </c>
      <c r="H103" s="16" t="s">
        <v>39</v>
      </c>
      <c r="I103" s="50">
        <v>1</v>
      </c>
      <c r="J103" s="51">
        <v>13.5</v>
      </c>
      <c r="K103" s="51">
        <v>13.5</v>
      </c>
    </row>
    <row r="104" spans="4:11">
      <c r="D104" s="49">
        <v>46141</v>
      </c>
      <c r="E104" s="16">
        <v>1599152</v>
      </c>
      <c r="F104" s="16" t="s">
        <v>21</v>
      </c>
      <c r="G104" s="50">
        <v>20313588</v>
      </c>
      <c r="H104" s="16" t="s">
        <v>30</v>
      </c>
      <c r="I104" s="50">
        <v>4</v>
      </c>
      <c r="J104" s="51">
        <v>8</v>
      </c>
      <c r="K104" s="51">
        <v>32</v>
      </c>
    </row>
    <row r="105" spans="4:11">
      <c r="D105" s="49">
        <v>46141</v>
      </c>
      <c r="E105" s="16">
        <v>1599152</v>
      </c>
      <c r="F105" s="16" t="s">
        <v>21</v>
      </c>
      <c r="G105" s="50">
        <v>20377357</v>
      </c>
      <c r="H105" s="16" t="s">
        <v>31</v>
      </c>
      <c r="I105" s="50">
        <v>4</v>
      </c>
      <c r="J105" s="51">
        <v>8</v>
      </c>
      <c r="K105" s="51">
        <v>32</v>
      </c>
    </row>
    <row r="106" spans="4:11">
      <c r="D106" s="49">
        <v>46149</v>
      </c>
      <c r="E106" s="16">
        <v>1600754</v>
      </c>
      <c r="F106" s="16" t="s">
        <v>21</v>
      </c>
      <c r="G106" s="50">
        <v>20376624</v>
      </c>
      <c r="H106" s="16" t="s">
        <v>28</v>
      </c>
      <c r="I106" s="50">
        <v>2</v>
      </c>
      <c r="J106" s="51">
        <v>8</v>
      </c>
      <c r="K106" s="51">
        <v>16</v>
      </c>
    </row>
    <row r="107" spans="4:11">
      <c r="D107" s="49">
        <v>46149</v>
      </c>
      <c r="E107" s="16">
        <v>1600754</v>
      </c>
      <c r="F107" s="16" t="s">
        <v>21</v>
      </c>
      <c r="G107" s="50">
        <v>20406253</v>
      </c>
      <c r="H107" s="16" t="s">
        <v>39</v>
      </c>
      <c r="I107" s="50">
        <v>3</v>
      </c>
      <c r="J107" s="51">
        <v>13.5</v>
      </c>
      <c r="K107" s="51">
        <v>40.5</v>
      </c>
    </row>
    <row r="108" spans="4:11">
      <c r="D108" s="49">
        <v>46149</v>
      </c>
      <c r="E108" s="16">
        <v>1600754</v>
      </c>
      <c r="F108" s="16" t="s">
        <v>21</v>
      </c>
      <c r="G108" s="50">
        <v>20414939</v>
      </c>
      <c r="H108" s="16" t="s">
        <v>62</v>
      </c>
      <c r="I108" s="50">
        <v>1</v>
      </c>
      <c r="J108" s="51">
        <v>8</v>
      </c>
      <c r="K108" s="51">
        <v>8</v>
      </c>
    </row>
    <row r="109" spans="4:11">
      <c r="D109" s="49">
        <v>46149</v>
      </c>
      <c r="E109" s="16">
        <v>1600754</v>
      </c>
      <c r="F109" s="16" t="s">
        <v>21</v>
      </c>
      <c r="G109" s="50">
        <v>20313588</v>
      </c>
      <c r="H109" s="16" t="s">
        <v>30</v>
      </c>
      <c r="I109" s="50">
        <v>4</v>
      </c>
      <c r="J109" s="51">
        <v>8</v>
      </c>
      <c r="K109" s="51">
        <v>32</v>
      </c>
    </row>
    <row r="110" spans="4:11">
      <c r="D110" s="49">
        <v>46149</v>
      </c>
      <c r="E110" s="16">
        <v>1600754</v>
      </c>
      <c r="F110" s="16" t="s">
        <v>21</v>
      </c>
      <c r="G110" s="50">
        <v>20396160</v>
      </c>
      <c r="H110" s="16" t="s">
        <v>60</v>
      </c>
      <c r="I110" s="50">
        <v>1</v>
      </c>
      <c r="J110" s="51">
        <v>13.5</v>
      </c>
      <c r="K110" s="51">
        <v>13.5</v>
      </c>
    </row>
    <row r="111" spans="4:11">
      <c r="D111" s="49">
        <v>46149</v>
      </c>
      <c r="E111" s="16">
        <v>1600754</v>
      </c>
      <c r="F111" s="16" t="s">
        <v>21</v>
      </c>
      <c r="G111" s="50">
        <v>20376620</v>
      </c>
      <c r="H111" s="16" t="s">
        <v>58</v>
      </c>
      <c r="I111" s="50">
        <v>1</v>
      </c>
      <c r="J111" s="51">
        <v>8</v>
      </c>
      <c r="K111" s="51">
        <v>8</v>
      </c>
    </row>
    <row r="112" spans="4:11">
      <c r="D112" s="49">
        <v>46149</v>
      </c>
      <c r="E112" s="16">
        <v>1600754</v>
      </c>
      <c r="F112" s="16" t="s">
        <v>21</v>
      </c>
      <c r="G112" s="50">
        <v>20377357</v>
      </c>
      <c r="H112" s="16" t="s">
        <v>31</v>
      </c>
      <c r="I112" s="50">
        <v>6</v>
      </c>
      <c r="J112" s="51">
        <v>8</v>
      </c>
      <c r="K112" s="51">
        <v>48</v>
      </c>
    </row>
    <row r="113" spans="4:11">
      <c r="D113" s="49">
        <v>46150</v>
      </c>
      <c r="E113" s="16">
        <v>1601065</v>
      </c>
      <c r="F113" s="16" t="s">
        <v>21</v>
      </c>
      <c r="G113" s="50">
        <v>20376624</v>
      </c>
      <c r="H113" s="16" t="s">
        <v>28</v>
      </c>
      <c r="I113" s="50">
        <v>1</v>
      </c>
      <c r="J113" s="51">
        <v>8</v>
      </c>
      <c r="K113" s="51">
        <v>8</v>
      </c>
    </row>
    <row r="114" spans="4:11">
      <c r="D114" s="49">
        <v>46150</v>
      </c>
      <c r="E114" s="16">
        <v>1601065</v>
      </c>
      <c r="F114" s="16" t="s">
        <v>21</v>
      </c>
      <c r="G114" s="50">
        <v>20406253</v>
      </c>
      <c r="H114" s="16" t="s">
        <v>39</v>
      </c>
      <c r="I114" s="50">
        <v>3</v>
      </c>
      <c r="J114" s="51">
        <v>13.5</v>
      </c>
      <c r="K114" s="51">
        <v>40.5</v>
      </c>
    </row>
    <row r="115" spans="4:11">
      <c r="D115" s="49">
        <v>46150</v>
      </c>
      <c r="E115" s="16">
        <v>1601065</v>
      </c>
      <c r="F115" s="16" t="s">
        <v>21</v>
      </c>
      <c r="G115" s="50">
        <v>20313588</v>
      </c>
      <c r="H115" s="16" t="s">
        <v>30</v>
      </c>
      <c r="I115" s="50">
        <v>9</v>
      </c>
      <c r="J115" s="51">
        <v>8</v>
      </c>
      <c r="K115" s="51">
        <v>72</v>
      </c>
    </row>
    <row r="116" spans="4:11">
      <c r="D116" s="49">
        <v>46150</v>
      </c>
      <c r="E116" s="16">
        <v>1601065</v>
      </c>
      <c r="F116" s="16" t="s">
        <v>21</v>
      </c>
      <c r="G116" s="50">
        <v>20396160</v>
      </c>
      <c r="H116" s="16" t="s">
        <v>60</v>
      </c>
      <c r="I116" s="50">
        <v>1</v>
      </c>
      <c r="J116" s="51">
        <v>13.5</v>
      </c>
      <c r="K116" s="51">
        <v>13.5</v>
      </c>
    </row>
    <row r="117" spans="4:11">
      <c r="D117" s="49">
        <v>46150</v>
      </c>
      <c r="E117" s="16">
        <v>1601065</v>
      </c>
      <c r="F117" s="16" t="s">
        <v>21</v>
      </c>
      <c r="G117" s="50">
        <v>20377357</v>
      </c>
      <c r="H117" s="16" t="s">
        <v>31</v>
      </c>
      <c r="I117" s="50">
        <v>5</v>
      </c>
      <c r="J117" s="51">
        <v>8</v>
      </c>
      <c r="K117" s="51">
        <v>40</v>
      </c>
    </row>
    <row r="118" spans="4:11">
      <c r="D118" s="49">
        <v>46150</v>
      </c>
      <c r="E118" s="16">
        <v>1601184</v>
      </c>
      <c r="F118" s="16" t="s">
        <v>21</v>
      </c>
      <c r="G118" s="50">
        <v>20376624</v>
      </c>
      <c r="H118" s="16" t="s">
        <v>28</v>
      </c>
      <c r="I118" s="50">
        <v>2</v>
      </c>
      <c r="J118" s="51">
        <v>8</v>
      </c>
      <c r="K118" s="51">
        <v>16</v>
      </c>
    </row>
    <row r="119" spans="4:11">
      <c r="D119" s="49">
        <v>46150</v>
      </c>
      <c r="E119" s="16">
        <v>1601184</v>
      </c>
      <c r="F119" s="16" t="s">
        <v>21</v>
      </c>
      <c r="G119" s="50">
        <v>20406253</v>
      </c>
      <c r="H119" s="16" t="s">
        <v>39</v>
      </c>
      <c r="I119" s="50">
        <v>3</v>
      </c>
      <c r="J119" s="51">
        <v>13.5</v>
      </c>
      <c r="K119" s="51">
        <v>40.5</v>
      </c>
    </row>
    <row r="120" spans="4:11">
      <c r="D120" s="49">
        <v>46150</v>
      </c>
      <c r="E120" s="16">
        <v>1601184</v>
      </c>
      <c r="F120" s="16" t="s">
        <v>21</v>
      </c>
      <c r="G120" s="50">
        <v>20313588</v>
      </c>
      <c r="H120" s="16" t="s">
        <v>30</v>
      </c>
      <c r="I120" s="50">
        <v>4</v>
      </c>
      <c r="J120" s="51">
        <v>8</v>
      </c>
      <c r="K120" s="51">
        <v>32</v>
      </c>
    </row>
    <row r="121" spans="4:11">
      <c r="D121" s="49">
        <v>46150</v>
      </c>
      <c r="E121" s="16">
        <v>1601184</v>
      </c>
      <c r="F121" s="16" t="s">
        <v>21</v>
      </c>
      <c r="G121" s="50">
        <v>20377357</v>
      </c>
      <c r="H121" s="16" t="s">
        <v>31</v>
      </c>
      <c r="I121" s="50">
        <v>3</v>
      </c>
      <c r="J121" s="51">
        <v>8</v>
      </c>
      <c r="K121" s="51">
        <v>24</v>
      </c>
    </row>
    <row r="122" spans="4:11">
      <c r="D122" s="49">
        <v>46151</v>
      </c>
      <c r="E122" s="16">
        <v>1601494</v>
      </c>
      <c r="F122" s="16" t="s">
        <v>21</v>
      </c>
      <c r="G122" s="50">
        <v>20376624</v>
      </c>
      <c r="H122" s="16" t="s">
        <v>28</v>
      </c>
      <c r="I122" s="50">
        <v>1</v>
      </c>
      <c r="J122" s="51">
        <v>8</v>
      </c>
      <c r="K122" s="51">
        <v>8</v>
      </c>
    </row>
    <row r="123" spans="4:11">
      <c r="D123" s="49">
        <v>46151</v>
      </c>
      <c r="E123" s="16">
        <v>1601494</v>
      </c>
      <c r="F123" s="16" t="s">
        <v>21</v>
      </c>
      <c r="G123" s="50">
        <v>20406253</v>
      </c>
      <c r="H123" s="16" t="s">
        <v>39</v>
      </c>
      <c r="I123" s="50">
        <v>3</v>
      </c>
      <c r="J123" s="51">
        <v>13.5</v>
      </c>
      <c r="K123" s="51">
        <v>40.5</v>
      </c>
    </row>
    <row r="124" spans="4:11">
      <c r="D124" s="49">
        <v>46151</v>
      </c>
      <c r="E124" s="16">
        <v>1601494</v>
      </c>
      <c r="F124" s="16" t="s">
        <v>21</v>
      </c>
      <c r="G124" s="50">
        <v>20313588</v>
      </c>
      <c r="H124" s="16" t="s">
        <v>30</v>
      </c>
      <c r="I124" s="50">
        <v>9</v>
      </c>
      <c r="J124" s="51">
        <v>8</v>
      </c>
      <c r="K124" s="51">
        <v>72</v>
      </c>
    </row>
    <row r="125" spans="4:11">
      <c r="D125" s="49">
        <v>46151</v>
      </c>
      <c r="E125" s="16">
        <v>1601494</v>
      </c>
      <c r="F125" s="16" t="s">
        <v>21</v>
      </c>
      <c r="G125" s="50">
        <v>20396160</v>
      </c>
      <c r="H125" s="16" t="s">
        <v>60</v>
      </c>
      <c r="I125" s="50">
        <v>1</v>
      </c>
      <c r="J125" s="51">
        <v>13.5</v>
      </c>
      <c r="K125" s="51">
        <v>13.5</v>
      </c>
    </row>
    <row r="126" spans="4:11">
      <c r="D126" s="49">
        <v>46151</v>
      </c>
      <c r="E126" s="16">
        <v>1601494</v>
      </c>
      <c r="F126" s="16" t="s">
        <v>21</v>
      </c>
      <c r="G126" s="50">
        <v>20377357</v>
      </c>
      <c r="H126" s="16" t="s">
        <v>31</v>
      </c>
      <c r="I126" s="50">
        <v>7</v>
      </c>
      <c r="J126" s="51">
        <v>8</v>
      </c>
      <c r="K126" s="51">
        <v>56</v>
      </c>
    </row>
    <row r="127" spans="4:11">
      <c r="D127" s="49">
        <v>46151</v>
      </c>
      <c r="E127" s="16">
        <v>1601610</v>
      </c>
      <c r="F127" s="16" t="s">
        <v>21</v>
      </c>
      <c r="G127" s="50">
        <v>20376624</v>
      </c>
      <c r="H127" s="16" t="s">
        <v>28</v>
      </c>
      <c r="I127" s="50">
        <v>2</v>
      </c>
      <c r="J127" s="51">
        <v>8</v>
      </c>
      <c r="K127" s="51">
        <v>16</v>
      </c>
    </row>
    <row r="128" spans="4:11">
      <c r="D128" s="49">
        <v>46151</v>
      </c>
      <c r="E128" s="16">
        <v>1601610</v>
      </c>
      <c r="F128" s="16" t="s">
        <v>21</v>
      </c>
      <c r="G128" s="50">
        <v>20406253</v>
      </c>
      <c r="H128" s="16" t="s">
        <v>39</v>
      </c>
      <c r="I128" s="50">
        <v>2</v>
      </c>
      <c r="J128" s="51">
        <v>13.5</v>
      </c>
      <c r="K128" s="51">
        <v>27</v>
      </c>
    </row>
    <row r="129" spans="4:11">
      <c r="D129" s="49">
        <v>46151</v>
      </c>
      <c r="E129" s="16">
        <v>1601610</v>
      </c>
      <c r="F129" s="16" t="s">
        <v>21</v>
      </c>
      <c r="G129" s="50">
        <v>20414939</v>
      </c>
      <c r="H129" s="16" t="s">
        <v>62</v>
      </c>
      <c r="I129" s="50">
        <v>1</v>
      </c>
      <c r="J129" s="51">
        <v>8</v>
      </c>
      <c r="K129" s="51">
        <v>8</v>
      </c>
    </row>
    <row r="130" spans="4:11">
      <c r="D130" s="49">
        <v>46151</v>
      </c>
      <c r="E130" s="16">
        <v>1601610</v>
      </c>
      <c r="F130" s="16" t="s">
        <v>21</v>
      </c>
      <c r="G130" s="50">
        <v>20313588</v>
      </c>
      <c r="H130" s="16" t="s">
        <v>30</v>
      </c>
      <c r="I130" s="50">
        <v>3</v>
      </c>
      <c r="J130" s="51">
        <v>8</v>
      </c>
      <c r="K130" s="51">
        <v>24</v>
      </c>
    </row>
    <row r="131" spans="4:11">
      <c r="D131" s="49">
        <v>46151</v>
      </c>
      <c r="E131" s="16">
        <v>1601610</v>
      </c>
      <c r="F131" s="16" t="s">
        <v>21</v>
      </c>
      <c r="G131" s="50">
        <v>20396160</v>
      </c>
      <c r="H131" s="16" t="s">
        <v>60</v>
      </c>
      <c r="I131" s="50">
        <v>1</v>
      </c>
      <c r="J131" s="51">
        <v>13.5</v>
      </c>
      <c r="K131" s="51">
        <v>13.5</v>
      </c>
    </row>
    <row r="132" spans="4:11">
      <c r="D132" s="49">
        <v>46151</v>
      </c>
      <c r="E132" s="16">
        <v>1601610</v>
      </c>
      <c r="F132" s="16" t="s">
        <v>21</v>
      </c>
      <c r="G132" s="50">
        <v>20376620</v>
      </c>
      <c r="H132" s="16" t="s">
        <v>58</v>
      </c>
      <c r="I132" s="50">
        <v>1</v>
      </c>
      <c r="J132" s="51">
        <v>8</v>
      </c>
      <c r="K132" s="51">
        <v>8</v>
      </c>
    </row>
    <row r="133" spans="4:11">
      <c r="D133" s="49">
        <v>46151</v>
      </c>
      <c r="E133" s="16">
        <v>1601610</v>
      </c>
      <c r="F133" s="16" t="s">
        <v>21</v>
      </c>
      <c r="G133" s="50">
        <v>20377357</v>
      </c>
      <c r="H133" s="16" t="s">
        <v>31</v>
      </c>
      <c r="I133" s="50">
        <v>2</v>
      </c>
      <c r="J133" s="51">
        <v>8</v>
      </c>
      <c r="K133" s="51">
        <v>16</v>
      </c>
    </row>
    <row r="134" spans="4:11">
      <c r="D134" s="49">
        <v>46154</v>
      </c>
      <c r="E134" s="16">
        <v>1602299</v>
      </c>
      <c r="F134" s="16" t="s">
        <v>21</v>
      </c>
      <c r="G134" s="50">
        <v>20376624</v>
      </c>
      <c r="H134" s="16" t="s">
        <v>28</v>
      </c>
      <c r="I134" s="50">
        <v>1</v>
      </c>
      <c r="J134" s="51">
        <v>8</v>
      </c>
      <c r="K134" s="51">
        <v>8</v>
      </c>
    </row>
    <row r="135" spans="4:11">
      <c r="D135" s="49">
        <v>46154</v>
      </c>
      <c r="E135" s="16">
        <v>1602299</v>
      </c>
      <c r="F135" s="16" t="s">
        <v>21</v>
      </c>
      <c r="G135" s="50">
        <v>20406253</v>
      </c>
      <c r="H135" s="16" t="s">
        <v>39</v>
      </c>
      <c r="I135" s="50">
        <v>2</v>
      </c>
      <c r="J135" s="51">
        <v>13.5</v>
      </c>
      <c r="K135" s="51">
        <v>27</v>
      </c>
    </row>
    <row r="136" spans="4:11">
      <c r="D136" s="49">
        <v>46154</v>
      </c>
      <c r="E136" s="16">
        <v>1602299</v>
      </c>
      <c r="F136" s="16" t="s">
        <v>21</v>
      </c>
      <c r="G136" s="50">
        <v>20414939</v>
      </c>
      <c r="H136" s="16" t="s">
        <v>62</v>
      </c>
      <c r="I136" s="50">
        <v>2</v>
      </c>
      <c r="J136" s="51">
        <v>8</v>
      </c>
      <c r="K136" s="51">
        <v>16</v>
      </c>
    </row>
    <row r="137" spans="4:11">
      <c r="D137" s="49">
        <v>46154</v>
      </c>
      <c r="E137" s="16">
        <v>1602299</v>
      </c>
      <c r="F137" s="16" t="s">
        <v>21</v>
      </c>
      <c r="G137" s="50">
        <v>20313588</v>
      </c>
      <c r="H137" s="16" t="s">
        <v>30</v>
      </c>
      <c r="I137" s="50">
        <v>7</v>
      </c>
      <c r="J137" s="51">
        <v>8</v>
      </c>
      <c r="K137" s="51">
        <v>56</v>
      </c>
    </row>
    <row r="138" spans="4:11">
      <c r="D138" s="49">
        <v>46154</v>
      </c>
      <c r="E138" s="16">
        <v>1602299</v>
      </c>
      <c r="F138" s="16" t="s">
        <v>21</v>
      </c>
      <c r="G138" s="50">
        <v>20377357</v>
      </c>
      <c r="H138" s="16" t="s">
        <v>31</v>
      </c>
      <c r="I138" s="50">
        <v>4</v>
      </c>
      <c r="J138" s="51">
        <v>8</v>
      </c>
      <c r="K138" s="51">
        <v>32</v>
      </c>
    </row>
    <row r="139" spans="4:11">
      <c r="D139" s="49">
        <v>46154</v>
      </c>
      <c r="E139" s="16">
        <v>1602299</v>
      </c>
      <c r="F139" s="16" t="s">
        <v>21</v>
      </c>
      <c r="G139" s="50">
        <v>20395865</v>
      </c>
      <c r="H139" s="16" t="s">
        <v>32</v>
      </c>
      <c r="I139" s="50">
        <v>1</v>
      </c>
      <c r="J139" s="51">
        <v>8</v>
      </c>
      <c r="K139" s="51">
        <v>8</v>
      </c>
    </row>
    <row r="140" spans="4:11">
      <c r="D140" s="49">
        <v>46154</v>
      </c>
      <c r="E140" s="16">
        <v>1602557</v>
      </c>
      <c r="F140" s="16" t="s">
        <v>21</v>
      </c>
      <c r="G140" s="50">
        <v>20376624</v>
      </c>
      <c r="H140" s="16" t="s">
        <v>28</v>
      </c>
      <c r="I140" s="50">
        <v>1</v>
      </c>
      <c r="J140" s="51">
        <v>8</v>
      </c>
      <c r="K140" s="51">
        <v>8</v>
      </c>
    </row>
    <row r="141" spans="4:11">
      <c r="D141" s="49">
        <v>46154</v>
      </c>
      <c r="E141" s="16">
        <v>1602557</v>
      </c>
      <c r="F141" s="16" t="s">
        <v>21</v>
      </c>
      <c r="G141" s="50">
        <v>20406253</v>
      </c>
      <c r="H141" s="16" t="s">
        <v>39</v>
      </c>
      <c r="I141" s="50">
        <v>4</v>
      </c>
      <c r="J141" s="51">
        <v>13.5</v>
      </c>
      <c r="K141" s="51">
        <v>54</v>
      </c>
    </row>
    <row r="142" spans="4:11">
      <c r="D142" s="49">
        <v>46154</v>
      </c>
      <c r="E142" s="16">
        <v>1602557</v>
      </c>
      <c r="F142" s="16" t="s">
        <v>21</v>
      </c>
      <c r="G142" s="50">
        <v>20414939</v>
      </c>
      <c r="H142" s="16" t="s">
        <v>62</v>
      </c>
      <c r="I142" s="50">
        <v>1</v>
      </c>
      <c r="J142" s="51">
        <v>8</v>
      </c>
      <c r="K142" s="51">
        <v>8</v>
      </c>
    </row>
    <row r="143" spans="4:11">
      <c r="D143" s="49">
        <v>46154</v>
      </c>
      <c r="E143" s="16">
        <v>1602557</v>
      </c>
      <c r="F143" s="16" t="s">
        <v>21</v>
      </c>
      <c r="G143" s="50">
        <v>20313588</v>
      </c>
      <c r="H143" s="16" t="s">
        <v>30</v>
      </c>
      <c r="I143" s="50">
        <v>9</v>
      </c>
      <c r="J143" s="51">
        <v>8</v>
      </c>
      <c r="K143" s="51">
        <v>72</v>
      </c>
    </row>
    <row r="144" spans="4:11">
      <c r="D144" s="49">
        <v>46154</v>
      </c>
      <c r="E144" s="16">
        <v>1602557</v>
      </c>
      <c r="F144" s="16" t="s">
        <v>21</v>
      </c>
      <c r="G144" s="50">
        <v>20377357</v>
      </c>
      <c r="H144" s="16" t="s">
        <v>31</v>
      </c>
      <c r="I144" s="50">
        <v>10</v>
      </c>
      <c r="J144" s="51">
        <v>8</v>
      </c>
      <c r="K144" s="51">
        <v>80</v>
      </c>
    </row>
    <row r="145" spans="4:11">
      <c r="D145" s="49">
        <v>46155</v>
      </c>
      <c r="E145" s="16">
        <v>1602676</v>
      </c>
      <c r="F145" s="16" t="s">
        <v>21</v>
      </c>
      <c r="G145" s="50">
        <v>20376624</v>
      </c>
      <c r="H145" s="16" t="s">
        <v>28</v>
      </c>
      <c r="I145" s="50">
        <v>2</v>
      </c>
      <c r="J145" s="51">
        <v>8</v>
      </c>
      <c r="K145" s="51">
        <v>16</v>
      </c>
    </row>
    <row r="146" spans="4:11">
      <c r="D146" s="49">
        <v>46155</v>
      </c>
      <c r="E146" s="16">
        <v>1602676</v>
      </c>
      <c r="F146" s="16" t="s">
        <v>21</v>
      </c>
      <c r="G146" s="50">
        <v>20406253</v>
      </c>
      <c r="H146" s="16" t="s">
        <v>39</v>
      </c>
      <c r="I146" s="50">
        <v>2</v>
      </c>
      <c r="J146" s="51">
        <v>13.5</v>
      </c>
      <c r="K146" s="51">
        <v>27</v>
      </c>
    </row>
    <row r="147" spans="4:11">
      <c r="D147" s="49">
        <v>46155</v>
      </c>
      <c r="E147" s="16">
        <v>1602676</v>
      </c>
      <c r="F147" s="16" t="s">
        <v>21</v>
      </c>
      <c r="G147" s="50">
        <v>20313588</v>
      </c>
      <c r="H147" s="16" t="s">
        <v>30</v>
      </c>
      <c r="I147" s="50">
        <v>4</v>
      </c>
      <c r="J147" s="51">
        <v>8</v>
      </c>
      <c r="K147" s="51">
        <v>32</v>
      </c>
    </row>
    <row r="148" spans="4:11">
      <c r="D148" s="49">
        <v>46155</v>
      </c>
      <c r="E148" s="16">
        <v>1602676</v>
      </c>
      <c r="F148" s="16" t="s">
        <v>21</v>
      </c>
      <c r="G148" s="50">
        <v>20395986</v>
      </c>
      <c r="H148" s="16" t="s">
        <v>67</v>
      </c>
      <c r="I148" s="50">
        <v>1</v>
      </c>
      <c r="J148" s="51">
        <v>13.5</v>
      </c>
      <c r="K148" s="51">
        <v>13.5</v>
      </c>
    </row>
    <row r="149" spans="4:11">
      <c r="D149" s="49">
        <v>46155</v>
      </c>
      <c r="E149" s="16">
        <v>1602676</v>
      </c>
      <c r="F149" s="16" t="s">
        <v>21</v>
      </c>
      <c r="G149" s="50">
        <v>20396160</v>
      </c>
      <c r="H149" s="16" t="s">
        <v>60</v>
      </c>
      <c r="I149" s="50">
        <v>1</v>
      </c>
      <c r="J149" s="51">
        <v>13.5</v>
      </c>
      <c r="K149" s="51">
        <v>13.5</v>
      </c>
    </row>
    <row r="150" spans="4:11">
      <c r="D150" s="49">
        <v>46155</v>
      </c>
      <c r="E150" s="16">
        <v>1602676</v>
      </c>
      <c r="F150" s="16" t="s">
        <v>21</v>
      </c>
      <c r="G150" s="50">
        <v>20377357</v>
      </c>
      <c r="H150" s="16" t="s">
        <v>31</v>
      </c>
      <c r="I150" s="50">
        <v>1</v>
      </c>
      <c r="J150" s="51">
        <v>8</v>
      </c>
      <c r="K150" s="51">
        <v>8</v>
      </c>
    </row>
    <row r="151" spans="4:11">
      <c r="D151" s="49">
        <v>46156</v>
      </c>
      <c r="E151" s="16">
        <v>1602915</v>
      </c>
      <c r="F151" s="16" t="s">
        <v>21</v>
      </c>
      <c r="G151" s="50">
        <v>20376624</v>
      </c>
      <c r="H151" s="16" t="s">
        <v>28</v>
      </c>
      <c r="I151" s="50">
        <v>2</v>
      </c>
      <c r="J151" s="51">
        <v>8</v>
      </c>
      <c r="K151" s="51">
        <v>16</v>
      </c>
    </row>
    <row r="152" spans="4:11">
      <c r="D152" s="49">
        <v>46156</v>
      </c>
      <c r="E152" s="16">
        <v>1602915</v>
      </c>
      <c r="F152" s="16" t="s">
        <v>21</v>
      </c>
      <c r="G152" s="50">
        <v>20406253</v>
      </c>
      <c r="H152" s="16" t="s">
        <v>39</v>
      </c>
      <c r="I152" s="50">
        <v>3</v>
      </c>
      <c r="J152" s="51">
        <v>13.5</v>
      </c>
      <c r="K152" s="51">
        <v>40.5</v>
      </c>
    </row>
    <row r="153" spans="4:11">
      <c r="D153" s="49">
        <v>46156</v>
      </c>
      <c r="E153" s="16">
        <v>1602915</v>
      </c>
      <c r="F153" s="16" t="s">
        <v>21</v>
      </c>
      <c r="G153" s="50">
        <v>20404190</v>
      </c>
      <c r="H153" s="16" t="s">
        <v>68</v>
      </c>
      <c r="I153" s="50">
        <v>1</v>
      </c>
      <c r="J153" s="51">
        <v>8</v>
      </c>
      <c r="K153" s="51">
        <v>8</v>
      </c>
    </row>
    <row r="154" spans="4:11">
      <c r="D154" s="49">
        <v>46156</v>
      </c>
      <c r="E154" s="16">
        <v>1602915</v>
      </c>
      <c r="F154" s="16" t="s">
        <v>21</v>
      </c>
      <c r="G154" s="50">
        <v>20313588</v>
      </c>
      <c r="H154" s="16" t="s">
        <v>30</v>
      </c>
      <c r="I154" s="50">
        <v>5</v>
      </c>
      <c r="J154" s="51">
        <v>8</v>
      </c>
      <c r="K154" s="51">
        <v>40</v>
      </c>
    </row>
    <row r="155" spans="4:11">
      <c r="D155" s="49">
        <v>46156</v>
      </c>
      <c r="E155" s="16">
        <v>1602915</v>
      </c>
      <c r="F155" s="16" t="s">
        <v>21</v>
      </c>
      <c r="G155" s="50">
        <v>20377357</v>
      </c>
      <c r="H155" s="16" t="s">
        <v>31</v>
      </c>
      <c r="I155" s="50">
        <v>4</v>
      </c>
      <c r="J155" s="51">
        <v>8</v>
      </c>
      <c r="K155" s="51">
        <v>32</v>
      </c>
    </row>
    <row r="156" spans="4:11">
      <c r="D156" s="49">
        <v>46156</v>
      </c>
      <c r="E156" s="16">
        <v>1602915</v>
      </c>
      <c r="F156" s="16" t="s">
        <v>21</v>
      </c>
      <c r="G156" s="50">
        <v>20312027</v>
      </c>
      <c r="H156" s="16" t="s">
        <v>51</v>
      </c>
      <c r="I156" s="50">
        <v>1</v>
      </c>
      <c r="J156" s="51">
        <v>11</v>
      </c>
      <c r="K156" s="51">
        <v>11</v>
      </c>
    </row>
    <row r="157" spans="4:11">
      <c r="D157" s="49">
        <v>46156</v>
      </c>
      <c r="E157" s="16">
        <v>1603036</v>
      </c>
      <c r="F157" s="16" t="s">
        <v>21</v>
      </c>
      <c r="G157" s="50">
        <v>20406253</v>
      </c>
      <c r="H157" s="16" t="s">
        <v>39</v>
      </c>
      <c r="I157" s="50">
        <v>1</v>
      </c>
      <c r="J157" s="51">
        <v>13.5</v>
      </c>
      <c r="K157" s="51">
        <v>13.5</v>
      </c>
    </row>
    <row r="158" spans="4:11">
      <c r="D158" s="49">
        <v>46156</v>
      </c>
      <c r="E158" s="16">
        <v>1603036</v>
      </c>
      <c r="F158" s="16" t="s">
        <v>21</v>
      </c>
      <c r="G158" s="50">
        <v>20313588</v>
      </c>
      <c r="H158" s="16" t="s">
        <v>30</v>
      </c>
      <c r="I158" s="50">
        <v>5</v>
      </c>
      <c r="J158" s="51">
        <v>8</v>
      </c>
      <c r="K158" s="51">
        <v>40</v>
      </c>
    </row>
    <row r="159" spans="4:11">
      <c r="D159" s="49">
        <v>46156</v>
      </c>
      <c r="E159" s="16">
        <v>1603036</v>
      </c>
      <c r="F159" s="16" t="s">
        <v>21</v>
      </c>
      <c r="G159" s="50">
        <v>20376621</v>
      </c>
      <c r="H159" s="16" t="s">
        <v>58</v>
      </c>
      <c r="I159" s="50">
        <v>1</v>
      </c>
      <c r="J159" s="51">
        <v>8</v>
      </c>
      <c r="K159" s="51">
        <v>8</v>
      </c>
    </row>
    <row r="160" spans="4:11">
      <c r="D160" s="49">
        <v>46156</v>
      </c>
      <c r="E160" s="16">
        <v>1603036</v>
      </c>
      <c r="F160" s="16" t="s">
        <v>21</v>
      </c>
      <c r="G160" s="50">
        <v>20377357</v>
      </c>
      <c r="H160" s="16" t="s">
        <v>31</v>
      </c>
      <c r="I160" s="50">
        <v>4</v>
      </c>
      <c r="J160" s="51">
        <v>8</v>
      </c>
      <c r="K160" s="51">
        <v>32</v>
      </c>
    </row>
  </sheetData>
  <autoFilter xmlns:etc="http://www.wps.cn/officeDocument/2017/etCustomData" ref="A7:K160" etc:filterBottomFollowUsedRange="0">
    <extLst/>
  </autoFilter>
  <mergeCells count="5">
    <mergeCell ref="D8:H8"/>
    <mergeCell ref="C7:C160"/>
    <mergeCell ref="B4:H5"/>
    <mergeCell ref="A7:B16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"/>
  <sheetViews>
    <sheetView showGridLines="0" view="pageBreakPreview" zoomScaleNormal="100" workbookViewId="0">
      <pane ySplit="6" topLeftCell="A7" activePane="bottomLeft" state="frozen"/>
      <selection/>
      <selection pane="bottomLeft" activeCell="F122" sqref="F1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69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287</v>
      </c>
      <c r="J8" s="48"/>
      <c r="K8" s="48">
        <v>2666</v>
      </c>
    </row>
    <row r="9" spans="1:11">
      <c r="D9" s="49">
        <v>46127</v>
      </c>
      <c r="E9" s="16">
        <v>1594868</v>
      </c>
      <c r="F9" s="16" t="s">
        <v>21</v>
      </c>
      <c r="G9" s="50">
        <v>20406253</v>
      </c>
      <c r="H9" s="16" t="s">
        <v>39</v>
      </c>
      <c r="I9" s="50">
        <v>1</v>
      </c>
      <c r="J9" s="51">
        <v>13.5</v>
      </c>
      <c r="K9" s="51">
        <v>13.5</v>
      </c>
    </row>
    <row r="10" spans="1:11">
      <c r="D10" s="49">
        <v>46127</v>
      </c>
      <c r="E10" s="16">
        <v>1594868</v>
      </c>
      <c r="F10" s="16" t="s">
        <v>21</v>
      </c>
      <c r="G10" s="50">
        <v>20313588</v>
      </c>
      <c r="H10" s="16" t="s">
        <v>30</v>
      </c>
      <c r="I10" s="50">
        <v>6</v>
      </c>
      <c r="J10" s="51">
        <v>8</v>
      </c>
      <c r="K10" s="51">
        <v>48</v>
      </c>
    </row>
    <row r="11" spans="1:11">
      <c r="D11" s="49">
        <v>46127</v>
      </c>
      <c r="E11" s="16">
        <v>1594868</v>
      </c>
      <c r="F11" s="16" t="s">
        <v>21</v>
      </c>
      <c r="G11" s="50">
        <v>20377357</v>
      </c>
      <c r="H11" s="16" t="s">
        <v>31</v>
      </c>
      <c r="I11" s="50">
        <v>2</v>
      </c>
      <c r="J11" s="51">
        <v>8</v>
      </c>
      <c r="K11" s="51">
        <v>16</v>
      </c>
    </row>
    <row r="12" spans="1:11">
      <c r="D12" s="49">
        <v>46127</v>
      </c>
      <c r="E12" s="16">
        <v>1594967</v>
      </c>
      <c r="F12" s="16" t="s">
        <v>21</v>
      </c>
      <c r="G12" s="50">
        <v>20406253</v>
      </c>
      <c r="H12" s="16" t="s">
        <v>39</v>
      </c>
      <c r="I12" s="50">
        <v>2</v>
      </c>
      <c r="J12" s="51">
        <v>13.5</v>
      </c>
      <c r="K12" s="51">
        <v>27</v>
      </c>
    </row>
    <row r="13" spans="1:11">
      <c r="D13" s="49">
        <v>46127</v>
      </c>
      <c r="E13" s="16">
        <v>1594967</v>
      </c>
      <c r="F13" s="16" t="s">
        <v>21</v>
      </c>
      <c r="G13" s="50">
        <v>20313588</v>
      </c>
      <c r="H13" s="16" t="s">
        <v>30</v>
      </c>
      <c r="I13" s="50">
        <v>5</v>
      </c>
      <c r="J13" s="51">
        <v>8</v>
      </c>
      <c r="K13" s="51">
        <v>40</v>
      </c>
    </row>
    <row r="14" spans="1:11">
      <c r="D14" s="49">
        <v>46127</v>
      </c>
      <c r="E14" s="16">
        <v>1594967</v>
      </c>
      <c r="F14" s="16" t="s">
        <v>21</v>
      </c>
      <c r="G14" s="50">
        <v>20376620</v>
      </c>
      <c r="H14" s="16" t="s">
        <v>58</v>
      </c>
      <c r="I14" s="50">
        <v>1</v>
      </c>
      <c r="J14" s="51">
        <v>8</v>
      </c>
      <c r="K14" s="51">
        <v>8</v>
      </c>
    </row>
    <row r="15" spans="1:11">
      <c r="D15" s="49">
        <v>46127</v>
      </c>
      <c r="E15" s="16">
        <v>1594967</v>
      </c>
      <c r="F15" s="16" t="s">
        <v>21</v>
      </c>
      <c r="G15" s="50">
        <v>20377357</v>
      </c>
      <c r="H15" s="16" t="s">
        <v>31</v>
      </c>
      <c r="I15" s="50">
        <v>3</v>
      </c>
      <c r="J15" s="51">
        <v>8</v>
      </c>
      <c r="K15" s="51">
        <v>24</v>
      </c>
    </row>
    <row r="16" spans="1:11">
      <c r="D16" s="49">
        <v>46127</v>
      </c>
      <c r="E16" s="16">
        <v>1595213</v>
      </c>
      <c r="F16" s="16" t="s">
        <v>21</v>
      </c>
      <c r="G16" s="50">
        <v>20406253</v>
      </c>
      <c r="H16" s="16" t="s">
        <v>39</v>
      </c>
      <c r="I16" s="50">
        <v>1</v>
      </c>
      <c r="J16" s="51">
        <v>13.5</v>
      </c>
      <c r="K16" s="51">
        <v>13.5</v>
      </c>
    </row>
    <row r="17" spans="4:11">
      <c r="D17" s="49">
        <v>46127</v>
      </c>
      <c r="E17" s="16">
        <v>1595213</v>
      </c>
      <c r="F17" s="16" t="s">
        <v>21</v>
      </c>
      <c r="G17" s="50">
        <v>20313588</v>
      </c>
      <c r="H17" s="16" t="s">
        <v>30</v>
      </c>
      <c r="I17" s="50">
        <v>4</v>
      </c>
      <c r="J17" s="51">
        <v>8</v>
      </c>
      <c r="K17" s="51">
        <v>32</v>
      </c>
    </row>
    <row r="18" spans="4:11">
      <c r="D18" s="49">
        <v>46127</v>
      </c>
      <c r="E18" s="16">
        <v>1595213</v>
      </c>
      <c r="F18" s="16" t="s">
        <v>21</v>
      </c>
      <c r="G18" s="50">
        <v>20377357</v>
      </c>
      <c r="H18" s="16" t="s">
        <v>31</v>
      </c>
      <c r="I18" s="50">
        <v>1</v>
      </c>
      <c r="J18" s="51">
        <v>8</v>
      </c>
      <c r="K18" s="51">
        <v>8</v>
      </c>
    </row>
    <row r="19" spans="4:11">
      <c r="D19" s="49">
        <v>46129</v>
      </c>
      <c r="E19" s="16">
        <v>1595642</v>
      </c>
      <c r="F19" s="16" t="s">
        <v>21</v>
      </c>
      <c r="G19" s="50">
        <v>20406253</v>
      </c>
      <c r="H19" s="16" t="s">
        <v>39</v>
      </c>
      <c r="I19" s="50">
        <v>3</v>
      </c>
      <c r="J19" s="51">
        <v>13.5</v>
      </c>
      <c r="K19" s="51">
        <v>40.5</v>
      </c>
    </row>
    <row r="20" spans="4:11">
      <c r="D20" s="49">
        <v>46129</v>
      </c>
      <c r="E20" s="16">
        <v>1595642</v>
      </c>
      <c r="F20" s="16" t="s">
        <v>21</v>
      </c>
      <c r="G20" s="50">
        <v>20313588</v>
      </c>
      <c r="H20" s="16" t="s">
        <v>30</v>
      </c>
      <c r="I20" s="50">
        <v>10</v>
      </c>
      <c r="J20" s="51">
        <v>8</v>
      </c>
      <c r="K20" s="51">
        <v>80</v>
      </c>
    </row>
    <row r="21" spans="4:11">
      <c r="D21" s="49">
        <v>46129</v>
      </c>
      <c r="E21" s="16">
        <v>1595642</v>
      </c>
      <c r="F21" s="16" t="s">
        <v>21</v>
      </c>
      <c r="G21" s="50">
        <v>20397287</v>
      </c>
      <c r="H21" s="16" t="s">
        <v>65</v>
      </c>
      <c r="I21" s="50">
        <v>1</v>
      </c>
      <c r="J21" s="51">
        <v>13.5</v>
      </c>
      <c r="K21" s="51">
        <v>13.5</v>
      </c>
    </row>
    <row r="22" spans="4:11">
      <c r="D22" s="49">
        <v>46129</v>
      </c>
      <c r="E22" s="16">
        <v>1595642</v>
      </c>
      <c r="F22" s="16" t="s">
        <v>21</v>
      </c>
      <c r="G22" s="50">
        <v>20377357</v>
      </c>
      <c r="H22" s="16" t="s">
        <v>31</v>
      </c>
      <c r="I22" s="50">
        <v>3</v>
      </c>
      <c r="J22" s="51">
        <v>8</v>
      </c>
      <c r="K22" s="51">
        <v>24</v>
      </c>
    </row>
    <row r="23" spans="4:11">
      <c r="D23" s="49">
        <v>46129</v>
      </c>
      <c r="E23" s="16">
        <v>1595778</v>
      </c>
      <c r="F23" s="16" t="s">
        <v>21</v>
      </c>
      <c r="G23" s="50">
        <v>20406253</v>
      </c>
      <c r="H23" s="16" t="s">
        <v>39</v>
      </c>
      <c r="I23" s="50">
        <v>2</v>
      </c>
      <c r="J23" s="51">
        <v>13.5</v>
      </c>
      <c r="K23" s="51">
        <v>27</v>
      </c>
    </row>
    <row r="24" spans="4:11">
      <c r="D24" s="49">
        <v>46129</v>
      </c>
      <c r="E24" s="16">
        <v>1595778</v>
      </c>
      <c r="F24" s="16" t="s">
        <v>21</v>
      </c>
      <c r="G24" s="50">
        <v>20313588</v>
      </c>
      <c r="H24" s="16" t="s">
        <v>30</v>
      </c>
      <c r="I24" s="50">
        <v>7</v>
      </c>
      <c r="J24" s="51">
        <v>8</v>
      </c>
      <c r="K24" s="51">
        <v>56</v>
      </c>
    </row>
    <row r="25" spans="4:11">
      <c r="D25" s="49">
        <v>46129</v>
      </c>
      <c r="E25" s="16">
        <v>1595778</v>
      </c>
      <c r="F25" s="16" t="s">
        <v>21</v>
      </c>
      <c r="G25" s="50">
        <v>20377357</v>
      </c>
      <c r="H25" s="16" t="s">
        <v>31</v>
      </c>
      <c r="I25" s="50">
        <v>3</v>
      </c>
      <c r="J25" s="51">
        <v>8</v>
      </c>
      <c r="K25" s="51">
        <v>24</v>
      </c>
    </row>
    <row r="26" spans="4:11">
      <c r="D26" s="49">
        <v>46130</v>
      </c>
      <c r="E26" s="16">
        <v>1596011</v>
      </c>
      <c r="F26" s="16" t="s">
        <v>21</v>
      </c>
      <c r="G26" s="50">
        <v>20313588</v>
      </c>
      <c r="H26" s="16" t="s">
        <v>30</v>
      </c>
      <c r="I26" s="50">
        <v>4</v>
      </c>
      <c r="J26" s="51">
        <v>8</v>
      </c>
      <c r="K26" s="51">
        <v>32</v>
      </c>
    </row>
    <row r="27" spans="4:11">
      <c r="D27" s="49">
        <v>46130</v>
      </c>
      <c r="E27" s="16">
        <v>1596011</v>
      </c>
      <c r="F27" s="16" t="s">
        <v>21</v>
      </c>
      <c r="G27" s="50">
        <v>20376620</v>
      </c>
      <c r="H27" s="16" t="s">
        <v>58</v>
      </c>
      <c r="I27" s="50">
        <v>2</v>
      </c>
      <c r="J27" s="51">
        <v>8</v>
      </c>
      <c r="K27" s="51">
        <v>16</v>
      </c>
    </row>
    <row r="28" spans="4:11">
      <c r="D28" s="49">
        <v>46130</v>
      </c>
      <c r="E28" s="16">
        <v>1596011</v>
      </c>
      <c r="F28" s="16" t="s">
        <v>21</v>
      </c>
      <c r="G28" s="50">
        <v>20377357</v>
      </c>
      <c r="H28" s="16" t="s">
        <v>31</v>
      </c>
      <c r="I28" s="50">
        <v>1</v>
      </c>
      <c r="J28" s="51">
        <v>8</v>
      </c>
      <c r="K28" s="51">
        <v>8</v>
      </c>
    </row>
    <row r="29" spans="4:11">
      <c r="D29" s="49">
        <v>46133</v>
      </c>
      <c r="E29" s="16">
        <v>1596596</v>
      </c>
      <c r="F29" s="16" t="s">
        <v>21</v>
      </c>
      <c r="G29" s="50">
        <v>20313588</v>
      </c>
      <c r="H29" s="16" t="s">
        <v>30</v>
      </c>
      <c r="I29" s="50">
        <v>1</v>
      </c>
      <c r="J29" s="51">
        <v>8</v>
      </c>
      <c r="K29" s="51">
        <v>8</v>
      </c>
    </row>
    <row r="30" spans="4:11">
      <c r="D30" s="49">
        <v>46133</v>
      </c>
      <c r="E30" s="16">
        <v>1596596</v>
      </c>
      <c r="F30" s="16" t="s">
        <v>21</v>
      </c>
      <c r="G30" s="50">
        <v>20397287</v>
      </c>
      <c r="H30" s="16" t="s">
        <v>65</v>
      </c>
      <c r="I30" s="50">
        <v>1</v>
      </c>
      <c r="J30" s="51">
        <v>13.5</v>
      </c>
      <c r="K30" s="51">
        <v>13.5</v>
      </c>
    </row>
    <row r="31" spans="4:11">
      <c r="D31" s="49">
        <v>46133</v>
      </c>
      <c r="E31" s="16">
        <v>1596596</v>
      </c>
      <c r="F31" s="16" t="s">
        <v>21</v>
      </c>
      <c r="G31" s="50">
        <v>20377357</v>
      </c>
      <c r="H31" s="16" t="s">
        <v>31</v>
      </c>
      <c r="I31" s="50">
        <v>1</v>
      </c>
      <c r="J31" s="51">
        <v>8</v>
      </c>
      <c r="K31" s="51">
        <v>8</v>
      </c>
    </row>
    <row r="32" spans="4:11">
      <c r="D32" s="49">
        <v>46133</v>
      </c>
      <c r="E32" s="16">
        <v>1596690</v>
      </c>
      <c r="F32" s="16" t="s">
        <v>21</v>
      </c>
      <c r="G32" s="50">
        <v>20376624</v>
      </c>
      <c r="H32" s="16" t="s">
        <v>28</v>
      </c>
      <c r="I32" s="50">
        <v>1</v>
      </c>
      <c r="J32" s="51">
        <v>8</v>
      </c>
      <c r="K32" s="51">
        <v>8</v>
      </c>
    </row>
    <row r="33" spans="4:11">
      <c r="D33" s="49">
        <v>46133</v>
      </c>
      <c r="E33" s="16">
        <v>1596690</v>
      </c>
      <c r="F33" s="16" t="s">
        <v>21</v>
      </c>
      <c r="G33" s="50">
        <v>20406253</v>
      </c>
      <c r="H33" s="16" t="s">
        <v>39</v>
      </c>
      <c r="I33" s="50">
        <v>2</v>
      </c>
      <c r="J33" s="51">
        <v>13.5</v>
      </c>
      <c r="K33" s="51">
        <v>27</v>
      </c>
    </row>
    <row r="34" spans="4:11">
      <c r="D34" s="49">
        <v>46133</v>
      </c>
      <c r="E34" s="16">
        <v>1596690</v>
      </c>
      <c r="F34" s="16" t="s">
        <v>21</v>
      </c>
      <c r="G34" s="50">
        <v>20313588</v>
      </c>
      <c r="H34" s="16" t="s">
        <v>30</v>
      </c>
      <c r="I34" s="50">
        <v>5</v>
      </c>
      <c r="J34" s="51">
        <v>8</v>
      </c>
      <c r="K34" s="51">
        <v>40</v>
      </c>
    </row>
    <row r="35" spans="4:11">
      <c r="D35" s="49">
        <v>46133</v>
      </c>
      <c r="E35" s="16">
        <v>1596690</v>
      </c>
      <c r="F35" s="16" t="s">
        <v>21</v>
      </c>
      <c r="G35" s="50">
        <v>20393917</v>
      </c>
      <c r="H35" s="16" t="s">
        <v>47</v>
      </c>
      <c r="I35" s="50">
        <v>1</v>
      </c>
      <c r="J35" s="51">
        <v>11</v>
      </c>
      <c r="K35" s="51">
        <v>11</v>
      </c>
    </row>
    <row r="36" spans="4:11">
      <c r="D36" s="49">
        <v>46133</v>
      </c>
      <c r="E36" s="16">
        <v>1596690</v>
      </c>
      <c r="F36" s="16" t="s">
        <v>21</v>
      </c>
      <c r="G36" s="50">
        <v>20377357</v>
      </c>
      <c r="H36" s="16" t="s">
        <v>31</v>
      </c>
      <c r="I36" s="50">
        <v>1</v>
      </c>
      <c r="J36" s="51">
        <v>8</v>
      </c>
      <c r="K36" s="51">
        <v>8</v>
      </c>
    </row>
    <row r="37" spans="4:11">
      <c r="D37" s="49">
        <v>46133</v>
      </c>
      <c r="E37" s="16">
        <v>1596690</v>
      </c>
      <c r="F37" s="16" t="s">
        <v>21</v>
      </c>
      <c r="G37" s="50">
        <v>20398525</v>
      </c>
      <c r="H37" s="16" t="s">
        <v>45</v>
      </c>
      <c r="I37" s="50">
        <v>1</v>
      </c>
      <c r="J37" s="51">
        <v>11</v>
      </c>
      <c r="K37" s="51">
        <v>11</v>
      </c>
    </row>
    <row r="38" spans="4:11">
      <c r="D38" s="49">
        <v>46134</v>
      </c>
      <c r="E38" s="16">
        <v>1596958</v>
      </c>
      <c r="F38" s="16" t="s">
        <v>21</v>
      </c>
      <c r="G38" s="50">
        <v>20406253</v>
      </c>
      <c r="H38" s="16" t="s">
        <v>39</v>
      </c>
      <c r="I38" s="50">
        <v>2</v>
      </c>
      <c r="J38" s="51">
        <v>13.5</v>
      </c>
      <c r="K38" s="51">
        <v>27</v>
      </c>
    </row>
    <row r="39" spans="4:11">
      <c r="D39" s="49">
        <v>46134</v>
      </c>
      <c r="E39" s="16">
        <v>1596958</v>
      </c>
      <c r="F39" s="16" t="s">
        <v>21</v>
      </c>
      <c r="G39" s="50">
        <v>20313588</v>
      </c>
      <c r="H39" s="16" t="s">
        <v>30</v>
      </c>
      <c r="I39" s="50">
        <v>11</v>
      </c>
      <c r="J39" s="51">
        <v>8</v>
      </c>
      <c r="K39" s="51">
        <v>88</v>
      </c>
    </row>
    <row r="40" spans="4:11">
      <c r="D40" s="49">
        <v>46134</v>
      </c>
      <c r="E40" s="16">
        <v>1596958</v>
      </c>
      <c r="F40" s="16" t="s">
        <v>21</v>
      </c>
      <c r="G40" s="50">
        <v>20377357</v>
      </c>
      <c r="H40" s="16" t="s">
        <v>31</v>
      </c>
      <c r="I40" s="50">
        <v>3</v>
      </c>
      <c r="J40" s="51">
        <v>8</v>
      </c>
      <c r="K40" s="51">
        <v>24</v>
      </c>
    </row>
    <row r="41" spans="4:11">
      <c r="D41" s="49">
        <v>46134</v>
      </c>
      <c r="E41" s="16">
        <v>1596958</v>
      </c>
      <c r="F41" s="16" t="s">
        <v>21</v>
      </c>
      <c r="G41" s="50">
        <v>20398525</v>
      </c>
      <c r="H41" s="16" t="s">
        <v>45</v>
      </c>
      <c r="I41" s="50">
        <v>1</v>
      </c>
      <c r="J41" s="51">
        <v>11</v>
      </c>
      <c r="K41" s="51">
        <v>11</v>
      </c>
    </row>
    <row r="42" spans="4:11">
      <c r="D42" s="49">
        <v>46134</v>
      </c>
      <c r="E42" s="16">
        <v>1597057</v>
      </c>
      <c r="F42" s="16" t="s">
        <v>21</v>
      </c>
      <c r="G42" s="50">
        <v>20313588</v>
      </c>
      <c r="H42" s="16" t="s">
        <v>30</v>
      </c>
      <c r="I42" s="50">
        <v>1</v>
      </c>
      <c r="J42" s="51">
        <v>8</v>
      </c>
      <c r="K42" s="51">
        <v>8</v>
      </c>
    </row>
    <row r="43" spans="4:11">
      <c r="D43" s="49">
        <v>46134</v>
      </c>
      <c r="E43" s="16">
        <v>1597057</v>
      </c>
      <c r="F43" s="16" t="s">
        <v>21</v>
      </c>
      <c r="G43" s="50">
        <v>20393917</v>
      </c>
      <c r="H43" s="16" t="s">
        <v>47</v>
      </c>
      <c r="I43" s="50">
        <v>1</v>
      </c>
      <c r="J43" s="51">
        <v>11</v>
      </c>
      <c r="K43" s="51">
        <v>11</v>
      </c>
    </row>
    <row r="44" spans="4:11">
      <c r="D44" s="49">
        <v>46134</v>
      </c>
      <c r="E44" s="16">
        <v>1597057</v>
      </c>
      <c r="F44" s="16" t="s">
        <v>21</v>
      </c>
      <c r="G44" s="50">
        <v>20376620</v>
      </c>
      <c r="H44" s="16" t="s">
        <v>58</v>
      </c>
      <c r="I44" s="50">
        <v>1</v>
      </c>
      <c r="J44" s="51">
        <v>8</v>
      </c>
      <c r="K44" s="51">
        <v>8</v>
      </c>
    </row>
    <row r="45" spans="4:11">
      <c r="D45" s="49">
        <v>46135</v>
      </c>
      <c r="E45" s="16">
        <v>1597327</v>
      </c>
      <c r="F45" s="16" t="s">
        <v>21</v>
      </c>
      <c r="G45" s="50">
        <v>20406253</v>
      </c>
      <c r="H45" s="16" t="s">
        <v>39</v>
      </c>
      <c r="I45" s="50">
        <v>1</v>
      </c>
      <c r="J45" s="51">
        <v>13.5</v>
      </c>
      <c r="K45" s="51">
        <v>13.5</v>
      </c>
    </row>
    <row r="46" spans="4:11">
      <c r="D46" s="49">
        <v>46135</v>
      </c>
      <c r="E46" s="16">
        <v>1597327</v>
      </c>
      <c r="F46" s="16" t="s">
        <v>21</v>
      </c>
      <c r="G46" s="50">
        <v>20313588</v>
      </c>
      <c r="H46" s="16" t="s">
        <v>30</v>
      </c>
      <c r="I46" s="50">
        <v>3</v>
      </c>
      <c r="J46" s="51">
        <v>8</v>
      </c>
      <c r="K46" s="51">
        <v>24</v>
      </c>
    </row>
    <row r="47" spans="4:11">
      <c r="D47" s="49">
        <v>46135</v>
      </c>
      <c r="E47" s="16">
        <v>1597327</v>
      </c>
      <c r="F47" s="16" t="s">
        <v>21</v>
      </c>
      <c r="G47" s="50">
        <v>20377357</v>
      </c>
      <c r="H47" s="16" t="s">
        <v>31</v>
      </c>
      <c r="I47" s="50">
        <v>2</v>
      </c>
      <c r="J47" s="51">
        <v>8</v>
      </c>
      <c r="K47" s="51">
        <v>16</v>
      </c>
    </row>
    <row r="48" spans="4:11">
      <c r="D48" s="49">
        <v>46135</v>
      </c>
      <c r="E48" s="16">
        <v>1597435</v>
      </c>
      <c r="F48" s="16" t="s">
        <v>21</v>
      </c>
      <c r="G48" s="50">
        <v>20406253</v>
      </c>
      <c r="H48" s="16" t="s">
        <v>39</v>
      </c>
      <c r="I48" s="50">
        <v>3</v>
      </c>
      <c r="J48" s="51">
        <v>13.5</v>
      </c>
      <c r="K48" s="51">
        <v>40.5</v>
      </c>
    </row>
    <row r="49" spans="4:11">
      <c r="D49" s="49">
        <v>46135</v>
      </c>
      <c r="E49" s="16">
        <v>1597435</v>
      </c>
      <c r="F49" s="16" t="s">
        <v>21</v>
      </c>
      <c r="G49" s="50">
        <v>20313588</v>
      </c>
      <c r="H49" s="16" t="s">
        <v>30</v>
      </c>
      <c r="I49" s="50">
        <v>3</v>
      </c>
      <c r="J49" s="51">
        <v>8</v>
      </c>
      <c r="K49" s="51">
        <v>24</v>
      </c>
    </row>
    <row r="50" spans="4:11">
      <c r="D50" s="49">
        <v>46135</v>
      </c>
      <c r="E50" s="16">
        <v>1597435</v>
      </c>
      <c r="F50" s="16" t="s">
        <v>21</v>
      </c>
      <c r="G50" s="50">
        <v>20397287</v>
      </c>
      <c r="H50" s="16" t="s">
        <v>65</v>
      </c>
      <c r="I50" s="50">
        <v>1</v>
      </c>
      <c r="J50" s="51">
        <v>13.5</v>
      </c>
      <c r="K50" s="51">
        <v>13.5</v>
      </c>
    </row>
    <row r="51" spans="4:11">
      <c r="D51" s="49">
        <v>46135</v>
      </c>
      <c r="E51" s="16">
        <v>1597435</v>
      </c>
      <c r="F51" s="16" t="s">
        <v>21</v>
      </c>
      <c r="G51" s="50">
        <v>20409657</v>
      </c>
      <c r="H51" s="16" t="s">
        <v>46</v>
      </c>
      <c r="I51" s="50">
        <v>1</v>
      </c>
      <c r="J51" s="51">
        <v>16.5</v>
      </c>
      <c r="K51" s="51">
        <v>16.5</v>
      </c>
    </row>
    <row r="52" spans="4:11">
      <c r="D52" s="49">
        <v>46135</v>
      </c>
      <c r="E52" s="16">
        <v>1597435</v>
      </c>
      <c r="F52" s="16" t="s">
        <v>21</v>
      </c>
      <c r="G52" s="50">
        <v>20376620</v>
      </c>
      <c r="H52" s="16" t="s">
        <v>58</v>
      </c>
      <c r="I52" s="50">
        <v>1</v>
      </c>
      <c r="J52" s="51">
        <v>8</v>
      </c>
      <c r="K52" s="51">
        <v>8</v>
      </c>
    </row>
    <row r="53" spans="4:11">
      <c r="D53" s="49">
        <v>46135</v>
      </c>
      <c r="E53" s="16">
        <v>1597435</v>
      </c>
      <c r="F53" s="16" t="s">
        <v>21</v>
      </c>
      <c r="G53" s="50">
        <v>20377357</v>
      </c>
      <c r="H53" s="16" t="s">
        <v>31</v>
      </c>
      <c r="I53" s="50">
        <v>4</v>
      </c>
      <c r="J53" s="51">
        <v>8</v>
      </c>
      <c r="K53" s="51">
        <v>32</v>
      </c>
    </row>
    <row r="54" spans="4:11">
      <c r="D54" s="49">
        <v>46136</v>
      </c>
      <c r="E54" s="16">
        <v>1597717</v>
      </c>
      <c r="F54" s="16" t="s">
        <v>21</v>
      </c>
      <c r="G54" s="50">
        <v>20376624</v>
      </c>
      <c r="H54" s="16" t="s">
        <v>28</v>
      </c>
      <c r="I54" s="50">
        <v>1</v>
      </c>
      <c r="J54" s="51">
        <v>8</v>
      </c>
      <c r="K54" s="51">
        <v>8</v>
      </c>
    </row>
    <row r="55" spans="4:11">
      <c r="D55" s="49">
        <v>46136</v>
      </c>
      <c r="E55" s="16">
        <v>1597717</v>
      </c>
      <c r="F55" s="16" t="s">
        <v>21</v>
      </c>
      <c r="G55" s="50">
        <v>20406253</v>
      </c>
      <c r="H55" s="16" t="s">
        <v>39</v>
      </c>
      <c r="I55" s="50">
        <v>2</v>
      </c>
      <c r="J55" s="51">
        <v>13.5</v>
      </c>
      <c r="K55" s="51">
        <v>27</v>
      </c>
    </row>
    <row r="56" spans="4:11">
      <c r="D56" s="49">
        <v>46136</v>
      </c>
      <c r="E56" s="16">
        <v>1597717</v>
      </c>
      <c r="F56" s="16" t="s">
        <v>21</v>
      </c>
      <c r="G56" s="50">
        <v>20313588</v>
      </c>
      <c r="H56" s="16" t="s">
        <v>30</v>
      </c>
      <c r="I56" s="50">
        <v>8</v>
      </c>
      <c r="J56" s="51">
        <v>8</v>
      </c>
      <c r="K56" s="51">
        <v>64</v>
      </c>
    </row>
    <row r="57" spans="4:11">
      <c r="D57" s="49">
        <v>46136</v>
      </c>
      <c r="E57" s="16">
        <v>1597717</v>
      </c>
      <c r="F57" s="16" t="s">
        <v>21</v>
      </c>
      <c r="G57" s="50">
        <v>20377357</v>
      </c>
      <c r="H57" s="16" t="s">
        <v>31</v>
      </c>
      <c r="I57" s="50">
        <v>2</v>
      </c>
      <c r="J57" s="51">
        <v>8</v>
      </c>
      <c r="K57" s="51">
        <v>16</v>
      </c>
    </row>
    <row r="58" spans="4:11">
      <c r="D58" s="49">
        <v>46136</v>
      </c>
      <c r="E58" s="16">
        <v>1597836</v>
      </c>
      <c r="F58" s="16" t="s">
        <v>21</v>
      </c>
      <c r="G58" s="50">
        <v>20406253</v>
      </c>
      <c r="H58" s="16" t="s">
        <v>39</v>
      </c>
      <c r="I58" s="50">
        <v>2</v>
      </c>
      <c r="J58" s="51">
        <v>13.5</v>
      </c>
      <c r="K58" s="51">
        <v>27</v>
      </c>
    </row>
    <row r="59" spans="4:11">
      <c r="D59" s="49">
        <v>46136</v>
      </c>
      <c r="E59" s="16">
        <v>1597836</v>
      </c>
      <c r="F59" s="16" t="s">
        <v>21</v>
      </c>
      <c r="G59" s="50">
        <v>20414939</v>
      </c>
      <c r="H59" s="16" t="s">
        <v>62</v>
      </c>
      <c r="I59" s="50">
        <v>1</v>
      </c>
      <c r="J59" s="51">
        <v>8</v>
      </c>
      <c r="K59" s="51">
        <v>8</v>
      </c>
    </row>
    <row r="60" spans="4:11">
      <c r="D60" s="49">
        <v>46136</v>
      </c>
      <c r="E60" s="16">
        <v>1597836</v>
      </c>
      <c r="F60" s="16" t="s">
        <v>21</v>
      </c>
      <c r="G60" s="50">
        <v>20313588</v>
      </c>
      <c r="H60" s="16" t="s">
        <v>30</v>
      </c>
      <c r="I60" s="50">
        <v>5</v>
      </c>
      <c r="J60" s="51">
        <v>8</v>
      </c>
      <c r="K60" s="51">
        <v>40</v>
      </c>
    </row>
    <row r="61" spans="4:11">
      <c r="D61" s="49">
        <v>46136</v>
      </c>
      <c r="E61" s="16">
        <v>1597836</v>
      </c>
      <c r="F61" s="16" t="s">
        <v>21</v>
      </c>
      <c r="G61" s="50">
        <v>20393917</v>
      </c>
      <c r="H61" s="16" t="s">
        <v>47</v>
      </c>
      <c r="I61" s="50">
        <v>1</v>
      </c>
      <c r="J61" s="51">
        <v>11</v>
      </c>
      <c r="K61" s="51">
        <v>11</v>
      </c>
    </row>
    <row r="62" spans="4:11">
      <c r="D62" s="49">
        <v>46136</v>
      </c>
      <c r="E62" s="16">
        <v>1597836</v>
      </c>
      <c r="F62" s="16" t="s">
        <v>21</v>
      </c>
      <c r="G62" s="50">
        <v>20376620</v>
      </c>
      <c r="H62" s="16" t="s">
        <v>58</v>
      </c>
      <c r="I62" s="50">
        <v>1</v>
      </c>
      <c r="J62" s="51">
        <v>8</v>
      </c>
      <c r="K62" s="51">
        <v>8</v>
      </c>
    </row>
    <row r="63" spans="4:11">
      <c r="D63" s="49">
        <v>46136</v>
      </c>
      <c r="E63" s="16">
        <v>1597836</v>
      </c>
      <c r="F63" s="16" t="s">
        <v>21</v>
      </c>
      <c r="G63" s="50">
        <v>20377357</v>
      </c>
      <c r="H63" s="16" t="s">
        <v>31</v>
      </c>
      <c r="I63" s="50">
        <v>3</v>
      </c>
      <c r="J63" s="51">
        <v>8</v>
      </c>
      <c r="K63" s="51">
        <v>24</v>
      </c>
    </row>
    <row r="64" spans="4:11">
      <c r="D64" s="49">
        <v>46137</v>
      </c>
      <c r="E64" s="16">
        <v>1598087</v>
      </c>
      <c r="F64" s="16" t="s">
        <v>21</v>
      </c>
      <c r="G64" s="50">
        <v>20406253</v>
      </c>
      <c r="H64" s="16" t="s">
        <v>39</v>
      </c>
      <c r="I64" s="50">
        <v>1</v>
      </c>
      <c r="J64" s="51">
        <v>13.5</v>
      </c>
      <c r="K64" s="51">
        <v>13.5</v>
      </c>
    </row>
    <row r="65" spans="4:11">
      <c r="D65" s="49">
        <v>46137</v>
      </c>
      <c r="E65" s="16">
        <v>1598087</v>
      </c>
      <c r="F65" s="16" t="s">
        <v>21</v>
      </c>
      <c r="G65" s="50">
        <v>20313588</v>
      </c>
      <c r="H65" s="16" t="s">
        <v>30</v>
      </c>
      <c r="I65" s="50">
        <v>1</v>
      </c>
      <c r="J65" s="51">
        <v>8</v>
      </c>
      <c r="K65" s="51">
        <v>8</v>
      </c>
    </row>
    <row r="66" spans="4:11">
      <c r="D66" s="49">
        <v>46137</v>
      </c>
      <c r="E66" s="16">
        <v>1598087</v>
      </c>
      <c r="F66" s="16" t="s">
        <v>21</v>
      </c>
      <c r="G66" s="50">
        <v>20376620</v>
      </c>
      <c r="H66" s="16" t="s">
        <v>58</v>
      </c>
      <c r="I66" s="50">
        <v>1</v>
      </c>
      <c r="J66" s="51">
        <v>8</v>
      </c>
      <c r="K66" s="51">
        <v>8</v>
      </c>
    </row>
    <row r="67" spans="4:11">
      <c r="D67" s="49">
        <v>46137</v>
      </c>
      <c r="E67" s="16">
        <v>1598087</v>
      </c>
      <c r="F67" s="16" t="s">
        <v>21</v>
      </c>
      <c r="G67" s="50">
        <v>20377357</v>
      </c>
      <c r="H67" s="16" t="s">
        <v>31</v>
      </c>
      <c r="I67" s="50">
        <v>2</v>
      </c>
      <c r="J67" s="51">
        <v>8</v>
      </c>
      <c r="K67" s="51">
        <v>16</v>
      </c>
    </row>
    <row r="68" spans="4:11">
      <c r="D68" s="49">
        <v>46141</v>
      </c>
      <c r="E68" s="16">
        <v>1599055</v>
      </c>
      <c r="F68" s="16" t="s">
        <v>21</v>
      </c>
      <c r="G68" s="50">
        <v>20376624</v>
      </c>
      <c r="H68" s="16" t="s">
        <v>28</v>
      </c>
      <c r="I68" s="50">
        <v>1</v>
      </c>
      <c r="J68" s="51">
        <v>8</v>
      </c>
      <c r="K68" s="51">
        <v>8</v>
      </c>
    </row>
    <row r="69" spans="4:11">
      <c r="D69" s="49">
        <v>46141</v>
      </c>
      <c r="E69" s="16">
        <v>1599055</v>
      </c>
      <c r="F69" s="16" t="s">
        <v>21</v>
      </c>
      <c r="G69" s="50">
        <v>20406253</v>
      </c>
      <c r="H69" s="16" t="s">
        <v>39</v>
      </c>
      <c r="I69" s="50">
        <v>3</v>
      </c>
      <c r="J69" s="51">
        <v>13.5</v>
      </c>
      <c r="K69" s="51">
        <v>40.5</v>
      </c>
    </row>
    <row r="70" spans="4:11">
      <c r="D70" s="49">
        <v>46141</v>
      </c>
      <c r="E70" s="16">
        <v>1599055</v>
      </c>
      <c r="F70" s="16" t="s">
        <v>21</v>
      </c>
      <c r="G70" s="50">
        <v>20313588</v>
      </c>
      <c r="H70" s="16" t="s">
        <v>30</v>
      </c>
      <c r="I70" s="50">
        <v>15</v>
      </c>
      <c r="J70" s="51">
        <v>8</v>
      </c>
      <c r="K70" s="51">
        <v>120</v>
      </c>
    </row>
    <row r="71" spans="4:11">
      <c r="D71" s="49">
        <v>46141</v>
      </c>
      <c r="E71" s="16">
        <v>1599055</v>
      </c>
      <c r="F71" s="16" t="s">
        <v>21</v>
      </c>
      <c r="G71" s="50">
        <v>20409657</v>
      </c>
      <c r="H71" s="16" t="s">
        <v>46</v>
      </c>
      <c r="I71" s="50">
        <v>1</v>
      </c>
      <c r="J71" s="51">
        <v>16.5</v>
      </c>
      <c r="K71" s="51">
        <v>16.5</v>
      </c>
    </row>
    <row r="72" spans="4:11">
      <c r="D72" s="49">
        <v>46141</v>
      </c>
      <c r="E72" s="16">
        <v>1599055</v>
      </c>
      <c r="F72" s="16" t="s">
        <v>21</v>
      </c>
      <c r="G72" s="50">
        <v>20393917</v>
      </c>
      <c r="H72" s="16" t="s">
        <v>47</v>
      </c>
      <c r="I72" s="50">
        <v>3</v>
      </c>
      <c r="J72" s="51">
        <v>11</v>
      </c>
      <c r="K72" s="51">
        <v>33</v>
      </c>
    </row>
    <row r="73" spans="4:11">
      <c r="D73" s="49">
        <v>46141</v>
      </c>
      <c r="E73" s="16">
        <v>1599055</v>
      </c>
      <c r="F73" s="16" t="s">
        <v>21</v>
      </c>
      <c r="G73" s="50">
        <v>20396337</v>
      </c>
      <c r="H73" s="16" t="s">
        <v>36</v>
      </c>
      <c r="I73" s="50">
        <v>1</v>
      </c>
      <c r="J73" s="51">
        <v>8</v>
      </c>
      <c r="K73" s="51">
        <v>8</v>
      </c>
    </row>
    <row r="74" spans="4:11">
      <c r="D74" s="49">
        <v>46141</v>
      </c>
      <c r="E74" s="16">
        <v>1599055</v>
      </c>
      <c r="F74" s="16" t="s">
        <v>21</v>
      </c>
      <c r="G74" s="50">
        <v>20377357</v>
      </c>
      <c r="H74" s="16" t="s">
        <v>31</v>
      </c>
      <c r="I74" s="50">
        <v>4</v>
      </c>
      <c r="J74" s="51">
        <v>8</v>
      </c>
      <c r="K74" s="51">
        <v>32</v>
      </c>
    </row>
    <row r="75" spans="4:11">
      <c r="D75" s="49">
        <v>46141</v>
      </c>
      <c r="E75" s="16">
        <v>1599153</v>
      </c>
      <c r="F75" s="16" t="s">
        <v>21</v>
      </c>
      <c r="G75" s="50">
        <v>20406253</v>
      </c>
      <c r="H75" s="16" t="s">
        <v>39</v>
      </c>
      <c r="I75" s="50">
        <v>2</v>
      </c>
      <c r="J75" s="51">
        <v>13.5</v>
      </c>
      <c r="K75" s="51">
        <v>27</v>
      </c>
    </row>
    <row r="76" spans="4:11">
      <c r="D76" s="49">
        <v>46141</v>
      </c>
      <c r="E76" s="16">
        <v>1599153</v>
      </c>
      <c r="F76" s="16" t="s">
        <v>21</v>
      </c>
      <c r="G76" s="50">
        <v>20313588</v>
      </c>
      <c r="H76" s="16" t="s">
        <v>30</v>
      </c>
      <c r="I76" s="50">
        <v>7</v>
      </c>
      <c r="J76" s="51">
        <v>8</v>
      </c>
      <c r="K76" s="51">
        <v>56</v>
      </c>
    </row>
    <row r="77" spans="4:11">
      <c r="D77" s="49">
        <v>46141</v>
      </c>
      <c r="E77" s="16">
        <v>1599153</v>
      </c>
      <c r="F77" s="16" t="s">
        <v>21</v>
      </c>
      <c r="G77" s="50">
        <v>20376620</v>
      </c>
      <c r="H77" s="16" t="s">
        <v>58</v>
      </c>
      <c r="I77" s="50">
        <v>1</v>
      </c>
      <c r="J77" s="51">
        <v>8</v>
      </c>
      <c r="K77" s="51">
        <v>8</v>
      </c>
    </row>
    <row r="78" spans="4:11">
      <c r="D78" s="49">
        <v>46141</v>
      </c>
      <c r="E78" s="16">
        <v>1599153</v>
      </c>
      <c r="F78" s="16" t="s">
        <v>21</v>
      </c>
      <c r="G78" s="50">
        <v>20377357</v>
      </c>
      <c r="H78" s="16" t="s">
        <v>31</v>
      </c>
      <c r="I78" s="50">
        <v>4</v>
      </c>
      <c r="J78" s="51">
        <v>8</v>
      </c>
      <c r="K78" s="51">
        <v>32</v>
      </c>
    </row>
    <row r="79" spans="4:11">
      <c r="D79" s="49">
        <v>46142</v>
      </c>
      <c r="E79" s="16">
        <v>1599444</v>
      </c>
      <c r="F79" s="16" t="s">
        <v>21</v>
      </c>
      <c r="G79" s="50">
        <v>20406253</v>
      </c>
      <c r="H79" s="16" t="s">
        <v>39</v>
      </c>
      <c r="I79" s="50">
        <v>2</v>
      </c>
      <c r="J79" s="51">
        <v>13.5</v>
      </c>
      <c r="K79" s="51">
        <v>27</v>
      </c>
    </row>
    <row r="80" spans="4:11">
      <c r="D80" s="49">
        <v>46142</v>
      </c>
      <c r="E80" s="16">
        <v>1599444</v>
      </c>
      <c r="F80" s="16" t="s">
        <v>21</v>
      </c>
      <c r="G80" s="50">
        <v>20394769</v>
      </c>
      <c r="H80" s="16" t="s">
        <v>61</v>
      </c>
      <c r="I80" s="50">
        <v>2</v>
      </c>
      <c r="J80" s="51">
        <v>8</v>
      </c>
      <c r="K80" s="51">
        <v>16</v>
      </c>
    </row>
    <row r="81" spans="4:11">
      <c r="D81" s="49">
        <v>46142</v>
      </c>
      <c r="E81" s="16">
        <v>1599444</v>
      </c>
      <c r="F81" s="16" t="s">
        <v>21</v>
      </c>
      <c r="G81" s="50">
        <v>20313588</v>
      </c>
      <c r="H81" s="16" t="s">
        <v>30</v>
      </c>
      <c r="I81" s="50">
        <v>6</v>
      </c>
      <c r="J81" s="51">
        <v>8</v>
      </c>
      <c r="K81" s="51">
        <v>48</v>
      </c>
    </row>
    <row r="82" spans="4:11">
      <c r="D82" s="49">
        <v>46142</v>
      </c>
      <c r="E82" s="16">
        <v>1599612</v>
      </c>
      <c r="F82" s="16" t="s">
        <v>21</v>
      </c>
      <c r="G82" s="50">
        <v>20406253</v>
      </c>
      <c r="H82" s="16" t="s">
        <v>39</v>
      </c>
      <c r="I82" s="50">
        <v>3</v>
      </c>
      <c r="J82" s="51">
        <v>13.5</v>
      </c>
      <c r="K82" s="51">
        <v>40.5</v>
      </c>
    </row>
    <row r="83" spans="4:11">
      <c r="D83" s="49">
        <v>46142</v>
      </c>
      <c r="E83" s="16">
        <v>1599612</v>
      </c>
      <c r="F83" s="16" t="s">
        <v>21</v>
      </c>
      <c r="G83" s="50">
        <v>20313588</v>
      </c>
      <c r="H83" s="16" t="s">
        <v>30</v>
      </c>
      <c r="I83" s="50">
        <v>6</v>
      </c>
      <c r="J83" s="51">
        <v>8</v>
      </c>
      <c r="K83" s="51">
        <v>48</v>
      </c>
    </row>
    <row r="84" spans="4:11">
      <c r="D84" s="49">
        <v>46142</v>
      </c>
      <c r="E84" s="16">
        <v>1599612</v>
      </c>
      <c r="F84" s="16" t="s">
        <v>21</v>
      </c>
      <c r="G84" s="50">
        <v>20409657</v>
      </c>
      <c r="H84" s="16" t="s">
        <v>46</v>
      </c>
      <c r="I84" s="50">
        <v>1</v>
      </c>
      <c r="J84" s="51">
        <v>16.5</v>
      </c>
      <c r="K84" s="51">
        <v>16.5</v>
      </c>
    </row>
    <row r="85" spans="4:11">
      <c r="D85" s="49">
        <v>46142</v>
      </c>
      <c r="E85" s="16">
        <v>1599612</v>
      </c>
      <c r="F85" s="16" t="s">
        <v>21</v>
      </c>
      <c r="G85" s="50">
        <v>20393917</v>
      </c>
      <c r="H85" s="16" t="s">
        <v>47</v>
      </c>
      <c r="I85" s="50">
        <v>1</v>
      </c>
      <c r="J85" s="51">
        <v>11</v>
      </c>
      <c r="K85" s="51">
        <v>11</v>
      </c>
    </row>
    <row r="86" spans="4:11">
      <c r="D86" s="49">
        <v>46142</v>
      </c>
      <c r="E86" s="16">
        <v>1599612</v>
      </c>
      <c r="F86" s="16" t="s">
        <v>21</v>
      </c>
      <c r="G86" s="50">
        <v>20376621</v>
      </c>
      <c r="H86" s="16" t="s">
        <v>58</v>
      </c>
      <c r="I86" s="50">
        <v>1</v>
      </c>
      <c r="J86" s="51">
        <v>8</v>
      </c>
      <c r="K86" s="51">
        <v>8</v>
      </c>
    </row>
    <row r="87" spans="4:11">
      <c r="D87" s="49">
        <v>46142</v>
      </c>
      <c r="E87" s="16">
        <v>1599612</v>
      </c>
      <c r="F87" s="16" t="s">
        <v>21</v>
      </c>
      <c r="G87" s="50">
        <v>20377357</v>
      </c>
      <c r="H87" s="16" t="s">
        <v>31</v>
      </c>
      <c r="I87" s="50">
        <v>2</v>
      </c>
      <c r="J87" s="51">
        <v>8</v>
      </c>
      <c r="K87" s="51">
        <v>16</v>
      </c>
    </row>
    <row r="88" spans="4:11">
      <c r="D88" s="49">
        <v>46142</v>
      </c>
      <c r="E88" s="16">
        <v>1599902</v>
      </c>
      <c r="F88" s="16" t="s">
        <v>21</v>
      </c>
      <c r="G88" s="50">
        <v>20313588</v>
      </c>
      <c r="H88" s="16" t="s">
        <v>30</v>
      </c>
      <c r="I88" s="50">
        <v>5</v>
      </c>
      <c r="J88" s="51">
        <v>8</v>
      </c>
      <c r="K88" s="51">
        <v>40</v>
      </c>
    </row>
    <row r="89" spans="4:11">
      <c r="D89" s="49">
        <v>46142</v>
      </c>
      <c r="E89" s="16">
        <v>1599902</v>
      </c>
      <c r="F89" s="16" t="s">
        <v>21</v>
      </c>
      <c r="G89" s="50">
        <v>20377357</v>
      </c>
      <c r="H89" s="16" t="s">
        <v>31</v>
      </c>
      <c r="I89" s="50">
        <v>1</v>
      </c>
      <c r="J89" s="51">
        <v>8</v>
      </c>
      <c r="K89" s="51">
        <v>8</v>
      </c>
    </row>
    <row r="90" spans="4:11">
      <c r="D90" s="49">
        <v>46149</v>
      </c>
      <c r="E90" s="16">
        <v>1600755</v>
      </c>
      <c r="F90" s="16" t="s">
        <v>21</v>
      </c>
      <c r="G90" s="50">
        <v>20406253</v>
      </c>
      <c r="H90" s="16" t="s">
        <v>39</v>
      </c>
      <c r="I90" s="50">
        <v>1</v>
      </c>
      <c r="J90" s="51">
        <v>13.5</v>
      </c>
      <c r="K90" s="51">
        <v>13.5</v>
      </c>
    </row>
    <row r="91" spans="4:11">
      <c r="D91" s="49">
        <v>46149</v>
      </c>
      <c r="E91" s="16">
        <v>1600755</v>
      </c>
      <c r="F91" s="16" t="s">
        <v>21</v>
      </c>
      <c r="G91" s="50">
        <v>20313588</v>
      </c>
      <c r="H91" s="16" t="s">
        <v>30</v>
      </c>
      <c r="I91" s="50">
        <v>5</v>
      </c>
      <c r="J91" s="51">
        <v>8</v>
      </c>
      <c r="K91" s="51">
        <v>40</v>
      </c>
    </row>
    <row r="92" spans="4:11">
      <c r="D92" s="49">
        <v>46149</v>
      </c>
      <c r="E92" s="16">
        <v>1600755</v>
      </c>
      <c r="F92" s="16" t="s">
        <v>21</v>
      </c>
      <c r="G92" s="50">
        <v>20377357</v>
      </c>
      <c r="H92" s="16" t="s">
        <v>31</v>
      </c>
      <c r="I92" s="50">
        <v>2</v>
      </c>
      <c r="J92" s="51">
        <v>8</v>
      </c>
      <c r="K92" s="51">
        <v>16</v>
      </c>
    </row>
    <row r="93" spans="4:11">
      <c r="D93" s="49">
        <v>46149</v>
      </c>
      <c r="E93" s="16">
        <v>1600755</v>
      </c>
      <c r="F93" s="16" t="s">
        <v>21</v>
      </c>
      <c r="G93" s="50">
        <v>20398525</v>
      </c>
      <c r="H93" s="16" t="s">
        <v>45</v>
      </c>
      <c r="I93" s="50">
        <v>1</v>
      </c>
      <c r="J93" s="51">
        <v>11</v>
      </c>
      <c r="K93" s="51">
        <v>11</v>
      </c>
    </row>
    <row r="94" spans="4:11">
      <c r="D94" s="49">
        <v>46149</v>
      </c>
      <c r="E94" s="16">
        <v>1600764</v>
      </c>
      <c r="F94" s="16" t="s">
        <v>21</v>
      </c>
      <c r="G94" s="50">
        <v>20313588</v>
      </c>
      <c r="H94" s="16" t="s">
        <v>30</v>
      </c>
      <c r="I94" s="50">
        <v>1</v>
      </c>
      <c r="J94" s="51">
        <v>8</v>
      </c>
      <c r="K94" s="51">
        <v>8</v>
      </c>
    </row>
    <row r="95" spans="4:11">
      <c r="D95" s="49">
        <v>46150</v>
      </c>
      <c r="E95" s="16">
        <v>1601066</v>
      </c>
      <c r="F95" s="16" t="s">
        <v>21</v>
      </c>
      <c r="G95" s="50">
        <v>20376624</v>
      </c>
      <c r="H95" s="16" t="s">
        <v>28</v>
      </c>
      <c r="I95" s="50">
        <v>1</v>
      </c>
      <c r="J95" s="51">
        <v>8</v>
      </c>
      <c r="K95" s="51">
        <v>8</v>
      </c>
    </row>
    <row r="96" spans="4:11">
      <c r="D96" s="49">
        <v>46150</v>
      </c>
      <c r="E96" s="16">
        <v>1601066</v>
      </c>
      <c r="F96" s="16" t="s">
        <v>21</v>
      </c>
      <c r="G96" s="50">
        <v>20406253</v>
      </c>
      <c r="H96" s="16" t="s">
        <v>39</v>
      </c>
      <c r="I96" s="50">
        <v>2</v>
      </c>
      <c r="J96" s="51">
        <v>13.5</v>
      </c>
      <c r="K96" s="51">
        <v>27</v>
      </c>
    </row>
    <row r="97" spans="4:11">
      <c r="D97" s="49">
        <v>46150</v>
      </c>
      <c r="E97" s="16">
        <v>1601066</v>
      </c>
      <c r="F97" s="16" t="s">
        <v>21</v>
      </c>
      <c r="G97" s="50">
        <v>20313588</v>
      </c>
      <c r="H97" s="16" t="s">
        <v>30</v>
      </c>
      <c r="I97" s="50">
        <v>4</v>
      </c>
      <c r="J97" s="51">
        <v>8</v>
      </c>
      <c r="K97" s="51">
        <v>32</v>
      </c>
    </row>
    <row r="98" spans="4:11">
      <c r="D98" s="49">
        <v>46150</v>
      </c>
      <c r="E98" s="16">
        <v>1601066</v>
      </c>
      <c r="F98" s="16" t="s">
        <v>21</v>
      </c>
      <c r="G98" s="50">
        <v>20409657</v>
      </c>
      <c r="H98" s="16" t="s">
        <v>46</v>
      </c>
      <c r="I98" s="50">
        <v>1</v>
      </c>
      <c r="J98" s="51">
        <v>16.5</v>
      </c>
      <c r="K98" s="51">
        <v>16.5</v>
      </c>
    </row>
    <row r="99" spans="4:11">
      <c r="D99" s="49">
        <v>46150</v>
      </c>
      <c r="E99" s="16">
        <v>1601066</v>
      </c>
      <c r="F99" s="16" t="s">
        <v>21</v>
      </c>
      <c r="G99" s="50">
        <v>20377357</v>
      </c>
      <c r="H99" s="16" t="s">
        <v>31</v>
      </c>
      <c r="I99" s="50">
        <v>3</v>
      </c>
      <c r="J99" s="51">
        <v>8</v>
      </c>
      <c r="K99" s="51">
        <v>24</v>
      </c>
    </row>
    <row r="100" spans="4:11">
      <c r="D100" s="49">
        <v>46151</v>
      </c>
      <c r="E100" s="16">
        <v>1601495</v>
      </c>
      <c r="F100" s="16" t="s">
        <v>21</v>
      </c>
      <c r="G100" s="50">
        <v>20406253</v>
      </c>
      <c r="H100" s="16" t="s">
        <v>39</v>
      </c>
      <c r="I100" s="50">
        <v>1</v>
      </c>
      <c r="J100" s="51">
        <v>13.5</v>
      </c>
      <c r="K100" s="51">
        <v>13.5</v>
      </c>
    </row>
    <row r="101" spans="4:11">
      <c r="D101" s="49">
        <v>46151</v>
      </c>
      <c r="E101" s="16">
        <v>1601495</v>
      </c>
      <c r="F101" s="16" t="s">
        <v>21</v>
      </c>
      <c r="G101" s="50">
        <v>20313588</v>
      </c>
      <c r="H101" s="16" t="s">
        <v>30</v>
      </c>
      <c r="I101" s="50">
        <v>5</v>
      </c>
      <c r="J101" s="51">
        <v>8</v>
      </c>
      <c r="K101" s="51">
        <v>40</v>
      </c>
    </row>
    <row r="102" spans="4:11">
      <c r="D102" s="49">
        <v>46151</v>
      </c>
      <c r="E102" s="16">
        <v>1601495</v>
      </c>
      <c r="F102" s="16" t="s">
        <v>21</v>
      </c>
      <c r="G102" s="50">
        <v>20377357</v>
      </c>
      <c r="H102" s="16" t="s">
        <v>31</v>
      </c>
      <c r="I102" s="50">
        <v>2</v>
      </c>
      <c r="J102" s="51">
        <v>8</v>
      </c>
      <c r="K102" s="51">
        <v>16</v>
      </c>
    </row>
    <row r="103" spans="4:11">
      <c r="D103" s="49">
        <v>46151</v>
      </c>
      <c r="E103" s="16">
        <v>1601794</v>
      </c>
      <c r="F103" s="16" t="s">
        <v>21</v>
      </c>
      <c r="G103" s="50">
        <v>20406253</v>
      </c>
      <c r="H103" s="16" t="s">
        <v>39</v>
      </c>
      <c r="I103" s="50">
        <v>3</v>
      </c>
      <c r="J103" s="51">
        <v>13.5</v>
      </c>
      <c r="K103" s="51">
        <v>40.5</v>
      </c>
    </row>
    <row r="104" spans="4:11">
      <c r="D104" s="49">
        <v>46151</v>
      </c>
      <c r="E104" s="16">
        <v>1601794</v>
      </c>
      <c r="F104" s="16" t="s">
        <v>21</v>
      </c>
      <c r="G104" s="50">
        <v>20313588</v>
      </c>
      <c r="H104" s="16" t="s">
        <v>30</v>
      </c>
      <c r="I104" s="50">
        <v>8</v>
      </c>
      <c r="J104" s="51">
        <v>8</v>
      </c>
      <c r="K104" s="51">
        <v>64</v>
      </c>
    </row>
    <row r="105" spans="4:11">
      <c r="D105" s="49">
        <v>46151</v>
      </c>
      <c r="E105" s="16">
        <v>1601794</v>
      </c>
      <c r="F105" s="16" t="s">
        <v>21</v>
      </c>
      <c r="G105" s="50">
        <v>20409657</v>
      </c>
      <c r="H105" s="16" t="s">
        <v>46</v>
      </c>
      <c r="I105" s="50">
        <v>2</v>
      </c>
      <c r="J105" s="51">
        <v>16.5</v>
      </c>
      <c r="K105" s="51">
        <v>33</v>
      </c>
    </row>
    <row r="106" spans="4:11">
      <c r="D106" s="49">
        <v>46151</v>
      </c>
      <c r="E106" s="16">
        <v>1601794</v>
      </c>
      <c r="F106" s="16" t="s">
        <v>21</v>
      </c>
      <c r="G106" s="50">
        <v>20376620</v>
      </c>
      <c r="H106" s="16" t="s">
        <v>58</v>
      </c>
      <c r="I106" s="50">
        <v>1</v>
      </c>
      <c r="J106" s="51">
        <v>8</v>
      </c>
      <c r="K106" s="51">
        <v>8</v>
      </c>
    </row>
    <row r="107" spans="4:11">
      <c r="D107" s="49">
        <v>46151</v>
      </c>
      <c r="E107" s="16">
        <v>1601794</v>
      </c>
      <c r="F107" s="16" t="s">
        <v>21</v>
      </c>
      <c r="G107" s="50">
        <v>20377357</v>
      </c>
      <c r="H107" s="16" t="s">
        <v>31</v>
      </c>
      <c r="I107" s="50">
        <v>3</v>
      </c>
      <c r="J107" s="51">
        <v>8</v>
      </c>
      <c r="K107" s="51">
        <v>24</v>
      </c>
    </row>
    <row r="108" spans="4:11">
      <c r="D108" s="49">
        <v>46154</v>
      </c>
      <c r="E108" s="16">
        <v>1602300</v>
      </c>
      <c r="F108" s="16" t="s">
        <v>21</v>
      </c>
      <c r="G108" s="50">
        <v>20406253</v>
      </c>
      <c r="H108" s="16" t="s">
        <v>39</v>
      </c>
      <c r="I108" s="50">
        <v>2</v>
      </c>
      <c r="J108" s="51">
        <v>13.5</v>
      </c>
      <c r="K108" s="51">
        <v>27</v>
      </c>
    </row>
    <row r="109" spans="4:11">
      <c r="D109" s="49">
        <v>46154</v>
      </c>
      <c r="E109" s="16">
        <v>1602300</v>
      </c>
      <c r="F109" s="16" t="s">
        <v>21</v>
      </c>
      <c r="G109" s="50">
        <v>20313588</v>
      </c>
      <c r="H109" s="16" t="s">
        <v>30</v>
      </c>
      <c r="I109" s="50">
        <v>1</v>
      </c>
      <c r="J109" s="51">
        <v>8</v>
      </c>
      <c r="K109" s="51">
        <v>8</v>
      </c>
    </row>
    <row r="110" spans="4:11">
      <c r="D110" s="49">
        <v>46154</v>
      </c>
      <c r="E110" s="16">
        <v>1602300</v>
      </c>
      <c r="F110" s="16" t="s">
        <v>21</v>
      </c>
      <c r="G110" s="50">
        <v>20397287</v>
      </c>
      <c r="H110" s="16" t="s">
        <v>65</v>
      </c>
      <c r="I110" s="50">
        <v>2</v>
      </c>
      <c r="J110" s="51">
        <v>13.5</v>
      </c>
      <c r="K110" s="51">
        <v>27</v>
      </c>
    </row>
    <row r="111" spans="4:11">
      <c r="D111" s="49">
        <v>46154</v>
      </c>
      <c r="E111" s="16">
        <v>1602300</v>
      </c>
      <c r="F111" s="16" t="s">
        <v>21</v>
      </c>
      <c r="G111" s="50">
        <v>20377357</v>
      </c>
      <c r="H111" s="16" t="s">
        <v>31</v>
      </c>
      <c r="I111" s="50">
        <v>3</v>
      </c>
      <c r="J111" s="51">
        <v>8</v>
      </c>
      <c r="K111" s="51">
        <v>24</v>
      </c>
    </row>
    <row r="112" spans="4:11">
      <c r="D112" s="49">
        <v>46154</v>
      </c>
      <c r="E112" s="16">
        <v>1602558</v>
      </c>
      <c r="F112" s="16" t="s">
        <v>21</v>
      </c>
      <c r="G112" s="50">
        <v>20406253</v>
      </c>
      <c r="H112" s="16" t="s">
        <v>39</v>
      </c>
      <c r="I112" s="50">
        <v>2</v>
      </c>
      <c r="J112" s="51">
        <v>13.5</v>
      </c>
      <c r="K112" s="51">
        <v>27</v>
      </c>
    </row>
    <row r="113" spans="4:11">
      <c r="D113" s="49">
        <v>46154</v>
      </c>
      <c r="E113" s="16">
        <v>1602558</v>
      </c>
      <c r="F113" s="16" t="s">
        <v>21</v>
      </c>
      <c r="G113" s="50">
        <v>20313588</v>
      </c>
      <c r="H113" s="16" t="s">
        <v>30</v>
      </c>
      <c r="I113" s="50">
        <v>5</v>
      </c>
      <c r="J113" s="51">
        <v>8</v>
      </c>
      <c r="K113" s="51">
        <v>40</v>
      </c>
    </row>
    <row r="114" spans="4:11">
      <c r="D114" s="49">
        <v>46154</v>
      </c>
      <c r="E114" s="16">
        <v>1602558</v>
      </c>
      <c r="F114" s="16" t="s">
        <v>21</v>
      </c>
      <c r="G114" s="50">
        <v>20397287</v>
      </c>
      <c r="H114" s="16" t="s">
        <v>65</v>
      </c>
      <c r="I114" s="50">
        <v>1</v>
      </c>
      <c r="J114" s="51">
        <v>13.5</v>
      </c>
      <c r="K114" s="51">
        <v>13.5</v>
      </c>
    </row>
    <row r="115" spans="4:11">
      <c r="D115" s="49">
        <v>46154</v>
      </c>
      <c r="E115" s="16">
        <v>1602558</v>
      </c>
      <c r="F115" s="16" t="s">
        <v>21</v>
      </c>
      <c r="G115" s="50">
        <v>20409657</v>
      </c>
      <c r="H115" s="16" t="s">
        <v>46</v>
      </c>
      <c r="I115" s="50">
        <v>1</v>
      </c>
      <c r="J115" s="51">
        <v>16.5</v>
      </c>
      <c r="K115" s="51">
        <v>16.5</v>
      </c>
    </row>
    <row r="116" spans="4:11">
      <c r="D116" s="49">
        <v>46154</v>
      </c>
      <c r="E116" s="16">
        <v>1602558</v>
      </c>
      <c r="F116" s="16" t="s">
        <v>21</v>
      </c>
      <c r="G116" s="50">
        <v>20377357</v>
      </c>
      <c r="H116" s="16" t="s">
        <v>31</v>
      </c>
      <c r="I116" s="50">
        <v>2</v>
      </c>
      <c r="J116" s="51">
        <v>8</v>
      </c>
      <c r="K116" s="51">
        <v>16</v>
      </c>
    </row>
    <row r="117" spans="4:11">
      <c r="D117" s="49">
        <v>46155</v>
      </c>
      <c r="E117" s="16">
        <v>1602677</v>
      </c>
      <c r="F117" s="16" t="s">
        <v>21</v>
      </c>
      <c r="G117" s="50">
        <v>20406253</v>
      </c>
      <c r="H117" s="16" t="s">
        <v>39</v>
      </c>
      <c r="I117" s="50">
        <v>1</v>
      </c>
      <c r="J117" s="51">
        <v>13.5</v>
      </c>
      <c r="K117" s="51">
        <v>13.5</v>
      </c>
    </row>
    <row r="118" spans="4:11">
      <c r="D118" s="49">
        <v>46155</v>
      </c>
      <c r="E118" s="16">
        <v>1602677</v>
      </c>
      <c r="F118" s="16" t="s">
        <v>21</v>
      </c>
      <c r="G118" s="50">
        <v>20398868</v>
      </c>
      <c r="H118" s="16" t="s">
        <v>70</v>
      </c>
      <c r="I118" s="50">
        <v>1</v>
      </c>
      <c r="J118" s="51">
        <v>8</v>
      </c>
      <c r="K118" s="51">
        <v>8</v>
      </c>
    </row>
    <row r="119" spans="4:11">
      <c r="D119" s="49">
        <v>46155</v>
      </c>
      <c r="E119" s="16">
        <v>1602677</v>
      </c>
      <c r="F119" s="16" t="s">
        <v>21</v>
      </c>
      <c r="G119" s="50">
        <v>20395495</v>
      </c>
      <c r="H119" s="16" t="s">
        <v>42</v>
      </c>
      <c r="I119" s="50">
        <v>1</v>
      </c>
      <c r="J119" s="51">
        <v>13.5</v>
      </c>
      <c r="K119" s="51">
        <v>13.5</v>
      </c>
    </row>
    <row r="120" spans="4:11">
      <c r="D120" s="49">
        <v>46155</v>
      </c>
      <c r="E120" s="16">
        <v>1602677</v>
      </c>
      <c r="F120" s="16" t="s">
        <v>21</v>
      </c>
      <c r="G120" s="50">
        <v>20377357</v>
      </c>
      <c r="H120" s="16" t="s">
        <v>31</v>
      </c>
      <c r="I120" s="50">
        <v>1</v>
      </c>
      <c r="J120" s="51">
        <v>8</v>
      </c>
      <c r="K120" s="51">
        <v>8</v>
      </c>
    </row>
  </sheetData>
  <autoFilter xmlns:etc="http://www.wps.cn/officeDocument/2017/etCustomData" ref="A7:K120" etc:filterBottomFollowUsedRange="0">
    <extLst/>
  </autoFilter>
  <mergeCells count="5">
    <mergeCell ref="D8:H8"/>
    <mergeCell ref="C7:C120"/>
    <mergeCell ref="B4:H5"/>
    <mergeCell ref="A7:B1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71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539</v>
      </c>
      <c r="J8" s="48"/>
      <c r="K8" s="48">
        <v>4697</v>
      </c>
    </row>
    <row r="9" spans="1:11">
      <c r="D9" s="49">
        <v>46127</v>
      </c>
      <c r="E9" s="16">
        <v>1594869</v>
      </c>
      <c r="F9" s="16" t="s">
        <v>21</v>
      </c>
      <c r="G9" s="50">
        <v>20376624</v>
      </c>
      <c r="H9" s="16" t="s">
        <v>28</v>
      </c>
      <c r="I9" s="50">
        <v>1</v>
      </c>
      <c r="J9" s="51">
        <v>8</v>
      </c>
      <c r="K9" s="51">
        <v>8</v>
      </c>
    </row>
    <row r="10" spans="1:11">
      <c r="D10" s="49">
        <v>46127</v>
      </c>
      <c r="E10" s="16">
        <v>1594869</v>
      </c>
      <c r="F10" s="16" t="s">
        <v>21</v>
      </c>
      <c r="G10" s="50">
        <v>20406253</v>
      </c>
      <c r="H10" s="16" t="s">
        <v>39</v>
      </c>
      <c r="I10" s="50">
        <v>5</v>
      </c>
      <c r="J10" s="51">
        <v>13.5</v>
      </c>
      <c r="K10" s="51">
        <v>67.5</v>
      </c>
    </row>
    <row r="11" spans="1:11">
      <c r="D11" s="49">
        <v>46127</v>
      </c>
      <c r="E11" s="16">
        <v>1594869</v>
      </c>
      <c r="F11" s="16" t="s">
        <v>21</v>
      </c>
      <c r="G11" s="50">
        <v>20313588</v>
      </c>
      <c r="H11" s="16" t="s">
        <v>30</v>
      </c>
      <c r="I11" s="50">
        <v>16</v>
      </c>
      <c r="J11" s="51">
        <v>8</v>
      </c>
      <c r="K11" s="51">
        <v>128</v>
      </c>
    </row>
    <row r="12" spans="1:11">
      <c r="D12" s="49">
        <v>46127</v>
      </c>
      <c r="E12" s="16">
        <v>1594869</v>
      </c>
      <c r="F12" s="16" t="s">
        <v>21</v>
      </c>
      <c r="G12" s="50">
        <v>20376863</v>
      </c>
      <c r="H12" s="16" t="s">
        <v>72</v>
      </c>
      <c r="I12" s="50">
        <v>1</v>
      </c>
      <c r="J12" s="51">
        <v>13.5</v>
      </c>
      <c r="K12" s="51">
        <v>13.5</v>
      </c>
    </row>
    <row r="13" spans="1:11">
      <c r="D13" s="49">
        <v>46127</v>
      </c>
      <c r="E13" s="16">
        <v>1594869</v>
      </c>
      <c r="F13" s="16" t="s">
        <v>21</v>
      </c>
      <c r="G13" s="50">
        <v>20396160</v>
      </c>
      <c r="H13" s="16" t="s">
        <v>60</v>
      </c>
      <c r="I13" s="50">
        <v>2</v>
      </c>
      <c r="J13" s="51">
        <v>13.5</v>
      </c>
      <c r="K13" s="51">
        <v>27</v>
      </c>
    </row>
    <row r="14" spans="1:11">
      <c r="D14" s="49">
        <v>46127</v>
      </c>
      <c r="E14" s="16">
        <v>1594869</v>
      </c>
      <c r="F14" s="16" t="s">
        <v>21</v>
      </c>
      <c r="G14" s="50">
        <v>20376620</v>
      </c>
      <c r="H14" s="16" t="s">
        <v>58</v>
      </c>
      <c r="I14" s="50">
        <v>6</v>
      </c>
      <c r="J14" s="51">
        <v>8</v>
      </c>
      <c r="K14" s="51">
        <v>48</v>
      </c>
    </row>
    <row r="15" spans="1:11">
      <c r="D15" s="49">
        <v>46127</v>
      </c>
      <c r="E15" s="16">
        <v>1594869</v>
      </c>
      <c r="F15" s="16" t="s">
        <v>21</v>
      </c>
      <c r="G15" s="50">
        <v>20377357</v>
      </c>
      <c r="H15" s="16" t="s">
        <v>31</v>
      </c>
      <c r="I15" s="50">
        <v>6</v>
      </c>
      <c r="J15" s="51">
        <v>8</v>
      </c>
      <c r="K15" s="51">
        <v>48</v>
      </c>
    </row>
    <row r="16" spans="1:11">
      <c r="D16" s="49">
        <v>46127</v>
      </c>
      <c r="E16" s="16">
        <v>1594968</v>
      </c>
      <c r="F16" s="16" t="s">
        <v>21</v>
      </c>
      <c r="G16" s="50">
        <v>20406253</v>
      </c>
      <c r="H16" s="16" t="s">
        <v>39</v>
      </c>
      <c r="I16" s="50">
        <v>1</v>
      </c>
      <c r="J16" s="51">
        <v>13.5</v>
      </c>
      <c r="K16" s="51">
        <v>13.5</v>
      </c>
    </row>
    <row r="17" spans="4:11">
      <c r="D17" s="49">
        <v>46127</v>
      </c>
      <c r="E17" s="16">
        <v>1594968</v>
      </c>
      <c r="F17" s="16" t="s">
        <v>21</v>
      </c>
      <c r="G17" s="50">
        <v>20313588</v>
      </c>
      <c r="H17" s="16" t="s">
        <v>30</v>
      </c>
      <c r="I17" s="50">
        <v>6</v>
      </c>
      <c r="J17" s="51">
        <v>8</v>
      </c>
      <c r="K17" s="51">
        <v>48</v>
      </c>
    </row>
    <row r="18" spans="4:11">
      <c r="D18" s="49">
        <v>46127</v>
      </c>
      <c r="E18" s="16">
        <v>1594968</v>
      </c>
      <c r="F18" s="16" t="s">
        <v>21</v>
      </c>
      <c r="G18" s="50">
        <v>20376620</v>
      </c>
      <c r="H18" s="16" t="s">
        <v>58</v>
      </c>
      <c r="I18" s="50">
        <v>3</v>
      </c>
      <c r="J18" s="51">
        <v>8</v>
      </c>
      <c r="K18" s="51">
        <v>24</v>
      </c>
    </row>
    <row r="19" spans="4:11">
      <c r="D19" s="49">
        <v>46127</v>
      </c>
      <c r="E19" s="16">
        <v>1595214</v>
      </c>
      <c r="F19" s="16" t="s">
        <v>21</v>
      </c>
      <c r="G19" s="50">
        <v>20406253</v>
      </c>
      <c r="H19" s="16" t="s">
        <v>39</v>
      </c>
      <c r="I19" s="50">
        <v>1</v>
      </c>
      <c r="J19" s="51">
        <v>13.5</v>
      </c>
      <c r="K19" s="51">
        <v>13.5</v>
      </c>
    </row>
    <row r="20" spans="4:11">
      <c r="D20" s="49">
        <v>46127</v>
      </c>
      <c r="E20" s="16">
        <v>1595214</v>
      </c>
      <c r="F20" s="16" t="s">
        <v>21</v>
      </c>
      <c r="G20" s="50">
        <v>20313588</v>
      </c>
      <c r="H20" s="16" t="s">
        <v>30</v>
      </c>
      <c r="I20" s="50">
        <v>5</v>
      </c>
      <c r="J20" s="51">
        <v>8</v>
      </c>
      <c r="K20" s="51">
        <v>40</v>
      </c>
    </row>
    <row r="21" spans="4:11">
      <c r="D21" s="49">
        <v>46127</v>
      </c>
      <c r="E21" s="16">
        <v>1595214</v>
      </c>
      <c r="F21" s="16" t="s">
        <v>21</v>
      </c>
      <c r="G21" s="50">
        <v>20377357</v>
      </c>
      <c r="H21" s="16" t="s">
        <v>31</v>
      </c>
      <c r="I21" s="50">
        <v>2</v>
      </c>
      <c r="J21" s="51">
        <v>8</v>
      </c>
      <c r="K21" s="51">
        <v>16</v>
      </c>
    </row>
    <row r="22" spans="4:11">
      <c r="D22" s="49">
        <v>46129</v>
      </c>
      <c r="E22" s="16">
        <v>1595643</v>
      </c>
      <c r="F22" s="16" t="s">
        <v>21</v>
      </c>
      <c r="G22" s="50">
        <v>20406253</v>
      </c>
      <c r="H22" s="16" t="s">
        <v>39</v>
      </c>
      <c r="I22" s="50">
        <v>1</v>
      </c>
      <c r="J22" s="51">
        <v>13.5</v>
      </c>
      <c r="K22" s="51">
        <v>13.5</v>
      </c>
    </row>
    <row r="23" spans="4:11">
      <c r="D23" s="49">
        <v>46129</v>
      </c>
      <c r="E23" s="16">
        <v>1595643</v>
      </c>
      <c r="F23" s="16" t="s">
        <v>21</v>
      </c>
      <c r="G23" s="50">
        <v>20313588</v>
      </c>
      <c r="H23" s="16" t="s">
        <v>30</v>
      </c>
      <c r="I23" s="50">
        <v>3</v>
      </c>
      <c r="J23" s="51">
        <v>8</v>
      </c>
      <c r="K23" s="51">
        <v>24</v>
      </c>
    </row>
    <row r="24" spans="4:11">
      <c r="D24" s="49">
        <v>46129</v>
      </c>
      <c r="E24" s="16">
        <v>1595643</v>
      </c>
      <c r="F24" s="16" t="s">
        <v>21</v>
      </c>
      <c r="G24" s="50">
        <v>20376620</v>
      </c>
      <c r="H24" s="16" t="s">
        <v>58</v>
      </c>
      <c r="I24" s="50">
        <v>1</v>
      </c>
      <c r="J24" s="51">
        <v>8</v>
      </c>
      <c r="K24" s="51">
        <v>8</v>
      </c>
    </row>
    <row r="25" spans="4:11">
      <c r="D25" s="49">
        <v>46129</v>
      </c>
      <c r="E25" s="16">
        <v>1595643</v>
      </c>
      <c r="F25" s="16" t="s">
        <v>21</v>
      </c>
      <c r="G25" s="50">
        <v>20377357</v>
      </c>
      <c r="H25" s="16" t="s">
        <v>31</v>
      </c>
      <c r="I25" s="50">
        <v>2</v>
      </c>
      <c r="J25" s="51">
        <v>8</v>
      </c>
      <c r="K25" s="51">
        <v>16</v>
      </c>
    </row>
    <row r="26" spans="4:11">
      <c r="D26" s="49">
        <v>46129</v>
      </c>
      <c r="E26" s="16">
        <v>1595779</v>
      </c>
      <c r="F26" s="16" t="s">
        <v>21</v>
      </c>
      <c r="G26" s="50">
        <v>20313588</v>
      </c>
      <c r="H26" s="16" t="s">
        <v>30</v>
      </c>
      <c r="I26" s="50">
        <v>10</v>
      </c>
      <c r="J26" s="51">
        <v>8</v>
      </c>
      <c r="K26" s="51">
        <v>80</v>
      </c>
    </row>
    <row r="27" spans="4:11">
      <c r="D27" s="49">
        <v>46129</v>
      </c>
      <c r="E27" s="16">
        <v>1595779</v>
      </c>
      <c r="F27" s="16" t="s">
        <v>21</v>
      </c>
      <c r="G27" s="50">
        <v>20376620</v>
      </c>
      <c r="H27" s="16" t="s">
        <v>58</v>
      </c>
      <c r="I27" s="50">
        <v>7</v>
      </c>
      <c r="J27" s="51">
        <v>8</v>
      </c>
      <c r="K27" s="51">
        <v>56</v>
      </c>
    </row>
    <row r="28" spans="4:11">
      <c r="D28" s="49">
        <v>46129</v>
      </c>
      <c r="E28" s="16">
        <v>1595779</v>
      </c>
      <c r="F28" s="16" t="s">
        <v>21</v>
      </c>
      <c r="G28" s="50">
        <v>20377357</v>
      </c>
      <c r="H28" s="16" t="s">
        <v>31</v>
      </c>
      <c r="I28" s="50">
        <v>4</v>
      </c>
      <c r="J28" s="51">
        <v>8</v>
      </c>
      <c r="K28" s="51">
        <v>32</v>
      </c>
    </row>
    <row r="29" spans="4:11">
      <c r="D29" s="49">
        <v>46130</v>
      </c>
      <c r="E29" s="16">
        <v>1596012</v>
      </c>
      <c r="F29" s="16" t="s">
        <v>21</v>
      </c>
      <c r="G29" s="50">
        <v>20406253</v>
      </c>
      <c r="H29" s="16" t="s">
        <v>39</v>
      </c>
      <c r="I29" s="50">
        <v>3</v>
      </c>
      <c r="J29" s="51">
        <v>13.5</v>
      </c>
      <c r="K29" s="51">
        <v>40.5</v>
      </c>
    </row>
    <row r="30" spans="4:11">
      <c r="D30" s="49">
        <v>46130</v>
      </c>
      <c r="E30" s="16">
        <v>1596012</v>
      </c>
      <c r="F30" s="16" t="s">
        <v>21</v>
      </c>
      <c r="G30" s="50">
        <v>20313588</v>
      </c>
      <c r="H30" s="16" t="s">
        <v>30</v>
      </c>
      <c r="I30" s="50">
        <v>5</v>
      </c>
      <c r="J30" s="51">
        <v>8</v>
      </c>
      <c r="K30" s="51">
        <v>40</v>
      </c>
    </row>
    <row r="31" spans="4:11">
      <c r="D31" s="49">
        <v>46130</v>
      </c>
      <c r="E31" s="16">
        <v>1596012</v>
      </c>
      <c r="F31" s="16" t="s">
        <v>21</v>
      </c>
      <c r="G31" s="50">
        <v>20376620</v>
      </c>
      <c r="H31" s="16" t="s">
        <v>58</v>
      </c>
      <c r="I31" s="50">
        <v>1</v>
      </c>
      <c r="J31" s="51">
        <v>8</v>
      </c>
      <c r="K31" s="51">
        <v>8</v>
      </c>
    </row>
    <row r="32" spans="4:11">
      <c r="D32" s="49">
        <v>46130</v>
      </c>
      <c r="E32" s="16">
        <v>1596012</v>
      </c>
      <c r="F32" s="16" t="s">
        <v>21</v>
      </c>
      <c r="G32" s="50">
        <v>20377357</v>
      </c>
      <c r="H32" s="16" t="s">
        <v>31</v>
      </c>
      <c r="I32" s="50">
        <v>6</v>
      </c>
      <c r="J32" s="51">
        <v>8</v>
      </c>
      <c r="K32" s="51">
        <v>48</v>
      </c>
    </row>
    <row r="33" spans="4:11">
      <c r="D33" s="49">
        <v>46133</v>
      </c>
      <c r="E33" s="16">
        <v>1596597</v>
      </c>
      <c r="F33" s="16" t="s">
        <v>21</v>
      </c>
      <c r="G33" s="50">
        <v>20313588</v>
      </c>
      <c r="H33" s="16" t="s">
        <v>30</v>
      </c>
      <c r="I33" s="50">
        <v>4</v>
      </c>
      <c r="J33" s="51">
        <v>8</v>
      </c>
      <c r="K33" s="51">
        <v>32</v>
      </c>
    </row>
    <row r="34" spans="4:11">
      <c r="D34" s="49">
        <v>46133</v>
      </c>
      <c r="E34" s="16">
        <v>1596597</v>
      </c>
      <c r="F34" s="16" t="s">
        <v>21</v>
      </c>
      <c r="G34" s="50">
        <v>20377357</v>
      </c>
      <c r="H34" s="16" t="s">
        <v>31</v>
      </c>
      <c r="I34" s="50">
        <v>3</v>
      </c>
      <c r="J34" s="51">
        <v>8</v>
      </c>
      <c r="K34" s="51">
        <v>24</v>
      </c>
    </row>
    <row r="35" spans="4:11">
      <c r="D35" s="49">
        <v>46133</v>
      </c>
      <c r="E35" s="16">
        <v>1596691</v>
      </c>
      <c r="F35" s="16" t="s">
        <v>21</v>
      </c>
      <c r="G35" s="50">
        <v>20313588</v>
      </c>
      <c r="H35" s="16" t="s">
        <v>30</v>
      </c>
      <c r="I35" s="50">
        <v>6</v>
      </c>
      <c r="J35" s="51">
        <v>8</v>
      </c>
      <c r="K35" s="51">
        <v>48</v>
      </c>
    </row>
    <row r="36" spans="4:11">
      <c r="D36" s="49">
        <v>46133</v>
      </c>
      <c r="E36" s="16">
        <v>1596691</v>
      </c>
      <c r="F36" s="16" t="s">
        <v>21</v>
      </c>
      <c r="G36" s="50">
        <v>20376620</v>
      </c>
      <c r="H36" s="16" t="s">
        <v>58</v>
      </c>
      <c r="I36" s="50">
        <v>4</v>
      </c>
      <c r="J36" s="51">
        <v>8</v>
      </c>
      <c r="K36" s="51">
        <v>32</v>
      </c>
    </row>
    <row r="37" spans="4:11">
      <c r="D37" s="49">
        <v>46133</v>
      </c>
      <c r="E37" s="16">
        <v>1596691</v>
      </c>
      <c r="F37" s="16" t="s">
        <v>21</v>
      </c>
      <c r="G37" s="50">
        <v>20377357</v>
      </c>
      <c r="H37" s="16" t="s">
        <v>31</v>
      </c>
      <c r="I37" s="50">
        <v>3</v>
      </c>
      <c r="J37" s="51">
        <v>8</v>
      </c>
      <c r="K37" s="51">
        <v>24</v>
      </c>
    </row>
    <row r="38" spans="4:11">
      <c r="D38" s="49">
        <v>46134</v>
      </c>
      <c r="E38" s="16">
        <v>1596959</v>
      </c>
      <c r="F38" s="16" t="s">
        <v>21</v>
      </c>
      <c r="G38" s="50">
        <v>20406253</v>
      </c>
      <c r="H38" s="16" t="s">
        <v>39</v>
      </c>
      <c r="I38" s="50">
        <v>2</v>
      </c>
      <c r="J38" s="51">
        <v>13.5</v>
      </c>
      <c r="K38" s="51">
        <v>27</v>
      </c>
    </row>
    <row r="39" spans="4:11">
      <c r="D39" s="49">
        <v>46134</v>
      </c>
      <c r="E39" s="16">
        <v>1596959</v>
      </c>
      <c r="F39" s="16" t="s">
        <v>21</v>
      </c>
      <c r="G39" s="50">
        <v>20313588</v>
      </c>
      <c r="H39" s="16" t="s">
        <v>30</v>
      </c>
      <c r="I39" s="50">
        <v>13</v>
      </c>
      <c r="J39" s="51">
        <v>8</v>
      </c>
      <c r="K39" s="51">
        <v>104</v>
      </c>
    </row>
    <row r="40" spans="4:11">
      <c r="D40" s="49">
        <v>46134</v>
      </c>
      <c r="E40" s="16">
        <v>1596959</v>
      </c>
      <c r="F40" s="16" t="s">
        <v>21</v>
      </c>
      <c r="G40" s="50">
        <v>20376620</v>
      </c>
      <c r="H40" s="16" t="s">
        <v>58</v>
      </c>
      <c r="I40" s="50">
        <v>3</v>
      </c>
      <c r="J40" s="51">
        <v>8</v>
      </c>
      <c r="K40" s="51">
        <v>24</v>
      </c>
    </row>
    <row r="41" spans="4:11">
      <c r="D41" s="49">
        <v>46134</v>
      </c>
      <c r="E41" s="16">
        <v>1596959</v>
      </c>
      <c r="F41" s="16" t="s">
        <v>21</v>
      </c>
      <c r="G41" s="50">
        <v>20377357</v>
      </c>
      <c r="H41" s="16" t="s">
        <v>31</v>
      </c>
      <c r="I41" s="50">
        <v>4</v>
      </c>
      <c r="J41" s="51">
        <v>8</v>
      </c>
      <c r="K41" s="51">
        <v>32</v>
      </c>
    </row>
    <row r="42" spans="4:11">
      <c r="D42" s="49">
        <v>46134</v>
      </c>
      <c r="E42" s="16">
        <v>1596959</v>
      </c>
      <c r="F42" s="16" t="s">
        <v>21</v>
      </c>
      <c r="G42" s="50">
        <v>20314990</v>
      </c>
      <c r="H42" s="16" t="s">
        <v>52</v>
      </c>
      <c r="I42" s="50">
        <v>1</v>
      </c>
      <c r="J42" s="51">
        <v>8</v>
      </c>
      <c r="K42" s="51">
        <v>8</v>
      </c>
    </row>
    <row r="43" spans="4:11">
      <c r="D43" s="49">
        <v>46134</v>
      </c>
      <c r="E43" s="16">
        <v>1597058</v>
      </c>
      <c r="F43" s="16" t="s">
        <v>21</v>
      </c>
      <c r="G43" s="50">
        <v>20406253</v>
      </c>
      <c r="H43" s="16" t="s">
        <v>39</v>
      </c>
      <c r="I43" s="50">
        <v>2</v>
      </c>
      <c r="J43" s="51">
        <v>13.5</v>
      </c>
      <c r="K43" s="51">
        <v>27</v>
      </c>
    </row>
    <row r="44" spans="4:11">
      <c r="D44" s="49">
        <v>46134</v>
      </c>
      <c r="E44" s="16">
        <v>1597058</v>
      </c>
      <c r="F44" s="16" t="s">
        <v>21</v>
      </c>
      <c r="G44" s="50">
        <v>20313588</v>
      </c>
      <c r="H44" s="16" t="s">
        <v>30</v>
      </c>
      <c r="I44" s="50">
        <v>10</v>
      </c>
      <c r="J44" s="51">
        <v>8</v>
      </c>
      <c r="K44" s="51">
        <v>80</v>
      </c>
    </row>
    <row r="45" spans="4:11">
      <c r="D45" s="49">
        <v>46134</v>
      </c>
      <c r="E45" s="16">
        <v>1597058</v>
      </c>
      <c r="F45" s="16" t="s">
        <v>21</v>
      </c>
      <c r="G45" s="50">
        <v>20376620</v>
      </c>
      <c r="H45" s="16" t="s">
        <v>58</v>
      </c>
      <c r="I45" s="50">
        <v>6</v>
      </c>
      <c r="J45" s="51">
        <v>8</v>
      </c>
      <c r="K45" s="51">
        <v>48</v>
      </c>
    </row>
    <row r="46" spans="4:11">
      <c r="D46" s="49">
        <v>46134</v>
      </c>
      <c r="E46" s="16">
        <v>1597058</v>
      </c>
      <c r="F46" s="16" t="s">
        <v>21</v>
      </c>
      <c r="G46" s="50">
        <v>20377357</v>
      </c>
      <c r="H46" s="16" t="s">
        <v>31</v>
      </c>
      <c r="I46" s="50">
        <v>5</v>
      </c>
      <c r="J46" s="51">
        <v>8</v>
      </c>
      <c r="K46" s="51">
        <v>40</v>
      </c>
    </row>
    <row r="47" spans="4:11">
      <c r="D47" s="49">
        <v>46134</v>
      </c>
      <c r="E47" s="16">
        <v>1597058</v>
      </c>
      <c r="F47" s="16" t="s">
        <v>21</v>
      </c>
      <c r="G47" s="50">
        <v>20314990</v>
      </c>
      <c r="H47" s="16" t="s">
        <v>52</v>
      </c>
      <c r="I47" s="50">
        <v>1</v>
      </c>
      <c r="J47" s="51">
        <v>8</v>
      </c>
      <c r="K47" s="51">
        <v>8</v>
      </c>
    </row>
    <row r="48" spans="4:11">
      <c r="D48" s="49">
        <v>46135</v>
      </c>
      <c r="E48" s="16">
        <v>1597328</v>
      </c>
      <c r="F48" s="16" t="s">
        <v>21</v>
      </c>
      <c r="G48" s="50">
        <v>20376624</v>
      </c>
      <c r="H48" s="16" t="s">
        <v>28</v>
      </c>
      <c r="I48" s="50">
        <v>2</v>
      </c>
      <c r="J48" s="51">
        <v>8</v>
      </c>
      <c r="K48" s="51">
        <v>16</v>
      </c>
    </row>
    <row r="49" spans="4:11">
      <c r="D49" s="49">
        <v>46135</v>
      </c>
      <c r="E49" s="16">
        <v>1597328</v>
      </c>
      <c r="F49" s="16" t="s">
        <v>21</v>
      </c>
      <c r="G49" s="50">
        <v>20406253</v>
      </c>
      <c r="H49" s="16" t="s">
        <v>39</v>
      </c>
      <c r="I49" s="50">
        <v>3</v>
      </c>
      <c r="J49" s="51">
        <v>13.5</v>
      </c>
      <c r="K49" s="51">
        <v>40.5</v>
      </c>
    </row>
    <row r="50" spans="4:11">
      <c r="D50" s="49">
        <v>46135</v>
      </c>
      <c r="E50" s="16">
        <v>1597328</v>
      </c>
      <c r="F50" s="16" t="s">
        <v>21</v>
      </c>
      <c r="G50" s="50">
        <v>20313588</v>
      </c>
      <c r="H50" s="16" t="s">
        <v>30</v>
      </c>
      <c r="I50" s="50">
        <v>12</v>
      </c>
      <c r="J50" s="51">
        <v>8</v>
      </c>
      <c r="K50" s="51">
        <v>96</v>
      </c>
    </row>
    <row r="51" spans="4:11">
      <c r="D51" s="49">
        <v>46135</v>
      </c>
      <c r="E51" s="16">
        <v>1597328</v>
      </c>
      <c r="F51" s="16" t="s">
        <v>21</v>
      </c>
      <c r="G51" s="50">
        <v>20401202</v>
      </c>
      <c r="H51" s="16" t="s">
        <v>73</v>
      </c>
      <c r="I51" s="50">
        <v>1</v>
      </c>
      <c r="J51" s="51">
        <v>13.5</v>
      </c>
      <c r="K51" s="51">
        <v>13.5</v>
      </c>
    </row>
    <row r="52" spans="4:11">
      <c r="D52" s="49">
        <v>46135</v>
      </c>
      <c r="E52" s="16">
        <v>1597328</v>
      </c>
      <c r="F52" s="16" t="s">
        <v>21</v>
      </c>
      <c r="G52" s="50">
        <v>20376863</v>
      </c>
      <c r="H52" s="16" t="s">
        <v>72</v>
      </c>
      <c r="I52" s="50">
        <v>1</v>
      </c>
      <c r="J52" s="51">
        <v>13.5</v>
      </c>
      <c r="K52" s="51">
        <v>13.5</v>
      </c>
    </row>
    <row r="53" spans="4:11">
      <c r="D53" s="49">
        <v>46135</v>
      </c>
      <c r="E53" s="16">
        <v>1597328</v>
      </c>
      <c r="F53" s="16" t="s">
        <v>21</v>
      </c>
      <c r="G53" s="50">
        <v>20396160</v>
      </c>
      <c r="H53" s="16" t="s">
        <v>60</v>
      </c>
      <c r="I53" s="50">
        <v>1</v>
      </c>
      <c r="J53" s="51">
        <v>13.5</v>
      </c>
      <c r="K53" s="51">
        <v>13.5</v>
      </c>
    </row>
    <row r="54" spans="4:11">
      <c r="D54" s="49">
        <v>46135</v>
      </c>
      <c r="E54" s="16">
        <v>1597328</v>
      </c>
      <c r="F54" s="16" t="s">
        <v>21</v>
      </c>
      <c r="G54" s="50">
        <v>20376620</v>
      </c>
      <c r="H54" s="16" t="s">
        <v>58</v>
      </c>
      <c r="I54" s="50">
        <v>1</v>
      </c>
      <c r="J54" s="51">
        <v>8</v>
      </c>
      <c r="K54" s="51">
        <v>8</v>
      </c>
    </row>
    <row r="55" spans="4:11">
      <c r="D55" s="49">
        <v>46135</v>
      </c>
      <c r="E55" s="16">
        <v>1597328</v>
      </c>
      <c r="F55" s="16" t="s">
        <v>21</v>
      </c>
      <c r="G55" s="50">
        <v>20377357</v>
      </c>
      <c r="H55" s="16" t="s">
        <v>31</v>
      </c>
      <c r="I55" s="50">
        <v>6</v>
      </c>
      <c r="J55" s="51">
        <v>8</v>
      </c>
      <c r="K55" s="51">
        <v>48</v>
      </c>
    </row>
    <row r="56" spans="4:11">
      <c r="D56" s="49">
        <v>46135</v>
      </c>
      <c r="E56" s="16">
        <v>1597328</v>
      </c>
      <c r="F56" s="16" t="s">
        <v>21</v>
      </c>
      <c r="G56" s="50">
        <v>20314990</v>
      </c>
      <c r="H56" s="16" t="s">
        <v>52</v>
      </c>
      <c r="I56" s="50">
        <v>1</v>
      </c>
      <c r="J56" s="51">
        <v>8</v>
      </c>
      <c r="K56" s="51">
        <v>8</v>
      </c>
    </row>
    <row r="57" spans="4:11">
      <c r="D57" s="49">
        <v>46135</v>
      </c>
      <c r="E57" s="16">
        <v>1597436</v>
      </c>
      <c r="F57" s="16" t="s">
        <v>21</v>
      </c>
      <c r="G57" s="50">
        <v>20376624</v>
      </c>
      <c r="H57" s="16" t="s">
        <v>28</v>
      </c>
      <c r="I57" s="50">
        <v>1</v>
      </c>
      <c r="J57" s="51">
        <v>8</v>
      </c>
      <c r="K57" s="51">
        <v>8</v>
      </c>
    </row>
    <row r="58" spans="4:11">
      <c r="D58" s="49">
        <v>46135</v>
      </c>
      <c r="E58" s="16">
        <v>1597436</v>
      </c>
      <c r="F58" s="16" t="s">
        <v>21</v>
      </c>
      <c r="G58" s="50">
        <v>20406253</v>
      </c>
      <c r="H58" s="16" t="s">
        <v>39</v>
      </c>
      <c r="I58" s="50">
        <v>2</v>
      </c>
      <c r="J58" s="51">
        <v>13.5</v>
      </c>
      <c r="K58" s="51">
        <v>27</v>
      </c>
    </row>
    <row r="59" spans="4:11">
      <c r="D59" s="49">
        <v>46135</v>
      </c>
      <c r="E59" s="16">
        <v>1597436</v>
      </c>
      <c r="F59" s="16" t="s">
        <v>21</v>
      </c>
      <c r="G59" s="50">
        <v>20313588</v>
      </c>
      <c r="H59" s="16" t="s">
        <v>30</v>
      </c>
      <c r="I59" s="50">
        <v>10</v>
      </c>
      <c r="J59" s="51">
        <v>8</v>
      </c>
      <c r="K59" s="51">
        <v>80</v>
      </c>
    </row>
    <row r="60" spans="4:11">
      <c r="D60" s="49">
        <v>46135</v>
      </c>
      <c r="E60" s="16">
        <v>1597436</v>
      </c>
      <c r="F60" s="16" t="s">
        <v>21</v>
      </c>
      <c r="G60" s="50">
        <v>20397287</v>
      </c>
      <c r="H60" s="16" t="s">
        <v>65</v>
      </c>
      <c r="I60" s="50">
        <v>1</v>
      </c>
      <c r="J60" s="51">
        <v>13.5</v>
      </c>
      <c r="K60" s="51">
        <v>13.5</v>
      </c>
    </row>
    <row r="61" spans="4:11">
      <c r="D61" s="49">
        <v>46135</v>
      </c>
      <c r="E61" s="16">
        <v>1597436</v>
      </c>
      <c r="F61" s="16" t="s">
        <v>21</v>
      </c>
      <c r="G61" s="50">
        <v>20376620</v>
      </c>
      <c r="H61" s="16" t="s">
        <v>58</v>
      </c>
      <c r="I61" s="50">
        <v>3</v>
      </c>
      <c r="J61" s="51">
        <v>8</v>
      </c>
      <c r="K61" s="51">
        <v>24</v>
      </c>
    </row>
    <row r="62" spans="4:11">
      <c r="D62" s="49">
        <v>46135</v>
      </c>
      <c r="E62" s="16">
        <v>1597436</v>
      </c>
      <c r="F62" s="16" t="s">
        <v>21</v>
      </c>
      <c r="G62" s="50">
        <v>20377357</v>
      </c>
      <c r="H62" s="16" t="s">
        <v>31</v>
      </c>
      <c r="I62" s="50">
        <v>3</v>
      </c>
      <c r="J62" s="51">
        <v>8</v>
      </c>
      <c r="K62" s="51">
        <v>24</v>
      </c>
    </row>
    <row r="63" spans="4:11">
      <c r="D63" s="49">
        <v>46135</v>
      </c>
      <c r="E63" s="16">
        <v>1597436</v>
      </c>
      <c r="F63" s="16" t="s">
        <v>21</v>
      </c>
      <c r="G63" s="50">
        <v>20314990</v>
      </c>
      <c r="H63" s="16" t="s">
        <v>52</v>
      </c>
      <c r="I63" s="50">
        <v>2</v>
      </c>
      <c r="J63" s="51">
        <v>8</v>
      </c>
      <c r="K63" s="51">
        <v>16</v>
      </c>
    </row>
    <row r="64" spans="4:11">
      <c r="D64" s="49">
        <v>46136</v>
      </c>
      <c r="E64" s="16">
        <v>1597718</v>
      </c>
      <c r="F64" s="16" t="s">
        <v>21</v>
      </c>
      <c r="G64" s="50">
        <v>20406253</v>
      </c>
      <c r="H64" s="16" t="s">
        <v>39</v>
      </c>
      <c r="I64" s="50">
        <v>4</v>
      </c>
      <c r="J64" s="51">
        <v>13.5</v>
      </c>
      <c r="K64" s="51">
        <v>54</v>
      </c>
    </row>
    <row r="65" spans="4:11">
      <c r="D65" s="49">
        <v>46136</v>
      </c>
      <c r="E65" s="16">
        <v>1597718</v>
      </c>
      <c r="F65" s="16" t="s">
        <v>21</v>
      </c>
      <c r="G65" s="50">
        <v>20313588</v>
      </c>
      <c r="H65" s="16" t="s">
        <v>30</v>
      </c>
      <c r="I65" s="50">
        <v>10</v>
      </c>
      <c r="J65" s="51">
        <v>8</v>
      </c>
      <c r="K65" s="51">
        <v>80</v>
      </c>
    </row>
    <row r="66" spans="4:11">
      <c r="D66" s="49">
        <v>46136</v>
      </c>
      <c r="E66" s="16">
        <v>1597718</v>
      </c>
      <c r="F66" s="16" t="s">
        <v>21</v>
      </c>
      <c r="G66" s="50">
        <v>20396160</v>
      </c>
      <c r="H66" s="16" t="s">
        <v>60</v>
      </c>
      <c r="I66" s="50">
        <v>1</v>
      </c>
      <c r="J66" s="51">
        <v>13.5</v>
      </c>
      <c r="K66" s="51">
        <v>13.5</v>
      </c>
    </row>
    <row r="67" spans="4:11">
      <c r="D67" s="49">
        <v>46136</v>
      </c>
      <c r="E67" s="16">
        <v>1597718</v>
      </c>
      <c r="F67" s="16" t="s">
        <v>21</v>
      </c>
      <c r="G67" s="50">
        <v>20397287</v>
      </c>
      <c r="H67" s="16" t="s">
        <v>65</v>
      </c>
      <c r="I67" s="50">
        <v>1</v>
      </c>
      <c r="J67" s="51">
        <v>13.5</v>
      </c>
      <c r="K67" s="51">
        <v>13.5</v>
      </c>
    </row>
    <row r="68" spans="4:11">
      <c r="D68" s="49">
        <v>46136</v>
      </c>
      <c r="E68" s="16">
        <v>1597718</v>
      </c>
      <c r="F68" s="16" t="s">
        <v>21</v>
      </c>
      <c r="G68" s="50">
        <v>20376620</v>
      </c>
      <c r="H68" s="16" t="s">
        <v>58</v>
      </c>
      <c r="I68" s="50">
        <v>4</v>
      </c>
      <c r="J68" s="51">
        <v>8</v>
      </c>
      <c r="K68" s="51">
        <v>32</v>
      </c>
    </row>
    <row r="69" spans="4:11">
      <c r="D69" s="49">
        <v>46136</v>
      </c>
      <c r="E69" s="16">
        <v>1597718</v>
      </c>
      <c r="F69" s="16" t="s">
        <v>21</v>
      </c>
      <c r="G69" s="50">
        <v>20377357</v>
      </c>
      <c r="H69" s="16" t="s">
        <v>31</v>
      </c>
      <c r="I69" s="50">
        <v>6</v>
      </c>
      <c r="J69" s="51">
        <v>8</v>
      </c>
      <c r="K69" s="51">
        <v>48</v>
      </c>
    </row>
    <row r="70" spans="4:11">
      <c r="D70" s="49">
        <v>46136</v>
      </c>
      <c r="E70" s="16">
        <v>1597837</v>
      </c>
      <c r="F70" s="16" t="s">
        <v>21</v>
      </c>
      <c r="G70" s="50">
        <v>20406253</v>
      </c>
      <c r="H70" s="16" t="s">
        <v>39</v>
      </c>
      <c r="I70" s="50">
        <v>1</v>
      </c>
      <c r="J70" s="51">
        <v>13.5</v>
      </c>
      <c r="K70" s="51">
        <v>13.5</v>
      </c>
    </row>
    <row r="71" spans="4:11">
      <c r="D71" s="49">
        <v>46136</v>
      </c>
      <c r="E71" s="16">
        <v>1597837</v>
      </c>
      <c r="F71" s="16" t="s">
        <v>21</v>
      </c>
      <c r="G71" s="50">
        <v>20313588</v>
      </c>
      <c r="H71" s="16" t="s">
        <v>30</v>
      </c>
      <c r="I71" s="50">
        <v>7</v>
      </c>
      <c r="J71" s="51">
        <v>8</v>
      </c>
      <c r="K71" s="51">
        <v>56</v>
      </c>
    </row>
    <row r="72" spans="4:11">
      <c r="D72" s="49">
        <v>46136</v>
      </c>
      <c r="E72" s="16">
        <v>1597837</v>
      </c>
      <c r="F72" s="16" t="s">
        <v>21</v>
      </c>
      <c r="G72" s="50">
        <v>20376620</v>
      </c>
      <c r="H72" s="16" t="s">
        <v>58</v>
      </c>
      <c r="I72" s="50">
        <v>5</v>
      </c>
      <c r="J72" s="51">
        <v>8</v>
      </c>
      <c r="K72" s="51">
        <v>40</v>
      </c>
    </row>
    <row r="73" spans="4:11">
      <c r="D73" s="49">
        <v>46136</v>
      </c>
      <c r="E73" s="16">
        <v>1597837</v>
      </c>
      <c r="F73" s="16" t="s">
        <v>21</v>
      </c>
      <c r="G73" s="50">
        <v>20377357</v>
      </c>
      <c r="H73" s="16" t="s">
        <v>31</v>
      </c>
      <c r="I73" s="50">
        <v>3</v>
      </c>
      <c r="J73" s="51">
        <v>8</v>
      </c>
      <c r="K73" s="51">
        <v>24</v>
      </c>
    </row>
    <row r="74" spans="4:11">
      <c r="D74" s="49">
        <v>46136</v>
      </c>
      <c r="E74" s="16">
        <v>1597837</v>
      </c>
      <c r="F74" s="16" t="s">
        <v>21</v>
      </c>
      <c r="G74" s="50">
        <v>20314990</v>
      </c>
      <c r="H74" s="16" t="s">
        <v>52</v>
      </c>
      <c r="I74" s="50">
        <v>4</v>
      </c>
      <c r="J74" s="51">
        <v>8</v>
      </c>
      <c r="K74" s="51">
        <v>32</v>
      </c>
    </row>
    <row r="75" spans="4:11">
      <c r="D75" s="49">
        <v>46137</v>
      </c>
      <c r="E75" s="16">
        <v>1598088</v>
      </c>
      <c r="F75" s="16" t="s">
        <v>21</v>
      </c>
      <c r="G75" s="50">
        <v>20376624</v>
      </c>
      <c r="H75" s="16" t="s">
        <v>28</v>
      </c>
      <c r="I75" s="50">
        <v>1</v>
      </c>
      <c r="J75" s="51">
        <v>8</v>
      </c>
      <c r="K75" s="51">
        <v>8</v>
      </c>
    </row>
    <row r="76" spans="4:11">
      <c r="D76" s="49">
        <v>46137</v>
      </c>
      <c r="E76" s="16">
        <v>1598088</v>
      </c>
      <c r="F76" s="16" t="s">
        <v>21</v>
      </c>
      <c r="G76" s="50">
        <v>20406253</v>
      </c>
      <c r="H76" s="16" t="s">
        <v>39</v>
      </c>
      <c r="I76" s="50">
        <v>1</v>
      </c>
      <c r="J76" s="51">
        <v>13.5</v>
      </c>
      <c r="K76" s="51">
        <v>13.5</v>
      </c>
    </row>
    <row r="77" spans="4:11">
      <c r="D77" s="49">
        <v>46137</v>
      </c>
      <c r="E77" s="16">
        <v>1598088</v>
      </c>
      <c r="F77" s="16" t="s">
        <v>21</v>
      </c>
      <c r="G77" s="50">
        <v>20313588</v>
      </c>
      <c r="H77" s="16" t="s">
        <v>30</v>
      </c>
      <c r="I77" s="50">
        <v>5</v>
      </c>
      <c r="J77" s="51">
        <v>8</v>
      </c>
      <c r="K77" s="51">
        <v>40</v>
      </c>
    </row>
    <row r="78" spans="4:11">
      <c r="D78" s="49">
        <v>46137</v>
      </c>
      <c r="E78" s="16">
        <v>1598088</v>
      </c>
      <c r="F78" s="16" t="s">
        <v>21</v>
      </c>
      <c r="G78" s="50">
        <v>20376863</v>
      </c>
      <c r="H78" s="16" t="s">
        <v>72</v>
      </c>
      <c r="I78" s="50">
        <v>1</v>
      </c>
      <c r="J78" s="51">
        <v>13.5</v>
      </c>
      <c r="K78" s="51">
        <v>13.5</v>
      </c>
    </row>
    <row r="79" spans="4:11">
      <c r="D79" s="49">
        <v>46137</v>
      </c>
      <c r="E79" s="16">
        <v>1598088</v>
      </c>
      <c r="F79" s="16" t="s">
        <v>21</v>
      </c>
      <c r="G79" s="50">
        <v>20377357</v>
      </c>
      <c r="H79" s="16" t="s">
        <v>31</v>
      </c>
      <c r="I79" s="50">
        <v>3</v>
      </c>
      <c r="J79" s="51">
        <v>8</v>
      </c>
      <c r="K79" s="51">
        <v>24</v>
      </c>
    </row>
    <row r="80" spans="4:11">
      <c r="D80" s="49">
        <v>46137</v>
      </c>
      <c r="E80" s="16">
        <v>1598088</v>
      </c>
      <c r="F80" s="16" t="s">
        <v>21</v>
      </c>
      <c r="G80" s="50">
        <v>20314990</v>
      </c>
      <c r="H80" s="16" t="s">
        <v>52</v>
      </c>
      <c r="I80" s="50">
        <v>1</v>
      </c>
      <c r="J80" s="51">
        <v>8</v>
      </c>
      <c r="K80" s="51">
        <v>8</v>
      </c>
    </row>
    <row r="81" spans="4:11">
      <c r="D81" s="49">
        <v>46141</v>
      </c>
      <c r="E81" s="16">
        <v>1599056</v>
      </c>
      <c r="F81" s="16" t="s">
        <v>21</v>
      </c>
      <c r="G81" s="50">
        <v>20376624</v>
      </c>
      <c r="H81" s="16" t="s">
        <v>28</v>
      </c>
      <c r="I81" s="50">
        <v>1</v>
      </c>
      <c r="J81" s="51">
        <v>8</v>
      </c>
      <c r="K81" s="51">
        <v>8</v>
      </c>
    </row>
    <row r="82" spans="4:11">
      <c r="D82" s="49">
        <v>46141</v>
      </c>
      <c r="E82" s="16">
        <v>1599056</v>
      </c>
      <c r="F82" s="16" t="s">
        <v>21</v>
      </c>
      <c r="G82" s="50">
        <v>20406253</v>
      </c>
      <c r="H82" s="16" t="s">
        <v>39</v>
      </c>
      <c r="I82" s="50">
        <v>2</v>
      </c>
      <c r="J82" s="51">
        <v>13.5</v>
      </c>
      <c r="K82" s="51">
        <v>27</v>
      </c>
    </row>
    <row r="83" spans="4:11">
      <c r="D83" s="49">
        <v>46141</v>
      </c>
      <c r="E83" s="16">
        <v>1599056</v>
      </c>
      <c r="F83" s="16" t="s">
        <v>21</v>
      </c>
      <c r="G83" s="50">
        <v>20313588</v>
      </c>
      <c r="H83" s="16" t="s">
        <v>30</v>
      </c>
      <c r="I83" s="50">
        <v>9</v>
      </c>
      <c r="J83" s="51">
        <v>8</v>
      </c>
      <c r="K83" s="51">
        <v>72</v>
      </c>
    </row>
    <row r="84" spans="4:11">
      <c r="D84" s="49">
        <v>46141</v>
      </c>
      <c r="E84" s="16">
        <v>1599056</v>
      </c>
      <c r="F84" s="16" t="s">
        <v>21</v>
      </c>
      <c r="G84" s="50">
        <v>20376863</v>
      </c>
      <c r="H84" s="16" t="s">
        <v>72</v>
      </c>
      <c r="I84" s="50">
        <v>1</v>
      </c>
      <c r="J84" s="51">
        <v>13.5</v>
      </c>
      <c r="K84" s="51">
        <v>13.5</v>
      </c>
    </row>
    <row r="85" spans="4:11">
      <c r="D85" s="49">
        <v>46141</v>
      </c>
      <c r="E85" s="16">
        <v>1599056</v>
      </c>
      <c r="F85" s="16" t="s">
        <v>21</v>
      </c>
      <c r="G85" s="50">
        <v>20376620</v>
      </c>
      <c r="H85" s="16" t="s">
        <v>58</v>
      </c>
      <c r="I85" s="50">
        <v>1</v>
      </c>
      <c r="J85" s="51">
        <v>8</v>
      </c>
      <c r="K85" s="51">
        <v>8</v>
      </c>
    </row>
    <row r="86" spans="4:11">
      <c r="D86" s="49">
        <v>46141</v>
      </c>
      <c r="E86" s="16">
        <v>1599056</v>
      </c>
      <c r="F86" s="16" t="s">
        <v>21</v>
      </c>
      <c r="G86" s="50">
        <v>20377357</v>
      </c>
      <c r="H86" s="16" t="s">
        <v>31</v>
      </c>
      <c r="I86" s="50">
        <v>5</v>
      </c>
      <c r="J86" s="51">
        <v>8</v>
      </c>
      <c r="K86" s="51">
        <v>40</v>
      </c>
    </row>
    <row r="87" spans="4:11">
      <c r="D87" s="49">
        <v>46141</v>
      </c>
      <c r="E87" s="16">
        <v>1599056</v>
      </c>
      <c r="F87" s="16" t="s">
        <v>21</v>
      </c>
      <c r="G87" s="50">
        <v>20314990</v>
      </c>
      <c r="H87" s="16" t="s">
        <v>52</v>
      </c>
      <c r="I87" s="50">
        <v>2</v>
      </c>
      <c r="J87" s="51">
        <v>8</v>
      </c>
      <c r="K87" s="51">
        <v>16</v>
      </c>
    </row>
    <row r="88" spans="4:11">
      <c r="D88" s="49">
        <v>46141</v>
      </c>
      <c r="E88" s="16">
        <v>1599154</v>
      </c>
      <c r="F88" s="16" t="s">
        <v>21</v>
      </c>
      <c r="G88" s="50">
        <v>20406253</v>
      </c>
      <c r="H88" s="16" t="s">
        <v>39</v>
      </c>
      <c r="I88" s="50">
        <v>1</v>
      </c>
      <c r="J88" s="51">
        <v>13.5</v>
      </c>
      <c r="K88" s="51">
        <v>13.5</v>
      </c>
    </row>
    <row r="89" spans="4:11">
      <c r="D89" s="49">
        <v>46141</v>
      </c>
      <c r="E89" s="16">
        <v>1599154</v>
      </c>
      <c r="F89" s="16" t="s">
        <v>21</v>
      </c>
      <c r="G89" s="50">
        <v>20313588</v>
      </c>
      <c r="H89" s="16" t="s">
        <v>30</v>
      </c>
      <c r="I89" s="50">
        <v>7</v>
      </c>
      <c r="J89" s="51">
        <v>8</v>
      </c>
      <c r="K89" s="51">
        <v>56</v>
      </c>
    </row>
    <row r="90" spans="4:11">
      <c r="D90" s="49">
        <v>46141</v>
      </c>
      <c r="E90" s="16">
        <v>1599154</v>
      </c>
      <c r="F90" s="16" t="s">
        <v>21</v>
      </c>
      <c r="G90" s="50">
        <v>20376620</v>
      </c>
      <c r="H90" s="16" t="s">
        <v>58</v>
      </c>
      <c r="I90" s="50">
        <v>3</v>
      </c>
      <c r="J90" s="51">
        <v>8</v>
      </c>
      <c r="K90" s="51">
        <v>24</v>
      </c>
    </row>
    <row r="91" spans="4:11">
      <c r="D91" s="49">
        <v>46141</v>
      </c>
      <c r="E91" s="16">
        <v>1599154</v>
      </c>
      <c r="F91" s="16" t="s">
        <v>21</v>
      </c>
      <c r="G91" s="50">
        <v>20377357</v>
      </c>
      <c r="H91" s="16" t="s">
        <v>31</v>
      </c>
      <c r="I91" s="50">
        <v>5</v>
      </c>
      <c r="J91" s="51">
        <v>8</v>
      </c>
      <c r="K91" s="51">
        <v>40</v>
      </c>
    </row>
    <row r="92" spans="4:11">
      <c r="D92" s="49">
        <v>46141</v>
      </c>
      <c r="E92" s="16">
        <v>1599154</v>
      </c>
      <c r="F92" s="16" t="s">
        <v>21</v>
      </c>
      <c r="G92" s="50">
        <v>20314990</v>
      </c>
      <c r="H92" s="16" t="s">
        <v>52</v>
      </c>
      <c r="I92" s="50">
        <v>3</v>
      </c>
      <c r="J92" s="51">
        <v>8</v>
      </c>
      <c r="K92" s="51">
        <v>24</v>
      </c>
    </row>
    <row r="93" spans="4:11">
      <c r="D93" s="49">
        <v>46142</v>
      </c>
      <c r="E93" s="16">
        <v>1599445</v>
      </c>
      <c r="F93" s="16" t="s">
        <v>21</v>
      </c>
      <c r="G93" s="50">
        <v>20406253</v>
      </c>
      <c r="H93" s="16" t="s">
        <v>39</v>
      </c>
      <c r="I93" s="50">
        <v>1</v>
      </c>
      <c r="J93" s="51">
        <v>13.5</v>
      </c>
      <c r="K93" s="51">
        <v>13.5</v>
      </c>
    </row>
    <row r="94" spans="4:11">
      <c r="D94" s="49">
        <v>46142</v>
      </c>
      <c r="E94" s="16">
        <v>1599445</v>
      </c>
      <c r="F94" s="16" t="s">
        <v>21</v>
      </c>
      <c r="G94" s="50">
        <v>20414939</v>
      </c>
      <c r="H94" s="16" t="s">
        <v>62</v>
      </c>
      <c r="I94" s="50">
        <v>1</v>
      </c>
      <c r="J94" s="51">
        <v>8</v>
      </c>
      <c r="K94" s="51">
        <v>8</v>
      </c>
    </row>
    <row r="95" spans="4:11">
      <c r="D95" s="49">
        <v>46142</v>
      </c>
      <c r="E95" s="16">
        <v>1599445</v>
      </c>
      <c r="F95" s="16" t="s">
        <v>21</v>
      </c>
      <c r="G95" s="50">
        <v>20313588</v>
      </c>
      <c r="H95" s="16" t="s">
        <v>30</v>
      </c>
      <c r="I95" s="50">
        <v>10</v>
      </c>
      <c r="J95" s="51">
        <v>8</v>
      </c>
      <c r="K95" s="51">
        <v>80</v>
      </c>
    </row>
    <row r="96" spans="4:11">
      <c r="D96" s="49">
        <v>46142</v>
      </c>
      <c r="E96" s="16">
        <v>1599445</v>
      </c>
      <c r="F96" s="16" t="s">
        <v>21</v>
      </c>
      <c r="G96" s="50">
        <v>20376621</v>
      </c>
      <c r="H96" s="16" t="s">
        <v>74</v>
      </c>
      <c r="I96" s="50">
        <v>1</v>
      </c>
      <c r="J96" s="51">
        <v>8</v>
      </c>
      <c r="K96" s="51">
        <v>8</v>
      </c>
    </row>
    <row r="97" spans="4:11">
      <c r="D97" s="49">
        <v>46142</v>
      </c>
      <c r="E97" s="16">
        <v>1599445</v>
      </c>
      <c r="F97" s="16" t="s">
        <v>21</v>
      </c>
      <c r="G97" s="50">
        <v>20377357</v>
      </c>
      <c r="H97" s="16" t="s">
        <v>31</v>
      </c>
      <c r="I97" s="50">
        <v>5</v>
      </c>
      <c r="J97" s="51">
        <v>8</v>
      </c>
      <c r="K97" s="51">
        <v>40</v>
      </c>
    </row>
    <row r="98" spans="4:11">
      <c r="D98" s="49">
        <v>46142</v>
      </c>
      <c r="E98" s="16">
        <v>1599445</v>
      </c>
      <c r="F98" s="16" t="s">
        <v>21</v>
      </c>
      <c r="G98" s="50">
        <v>20314990</v>
      </c>
      <c r="H98" s="16" t="s">
        <v>52</v>
      </c>
      <c r="I98" s="50">
        <v>1</v>
      </c>
      <c r="J98" s="51">
        <v>8</v>
      </c>
      <c r="K98" s="51">
        <v>8</v>
      </c>
    </row>
    <row r="99" spans="4:11">
      <c r="D99" s="49">
        <v>46142</v>
      </c>
      <c r="E99" s="16">
        <v>1599613</v>
      </c>
      <c r="F99" s="16" t="s">
        <v>21</v>
      </c>
      <c r="G99" s="50">
        <v>20376624</v>
      </c>
      <c r="H99" s="16" t="s">
        <v>28</v>
      </c>
      <c r="I99" s="50">
        <v>1</v>
      </c>
      <c r="J99" s="51">
        <v>8</v>
      </c>
      <c r="K99" s="51">
        <v>8</v>
      </c>
    </row>
    <row r="100" spans="4:11">
      <c r="D100" s="49">
        <v>46142</v>
      </c>
      <c r="E100" s="16">
        <v>1599613</v>
      </c>
      <c r="F100" s="16" t="s">
        <v>21</v>
      </c>
      <c r="G100" s="50">
        <v>20406253</v>
      </c>
      <c r="H100" s="16" t="s">
        <v>39</v>
      </c>
      <c r="I100" s="50">
        <v>3</v>
      </c>
      <c r="J100" s="51">
        <v>13.5</v>
      </c>
      <c r="K100" s="51">
        <v>40.5</v>
      </c>
    </row>
    <row r="101" spans="4:11">
      <c r="D101" s="49">
        <v>46142</v>
      </c>
      <c r="E101" s="16">
        <v>1599613</v>
      </c>
      <c r="F101" s="16" t="s">
        <v>21</v>
      </c>
      <c r="G101" s="50">
        <v>20313588</v>
      </c>
      <c r="H101" s="16" t="s">
        <v>30</v>
      </c>
      <c r="I101" s="50">
        <v>15</v>
      </c>
      <c r="J101" s="51">
        <v>8</v>
      </c>
      <c r="K101" s="51">
        <v>120</v>
      </c>
    </row>
    <row r="102" spans="4:11">
      <c r="D102" s="49">
        <v>46142</v>
      </c>
      <c r="E102" s="16">
        <v>1599613</v>
      </c>
      <c r="F102" s="16" t="s">
        <v>21</v>
      </c>
      <c r="G102" s="50">
        <v>20396160</v>
      </c>
      <c r="H102" s="16" t="s">
        <v>60</v>
      </c>
      <c r="I102" s="50">
        <v>2</v>
      </c>
      <c r="J102" s="51">
        <v>13.5</v>
      </c>
      <c r="K102" s="51">
        <v>27</v>
      </c>
    </row>
    <row r="103" spans="4:11">
      <c r="D103" s="49">
        <v>46142</v>
      </c>
      <c r="E103" s="16">
        <v>1599613</v>
      </c>
      <c r="F103" s="16" t="s">
        <v>21</v>
      </c>
      <c r="G103" s="50">
        <v>20397287</v>
      </c>
      <c r="H103" s="16" t="s">
        <v>65</v>
      </c>
      <c r="I103" s="50">
        <v>1</v>
      </c>
      <c r="J103" s="51">
        <v>13.5</v>
      </c>
      <c r="K103" s="51">
        <v>13.5</v>
      </c>
    </row>
    <row r="104" spans="4:11">
      <c r="D104" s="49">
        <v>46142</v>
      </c>
      <c r="E104" s="16">
        <v>1599613</v>
      </c>
      <c r="F104" s="16" t="s">
        <v>21</v>
      </c>
      <c r="G104" s="50">
        <v>20376620</v>
      </c>
      <c r="H104" s="16" t="s">
        <v>58</v>
      </c>
      <c r="I104" s="50">
        <v>5</v>
      </c>
      <c r="J104" s="51">
        <v>8</v>
      </c>
      <c r="K104" s="51">
        <v>40</v>
      </c>
    </row>
    <row r="105" spans="4:11">
      <c r="D105" s="49">
        <v>46142</v>
      </c>
      <c r="E105" s="16">
        <v>1599613</v>
      </c>
      <c r="F105" s="16" t="s">
        <v>21</v>
      </c>
      <c r="G105" s="50">
        <v>20377357</v>
      </c>
      <c r="H105" s="16" t="s">
        <v>31</v>
      </c>
      <c r="I105" s="50">
        <v>4</v>
      </c>
      <c r="J105" s="51">
        <v>8</v>
      </c>
      <c r="K105" s="51">
        <v>32</v>
      </c>
    </row>
    <row r="106" spans="4:11">
      <c r="D106" s="49">
        <v>46149</v>
      </c>
      <c r="E106" s="16">
        <v>1600756</v>
      </c>
      <c r="F106" s="16" t="s">
        <v>21</v>
      </c>
      <c r="G106" s="50">
        <v>20406253</v>
      </c>
      <c r="H106" s="16" t="s">
        <v>39</v>
      </c>
      <c r="I106" s="50">
        <v>2</v>
      </c>
      <c r="J106" s="51">
        <v>13.5</v>
      </c>
      <c r="K106" s="51">
        <v>27</v>
      </c>
    </row>
    <row r="107" spans="4:11">
      <c r="D107" s="49">
        <v>46149</v>
      </c>
      <c r="E107" s="16">
        <v>1600756</v>
      </c>
      <c r="F107" s="16" t="s">
        <v>21</v>
      </c>
      <c r="G107" s="50">
        <v>20313588</v>
      </c>
      <c r="H107" s="16" t="s">
        <v>30</v>
      </c>
      <c r="I107" s="50">
        <v>9</v>
      </c>
      <c r="J107" s="51">
        <v>8</v>
      </c>
      <c r="K107" s="51">
        <v>72</v>
      </c>
    </row>
    <row r="108" spans="4:11">
      <c r="D108" s="49">
        <v>46149</v>
      </c>
      <c r="E108" s="16">
        <v>1600756</v>
      </c>
      <c r="F108" s="16" t="s">
        <v>21</v>
      </c>
      <c r="G108" s="50">
        <v>20396160</v>
      </c>
      <c r="H108" s="16" t="s">
        <v>60</v>
      </c>
      <c r="I108" s="50">
        <v>1</v>
      </c>
      <c r="J108" s="51">
        <v>13.5</v>
      </c>
      <c r="K108" s="51">
        <v>13.5</v>
      </c>
    </row>
    <row r="109" spans="4:11">
      <c r="D109" s="49">
        <v>46149</v>
      </c>
      <c r="E109" s="16">
        <v>1600756</v>
      </c>
      <c r="F109" s="16" t="s">
        <v>21</v>
      </c>
      <c r="G109" s="50">
        <v>20376620</v>
      </c>
      <c r="H109" s="16" t="s">
        <v>58</v>
      </c>
      <c r="I109" s="50">
        <v>4</v>
      </c>
      <c r="J109" s="51">
        <v>8</v>
      </c>
      <c r="K109" s="51">
        <v>32</v>
      </c>
    </row>
    <row r="110" spans="4:11">
      <c r="D110" s="49">
        <v>46149</v>
      </c>
      <c r="E110" s="16">
        <v>1600756</v>
      </c>
      <c r="F110" s="16" t="s">
        <v>21</v>
      </c>
      <c r="G110" s="50">
        <v>20377357</v>
      </c>
      <c r="H110" s="16" t="s">
        <v>31</v>
      </c>
      <c r="I110" s="50">
        <v>3</v>
      </c>
      <c r="J110" s="51">
        <v>8</v>
      </c>
      <c r="K110" s="51">
        <v>24</v>
      </c>
    </row>
    <row r="111" spans="4:11">
      <c r="D111" s="49">
        <v>46149</v>
      </c>
      <c r="E111" s="16">
        <v>1600756</v>
      </c>
      <c r="F111" s="16" t="s">
        <v>21</v>
      </c>
      <c r="G111" s="50">
        <v>20314990</v>
      </c>
      <c r="H111" s="16" t="s">
        <v>52</v>
      </c>
      <c r="I111" s="50">
        <v>2</v>
      </c>
      <c r="J111" s="51">
        <v>8</v>
      </c>
      <c r="K111" s="51">
        <v>16</v>
      </c>
    </row>
    <row r="112" spans="4:11">
      <c r="D112" s="49">
        <v>46150</v>
      </c>
      <c r="E112" s="16">
        <v>1601067</v>
      </c>
      <c r="F112" s="16" t="s">
        <v>21</v>
      </c>
      <c r="G112" s="50">
        <v>20376624</v>
      </c>
      <c r="H112" s="16" t="s">
        <v>28</v>
      </c>
      <c r="I112" s="50">
        <v>1</v>
      </c>
      <c r="J112" s="51">
        <v>8</v>
      </c>
      <c r="K112" s="51">
        <v>8</v>
      </c>
    </row>
    <row r="113" spans="4:11">
      <c r="D113" s="49">
        <v>46150</v>
      </c>
      <c r="E113" s="16">
        <v>1601067</v>
      </c>
      <c r="F113" s="16" t="s">
        <v>21</v>
      </c>
      <c r="G113" s="50">
        <v>20406253</v>
      </c>
      <c r="H113" s="16" t="s">
        <v>39</v>
      </c>
      <c r="I113" s="50">
        <v>2</v>
      </c>
      <c r="J113" s="51">
        <v>13.5</v>
      </c>
      <c r="K113" s="51">
        <v>27</v>
      </c>
    </row>
    <row r="114" spans="4:11">
      <c r="D114" s="49">
        <v>46150</v>
      </c>
      <c r="E114" s="16">
        <v>1601067</v>
      </c>
      <c r="F114" s="16" t="s">
        <v>21</v>
      </c>
      <c r="G114" s="50">
        <v>20313588</v>
      </c>
      <c r="H114" s="16" t="s">
        <v>30</v>
      </c>
      <c r="I114" s="50">
        <v>10</v>
      </c>
      <c r="J114" s="51">
        <v>8</v>
      </c>
      <c r="K114" s="51">
        <v>80</v>
      </c>
    </row>
    <row r="115" spans="4:11">
      <c r="D115" s="49">
        <v>46150</v>
      </c>
      <c r="E115" s="16">
        <v>1601067</v>
      </c>
      <c r="F115" s="16" t="s">
        <v>21</v>
      </c>
      <c r="G115" s="50">
        <v>20377357</v>
      </c>
      <c r="H115" s="16" t="s">
        <v>31</v>
      </c>
      <c r="I115" s="50">
        <v>6</v>
      </c>
      <c r="J115" s="51">
        <v>8</v>
      </c>
      <c r="K115" s="51">
        <v>48</v>
      </c>
    </row>
    <row r="116" spans="4:11">
      <c r="D116" s="49">
        <v>46150</v>
      </c>
      <c r="E116" s="16">
        <v>1601185</v>
      </c>
      <c r="F116" s="16" t="s">
        <v>21</v>
      </c>
      <c r="G116" s="50">
        <v>20406253</v>
      </c>
      <c r="H116" s="16" t="s">
        <v>39</v>
      </c>
      <c r="I116" s="50">
        <v>1</v>
      </c>
      <c r="J116" s="51">
        <v>13.5</v>
      </c>
      <c r="K116" s="51">
        <v>13.5</v>
      </c>
    </row>
    <row r="117" spans="4:11">
      <c r="D117" s="49">
        <v>46150</v>
      </c>
      <c r="E117" s="16">
        <v>1601185</v>
      </c>
      <c r="F117" s="16" t="s">
        <v>21</v>
      </c>
      <c r="G117" s="50">
        <v>20313588</v>
      </c>
      <c r="H117" s="16" t="s">
        <v>30</v>
      </c>
      <c r="I117" s="50">
        <v>6</v>
      </c>
      <c r="J117" s="51">
        <v>8</v>
      </c>
      <c r="K117" s="51">
        <v>48</v>
      </c>
    </row>
    <row r="118" spans="4:11">
      <c r="D118" s="49">
        <v>46150</v>
      </c>
      <c r="E118" s="16">
        <v>1601185</v>
      </c>
      <c r="F118" s="16" t="s">
        <v>21</v>
      </c>
      <c r="G118" s="50">
        <v>20376621</v>
      </c>
      <c r="H118" s="16" t="s">
        <v>58</v>
      </c>
      <c r="I118" s="50">
        <v>3</v>
      </c>
      <c r="J118" s="51">
        <v>8</v>
      </c>
      <c r="K118" s="51">
        <v>24</v>
      </c>
    </row>
    <row r="119" spans="4:11">
      <c r="D119" s="49">
        <v>46150</v>
      </c>
      <c r="E119" s="16">
        <v>1601185</v>
      </c>
      <c r="F119" s="16" t="s">
        <v>21</v>
      </c>
      <c r="G119" s="50">
        <v>20377357</v>
      </c>
      <c r="H119" s="16" t="s">
        <v>31</v>
      </c>
      <c r="I119" s="50">
        <v>3</v>
      </c>
      <c r="J119" s="51">
        <v>8</v>
      </c>
      <c r="K119" s="51">
        <v>24</v>
      </c>
    </row>
    <row r="120" spans="4:11">
      <c r="D120" s="49">
        <v>46150</v>
      </c>
      <c r="E120" s="16">
        <v>1601185</v>
      </c>
      <c r="F120" s="16" t="s">
        <v>21</v>
      </c>
      <c r="G120" s="50">
        <v>20314990</v>
      </c>
      <c r="H120" s="16" t="s">
        <v>52</v>
      </c>
      <c r="I120" s="50">
        <v>1</v>
      </c>
      <c r="J120" s="51">
        <v>8</v>
      </c>
      <c r="K120" s="51">
        <v>8</v>
      </c>
    </row>
    <row r="121" spans="4:11">
      <c r="D121" s="49">
        <v>46151</v>
      </c>
      <c r="E121" s="16">
        <v>1601496</v>
      </c>
      <c r="F121" s="16" t="s">
        <v>21</v>
      </c>
      <c r="G121" s="50">
        <v>20376624</v>
      </c>
      <c r="H121" s="16" t="s">
        <v>28</v>
      </c>
      <c r="I121" s="50">
        <v>2</v>
      </c>
      <c r="J121" s="51">
        <v>8</v>
      </c>
      <c r="K121" s="51">
        <v>16</v>
      </c>
    </row>
    <row r="122" spans="4:11">
      <c r="D122" s="49">
        <v>46151</v>
      </c>
      <c r="E122" s="16">
        <v>1601496</v>
      </c>
      <c r="F122" s="16" t="s">
        <v>21</v>
      </c>
      <c r="G122" s="50">
        <v>20406253</v>
      </c>
      <c r="H122" s="16" t="s">
        <v>39</v>
      </c>
      <c r="I122" s="50">
        <v>4</v>
      </c>
      <c r="J122" s="51">
        <v>13.5</v>
      </c>
      <c r="K122" s="51">
        <v>54</v>
      </c>
    </row>
    <row r="123" spans="4:11">
      <c r="D123" s="49">
        <v>46151</v>
      </c>
      <c r="E123" s="16">
        <v>1601496</v>
      </c>
      <c r="F123" s="16" t="s">
        <v>21</v>
      </c>
      <c r="G123" s="50">
        <v>20313588</v>
      </c>
      <c r="H123" s="16" t="s">
        <v>30</v>
      </c>
      <c r="I123" s="50">
        <v>15</v>
      </c>
      <c r="J123" s="51">
        <v>8</v>
      </c>
      <c r="K123" s="51">
        <v>120</v>
      </c>
    </row>
    <row r="124" spans="4:11">
      <c r="D124" s="49">
        <v>46151</v>
      </c>
      <c r="E124" s="16">
        <v>1601496</v>
      </c>
      <c r="F124" s="16" t="s">
        <v>21</v>
      </c>
      <c r="G124" s="50">
        <v>20396160</v>
      </c>
      <c r="H124" s="16" t="s">
        <v>60</v>
      </c>
      <c r="I124" s="50">
        <v>2</v>
      </c>
      <c r="J124" s="51">
        <v>13.5</v>
      </c>
      <c r="K124" s="51">
        <v>27</v>
      </c>
    </row>
    <row r="125" spans="4:11">
      <c r="D125" s="49">
        <v>46151</v>
      </c>
      <c r="E125" s="16">
        <v>1601496</v>
      </c>
      <c r="F125" s="16" t="s">
        <v>21</v>
      </c>
      <c r="G125" s="50">
        <v>20376620</v>
      </c>
      <c r="H125" s="16" t="s">
        <v>58</v>
      </c>
      <c r="I125" s="50">
        <v>1</v>
      </c>
      <c r="J125" s="51">
        <v>8</v>
      </c>
      <c r="K125" s="51">
        <v>8</v>
      </c>
    </row>
    <row r="126" spans="4:11">
      <c r="D126" s="49">
        <v>46151</v>
      </c>
      <c r="E126" s="16">
        <v>1601496</v>
      </c>
      <c r="F126" s="16" t="s">
        <v>21</v>
      </c>
      <c r="G126" s="50">
        <v>20377357</v>
      </c>
      <c r="H126" s="16" t="s">
        <v>31</v>
      </c>
      <c r="I126" s="50">
        <v>5</v>
      </c>
      <c r="J126" s="51">
        <v>8</v>
      </c>
      <c r="K126" s="51">
        <v>40</v>
      </c>
    </row>
    <row r="127" spans="4:11">
      <c r="D127" s="49">
        <v>46151</v>
      </c>
      <c r="E127" s="16">
        <v>1601496</v>
      </c>
      <c r="F127" s="16" t="s">
        <v>21</v>
      </c>
      <c r="G127" s="50">
        <v>20314990</v>
      </c>
      <c r="H127" s="16" t="s">
        <v>52</v>
      </c>
      <c r="I127" s="50">
        <v>1</v>
      </c>
      <c r="J127" s="51">
        <v>8</v>
      </c>
      <c r="K127" s="51">
        <v>8</v>
      </c>
    </row>
    <row r="128" spans="4:11">
      <c r="D128" s="49">
        <v>46151</v>
      </c>
      <c r="E128" s="16">
        <v>1601611</v>
      </c>
      <c r="F128" s="16" t="s">
        <v>21</v>
      </c>
      <c r="G128" s="50">
        <v>20313588</v>
      </c>
      <c r="H128" s="16" t="s">
        <v>30</v>
      </c>
      <c r="I128" s="50">
        <v>8</v>
      </c>
      <c r="J128" s="51">
        <v>8</v>
      </c>
      <c r="K128" s="51">
        <v>64</v>
      </c>
    </row>
    <row r="129" spans="4:11">
      <c r="D129" s="49">
        <v>46151</v>
      </c>
      <c r="E129" s="16">
        <v>1601611</v>
      </c>
      <c r="F129" s="16" t="s">
        <v>21</v>
      </c>
      <c r="G129" s="50">
        <v>20396160</v>
      </c>
      <c r="H129" s="16" t="s">
        <v>60</v>
      </c>
      <c r="I129" s="50">
        <v>1</v>
      </c>
      <c r="J129" s="51">
        <v>13.5</v>
      </c>
      <c r="K129" s="51">
        <v>13.5</v>
      </c>
    </row>
    <row r="130" spans="4:11">
      <c r="D130" s="49">
        <v>46151</v>
      </c>
      <c r="E130" s="16">
        <v>1601611</v>
      </c>
      <c r="F130" s="16" t="s">
        <v>21</v>
      </c>
      <c r="G130" s="50">
        <v>20376620</v>
      </c>
      <c r="H130" s="16" t="s">
        <v>58</v>
      </c>
      <c r="I130" s="50">
        <v>2</v>
      </c>
      <c r="J130" s="51">
        <v>8</v>
      </c>
      <c r="K130" s="51">
        <v>16</v>
      </c>
    </row>
    <row r="131" spans="4:11">
      <c r="D131" s="49">
        <v>46151</v>
      </c>
      <c r="E131" s="16">
        <v>1601611</v>
      </c>
      <c r="F131" s="16" t="s">
        <v>21</v>
      </c>
      <c r="G131" s="50">
        <v>20314990</v>
      </c>
      <c r="H131" s="16" t="s">
        <v>52</v>
      </c>
      <c r="I131" s="50">
        <v>2</v>
      </c>
      <c r="J131" s="51">
        <v>8</v>
      </c>
      <c r="K131" s="51">
        <v>16</v>
      </c>
    </row>
    <row r="132" spans="4:11">
      <c r="D132" s="49">
        <v>46154</v>
      </c>
      <c r="E132" s="16">
        <v>1602301</v>
      </c>
      <c r="F132" s="16" t="s">
        <v>21</v>
      </c>
      <c r="G132" s="50">
        <v>20406253</v>
      </c>
      <c r="H132" s="16" t="s">
        <v>39</v>
      </c>
      <c r="I132" s="50">
        <v>1</v>
      </c>
      <c r="J132" s="51">
        <v>13.5</v>
      </c>
      <c r="K132" s="51">
        <v>13.5</v>
      </c>
    </row>
    <row r="133" spans="4:11">
      <c r="D133" s="49">
        <v>46154</v>
      </c>
      <c r="E133" s="16">
        <v>1602301</v>
      </c>
      <c r="F133" s="16" t="s">
        <v>21</v>
      </c>
      <c r="G133" s="50">
        <v>20313588</v>
      </c>
      <c r="H133" s="16" t="s">
        <v>30</v>
      </c>
      <c r="I133" s="50">
        <v>7</v>
      </c>
      <c r="J133" s="51">
        <v>8</v>
      </c>
      <c r="K133" s="51">
        <v>56</v>
      </c>
    </row>
    <row r="134" spans="4:11">
      <c r="D134" s="49">
        <v>46154</v>
      </c>
      <c r="E134" s="16">
        <v>1602301</v>
      </c>
      <c r="F134" s="16" t="s">
        <v>21</v>
      </c>
      <c r="G134" s="50">
        <v>20376620</v>
      </c>
      <c r="H134" s="16" t="s">
        <v>58</v>
      </c>
      <c r="I134" s="50">
        <v>5</v>
      </c>
      <c r="J134" s="51">
        <v>8</v>
      </c>
      <c r="K134" s="51">
        <v>40</v>
      </c>
    </row>
    <row r="135" spans="4:11">
      <c r="D135" s="49">
        <v>46154</v>
      </c>
      <c r="E135" s="16">
        <v>1602559</v>
      </c>
      <c r="F135" s="16" t="s">
        <v>21</v>
      </c>
      <c r="G135" s="50">
        <v>20406253</v>
      </c>
      <c r="H135" s="16" t="s">
        <v>39</v>
      </c>
      <c r="I135" s="50">
        <v>3</v>
      </c>
      <c r="J135" s="51">
        <v>13.5</v>
      </c>
      <c r="K135" s="51">
        <v>40.5</v>
      </c>
    </row>
    <row r="136" spans="4:11">
      <c r="D136" s="49">
        <v>46154</v>
      </c>
      <c r="E136" s="16">
        <v>1602559</v>
      </c>
      <c r="F136" s="16" t="s">
        <v>21</v>
      </c>
      <c r="G136" s="50">
        <v>20313588</v>
      </c>
      <c r="H136" s="16" t="s">
        <v>30</v>
      </c>
      <c r="I136" s="50">
        <v>9</v>
      </c>
      <c r="J136" s="51">
        <v>8</v>
      </c>
      <c r="K136" s="51">
        <v>72</v>
      </c>
    </row>
    <row r="137" spans="4:11">
      <c r="D137" s="49">
        <v>46154</v>
      </c>
      <c r="E137" s="16">
        <v>1602559</v>
      </c>
      <c r="F137" s="16" t="s">
        <v>21</v>
      </c>
      <c r="G137" s="50">
        <v>20376621</v>
      </c>
      <c r="H137" s="16" t="s">
        <v>58</v>
      </c>
      <c r="I137" s="50">
        <v>1</v>
      </c>
      <c r="J137" s="51">
        <v>8</v>
      </c>
      <c r="K137" s="51">
        <v>8</v>
      </c>
    </row>
    <row r="138" spans="4:11">
      <c r="D138" s="49">
        <v>46154</v>
      </c>
      <c r="E138" s="16">
        <v>1602559</v>
      </c>
      <c r="F138" s="16" t="s">
        <v>21</v>
      </c>
      <c r="G138" s="50">
        <v>20377357</v>
      </c>
      <c r="H138" s="16" t="s">
        <v>31</v>
      </c>
      <c r="I138" s="50">
        <v>7</v>
      </c>
      <c r="J138" s="51">
        <v>8</v>
      </c>
      <c r="K138" s="51">
        <v>56</v>
      </c>
    </row>
    <row r="139" spans="4:11">
      <c r="D139" s="49">
        <v>46155</v>
      </c>
      <c r="E139" s="16">
        <v>1602678</v>
      </c>
      <c r="F139" s="16" t="s">
        <v>21</v>
      </c>
      <c r="G139" s="50">
        <v>20406253</v>
      </c>
      <c r="H139" s="16" t="s">
        <v>39</v>
      </c>
      <c r="I139" s="50">
        <v>2</v>
      </c>
      <c r="J139" s="51">
        <v>13.5</v>
      </c>
      <c r="K139" s="51">
        <v>27</v>
      </c>
    </row>
    <row r="140" spans="4:11">
      <c r="D140" s="49">
        <v>46155</v>
      </c>
      <c r="E140" s="16">
        <v>1602678</v>
      </c>
      <c r="F140" s="16" t="s">
        <v>21</v>
      </c>
      <c r="G140" s="50">
        <v>20313588</v>
      </c>
      <c r="H140" s="16" t="s">
        <v>30</v>
      </c>
      <c r="I140" s="50">
        <v>9</v>
      </c>
      <c r="J140" s="51">
        <v>8</v>
      </c>
      <c r="K140" s="51">
        <v>72</v>
      </c>
    </row>
    <row r="141" spans="4:11">
      <c r="D141" s="49">
        <v>46155</v>
      </c>
      <c r="E141" s="16">
        <v>1602678</v>
      </c>
      <c r="F141" s="16" t="s">
        <v>21</v>
      </c>
      <c r="G141" s="50">
        <v>20376620</v>
      </c>
      <c r="H141" s="16" t="s">
        <v>58</v>
      </c>
      <c r="I141" s="50">
        <v>3</v>
      </c>
      <c r="J141" s="51">
        <v>8</v>
      </c>
      <c r="K141" s="51">
        <v>24</v>
      </c>
    </row>
    <row r="142" spans="4:11">
      <c r="D142" s="49">
        <v>46155</v>
      </c>
      <c r="E142" s="16">
        <v>1602678</v>
      </c>
      <c r="F142" s="16" t="s">
        <v>21</v>
      </c>
      <c r="G142" s="50">
        <v>20377357</v>
      </c>
      <c r="H142" s="16" t="s">
        <v>31</v>
      </c>
      <c r="I142" s="50">
        <v>6</v>
      </c>
      <c r="J142" s="51">
        <v>8</v>
      </c>
      <c r="K142" s="51">
        <v>48</v>
      </c>
    </row>
    <row r="143" spans="4:11">
      <c r="D143" s="49">
        <v>46156</v>
      </c>
      <c r="E143" s="16">
        <v>1602916</v>
      </c>
      <c r="F143" s="16" t="s">
        <v>21</v>
      </c>
      <c r="G143" s="50">
        <v>20406253</v>
      </c>
      <c r="H143" s="16" t="s">
        <v>39</v>
      </c>
      <c r="I143" s="50">
        <v>2</v>
      </c>
      <c r="J143" s="51">
        <v>13.5</v>
      </c>
      <c r="K143" s="51">
        <v>27</v>
      </c>
    </row>
    <row r="144" spans="4:11">
      <c r="D144" s="49">
        <v>46156</v>
      </c>
      <c r="E144" s="16">
        <v>1602916</v>
      </c>
      <c r="F144" s="16" t="s">
        <v>21</v>
      </c>
      <c r="G144" s="50">
        <v>20313588</v>
      </c>
      <c r="H144" s="16" t="s">
        <v>30</v>
      </c>
      <c r="I144" s="50">
        <v>8</v>
      </c>
      <c r="J144" s="51">
        <v>8</v>
      </c>
      <c r="K144" s="51">
        <v>64</v>
      </c>
    </row>
    <row r="145" spans="4:11">
      <c r="D145" s="49">
        <v>46156</v>
      </c>
      <c r="E145" s="16">
        <v>1602916</v>
      </c>
      <c r="F145" s="16" t="s">
        <v>21</v>
      </c>
      <c r="G145" s="50">
        <v>20376621</v>
      </c>
      <c r="H145" s="16" t="s">
        <v>58</v>
      </c>
      <c r="I145" s="50">
        <v>3</v>
      </c>
      <c r="J145" s="51">
        <v>8</v>
      </c>
      <c r="K145" s="51">
        <v>24</v>
      </c>
    </row>
    <row r="146" spans="4:11">
      <c r="D146" s="49">
        <v>46156</v>
      </c>
      <c r="E146" s="16">
        <v>1602916</v>
      </c>
      <c r="F146" s="16" t="s">
        <v>21</v>
      </c>
      <c r="G146" s="50">
        <v>20377357</v>
      </c>
      <c r="H146" s="16" t="s">
        <v>31</v>
      </c>
      <c r="I146" s="50">
        <v>1</v>
      </c>
      <c r="J146" s="51">
        <v>8</v>
      </c>
      <c r="K146" s="51">
        <v>8</v>
      </c>
    </row>
    <row r="147" spans="4:11">
      <c r="D147" s="49">
        <v>46156</v>
      </c>
      <c r="E147" s="16">
        <v>1603037</v>
      </c>
      <c r="F147" s="16" t="s">
        <v>21</v>
      </c>
      <c r="G147" s="50">
        <v>20406253</v>
      </c>
      <c r="H147" s="16" t="s">
        <v>39</v>
      </c>
      <c r="I147" s="50">
        <v>2</v>
      </c>
      <c r="J147" s="51">
        <v>13.5</v>
      </c>
      <c r="K147" s="51">
        <v>27</v>
      </c>
    </row>
    <row r="148" spans="4:11">
      <c r="D148" s="49">
        <v>46156</v>
      </c>
      <c r="E148" s="16">
        <v>1603037</v>
      </c>
      <c r="F148" s="16" t="s">
        <v>21</v>
      </c>
      <c r="G148" s="50">
        <v>20313588</v>
      </c>
      <c r="H148" s="16" t="s">
        <v>30</v>
      </c>
      <c r="I148" s="50">
        <v>4</v>
      </c>
      <c r="J148" s="51">
        <v>8</v>
      </c>
      <c r="K148" s="51">
        <v>32</v>
      </c>
    </row>
    <row r="149" spans="4:11">
      <c r="D149" s="49">
        <v>46156</v>
      </c>
      <c r="E149" s="16">
        <v>1603037</v>
      </c>
      <c r="F149" s="16" t="s">
        <v>21</v>
      </c>
      <c r="G149" s="50">
        <v>20376620</v>
      </c>
      <c r="H149" s="16" t="s">
        <v>58</v>
      </c>
      <c r="I149" s="50">
        <v>2</v>
      </c>
      <c r="J149" s="51">
        <v>8</v>
      </c>
      <c r="K149" s="51">
        <v>16</v>
      </c>
    </row>
    <row r="150" spans="4:11">
      <c r="D150" s="49">
        <v>46156</v>
      </c>
      <c r="E150" s="16">
        <v>1603037</v>
      </c>
      <c r="F150" s="16" t="s">
        <v>21</v>
      </c>
      <c r="G150" s="50">
        <v>20377357</v>
      </c>
      <c r="H150" s="16" t="s">
        <v>31</v>
      </c>
      <c r="I150" s="50">
        <v>4</v>
      </c>
      <c r="J150" s="51">
        <v>8</v>
      </c>
      <c r="K150" s="51">
        <v>32</v>
      </c>
    </row>
    <row r="151" ht="0.05" customHeight="1"/>
  </sheetData>
  <autoFilter xmlns:etc="http://www.wps.cn/officeDocument/2017/etCustomData" ref="A7:K150" etc:filterBottomFollowUsedRange="0">
    <extLst/>
  </autoFilter>
  <mergeCells count="5">
    <mergeCell ref="D8:H8"/>
    <mergeCell ref="C7:C150"/>
    <mergeCell ref="B4:H5"/>
    <mergeCell ref="A7:B1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5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75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92</v>
      </c>
      <c r="J8" s="48"/>
      <c r="K8" s="48">
        <v>795</v>
      </c>
    </row>
    <row r="9" spans="1:11">
      <c r="D9" s="49">
        <v>46130</v>
      </c>
      <c r="E9" s="16">
        <v>1596013</v>
      </c>
      <c r="F9" s="16" t="s">
        <v>21</v>
      </c>
      <c r="G9" s="50">
        <v>20313588</v>
      </c>
      <c r="H9" s="16" t="s">
        <v>30</v>
      </c>
      <c r="I9" s="50">
        <v>12</v>
      </c>
      <c r="J9" s="51">
        <v>8</v>
      </c>
      <c r="K9" s="51">
        <v>96</v>
      </c>
    </row>
    <row r="10" spans="1:11">
      <c r="D10" s="49">
        <v>46130</v>
      </c>
      <c r="E10" s="16">
        <v>1596013</v>
      </c>
      <c r="F10" s="16" t="s">
        <v>21</v>
      </c>
      <c r="G10" s="50">
        <v>20421973</v>
      </c>
      <c r="H10" s="16" t="s">
        <v>76</v>
      </c>
      <c r="I10" s="50">
        <v>1</v>
      </c>
      <c r="J10" s="51">
        <v>11</v>
      </c>
      <c r="K10" s="51">
        <v>11</v>
      </c>
    </row>
    <row r="11" spans="1:11">
      <c r="D11" s="49">
        <v>46130</v>
      </c>
      <c r="E11" s="16">
        <v>1596013</v>
      </c>
      <c r="F11" s="16" t="s">
        <v>21</v>
      </c>
      <c r="G11" s="50">
        <v>20396337</v>
      </c>
      <c r="H11" s="16" t="s">
        <v>36</v>
      </c>
      <c r="I11" s="50">
        <v>2</v>
      </c>
      <c r="J11" s="51">
        <v>8</v>
      </c>
      <c r="K11" s="51">
        <v>16</v>
      </c>
    </row>
    <row r="12" spans="1:11">
      <c r="D12" s="49">
        <v>46135</v>
      </c>
      <c r="E12" s="16">
        <v>1597329</v>
      </c>
      <c r="F12" s="16" t="s">
        <v>21</v>
      </c>
      <c r="G12" s="50">
        <v>20313588</v>
      </c>
      <c r="H12" s="16" t="s">
        <v>30</v>
      </c>
      <c r="I12" s="50">
        <v>2</v>
      </c>
      <c r="J12" s="51">
        <v>8</v>
      </c>
      <c r="K12" s="51">
        <v>16</v>
      </c>
    </row>
    <row r="13" spans="1:11">
      <c r="D13" s="49">
        <v>46135</v>
      </c>
      <c r="E13" s="16">
        <v>1597329</v>
      </c>
      <c r="F13" s="16" t="s">
        <v>21</v>
      </c>
      <c r="G13" s="50">
        <v>20377357</v>
      </c>
      <c r="H13" s="16" t="s">
        <v>31</v>
      </c>
      <c r="I13" s="50">
        <v>3</v>
      </c>
      <c r="J13" s="51">
        <v>8</v>
      </c>
      <c r="K13" s="51">
        <v>24</v>
      </c>
    </row>
    <row r="14" spans="1:11">
      <c r="D14" s="49">
        <v>46142</v>
      </c>
      <c r="E14" s="16">
        <v>1599903</v>
      </c>
      <c r="F14" s="16" t="s">
        <v>21</v>
      </c>
      <c r="G14" s="50">
        <v>20414939</v>
      </c>
      <c r="H14" s="16" t="s">
        <v>62</v>
      </c>
      <c r="I14" s="50">
        <v>2</v>
      </c>
      <c r="J14" s="51">
        <v>8</v>
      </c>
      <c r="K14" s="51">
        <v>16</v>
      </c>
    </row>
    <row r="15" spans="1:11">
      <c r="D15" s="49">
        <v>46142</v>
      </c>
      <c r="E15" s="16">
        <v>1599903</v>
      </c>
      <c r="F15" s="16" t="s">
        <v>21</v>
      </c>
      <c r="G15" s="50">
        <v>20313588</v>
      </c>
      <c r="H15" s="16" t="s">
        <v>30</v>
      </c>
      <c r="I15" s="50">
        <v>4</v>
      </c>
      <c r="J15" s="51">
        <v>8</v>
      </c>
      <c r="K15" s="51">
        <v>32</v>
      </c>
    </row>
    <row r="16" spans="1:11">
      <c r="D16" s="49">
        <v>46142</v>
      </c>
      <c r="E16" s="16">
        <v>1599903</v>
      </c>
      <c r="F16" s="16" t="s">
        <v>21</v>
      </c>
      <c r="G16" s="50">
        <v>20393917</v>
      </c>
      <c r="H16" s="16" t="s">
        <v>47</v>
      </c>
      <c r="I16" s="50">
        <v>1</v>
      </c>
      <c r="J16" s="51">
        <v>11</v>
      </c>
      <c r="K16" s="51">
        <v>11</v>
      </c>
    </row>
    <row r="17" spans="4:11">
      <c r="D17" s="49">
        <v>46142</v>
      </c>
      <c r="E17" s="16">
        <v>1599903</v>
      </c>
      <c r="F17" s="16" t="s">
        <v>21</v>
      </c>
      <c r="G17" s="50">
        <v>20354551</v>
      </c>
      <c r="H17" s="16" t="s">
        <v>77</v>
      </c>
      <c r="I17" s="50">
        <v>1</v>
      </c>
      <c r="J17" s="51">
        <v>8</v>
      </c>
      <c r="K17" s="51">
        <v>8</v>
      </c>
    </row>
    <row r="18" spans="4:11">
      <c r="D18" s="49">
        <v>46142</v>
      </c>
      <c r="E18" s="16">
        <v>1599903</v>
      </c>
      <c r="F18" s="16" t="s">
        <v>21</v>
      </c>
      <c r="G18" s="50">
        <v>20377357</v>
      </c>
      <c r="H18" s="16" t="s">
        <v>31</v>
      </c>
      <c r="I18" s="50">
        <v>1</v>
      </c>
      <c r="J18" s="51">
        <v>8</v>
      </c>
      <c r="K18" s="51">
        <v>8</v>
      </c>
    </row>
    <row r="19" spans="4:11">
      <c r="D19" s="49">
        <v>46150</v>
      </c>
      <c r="E19" s="16">
        <v>1601068</v>
      </c>
      <c r="F19" s="16" t="s">
        <v>21</v>
      </c>
      <c r="G19" s="50">
        <v>20406253</v>
      </c>
      <c r="H19" s="16" t="s">
        <v>39</v>
      </c>
      <c r="I19" s="50">
        <v>1</v>
      </c>
      <c r="J19" s="51">
        <v>13.5</v>
      </c>
      <c r="K19" s="51">
        <v>13.5</v>
      </c>
    </row>
    <row r="20" spans="4:11">
      <c r="D20" s="49">
        <v>46150</v>
      </c>
      <c r="E20" s="16">
        <v>1601068</v>
      </c>
      <c r="F20" s="16" t="s">
        <v>21</v>
      </c>
      <c r="G20" s="50">
        <v>20313588</v>
      </c>
      <c r="H20" s="16" t="s">
        <v>30</v>
      </c>
      <c r="I20" s="50">
        <v>3</v>
      </c>
      <c r="J20" s="51">
        <v>8</v>
      </c>
      <c r="K20" s="51">
        <v>24</v>
      </c>
    </row>
    <row r="21" spans="4:11">
      <c r="D21" s="49">
        <v>46150</v>
      </c>
      <c r="E21" s="16">
        <v>1601068</v>
      </c>
      <c r="F21" s="16" t="s">
        <v>21</v>
      </c>
      <c r="G21" s="50">
        <v>20377357</v>
      </c>
      <c r="H21" s="16" t="s">
        <v>31</v>
      </c>
      <c r="I21" s="50">
        <v>5</v>
      </c>
      <c r="J21" s="51">
        <v>8</v>
      </c>
      <c r="K21" s="51">
        <v>40</v>
      </c>
    </row>
    <row r="22" spans="4:11">
      <c r="D22" s="49">
        <v>46150</v>
      </c>
      <c r="E22" s="16">
        <v>1601186</v>
      </c>
      <c r="F22" s="16" t="s">
        <v>21</v>
      </c>
      <c r="G22" s="50">
        <v>20406253</v>
      </c>
      <c r="H22" s="16" t="s">
        <v>39</v>
      </c>
      <c r="I22" s="50">
        <v>1</v>
      </c>
      <c r="J22" s="51">
        <v>13.5</v>
      </c>
      <c r="K22" s="51">
        <v>13.5</v>
      </c>
    </row>
    <row r="23" spans="4:11">
      <c r="D23" s="49">
        <v>46150</v>
      </c>
      <c r="E23" s="16">
        <v>1601186</v>
      </c>
      <c r="F23" s="16" t="s">
        <v>21</v>
      </c>
      <c r="G23" s="50">
        <v>20313588</v>
      </c>
      <c r="H23" s="16" t="s">
        <v>30</v>
      </c>
      <c r="I23" s="50">
        <v>3</v>
      </c>
      <c r="J23" s="51">
        <v>8</v>
      </c>
      <c r="K23" s="51">
        <v>24</v>
      </c>
    </row>
    <row r="24" spans="4:11">
      <c r="D24" s="49">
        <v>46150</v>
      </c>
      <c r="E24" s="16">
        <v>1601186</v>
      </c>
      <c r="F24" s="16" t="s">
        <v>21</v>
      </c>
      <c r="G24" s="50">
        <v>20377357</v>
      </c>
      <c r="H24" s="16" t="s">
        <v>31</v>
      </c>
      <c r="I24" s="50">
        <v>1</v>
      </c>
      <c r="J24" s="51">
        <v>8</v>
      </c>
      <c r="K24" s="51">
        <v>8</v>
      </c>
    </row>
    <row r="25" spans="4:11">
      <c r="D25" s="49">
        <v>46151</v>
      </c>
      <c r="E25" s="16">
        <v>1601497</v>
      </c>
      <c r="F25" s="16" t="s">
        <v>21</v>
      </c>
      <c r="G25" s="50">
        <v>20376624</v>
      </c>
      <c r="H25" s="16" t="s">
        <v>28</v>
      </c>
      <c r="I25" s="50">
        <v>1</v>
      </c>
      <c r="J25" s="51">
        <v>8</v>
      </c>
      <c r="K25" s="51">
        <v>8</v>
      </c>
    </row>
    <row r="26" spans="4:11">
      <c r="D26" s="49">
        <v>46151</v>
      </c>
      <c r="E26" s="16">
        <v>1601497</v>
      </c>
      <c r="F26" s="16" t="s">
        <v>21</v>
      </c>
      <c r="G26" s="50">
        <v>20313588</v>
      </c>
      <c r="H26" s="16" t="s">
        <v>30</v>
      </c>
      <c r="I26" s="50">
        <v>1</v>
      </c>
      <c r="J26" s="51">
        <v>8</v>
      </c>
      <c r="K26" s="51">
        <v>8</v>
      </c>
    </row>
    <row r="27" spans="4:11">
      <c r="D27" s="49">
        <v>46151</v>
      </c>
      <c r="E27" s="16">
        <v>1601497</v>
      </c>
      <c r="F27" s="16" t="s">
        <v>21</v>
      </c>
      <c r="G27" s="50">
        <v>20377357</v>
      </c>
      <c r="H27" s="16" t="s">
        <v>31</v>
      </c>
      <c r="I27" s="50">
        <v>1</v>
      </c>
      <c r="J27" s="51">
        <v>8</v>
      </c>
      <c r="K27" s="51">
        <v>8</v>
      </c>
    </row>
    <row r="28" spans="4:11">
      <c r="D28" s="49">
        <v>46151</v>
      </c>
      <c r="E28" s="16">
        <v>1601612</v>
      </c>
      <c r="F28" s="16" t="s">
        <v>21</v>
      </c>
      <c r="G28" s="50">
        <v>20406253</v>
      </c>
      <c r="H28" s="16" t="s">
        <v>39</v>
      </c>
      <c r="I28" s="50">
        <v>1</v>
      </c>
      <c r="J28" s="51">
        <v>13.5</v>
      </c>
      <c r="K28" s="51">
        <v>13.5</v>
      </c>
    </row>
    <row r="29" spans="4:11">
      <c r="D29" s="49">
        <v>46151</v>
      </c>
      <c r="E29" s="16">
        <v>1601612</v>
      </c>
      <c r="F29" s="16" t="s">
        <v>21</v>
      </c>
      <c r="G29" s="50">
        <v>20313588</v>
      </c>
      <c r="H29" s="16" t="s">
        <v>30</v>
      </c>
      <c r="I29" s="50">
        <v>1</v>
      </c>
      <c r="J29" s="51">
        <v>8</v>
      </c>
      <c r="K29" s="51">
        <v>8</v>
      </c>
    </row>
    <row r="30" spans="4:11">
      <c r="D30" s="49">
        <v>46151</v>
      </c>
      <c r="E30" s="16">
        <v>1601612</v>
      </c>
      <c r="F30" s="16" t="s">
        <v>21</v>
      </c>
      <c r="G30" s="50">
        <v>20377357</v>
      </c>
      <c r="H30" s="16" t="s">
        <v>31</v>
      </c>
      <c r="I30" s="50">
        <v>2</v>
      </c>
      <c r="J30" s="51">
        <v>8</v>
      </c>
      <c r="K30" s="51">
        <v>16</v>
      </c>
    </row>
    <row r="31" spans="4:11">
      <c r="D31" s="49">
        <v>46151</v>
      </c>
      <c r="E31" s="16">
        <v>1601795</v>
      </c>
      <c r="F31" s="16" t="s">
        <v>21</v>
      </c>
      <c r="G31" s="50">
        <v>20376624</v>
      </c>
      <c r="H31" s="16" t="s">
        <v>28</v>
      </c>
      <c r="I31" s="50">
        <v>1</v>
      </c>
      <c r="J31" s="51">
        <v>8</v>
      </c>
      <c r="K31" s="51">
        <v>8</v>
      </c>
    </row>
    <row r="32" spans="4:11">
      <c r="D32" s="49">
        <v>46151</v>
      </c>
      <c r="E32" s="16">
        <v>1601795</v>
      </c>
      <c r="F32" s="16" t="s">
        <v>21</v>
      </c>
      <c r="G32" s="50">
        <v>20406253</v>
      </c>
      <c r="H32" s="16" t="s">
        <v>39</v>
      </c>
      <c r="I32" s="50">
        <v>1</v>
      </c>
      <c r="J32" s="51">
        <v>13.5</v>
      </c>
      <c r="K32" s="51">
        <v>13.5</v>
      </c>
    </row>
    <row r="33" spans="4:11">
      <c r="D33" s="49">
        <v>46151</v>
      </c>
      <c r="E33" s="16">
        <v>1601795</v>
      </c>
      <c r="F33" s="16" t="s">
        <v>21</v>
      </c>
      <c r="G33" s="50">
        <v>20414939</v>
      </c>
      <c r="H33" s="16" t="s">
        <v>62</v>
      </c>
      <c r="I33" s="50">
        <v>1</v>
      </c>
      <c r="J33" s="51">
        <v>8</v>
      </c>
      <c r="K33" s="51">
        <v>8</v>
      </c>
    </row>
    <row r="34" spans="4:11">
      <c r="D34" s="49">
        <v>46151</v>
      </c>
      <c r="E34" s="16">
        <v>1601795</v>
      </c>
      <c r="F34" s="16" t="s">
        <v>21</v>
      </c>
      <c r="G34" s="50">
        <v>20313588</v>
      </c>
      <c r="H34" s="16" t="s">
        <v>30</v>
      </c>
      <c r="I34" s="50">
        <v>5</v>
      </c>
      <c r="J34" s="51">
        <v>8</v>
      </c>
      <c r="K34" s="51">
        <v>40</v>
      </c>
    </row>
    <row r="35" spans="4:11">
      <c r="D35" s="49">
        <v>46151</v>
      </c>
      <c r="E35" s="16">
        <v>1601795</v>
      </c>
      <c r="F35" s="16" t="s">
        <v>21</v>
      </c>
      <c r="G35" s="50">
        <v>20377357</v>
      </c>
      <c r="H35" s="16" t="s">
        <v>31</v>
      </c>
      <c r="I35" s="50">
        <v>2</v>
      </c>
      <c r="J35" s="51">
        <v>8</v>
      </c>
      <c r="K35" s="51">
        <v>16</v>
      </c>
    </row>
    <row r="36" spans="4:11">
      <c r="D36" s="49">
        <v>46154</v>
      </c>
      <c r="E36" s="16">
        <v>1602302</v>
      </c>
      <c r="F36" s="16" t="s">
        <v>21</v>
      </c>
      <c r="G36" s="50">
        <v>20406253</v>
      </c>
      <c r="H36" s="16" t="s">
        <v>39</v>
      </c>
      <c r="I36" s="50">
        <v>1</v>
      </c>
      <c r="J36" s="51">
        <v>13.5</v>
      </c>
      <c r="K36" s="51">
        <v>13.5</v>
      </c>
    </row>
    <row r="37" spans="4:11">
      <c r="D37" s="49">
        <v>46154</v>
      </c>
      <c r="E37" s="16">
        <v>1602302</v>
      </c>
      <c r="F37" s="16" t="s">
        <v>21</v>
      </c>
      <c r="G37" s="50">
        <v>20313588</v>
      </c>
      <c r="H37" s="16" t="s">
        <v>30</v>
      </c>
      <c r="I37" s="50">
        <v>2</v>
      </c>
      <c r="J37" s="51">
        <v>8</v>
      </c>
      <c r="K37" s="51">
        <v>16</v>
      </c>
    </row>
    <row r="38" spans="4:11">
      <c r="D38" s="49">
        <v>46154</v>
      </c>
      <c r="E38" s="16">
        <v>1602302</v>
      </c>
      <c r="F38" s="16" t="s">
        <v>21</v>
      </c>
      <c r="G38" s="50">
        <v>20377357</v>
      </c>
      <c r="H38" s="16" t="s">
        <v>31</v>
      </c>
      <c r="I38" s="50">
        <v>4</v>
      </c>
      <c r="J38" s="51">
        <v>8</v>
      </c>
      <c r="K38" s="51">
        <v>32</v>
      </c>
    </row>
    <row r="39" spans="4:11">
      <c r="D39" s="49">
        <v>46155</v>
      </c>
      <c r="E39" s="16">
        <v>1602679</v>
      </c>
      <c r="F39" s="16" t="s">
        <v>21</v>
      </c>
      <c r="G39" s="50">
        <v>20406253</v>
      </c>
      <c r="H39" s="16" t="s">
        <v>39</v>
      </c>
      <c r="I39" s="50">
        <v>1</v>
      </c>
      <c r="J39" s="51">
        <v>13.5</v>
      </c>
      <c r="K39" s="51">
        <v>13.5</v>
      </c>
    </row>
    <row r="40" spans="4:11">
      <c r="D40" s="49">
        <v>46155</v>
      </c>
      <c r="E40" s="16">
        <v>1602679</v>
      </c>
      <c r="F40" s="16" t="s">
        <v>21</v>
      </c>
      <c r="G40" s="50">
        <v>20313588</v>
      </c>
      <c r="H40" s="16" t="s">
        <v>30</v>
      </c>
      <c r="I40" s="50">
        <v>4</v>
      </c>
      <c r="J40" s="51">
        <v>8</v>
      </c>
      <c r="K40" s="51">
        <v>32</v>
      </c>
    </row>
    <row r="41" spans="4:11">
      <c r="D41" s="49">
        <v>46155</v>
      </c>
      <c r="E41" s="16">
        <v>1602679</v>
      </c>
      <c r="F41" s="16" t="s">
        <v>21</v>
      </c>
      <c r="G41" s="50">
        <v>20393917</v>
      </c>
      <c r="H41" s="16" t="s">
        <v>47</v>
      </c>
      <c r="I41" s="50">
        <v>2</v>
      </c>
      <c r="J41" s="51">
        <v>11</v>
      </c>
      <c r="K41" s="51">
        <v>22</v>
      </c>
    </row>
    <row r="42" spans="4:11">
      <c r="D42" s="49">
        <v>46155</v>
      </c>
      <c r="E42" s="16">
        <v>1602679</v>
      </c>
      <c r="F42" s="16" t="s">
        <v>21</v>
      </c>
      <c r="G42" s="50">
        <v>20396337</v>
      </c>
      <c r="H42" s="16" t="s">
        <v>36</v>
      </c>
      <c r="I42" s="50">
        <v>1</v>
      </c>
      <c r="J42" s="51">
        <v>8</v>
      </c>
      <c r="K42" s="51">
        <v>8</v>
      </c>
    </row>
    <row r="43" spans="4:11">
      <c r="D43" s="49">
        <v>46155</v>
      </c>
      <c r="E43" s="16">
        <v>1602679</v>
      </c>
      <c r="F43" s="16" t="s">
        <v>21</v>
      </c>
      <c r="G43" s="50">
        <v>20377357</v>
      </c>
      <c r="H43" s="16" t="s">
        <v>31</v>
      </c>
      <c r="I43" s="50">
        <v>3</v>
      </c>
      <c r="J43" s="51">
        <v>8</v>
      </c>
      <c r="K43" s="51">
        <v>24</v>
      </c>
    </row>
    <row r="44" spans="4:11">
      <c r="D44" s="49">
        <v>46156</v>
      </c>
      <c r="E44" s="16">
        <v>1602917</v>
      </c>
      <c r="F44" s="16" t="s">
        <v>21</v>
      </c>
      <c r="G44" s="50">
        <v>20406253</v>
      </c>
      <c r="H44" s="16" t="s">
        <v>39</v>
      </c>
      <c r="I44" s="50">
        <v>1</v>
      </c>
      <c r="J44" s="51">
        <v>13.5</v>
      </c>
      <c r="K44" s="51">
        <v>13.5</v>
      </c>
    </row>
    <row r="45" spans="4:11">
      <c r="D45" s="49">
        <v>46156</v>
      </c>
      <c r="E45" s="16">
        <v>1602917</v>
      </c>
      <c r="F45" s="16" t="s">
        <v>21</v>
      </c>
      <c r="G45" s="50">
        <v>20393917</v>
      </c>
      <c r="H45" s="16" t="s">
        <v>47</v>
      </c>
      <c r="I45" s="50">
        <v>1</v>
      </c>
      <c r="J45" s="51">
        <v>11</v>
      </c>
      <c r="K45" s="51">
        <v>11</v>
      </c>
    </row>
    <row r="46" spans="4:11">
      <c r="D46" s="49">
        <v>46156</v>
      </c>
      <c r="E46" s="16">
        <v>1602917</v>
      </c>
      <c r="F46" s="16" t="s">
        <v>21</v>
      </c>
      <c r="G46" s="50">
        <v>20377357</v>
      </c>
      <c r="H46" s="16" t="s">
        <v>31</v>
      </c>
      <c r="I46" s="50">
        <v>3</v>
      </c>
      <c r="J46" s="51">
        <v>8</v>
      </c>
      <c r="K46" s="51">
        <v>24</v>
      </c>
    </row>
    <row r="47" spans="4:11">
      <c r="D47" s="49">
        <v>46156</v>
      </c>
      <c r="E47" s="16">
        <v>1603038</v>
      </c>
      <c r="F47" s="16" t="s">
        <v>21</v>
      </c>
      <c r="G47" s="50">
        <v>20406253</v>
      </c>
      <c r="H47" s="16" t="s">
        <v>39</v>
      </c>
      <c r="I47" s="50">
        <v>1</v>
      </c>
      <c r="J47" s="51">
        <v>13.5</v>
      </c>
      <c r="K47" s="51">
        <v>13.5</v>
      </c>
    </row>
    <row r="48" spans="4:11">
      <c r="D48" s="49">
        <v>46156</v>
      </c>
      <c r="E48" s="16">
        <v>1603038</v>
      </c>
      <c r="F48" s="16" t="s">
        <v>21</v>
      </c>
      <c r="G48" s="50">
        <v>20414939</v>
      </c>
      <c r="H48" s="16" t="s">
        <v>62</v>
      </c>
      <c r="I48" s="50">
        <v>1</v>
      </c>
      <c r="J48" s="51">
        <v>8</v>
      </c>
      <c r="K48" s="51">
        <v>8</v>
      </c>
    </row>
    <row r="49" spans="4:11">
      <c r="D49" s="49">
        <v>46156</v>
      </c>
      <c r="E49" s="16">
        <v>1603038</v>
      </c>
      <c r="F49" s="16" t="s">
        <v>21</v>
      </c>
      <c r="G49" s="50">
        <v>20313588</v>
      </c>
      <c r="H49" s="16" t="s">
        <v>30</v>
      </c>
      <c r="I49" s="50">
        <v>3</v>
      </c>
      <c r="J49" s="51">
        <v>8</v>
      </c>
      <c r="K49" s="51">
        <v>24</v>
      </c>
    </row>
    <row r="50" spans="4:11">
      <c r="D50" s="49">
        <v>46156</v>
      </c>
      <c r="E50" s="16">
        <v>1603038</v>
      </c>
      <c r="F50" s="16" t="s">
        <v>21</v>
      </c>
      <c r="G50" s="50">
        <v>20377357</v>
      </c>
      <c r="H50" s="16" t="s">
        <v>31</v>
      </c>
      <c r="I50" s="50">
        <v>4</v>
      </c>
      <c r="J50" s="51">
        <v>8</v>
      </c>
      <c r="K50" s="51">
        <v>32</v>
      </c>
    </row>
  </sheetData>
  <autoFilter xmlns:etc="http://www.wps.cn/officeDocument/2017/etCustomData" ref="A7:K50" etc:filterBottomFollowUsedRange="0">
    <extLst/>
  </autoFilter>
  <mergeCells count="5">
    <mergeCell ref="D8:H8"/>
    <mergeCell ref="C7:C50"/>
    <mergeCell ref="B4:H5"/>
    <mergeCell ref="A7:B5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78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246</v>
      </c>
      <c r="J8" s="48"/>
      <c r="K8" s="48">
        <v>2100.5</v>
      </c>
    </row>
    <row r="9" spans="1:11">
      <c r="D9" s="49">
        <v>46127</v>
      </c>
      <c r="E9" s="16">
        <v>1594870</v>
      </c>
      <c r="F9" s="16" t="s">
        <v>21</v>
      </c>
      <c r="G9" s="50">
        <v>20313588</v>
      </c>
      <c r="H9" s="16" t="s">
        <v>30</v>
      </c>
      <c r="I9" s="50">
        <v>1</v>
      </c>
      <c r="J9" s="51">
        <v>8</v>
      </c>
      <c r="K9" s="51">
        <v>8</v>
      </c>
    </row>
    <row r="10" spans="1:11">
      <c r="D10" s="49">
        <v>46127</v>
      </c>
      <c r="E10" s="16">
        <v>1594870</v>
      </c>
      <c r="F10" s="16" t="s">
        <v>21</v>
      </c>
      <c r="G10" s="50">
        <v>20377357</v>
      </c>
      <c r="H10" s="16" t="s">
        <v>31</v>
      </c>
      <c r="I10" s="50">
        <v>2</v>
      </c>
      <c r="J10" s="51">
        <v>8</v>
      </c>
      <c r="K10" s="51">
        <v>16</v>
      </c>
    </row>
    <row r="11" spans="1:11">
      <c r="D11" s="49">
        <v>46127</v>
      </c>
      <c r="E11" s="16">
        <v>1594870</v>
      </c>
      <c r="F11" s="16" t="s">
        <v>21</v>
      </c>
      <c r="G11" s="50">
        <v>20314990</v>
      </c>
      <c r="H11" s="16" t="s">
        <v>52</v>
      </c>
      <c r="I11" s="50">
        <v>1</v>
      </c>
      <c r="J11" s="51">
        <v>8</v>
      </c>
      <c r="K11" s="51">
        <v>8</v>
      </c>
    </row>
    <row r="12" spans="1:11">
      <c r="D12" s="49">
        <v>46127</v>
      </c>
      <c r="E12" s="16">
        <v>1594969</v>
      </c>
      <c r="F12" s="16" t="s">
        <v>21</v>
      </c>
      <c r="G12" s="50">
        <v>20406253</v>
      </c>
      <c r="H12" s="16" t="s">
        <v>39</v>
      </c>
      <c r="I12" s="50">
        <v>1</v>
      </c>
      <c r="J12" s="51">
        <v>13.5</v>
      </c>
      <c r="K12" s="51">
        <v>13.5</v>
      </c>
    </row>
    <row r="13" spans="1:11">
      <c r="D13" s="49">
        <v>46127</v>
      </c>
      <c r="E13" s="16">
        <v>1594969</v>
      </c>
      <c r="F13" s="16" t="s">
        <v>21</v>
      </c>
      <c r="G13" s="50">
        <v>20313588</v>
      </c>
      <c r="H13" s="16" t="s">
        <v>30</v>
      </c>
      <c r="I13" s="50">
        <v>4</v>
      </c>
      <c r="J13" s="51">
        <v>8</v>
      </c>
      <c r="K13" s="51">
        <v>32</v>
      </c>
    </row>
    <row r="14" spans="1:11">
      <c r="D14" s="49">
        <v>46127</v>
      </c>
      <c r="E14" s="16">
        <v>1594969</v>
      </c>
      <c r="F14" s="16" t="s">
        <v>21</v>
      </c>
      <c r="G14" s="50">
        <v>20377357</v>
      </c>
      <c r="H14" s="16" t="s">
        <v>31</v>
      </c>
      <c r="I14" s="50">
        <v>4</v>
      </c>
      <c r="J14" s="51">
        <v>8</v>
      </c>
      <c r="K14" s="51">
        <v>32</v>
      </c>
    </row>
    <row r="15" spans="1:11">
      <c r="D15" s="49">
        <v>46127</v>
      </c>
      <c r="E15" s="16">
        <v>1595215</v>
      </c>
      <c r="F15" s="16" t="s">
        <v>21</v>
      </c>
      <c r="G15" s="50">
        <v>20005208</v>
      </c>
      <c r="H15" s="16" t="s">
        <v>55</v>
      </c>
      <c r="I15" s="50">
        <v>1</v>
      </c>
      <c r="J15" s="51">
        <v>8</v>
      </c>
      <c r="K15" s="51">
        <v>8</v>
      </c>
    </row>
    <row r="16" spans="1:11">
      <c r="D16" s="49">
        <v>46127</v>
      </c>
      <c r="E16" s="16">
        <v>1595215</v>
      </c>
      <c r="F16" s="16" t="s">
        <v>21</v>
      </c>
      <c r="G16" s="50">
        <v>20313588</v>
      </c>
      <c r="H16" s="16" t="s">
        <v>30</v>
      </c>
      <c r="I16" s="50">
        <v>3</v>
      </c>
      <c r="J16" s="51">
        <v>8</v>
      </c>
      <c r="K16" s="51">
        <v>24</v>
      </c>
    </row>
    <row r="17" spans="4:11">
      <c r="D17" s="49">
        <v>46127</v>
      </c>
      <c r="E17" s="16">
        <v>1595215</v>
      </c>
      <c r="F17" s="16" t="s">
        <v>21</v>
      </c>
      <c r="G17" s="50">
        <v>20376620</v>
      </c>
      <c r="H17" s="16" t="s">
        <v>58</v>
      </c>
      <c r="I17" s="50">
        <v>2</v>
      </c>
      <c r="J17" s="51">
        <v>8</v>
      </c>
      <c r="K17" s="51">
        <v>16</v>
      </c>
    </row>
    <row r="18" spans="4:11">
      <c r="D18" s="49">
        <v>46127</v>
      </c>
      <c r="E18" s="16">
        <v>1595215</v>
      </c>
      <c r="F18" s="16" t="s">
        <v>21</v>
      </c>
      <c r="G18" s="50">
        <v>20303839</v>
      </c>
      <c r="H18" s="16" t="s">
        <v>79</v>
      </c>
      <c r="I18" s="50">
        <v>2</v>
      </c>
      <c r="J18" s="51">
        <v>8</v>
      </c>
      <c r="K18" s="51">
        <v>16</v>
      </c>
    </row>
    <row r="19" spans="4:11">
      <c r="D19" s="49">
        <v>46128</v>
      </c>
      <c r="E19" s="16">
        <v>1595339</v>
      </c>
      <c r="F19" s="16" t="s">
        <v>21</v>
      </c>
      <c r="G19" s="50">
        <v>20005208</v>
      </c>
      <c r="H19" s="16" t="s">
        <v>55</v>
      </c>
      <c r="I19" s="50">
        <v>2</v>
      </c>
      <c r="J19" s="51">
        <v>8</v>
      </c>
      <c r="K19" s="51">
        <v>16</v>
      </c>
    </row>
    <row r="20" spans="4:11">
      <c r="D20" s="49">
        <v>46128</v>
      </c>
      <c r="E20" s="16">
        <v>1595339</v>
      </c>
      <c r="F20" s="16" t="s">
        <v>21</v>
      </c>
      <c r="G20" s="50">
        <v>20406253</v>
      </c>
      <c r="H20" s="16" t="s">
        <v>39</v>
      </c>
      <c r="I20" s="50">
        <v>1</v>
      </c>
      <c r="J20" s="51">
        <v>13.5</v>
      </c>
      <c r="K20" s="51">
        <v>13.5</v>
      </c>
    </row>
    <row r="21" spans="4:11">
      <c r="D21" s="49">
        <v>46128</v>
      </c>
      <c r="E21" s="16">
        <v>1595339</v>
      </c>
      <c r="F21" s="16" t="s">
        <v>21</v>
      </c>
      <c r="G21" s="50">
        <v>20313588</v>
      </c>
      <c r="H21" s="16" t="s">
        <v>30</v>
      </c>
      <c r="I21" s="50">
        <v>2</v>
      </c>
      <c r="J21" s="51">
        <v>8</v>
      </c>
      <c r="K21" s="51">
        <v>16</v>
      </c>
    </row>
    <row r="22" spans="4:11">
      <c r="D22" s="49">
        <v>46128</v>
      </c>
      <c r="E22" s="16">
        <v>1595339</v>
      </c>
      <c r="F22" s="16" t="s">
        <v>21</v>
      </c>
      <c r="G22" s="50">
        <v>20377357</v>
      </c>
      <c r="H22" s="16" t="s">
        <v>31</v>
      </c>
      <c r="I22" s="50">
        <v>1</v>
      </c>
      <c r="J22" s="51">
        <v>8</v>
      </c>
      <c r="K22" s="51">
        <v>8</v>
      </c>
    </row>
    <row r="23" spans="4:11">
      <c r="D23" s="49">
        <v>46128</v>
      </c>
      <c r="E23" s="16">
        <v>1595339</v>
      </c>
      <c r="F23" s="16" t="s">
        <v>21</v>
      </c>
      <c r="G23" s="50">
        <v>20005849</v>
      </c>
      <c r="H23" s="16" t="s">
        <v>54</v>
      </c>
      <c r="I23" s="50">
        <v>1</v>
      </c>
      <c r="J23" s="51">
        <v>8</v>
      </c>
      <c r="K23" s="51">
        <v>8</v>
      </c>
    </row>
    <row r="24" spans="4:11">
      <c r="D24" s="49">
        <v>46129</v>
      </c>
      <c r="E24" s="16">
        <v>1595644</v>
      </c>
      <c r="F24" s="16" t="s">
        <v>21</v>
      </c>
      <c r="G24" s="50">
        <v>20376624</v>
      </c>
      <c r="H24" s="16" t="s">
        <v>28</v>
      </c>
      <c r="I24" s="50">
        <v>1</v>
      </c>
      <c r="J24" s="51">
        <v>8</v>
      </c>
      <c r="K24" s="51">
        <v>8</v>
      </c>
    </row>
    <row r="25" spans="4:11">
      <c r="D25" s="49">
        <v>46129</v>
      </c>
      <c r="E25" s="16">
        <v>1595644</v>
      </c>
      <c r="F25" s="16" t="s">
        <v>21</v>
      </c>
      <c r="G25" s="50">
        <v>20398872</v>
      </c>
      <c r="H25" s="16" t="s">
        <v>44</v>
      </c>
      <c r="I25" s="50">
        <v>1</v>
      </c>
      <c r="J25" s="51">
        <v>8</v>
      </c>
      <c r="K25" s="51">
        <v>8</v>
      </c>
    </row>
    <row r="26" spans="4:11">
      <c r="D26" s="49">
        <v>46129</v>
      </c>
      <c r="E26" s="16">
        <v>1595644</v>
      </c>
      <c r="F26" s="16" t="s">
        <v>21</v>
      </c>
      <c r="G26" s="50">
        <v>20313588</v>
      </c>
      <c r="H26" s="16" t="s">
        <v>30</v>
      </c>
      <c r="I26" s="50">
        <v>6</v>
      </c>
      <c r="J26" s="51">
        <v>8</v>
      </c>
      <c r="K26" s="51">
        <v>48</v>
      </c>
    </row>
    <row r="27" spans="4:11">
      <c r="D27" s="49">
        <v>46129</v>
      </c>
      <c r="E27" s="16">
        <v>1595644</v>
      </c>
      <c r="F27" s="16" t="s">
        <v>21</v>
      </c>
      <c r="G27" s="50">
        <v>20377357</v>
      </c>
      <c r="H27" s="16" t="s">
        <v>31</v>
      </c>
      <c r="I27" s="50">
        <v>1</v>
      </c>
      <c r="J27" s="51">
        <v>8</v>
      </c>
      <c r="K27" s="51">
        <v>8</v>
      </c>
    </row>
    <row r="28" spans="4:11">
      <c r="D28" s="49">
        <v>46129</v>
      </c>
      <c r="E28" s="16">
        <v>1595780</v>
      </c>
      <c r="F28" s="16" t="s">
        <v>21</v>
      </c>
      <c r="G28" s="50">
        <v>20406253</v>
      </c>
      <c r="H28" s="16" t="s">
        <v>39</v>
      </c>
      <c r="I28" s="50">
        <v>1</v>
      </c>
      <c r="J28" s="51">
        <v>13.5</v>
      </c>
      <c r="K28" s="51">
        <v>13.5</v>
      </c>
    </row>
    <row r="29" spans="4:11">
      <c r="D29" s="49">
        <v>46129</v>
      </c>
      <c r="E29" s="16">
        <v>1595780</v>
      </c>
      <c r="F29" s="16" t="s">
        <v>21</v>
      </c>
      <c r="G29" s="50">
        <v>20313588</v>
      </c>
      <c r="H29" s="16" t="s">
        <v>30</v>
      </c>
      <c r="I29" s="50">
        <v>2</v>
      </c>
      <c r="J29" s="51">
        <v>8</v>
      </c>
      <c r="K29" s="51">
        <v>16</v>
      </c>
    </row>
    <row r="30" spans="4:11">
      <c r="D30" s="49">
        <v>46129</v>
      </c>
      <c r="E30" s="16">
        <v>1595780</v>
      </c>
      <c r="F30" s="16" t="s">
        <v>21</v>
      </c>
      <c r="G30" s="50">
        <v>20377357</v>
      </c>
      <c r="H30" s="16" t="s">
        <v>31</v>
      </c>
      <c r="I30" s="50">
        <v>3</v>
      </c>
      <c r="J30" s="51">
        <v>8</v>
      </c>
      <c r="K30" s="51">
        <v>24</v>
      </c>
    </row>
    <row r="31" spans="4:11">
      <c r="D31" s="49">
        <v>46130</v>
      </c>
      <c r="E31" s="16">
        <v>1596014</v>
      </c>
      <c r="F31" s="16" t="s">
        <v>21</v>
      </c>
      <c r="G31" s="50">
        <v>20005208</v>
      </c>
      <c r="H31" s="16" t="s">
        <v>55</v>
      </c>
      <c r="I31" s="50">
        <v>1</v>
      </c>
      <c r="J31" s="51">
        <v>8</v>
      </c>
      <c r="K31" s="51">
        <v>8</v>
      </c>
    </row>
    <row r="32" spans="4:11">
      <c r="D32" s="49">
        <v>46130</v>
      </c>
      <c r="E32" s="16">
        <v>1596014</v>
      </c>
      <c r="F32" s="16" t="s">
        <v>21</v>
      </c>
      <c r="G32" s="50">
        <v>20406253</v>
      </c>
      <c r="H32" s="16" t="s">
        <v>39</v>
      </c>
      <c r="I32" s="50">
        <v>1</v>
      </c>
      <c r="J32" s="51">
        <v>13.5</v>
      </c>
      <c r="K32" s="51">
        <v>13.5</v>
      </c>
    </row>
    <row r="33" spans="4:11">
      <c r="D33" s="49">
        <v>46130</v>
      </c>
      <c r="E33" s="16">
        <v>1596014</v>
      </c>
      <c r="F33" s="16" t="s">
        <v>21</v>
      </c>
      <c r="G33" s="50">
        <v>20313588</v>
      </c>
      <c r="H33" s="16" t="s">
        <v>30</v>
      </c>
      <c r="I33" s="50">
        <v>4</v>
      </c>
      <c r="J33" s="51">
        <v>8</v>
      </c>
      <c r="K33" s="51">
        <v>32</v>
      </c>
    </row>
    <row r="34" spans="4:11">
      <c r="D34" s="49">
        <v>46130</v>
      </c>
      <c r="E34" s="16">
        <v>1596014</v>
      </c>
      <c r="F34" s="16" t="s">
        <v>21</v>
      </c>
      <c r="G34" s="50">
        <v>20376620</v>
      </c>
      <c r="H34" s="16" t="s">
        <v>58</v>
      </c>
      <c r="I34" s="50">
        <v>1</v>
      </c>
      <c r="J34" s="51">
        <v>8</v>
      </c>
      <c r="K34" s="51">
        <v>8</v>
      </c>
    </row>
    <row r="35" spans="4:11">
      <c r="D35" s="49">
        <v>46130</v>
      </c>
      <c r="E35" s="16">
        <v>1596014</v>
      </c>
      <c r="F35" s="16" t="s">
        <v>21</v>
      </c>
      <c r="G35" s="50">
        <v>20377357</v>
      </c>
      <c r="H35" s="16" t="s">
        <v>31</v>
      </c>
      <c r="I35" s="50">
        <v>2</v>
      </c>
      <c r="J35" s="51">
        <v>8</v>
      </c>
      <c r="K35" s="51">
        <v>16</v>
      </c>
    </row>
    <row r="36" spans="4:11">
      <c r="D36" s="49">
        <v>46130</v>
      </c>
      <c r="E36" s="16">
        <v>1596014</v>
      </c>
      <c r="F36" s="16" t="s">
        <v>21</v>
      </c>
      <c r="G36" s="50">
        <v>20303839</v>
      </c>
      <c r="H36" s="16" t="s">
        <v>79</v>
      </c>
      <c r="I36" s="50">
        <v>1</v>
      </c>
      <c r="J36" s="51">
        <v>8</v>
      </c>
      <c r="K36" s="51">
        <v>8</v>
      </c>
    </row>
    <row r="37" spans="4:11">
      <c r="D37" s="49">
        <v>46134</v>
      </c>
      <c r="E37" s="16">
        <v>1597059</v>
      </c>
      <c r="F37" s="16" t="s">
        <v>21</v>
      </c>
      <c r="G37" s="50">
        <v>20376624</v>
      </c>
      <c r="H37" s="16" t="s">
        <v>28</v>
      </c>
      <c r="I37" s="50">
        <v>2</v>
      </c>
      <c r="J37" s="51">
        <v>8</v>
      </c>
      <c r="K37" s="51">
        <v>16</v>
      </c>
    </row>
    <row r="38" spans="4:11">
      <c r="D38" s="49">
        <v>46134</v>
      </c>
      <c r="E38" s="16">
        <v>1597059</v>
      </c>
      <c r="F38" s="16" t="s">
        <v>21</v>
      </c>
      <c r="G38" s="50">
        <v>20400912</v>
      </c>
      <c r="H38" s="16" t="s">
        <v>59</v>
      </c>
      <c r="I38" s="50">
        <v>1</v>
      </c>
      <c r="J38" s="51">
        <v>8</v>
      </c>
      <c r="K38" s="51">
        <v>8</v>
      </c>
    </row>
    <row r="39" spans="4:11">
      <c r="D39" s="49">
        <v>46134</v>
      </c>
      <c r="E39" s="16">
        <v>1597059</v>
      </c>
      <c r="F39" s="16" t="s">
        <v>21</v>
      </c>
      <c r="G39" s="50">
        <v>20313588</v>
      </c>
      <c r="H39" s="16" t="s">
        <v>30</v>
      </c>
      <c r="I39" s="50">
        <v>2</v>
      </c>
      <c r="J39" s="51">
        <v>8</v>
      </c>
      <c r="K39" s="51">
        <v>16</v>
      </c>
    </row>
    <row r="40" spans="4:11">
      <c r="D40" s="49">
        <v>46134</v>
      </c>
      <c r="E40" s="16">
        <v>1597059</v>
      </c>
      <c r="F40" s="16" t="s">
        <v>21</v>
      </c>
      <c r="G40" s="50">
        <v>20377357</v>
      </c>
      <c r="H40" s="16" t="s">
        <v>31</v>
      </c>
      <c r="I40" s="50">
        <v>3</v>
      </c>
      <c r="J40" s="51">
        <v>8</v>
      </c>
      <c r="K40" s="51">
        <v>24</v>
      </c>
    </row>
    <row r="41" spans="4:11">
      <c r="D41" s="49">
        <v>46134</v>
      </c>
      <c r="E41" s="16">
        <v>1597059</v>
      </c>
      <c r="F41" s="16" t="s">
        <v>21</v>
      </c>
      <c r="G41" s="50">
        <v>20314990</v>
      </c>
      <c r="H41" s="16" t="s">
        <v>52</v>
      </c>
      <c r="I41" s="50">
        <v>1</v>
      </c>
      <c r="J41" s="51">
        <v>8</v>
      </c>
      <c r="K41" s="51">
        <v>8</v>
      </c>
    </row>
    <row r="42" spans="4:11">
      <c r="D42" s="49">
        <v>46135</v>
      </c>
      <c r="E42" s="16">
        <v>1597330</v>
      </c>
      <c r="F42" s="16" t="s">
        <v>21</v>
      </c>
      <c r="G42" s="50">
        <v>20005208</v>
      </c>
      <c r="H42" s="16" t="s">
        <v>55</v>
      </c>
      <c r="I42" s="50">
        <v>1</v>
      </c>
      <c r="J42" s="51">
        <v>8</v>
      </c>
      <c r="K42" s="51">
        <v>8</v>
      </c>
    </row>
    <row r="43" spans="4:11">
      <c r="D43" s="49">
        <v>46135</v>
      </c>
      <c r="E43" s="16">
        <v>1597330</v>
      </c>
      <c r="F43" s="16" t="s">
        <v>21</v>
      </c>
      <c r="G43" s="50">
        <v>20376624</v>
      </c>
      <c r="H43" s="16" t="s">
        <v>28</v>
      </c>
      <c r="I43" s="50">
        <v>2</v>
      </c>
      <c r="J43" s="51">
        <v>8</v>
      </c>
      <c r="K43" s="51">
        <v>16</v>
      </c>
    </row>
    <row r="44" spans="4:11">
      <c r="D44" s="49">
        <v>46135</v>
      </c>
      <c r="E44" s="16">
        <v>1597330</v>
      </c>
      <c r="F44" s="16" t="s">
        <v>21</v>
      </c>
      <c r="G44" s="50">
        <v>20398872</v>
      </c>
      <c r="H44" s="16" t="s">
        <v>44</v>
      </c>
      <c r="I44" s="50">
        <v>1</v>
      </c>
      <c r="J44" s="51">
        <v>8</v>
      </c>
      <c r="K44" s="51">
        <v>8</v>
      </c>
    </row>
    <row r="45" spans="4:11">
      <c r="D45" s="49">
        <v>46135</v>
      </c>
      <c r="E45" s="16">
        <v>1597330</v>
      </c>
      <c r="F45" s="16" t="s">
        <v>21</v>
      </c>
      <c r="G45" s="50">
        <v>20406253</v>
      </c>
      <c r="H45" s="16" t="s">
        <v>39</v>
      </c>
      <c r="I45" s="50">
        <v>1</v>
      </c>
      <c r="J45" s="51">
        <v>13.5</v>
      </c>
      <c r="K45" s="51">
        <v>13.5</v>
      </c>
    </row>
    <row r="46" spans="4:11">
      <c r="D46" s="49">
        <v>46135</v>
      </c>
      <c r="E46" s="16">
        <v>1597330</v>
      </c>
      <c r="F46" s="16" t="s">
        <v>21</v>
      </c>
      <c r="G46" s="50">
        <v>20313588</v>
      </c>
      <c r="H46" s="16" t="s">
        <v>30</v>
      </c>
      <c r="I46" s="50">
        <v>4</v>
      </c>
      <c r="J46" s="51">
        <v>8</v>
      </c>
      <c r="K46" s="51">
        <v>32</v>
      </c>
    </row>
    <row r="47" spans="4:11">
      <c r="D47" s="49">
        <v>46135</v>
      </c>
      <c r="E47" s="16">
        <v>1597330</v>
      </c>
      <c r="F47" s="16" t="s">
        <v>21</v>
      </c>
      <c r="G47" s="50">
        <v>20396160</v>
      </c>
      <c r="H47" s="16" t="s">
        <v>60</v>
      </c>
      <c r="I47" s="50">
        <v>1</v>
      </c>
      <c r="J47" s="51">
        <v>13.5</v>
      </c>
      <c r="K47" s="51">
        <v>13.5</v>
      </c>
    </row>
    <row r="48" spans="4:11">
      <c r="D48" s="49">
        <v>46135</v>
      </c>
      <c r="E48" s="16">
        <v>1597330</v>
      </c>
      <c r="F48" s="16" t="s">
        <v>21</v>
      </c>
      <c r="G48" s="50">
        <v>20324084</v>
      </c>
      <c r="H48" s="16" t="s">
        <v>22</v>
      </c>
      <c r="I48" s="50">
        <v>1</v>
      </c>
      <c r="J48" s="51">
        <v>8</v>
      </c>
      <c r="K48" s="51">
        <v>8</v>
      </c>
    </row>
    <row r="49" spans="4:11">
      <c r="D49" s="49">
        <v>46135</v>
      </c>
      <c r="E49" s="16">
        <v>1597330</v>
      </c>
      <c r="F49" s="16" t="s">
        <v>21</v>
      </c>
      <c r="G49" s="50">
        <v>20376620</v>
      </c>
      <c r="H49" s="16" t="s">
        <v>58</v>
      </c>
      <c r="I49" s="50">
        <v>1</v>
      </c>
      <c r="J49" s="51">
        <v>8</v>
      </c>
      <c r="K49" s="51">
        <v>8</v>
      </c>
    </row>
    <row r="50" spans="4:11">
      <c r="D50" s="49">
        <v>46135</v>
      </c>
      <c r="E50" s="16">
        <v>1597330</v>
      </c>
      <c r="F50" s="16" t="s">
        <v>21</v>
      </c>
      <c r="G50" s="50">
        <v>20377357</v>
      </c>
      <c r="H50" s="16" t="s">
        <v>31</v>
      </c>
      <c r="I50" s="50">
        <v>3</v>
      </c>
      <c r="J50" s="51">
        <v>8</v>
      </c>
      <c r="K50" s="51">
        <v>24</v>
      </c>
    </row>
    <row r="51" spans="4:11">
      <c r="D51" s="49">
        <v>46135</v>
      </c>
      <c r="E51" s="16">
        <v>1597330</v>
      </c>
      <c r="F51" s="16" t="s">
        <v>21</v>
      </c>
      <c r="G51" s="50">
        <v>20303839</v>
      </c>
      <c r="H51" s="16" t="s">
        <v>79</v>
      </c>
      <c r="I51" s="50">
        <v>1</v>
      </c>
      <c r="J51" s="51">
        <v>8</v>
      </c>
      <c r="K51" s="51">
        <v>8</v>
      </c>
    </row>
    <row r="52" spans="4:11">
      <c r="D52" s="49">
        <v>46135</v>
      </c>
      <c r="E52" s="16">
        <v>1597437</v>
      </c>
      <c r="F52" s="16" t="s">
        <v>21</v>
      </c>
      <c r="G52" s="50">
        <v>20005208</v>
      </c>
      <c r="H52" s="16" t="s">
        <v>55</v>
      </c>
      <c r="I52" s="50">
        <v>1</v>
      </c>
      <c r="J52" s="51">
        <v>8</v>
      </c>
      <c r="K52" s="51">
        <v>8</v>
      </c>
    </row>
    <row r="53" spans="4:11">
      <c r="D53" s="49">
        <v>46135</v>
      </c>
      <c r="E53" s="16">
        <v>1597437</v>
      </c>
      <c r="F53" s="16" t="s">
        <v>21</v>
      </c>
      <c r="G53" s="50">
        <v>20313588</v>
      </c>
      <c r="H53" s="16" t="s">
        <v>30</v>
      </c>
      <c r="I53" s="50">
        <v>2</v>
      </c>
      <c r="J53" s="51">
        <v>8</v>
      </c>
      <c r="K53" s="51">
        <v>16</v>
      </c>
    </row>
    <row r="54" spans="4:11">
      <c r="D54" s="49">
        <v>46135</v>
      </c>
      <c r="E54" s="16">
        <v>1597437</v>
      </c>
      <c r="F54" s="16" t="s">
        <v>21</v>
      </c>
      <c r="G54" s="50">
        <v>20376620</v>
      </c>
      <c r="H54" s="16" t="s">
        <v>58</v>
      </c>
      <c r="I54" s="50">
        <v>1</v>
      </c>
      <c r="J54" s="51">
        <v>8</v>
      </c>
      <c r="K54" s="51">
        <v>8</v>
      </c>
    </row>
    <row r="55" spans="4:11">
      <c r="D55" s="49">
        <v>46135</v>
      </c>
      <c r="E55" s="16">
        <v>1597437</v>
      </c>
      <c r="F55" s="16" t="s">
        <v>21</v>
      </c>
      <c r="G55" s="50">
        <v>20377357</v>
      </c>
      <c r="H55" s="16" t="s">
        <v>31</v>
      </c>
      <c r="I55" s="50">
        <v>1</v>
      </c>
      <c r="J55" s="51">
        <v>8</v>
      </c>
      <c r="K55" s="51">
        <v>8</v>
      </c>
    </row>
    <row r="56" spans="4:11">
      <c r="D56" s="49">
        <v>46135</v>
      </c>
      <c r="E56" s="16">
        <v>1597437</v>
      </c>
      <c r="F56" s="16" t="s">
        <v>21</v>
      </c>
      <c r="G56" s="50">
        <v>20303839</v>
      </c>
      <c r="H56" s="16" t="s">
        <v>79</v>
      </c>
      <c r="I56" s="50">
        <v>1</v>
      </c>
      <c r="J56" s="51">
        <v>8</v>
      </c>
      <c r="K56" s="51">
        <v>8</v>
      </c>
    </row>
    <row r="57" spans="4:11">
      <c r="D57" s="49">
        <v>46136</v>
      </c>
      <c r="E57" s="16">
        <v>1597719</v>
      </c>
      <c r="F57" s="16" t="s">
        <v>21</v>
      </c>
      <c r="G57" s="50">
        <v>20376624</v>
      </c>
      <c r="H57" s="16" t="s">
        <v>28</v>
      </c>
      <c r="I57" s="50">
        <v>2</v>
      </c>
      <c r="J57" s="51">
        <v>8</v>
      </c>
      <c r="K57" s="51">
        <v>16</v>
      </c>
    </row>
    <row r="58" spans="4:11">
      <c r="D58" s="49">
        <v>46136</v>
      </c>
      <c r="E58" s="16">
        <v>1597719</v>
      </c>
      <c r="F58" s="16" t="s">
        <v>21</v>
      </c>
      <c r="G58" s="50">
        <v>20398872</v>
      </c>
      <c r="H58" s="16" t="s">
        <v>44</v>
      </c>
      <c r="I58" s="50">
        <v>1</v>
      </c>
      <c r="J58" s="51">
        <v>8</v>
      </c>
      <c r="K58" s="51">
        <v>8</v>
      </c>
    </row>
    <row r="59" spans="4:11">
      <c r="D59" s="49">
        <v>46136</v>
      </c>
      <c r="E59" s="16">
        <v>1597719</v>
      </c>
      <c r="F59" s="16" t="s">
        <v>21</v>
      </c>
      <c r="G59" s="50">
        <v>20406253</v>
      </c>
      <c r="H59" s="16" t="s">
        <v>39</v>
      </c>
      <c r="I59" s="50">
        <v>2</v>
      </c>
      <c r="J59" s="51">
        <v>13.5</v>
      </c>
      <c r="K59" s="51">
        <v>27</v>
      </c>
    </row>
    <row r="60" spans="4:11">
      <c r="D60" s="49">
        <v>46136</v>
      </c>
      <c r="E60" s="16">
        <v>1597719</v>
      </c>
      <c r="F60" s="16" t="s">
        <v>21</v>
      </c>
      <c r="G60" s="50">
        <v>20313588</v>
      </c>
      <c r="H60" s="16" t="s">
        <v>30</v>
      </c>
      <c r="I60" s="50">
        <v>4</v>
      </c>
      <c r="J60" s="51">
        <v>8</v>
      </c>
      <c r="K60" s="51">
        <v>32</v>
      </c>
    </row>
    <row r="61" spans="4:11">
      <c r="D61" s="49">
        <v>46136</v>
      </c>
      <c r="E61" s="16">
        <v>1597719</v>
      </c>
      <c r="F61" s="16" t="s">
        <v>21</v>
      </c>
      <c r="G61" s="50">
        <v>20377357</v>
      </c>
      <c r="H61" s="16" t="s">
        <v>31</v>
      </c>
      <c r="I61" s="50">
        <v>3</v>
      </c>
      <c r="J61" s="51">
        <v>8</v>
      </c>
      <c r="K61" s="51">
        <v>24</v>
      </c>
    </row>
    <row r="62" spans="4:11">
      <c r="D62" s="49">
        <v>46136</v>
      </c>
      <c r="E62" s="16">
        <v>1597719</v>
      </c>
      <c r="F62" s="16" t="s">
        <v>21</v>
      </c>
      <c r="G62" s="50">
        <v>20314990</v>
      </c>
      <c r="H62" s="16" t="s">
        <v>52</v>
      </c>
      <c r="I62" s="50">
        <v>1</v>
      </c>
      <c r="J62" s="51">
        <v>8</v>
      </c>
      <c r="K62" s="51">
        <v>8</v>
      </c>
    </row>
    <row r="63" spans="4:11">
      <c r="D63" s="49">
        <v>46136</v>
      </c>
      <c r="E63" s="16">
        <v>1597838</v>
      </c>
      <c r="F63" s="16" t="s">
        <v>21</v>
      </c>
      <c r="G63" s="50">
        <v>20005208</v>
      </c>
      <c r="H63" s="16" t="s">
        <v>55</v>
      </c>
      <c r="I63" s="50">
        <v>2</v>
      </c>
      <c r="J63" s="51">
        <v>8</v>
      </c>
      <c r="K63" s="51">
        <v>16</v>
      </c>
    </row>
    <row r="64" spans="4:11">
      <c r="D64" s="49">
        <v>46136</v>
      </c>
      <c r="E64" s="16">
        <v>1597838</v>
      </c>
      <c r="F64" s="16" t="s">
        <v>21</v>
      </c>
      <c r="G64" s="50">
        <v>20313588</v>
      </c>
      <c r="H64" s="16" t="s">
        <v>30</v>
      </c>
      <c r="I64" s="50">
        <v>5</v>
      </c>
      <c r="J64" s="51">
        <v>8</v>
      </c>
      <c r="K64" s="51">
        <v>40</v>
      </c>
    </row>
    <row r="65" spans="4:11">
      <c r="D65" s="49">
        <v>46136</v>
      </c>
      <c r="E65" s="16">
        <v>1597838</v>
      </c>
      <c r="F65" s="16" t="s">
        <v>21</v>
      </c>
      <c r="G65" s="50">
        <v>20376620</v>
      </c>
      <c r="H65" s="16" t="s">
        <v>58</v>
      </c>
      <c r="I65" s="50">
        <v>2</v>
      </c>
      <c r="J65" s="51">
        <v>8</v>
      </c>
      <c r="K65" s="51">
        <v>16</v>
      </c>
    </row>
    <row r="66" spans="4:11">
      <c r="D66" s="49">
        <v>46136</v>
      </c>
      <c r="E66" s="16">
        <v>1597838</v>
      </c>
      <c r="F66" s="16" t="s">
        <v>21</v>
      </c>
      <c r="G66" s="50">
        <v>20303839</v>
      </c>
      <c r="H66" s="16" t="s">
        <v>79</v>
      </c>
      <c r="I66" s="50">
        <v>1</v>
      </c>
      <c r="J66" s="51">
        <v>8</v>
      </c>
      <c r="K66" s="51">
        <v>8</v>
      </c>
    </row>
    <row r="67" spans="4:11">
      <c r="D67" s="49">
        <v>46140</v>
      </c>
      <c r="E67" s="16">
        <v>1598750</v>
      </c>
      <c r="F67" s="16" t="s">
        <v>21</v>
      </c>
      <c r="G67" s="50">
        <v>20406253</v>
      </c>
      <c r="H67" s="16" t="s">
        <v>39</v>
      </c>
      <c r="I67" s="50">
        <v>1</v>
      </c>
      <c r="J67" s="51">
        <v>13.5</v>
      </c>
      <c r="K67" s="51">
        <v>13.5</v>
      </c>
    </row>
    <row r="68" spans="4:11">
      <c r="D68" s="49">
        <v>46140</v>
      </c>
      <c r="E68" s="16">
        <v>1598750</v>
      </c>
      <c r="F68" s="16" t="s">
        <v>21</v>
      </c>
      <c r="G68" s="50">
        <v>20313588</v>
      </c>
      <c r="H68" s="16" t="s">
        <v>30</v>
      </c>
      <c r="I68" s="50">
        <v>2</v>
      </c>
      <c r="J68" s="51">
        <v>8</v>
      </c>
      <c r="K68" s="51">
        <v>16</v>
      </c>
    </row>
    <row r="69" spans="4:11">
      <c r="D69" s="49">
        <v>46140</v>
      </c>
      <c r="E69" s="16">
        <v>1598750</v>
      </c>
      <c r="F69" s="16" t="s">
        <v>21</v>
      </c>
      <c r="G69" s="50">
        <v>20377357</v>
      </c>
      <c r="H69" s="16" t="s">
        <v>31</v>
      </c>
      <c r="I69" s="50">
        <v>2</v>
      </c>
      <c r="J69" s="51">
        <v>8</v>
      </c>
      <c r="K69" s="51">
        <v>16</v>
      </c>
    </row>
    <row r="70" spans="4:11">
      <c r="D70" s="49">
        <v>46141</v>
      </c>
      <c r="E70" s="16">
        <v>1599057</v>
      </c>
      <c r="F70" s="16" t="s">
        <v>21</v>
      </c>
      <c r="G70" s="50">
        <v>20398872</v>
      </c>
      <c r="H70" s="16" t="s">
        <v>44</v>
      </c>
      <c r="I70" s="50">
        <v>1</v>
      </c>
      <c r="J70" s="51">
        <v>8</v>
      </c>
      <c r="K70" s="51">
        <v>8</v>
      </c>
    </row>
    <row r="71" spans="4:11">
      <c r="D71" s="49">
        <v>46141</v>
      </c>
      <c r="E71" s="16">
        <v>1599057</v>
      </c>
      <c r="F71" s="16" t="s">
        <v>21</v>
      </c>
      <c r="G71" s="50">
        <v>20406253</v>
      </c>
      <c r="H71" s="16" t="s">
        <v>39</v>
      </c>
      <c r="I71" s="50">
        <v>1</v>
      </c>
      <c r="J71" s="51">
        <v>13.5</v>
      </c>
      <c r="K71" s="51">
        <v>13.5</v>
      </c>
    </row>
    <row r="72" spans="4:11">
      <c r="D72" s="49">
        <v>46141</v>
      </c>
      <c r="E72" s="16">
        <v>1599057</v>
      </c>
      <c r="F72" s="16" t="s">
        <v>21</v>
      </c>
      <c r="G72" s="50">
        <v>20400912</v>
      </c>
      <c r="H72" s="16" t="s">
        <v>59</v>
      </c>
      <c r="I72" s="50">
        <v>1</v>
      </c>
      <c r="J72" s="51">
        <v>8</v>
      </c>
      <c r="K72" s="51">
        <v>8</v>
      </c>
    </row>
    <row r="73" spans="4:11">
      <c r="D73" s="49">
        <v>46141</v>
      </c>
      <c r="E73" s="16">
        <v>1599057</v>
      </c>
      <c r="F73" s="16" t="s">
        <v>21</v>
      </c>
      <c r="G73" s="50">
        <v>20402943</v>
      </c>
      <c r="H73" s="16" t="s">
        <v>80</v>
      </c>
      <c r="I73" s="50">
        <v>1</v>
      </c>
      <c r="J73" s="51">
        <v>8</v>
      </c>
      <c r="K73" s="51">
        <v>8</v>
      </c>
    </row>
    <row r="74" spans="4:11">
      <c r="D74" s="49">
        <v>46141</v>
      </c>
      <c r="E74" s="16">
        <v>1599057</v>
      </c>
      <c r="F74" s="16" t="s">
        <v>21</v>
      </c>
      <c r="G74" s="50">
        <v>20313588</v>
      </c>
      <c r="H74" s="16" t="s">
        <v>30</v>
      </c>
      <c r="I74" s="50">
        <v>5</v>
      </c>
      <c r="J74" s="51">
        <v>8</v>
      </c>
      <c r="K74" s="51">
        <v>40</v>
      </c>
    </row>
    <row r="75" spans="4:11">
      <c r="D75" s="49">
        <v>46141</v>
      </c>
      <c r="E75" s="16">
        <v>1599057</v>
      </c>
      <c r="F75" s="16" t="s">
        <v>21</v>
      </c>
      <c r="G75" s="50">
        <v>20397287</v>
      </c>
      <c r="H75" s="16" t="s">
        <v>65</v>
      </c>
      <c r="I75" s="50">
        <v>1</v>
      </c>
      <c r="J75" s="51">
        <v>13.5</v>
      </c>
      <c r="K75" s="51">
        <v>13.5</v>
      </c>
    </row>
    <row r="76" spans="4:11">
      <c r="D76" s="49">
        <v>46141</v>
      </c>
      <c r="E76" s="16">
        <v>1599057</v>
      </c>
      <c r="F76" s="16" t="s">
        <v>21</v>
      </c>
      <c r="G76" s="50">
        <v>20393917</v>
      </c>
      <c r="H76" s="16" t="s">
        <v>47</v>
      </c>
      <c r="I76" s="50">
        <v>2</v>
      </c>
      <c r="J76" s="51">
        <v>11</v>
      </c>
      <c r="K76" s="51">
        <v>22</v>
      </c>
    </row>
    <row r="77" spans="4:11">
      <c r="D77" s="49">
        <v>46141</v>
      </c>
      <c r="E77" s="16">
        <v>1599057</v>
      </c>
      <c r="F77" s="16" t="s">
        <v>21</v>
      </c>
      <c r="G77" s="50">
        <v>20377357</v>
      </c>
      <c r="H77" s="16" t="s">
        <v>31</v>
      </c>
      <c r="I77" s="50">
        <v>3</v>
      </c>
      <c r="J77" s="51">
        <v>8</v>
      </c>
      <c r="K77" s="51">
        <v>24</v>
      </c>
    </row>
    <row r="78" spans="4:11">
      <c r="D78" s="49">
        <v>46141</v>
      </c>
      <c r="E78" s="16">
        <v>1599155</v>
      </c>
      <c r="F78" s="16" t="s">
        <v>21</v>
      </c>
      <c r="G78" s="50">
        <v>20005208</v>
      </c>
      <c r="H78" s="16" t="s">
        <v>55</v>
      </c>
      <c r="I78" s="50">
        <v>1</v>
      </c>
      <c r="J78" s="51">
        <v>8</v>
      </c>
      <c r="K78" s="51">
        <v>8</v>
      </c>
    </row>
    <row r="79" spans="4:11">
      <c r="D79" s="49">
        <v>46141</v>
      </c>
      <c r="E79" s="16">
        <v>1599155</v>
      </c>
      <c r="F79" s="16" t="s">
        <v>21</v>
      </c>
      <c r="G79" s="50">
        <v>20376624</v>
      </c>
      <c r="H79" s="16" t="s">
        <v>28</v>
      </c>
      <c r="I79" s="50">
        <v>1</v>
      </c>
      <c r="J79" s="51">
        <v>8</v>
      </c>
      <c r="K79" s="51">
        <v>8</v>
      </c>
    </row>
    <row r="80" spans="4:11">
      <c r="D80" s="49">
        <v>46141</v>
      </c>
      <c r="E80" s="16">
        <v>1599155</v>
      </c>
      <c r="F80" s="16" t="s">
        <v>21</v>
      </c>
      <c r="G80" s="50">
        <v>20406253</v>
      </c>
      <c r="H80" s="16" t="s">
        <v>39</v>
      </c>
      <c r="I80" s="50">
        <v>1</v>
      </c>
      <c r="J80" s="51">
        <v>13.5</v>
      </c>
      <c r="K80" s="51">
        <v>13.5</v>
      </c>
    </row>
    <row r="81" spans="4:11">
      <c r="D81" s="49">
        <v>46141</v>
      </c>
      <c r="E81" s="16">
        <v>1599155</v>
      </c>
      <c r="F81" s="16" t="s">
        <v>21</v>
      </c>
      <c r="G81" s="50">
        <v>20400912</v>
      </c>
      <c r="H81" s="16" t="s">
        <v>59</v>
      </c>
      <c r="I81" s="50">
        <v>1</v>
      </c>
      <c r="J81" s="51">
        <v>8</v>
      </c>
      <c r="K81" s="51">
        <v>8</v>
      </c>
    </row>
    <row r="82" spans="4:11">
      <c r="D82" s="49">
        <v>46141</v>
      </c>
      <c r="E82" s="16">
        <v>1599155</v>
      </c>
      <c r="F82" s="16" t="s">
        <v>21</v>
      </c>
      <c r="G82" s="50">
        <v>20313588</v>
      </c>
      <c r="H82" s="16" t="s">
        <v>30</v>
      </c>
      <c r="I82" s="50">
        <v>4</v>
      </c>
      <c r="J82" s="51">
        <v>8</v>
      </c>
      <c r="K82" s="51">
        <v>32</v>
      </c>
    </row>
    <row r="83" spans="4:11">
      <c r="D83" s="49">
        <v>46141</v>
      </c>
      <c r="E83" s="16">
        <v>1599155</v>
      </c>
      <c r="F83" s="16" t="s">
        <v>21</v>
      </c>
      <c r="G83" s="50">
        <v>20376620</v>
      </c>
      <c r="H83" s="16" t="s">
        <v>58</v>
      </c>
      <c r="I83" s="50">
        <v>1</v>
      </c>
      <c r="J83" s="51">
        <v>8</v>
      </c>
      <c r="K83" s="51">
        <v>8</v>
      </c>
    </row>
    <row r="84" spans="4:11">
      <c r="D84" s="49">
        <v>46141</v>
      </c>
      <c r="E84" s="16">
        <v>1599155</v>
      </c>
      <c r="F84" s="16" t="s">
        <v>21</v>
      </c>
      <c r="G84" s="50">
        <v>20377357</v>
      </c>
      <c r="H84" s="16" t="s">
        <v>31</v>
      </c>
      <c r="I84" s="50">
        <v>3</v>
      </c>
      <c r="J84" s="51">
        <v>8</v>
      </c>
      <c r="K84" s="51">
        <v>24</v>
      </c>
    </row>
    <row r="85" spans="4:11">
      <c r="D85" s="49">
        <v>46141</v>
      </c>
      <c r="E85" s="16">
        <v>1599155</v>
      </c>
      <c r="F85" s="16" t="s">
        <v>21</v>
      </c>
      <c r="G85" s="50">
        <v>20303839</v>
      </c>
      <c r="H85" s="16" t="s">
        <v>79</v>
      </c>
      <c r="I85" s="50">
        <v>1</v>
      </c>
      <c r="J85" s="51">
        <v>8</v>
      </c>
      <c r="K85" s="51">
        <v>8</v>
      </c>
    </row>
    <row r="86" spans="4:11">
      <c r="D86" s="49">
        <v>46141</v>
      </c>
      <c r="E86" s="16">
        <v>1599155</v>
      </c>
      <c r="F86" s="16" t="s">
        <v>21</v>
      </c>
      <c r="G86" s="50">
        <v>20005930</v>
      </c>
      <c r="H86" s="16" t="s">
        <v>23</v>
      </c>
      <c r="I86" s="50">
        <v>1</v>
      </c>
      <c r="J86" s="51">
        <v>8</v>
      </c>
      <c r="K86" s="51">
        <v>8</v>
      </c>
    </row>
    <row r="87" spans="4:11">
      <c r="D87" s="49">
        <v>46142</v>
      </c>
      <c r="E87" s="16">
        <v>1599446</v>
      </c>
      <c r="F87" s="16" t="s">
        <v>21</v>
      </c>
      <c r="G87" s="50">
        <v>20005208</v>
      </c>
      <c r="H87" s="16" t="s">
        <v>55</v>
      </c>
      <c r="I87" s="50">
        <v>1</v>
      </c>
      <c r="J87" s="51">
        <v>8</v>
      </c>
      <c r="K87" s="51">
        <v>8</v>
      </c>
    </row>
    <row r="88" spans="4:11">
      <c r="D88" s="49">
        <v>46142</v>
      </c>
      <c r="E88" s="16">
        <v>1599446</v>
      </c>
      <c r="F88" s="16" t="s">
        <v>21</v>
      </c>
      <c r="G88" s="50">
        <v>20376624</v>
      </c>
      <c r="H88" s="16" t="s">
        <v>28</v>
      </c>
      <c r="I88" s="50">
        <v>2</v>
      </c>
      <c r="J88" s="51">
        <v>8</v>
      </c>
      <c r="K88" s="51">
        <v>16</v>
      </c>
    </row>
    <row r="89" spans="4:11">
      <c r="D89" s="49">
        <v>46142</v>
      </c>
      <c r="E89" s="16">
        <v>1599446</v>
      </c>
      <c r="F89" s="16" t="s">
        <v>21</v>
      </c>
      <c r="G89" s="50">
        <v>20406253</v>
      </c>
      <c r="H89" s="16" t="s">
        <v>39</v>
      </c>
      <c r="I89" s="50">
        <v>1</v>
      </c>
      <c r="J89" s="51">
        <v>13.5</v>
      </c>
      <c r="K89" s="51">
        <v>13.5</v>
      </c>
    </row>
    <row r="90" spans="4:11">
      <c r="D90" s="49">
        <v>46142</v>
      </c>
      <c r="E90" s="16">
        <v>1599446</v>
      </c>
      <c r="F90" s="16" t="s">
        <v>21</v>
      </c>
      <c r="G90" s="50">
        <v>20402943</v>
      </c>
      <c r="H90" s="16" t="s">
        <v>80</v>
      </c>
      <c r="I90" s="50">
        <v>2</v>
      </c>
      <c r="J90" s="51">
        <v>8</v>
      </c>
      <c r="K90" s="51">
        <v>16</v>
      </c>
    </row>
    <row r="91" spans="4:11">
      <c r="D91" s="49">
        <v>46142</v>
      </c>
      <c r="E91" s="16">
        <v>1599446</v>
      </c>
      <c r="F91" s="16" t="s">
        <v>21</v>
      </c>
      <c r="G91" s="50">
        <v>20377357</v>
      </c>
      <c r="H91" s="16" t="s">
        <v>31</v>
      </c>
      <c r="I91" s="50">
        <v>2</v>
      </c>
      <c r="J91" s="51">
        <v>8</v>
      </c>
      <c r="K91" s="51">
        <v>16</v>
      </c>
    </row>
    <row r="92" spans="4:11">
      <c r="D92" s="49">
        <v>46142</v>
      </c>
      <c r="E92" s="16">
        <v>1599614</v>
      </c>
      <c r="F92" s="16" t="s">
        <v>21</v>
      </c>
      <c r="G92" s="50">
        <v>20005208</v>
      </c>
      <c r="H92" s="16" t="s">
        <v>55</v>
      </c>
      <c r="I92" s="50">
        <v>2</v>
      </c>
      <c r="J92" s="51">
        <v>8</v>
      </c>
      <c r="K92" s="51">
        <v>16</v>
      </c>
    </row>
    <row r="93" spans="4:11">
      <c r="D93" s="49">
        <v>46142</v>
      </c>
      <c r="E93" s="16">
        <v>1599614</v>
      </c>
      <c r="F93" s="16" t="s">
        <v>21</v>
      </c>
      <c r="G93" s="50">
        <v>20313588</v>
      </c>
      <c r="H93" s="16" t="s">
        <v>30</v>
      </c>
      <c r="I93" s="50">
        <v>1</v>
      </c>
      <c r="J93" s="51">
        <v>8</v>
      </c>
      <c r="K93" s="51">
        <v>8</v>
      </c>
    </row>
    <row r="94" spans="4:11">
      <c r="D94" s="49">
        <v>46142</v>
      </c>
      <c r="E94" s="16">
        <v>1599614</v>
      </c>
      <c r="F94" s="16" t="s">
        <v>21</v>
      </c>
      <c r="G94" s="50">
        <v>20324084</v>
      </c>
      <c r="H94" s="16" t="s">
        <v>22</v>
      </c>
      <c r="I94" s="50">
        <v>1</v>
      </c>
      <c r="J94" s="51">
        <v>8</v>
      </c>
      <c r="K94" s="51">
        <v>8</v>
      </c>
    </row>
    <row r="95" spans="4:11">
      <c r="D95" s="49">
        <v>46142</v>
      </c>
      <c r="E95" s="16">
        <v>1599614</v>
      </c>
      <c r="F95" s="16" t="s">
        <v>21</v>
      </c>
      <c r="G95" s="50">
        <v>20376620</v>
      </c>
      <c r="H95" s="16" t="s">
        <v>58</v>
      </c>
      <c r="I95" s="50">
        <v>1</v>
      </c>
      <c r="J95" s="51">
        <v>8</v>
      </c>
      <c r="K95" s="51">
        <v>8</v>
      </c>
    </row>
    <row r="96" spans="4:11">
      <c r="D96" s="49">
        <v>46142</v>
      </c>
      <c r="E96" s="16">
        <v>1599614</v>
      </c>
      <c r="F96" s="16" t="s">
        <v>21</v>
      </c>
      <c r="G96" s="50">
        <v>20303839</v>
      </c>
      <c r="H96" s="16" t="s">
        <v>79</v>
      </c>
      <c r="I96" s="50">
        <v>1</v>
      </c>
      <c r="J96" s="51">
        <v>8</v>
      </c>
      <c r="K96" s="51">
        <v>8</v>
      </c>
    </row>
    <row r="97" spans="4:11">
      <c r="D97" s="49">
        <v>46142</v>
      </c>
      <c r="E97" s="16">
        <v>1599904</v>
      </c>
      <c r="F97" s="16" t="s">
        <v>21</v>
      </c>
      <c r="G97" s="50">
        <v>20376624</v>
      </c>
      <c r="H97" s="16" t="s">
        <v>28</v>
      </c>
      <c r="I97" s="50">
        <v>1</v>
      </c>
      <c r="J97" s="51">
        <v>8</v>
      </c>
      <c r="K97" s="51">
        <v>8</v>
      </c>
    </row>
    <row r="98" spans="4:11">
      <c r="D98" s="49">
        <v>46142</v>
      </c>
      <c r="E98" s="16">
        <v>1599904</v>
      </c>
      <c r="F98" s="16" t="s">
        <v>21</v>
      </c>
      <c r="G98" s="50">
        <v>20313588</v>
      </c>
      <c r="H98" s="16" t="s">
        <v>30</v>
      </c>
      <c r="I98" s="50">
        <v>1</v>
      </c>
      <c r="J98" s="51">
        <v>8</v>
      </c>
      <c r="K98" s="51">
        <v>8</v>
      </c>
    </row>
    <row r="99" spans="4:11">
      <c r="D99" s="49">
        <v>46142</v>
      </c>
      <c r="E99" s="16">
        <v>1599904</v>
      </c>
      <c r="F99" s="16" t="s">
        <v>21</v>
      </c>
      <c r="G99" s="50">
        <v>20377357</v>
      </c>
      <c r="H99" s="16" t="s">
        <v>31</v>
      </c>
      <c r="I99" s="50">
        <v>2</v>
      </c>
      <c r="J99" s="51">
        <v>8</v>
      </c>
      <c r="K99" s="51">
        <v>16</v>
      </c>
    </row>
    <row r="100" spans="4:11">
      <c r="D100" s="49">
        <v>46149</v>
      </c>
      <c r="E100" s="16">
        <v>1600757</v>
      </c>
      <c r="F100" s="16" t="s">
        <v>21</v>
      </c>
      <c r="G100" s="50">
        <v>20406253</v>
      </c>
      <c r="H100" s="16" t="s">
        <v>39</v>
      </c>
      <c r="I100" s="50">
        <v>1</v>
      </c>
      <c r="J100" s="51">
        <v>13.5</v>
      </c>
      <c r="K100" s="51">
        <v>13.5</v>
      </c>
    </row>
    <row r="101" spans="4:11">
      <c r="D101" s="49">
        <v>46149</v>
      </c>
      <c r="E101" s="16">
        <v>1600757</v>
      </c>
      <c r="F101" s="16" t="s">
        <v>21</v>
      </c>
      <c r="G101" s="50">
        <v>20313588</v>
      </c>
      <c r="H101" s="16" t="s">
        <v>30</v>
      </c>
      <c r="I101" s="50">
        <v>4</v>
      </c>
      <c r="J101" s="51">
        <v>8</v>
      </c>
      <c r="K101" s="51">
        <v>32</v>
      </c>
    </row>
    <row r="102" spans="4:11">
      <c r="D102" s="49">
        <v>46149</v>
      </c>
      <c r="E102" s="16">
        <v>1600757</v>
      </c>
      <c r="F102" s="16" t="s">
        <v>21</v>
      </c>
      <c r="G102" s="50">
        <v>20377357</v>
      </c>
      <c r="H102" s="16" t="s">
        <v>31</v>
      </c>
      <c r="I102" s="50">
        <v>3</v>
      </c>
      <c r="J102" s="51">
        <v>8</v>
      </c>
      <c r="K102" s="51">
        <v>24</v>
      </c>
    </row>
    <row r="103" spans="4:11">
      <c r="D103" s="49">
        <v>46150</v>
      </c>
      <c r="E103" s="16">
        <v>1601069</v>
      </c>
      <c r="F103" s="16" t="s">
        <v>21</v>
      </c>
      <c r="G103" s="50">
        <v>20376624</v>
      </c>
      <c r="H103" s="16" t="s">
        <v>28</v>
      </c>
      <c r="I103" s="50">
        <v>2</v>
      </c>
      <c r="J103" s="51">
        <v>8</v>
      </c>
      <c r="K103" s="51">
        <v>16</v>
      </c>
    </row>
    <row r="104" spans="4:11">
      <c r="D104" s="49">
        <v>46150</v>
      </c>
      <c r="E104" s="16">
        <v>1601069</v>
      </c>
      <c r="F104" s="16" t="s">
        <v>21</v>
      </c>
      <c r="G104" s="50">
        <v>20398872</v>
      </c>
      <c r="H104" s="16" t="s">
        <v>44</v>
      </c>
      <c r="I104" s="50">
        <v>1</v>
      </c>
      <c r="J104" s="51">
        <v>8</v>
      </c>
      <c r="K104" s="51">
        <v>8</v>
      </c>
    </row>
    <row r="105" spans="4:11">
      <c r="D105" s="49">
        <v>46150</v>
      </c>
      <c r="E105" s="16">
        <v>1601069</v>
      </c>
      <c r="F105" s="16" t="s">
        <v>21</v>
      </c>
      <c r="G105" s="50">
        <v>20406253</v>
      </c>
      <c r="H105" s="16" t="s">
        <v>39</v>
      </c>
      <c r="I105" s="50">
        <v>1</v>
      </c>
      <c r="J105" s="51">
        <v>13.5</v>
      </c>
      <c r="K105" s="51">
        <v>13.5</v>
      </c>
    </row>
    <row r="106" spans="4:11">
      <c r="D106" s="49">
        <v>46150</v>
      </c>
      <c r="E106" s="16">
        <v>1601069</v>
      </c>
      <c r="F106" s="16" t="s">
        <v>21</v>
      </c>
      <c r="G106" s="50">
        <v>20313588</v>
      </c>
      <c r="H106" s="16" t="s">
        <v>30</v>
      </c>
      <c r="I106" s="50">
        <v>3</v>
      </c>
      <c r="J106" s="51">
        <v>8</v>
      </c>
      <c r="K106" s="51">
        <v>24</v>
      </c>
    </row>
    <row r="107" spans="4:11">
      <c r="D107" s="49">
        <v>46150</v>
      </c>
      <c r="E107" s="16">
        <v>1601069</v>
      </c>
      <c r="F107" s="16" t="s">
        <v>21</v>
      </c>
      <c r="G107" s="50">
        <v>20377357</v>
      </c>
      <c r="H107" s="16" t="s">
        <v>31</v>
      </c>
      <c r="I107" s="50">
        <v>3</v>
      </c>
      <c r="J107" s="51">
        <v>8</v>
      </c>
      <c r="K107" s="51">
        <v>24</v>
      </c>
    </row>
    <row r="108" spans="4:11">
      <c r="D108" s="49">
        <v>46150</v>
      </c>
      <c r="E108" s="16">
        <v>1601187</v>
      </c>
      <c r="F108" s="16" t="s">
        <v>21</v>
      </c>
      <c r="G108" s="50">
        <v>20376624</v>
      </c>
      <c r="H108" s="16" t="s">
        <v>28</v>
      </c>
      <c r="I108" s="50">
        <v>1</v>
      </c>
      <c r="J108" s="51">
        <v>8</v>
      </c>
      <c r="K108" s="51">
        <v>8</v>
      </c>
    </row>
    <row r="109" spans="4:11">
      <c r="D109" s="49">
        <v>46150</v>
      </c>
      <c r="E109" s="16">
        <v>1601187</v>
      </c>
      <c r="F109" s="16" t="s">
        <v>21</v>
      </c>
      <c r="G109" s="50">
        <v>20406253</v>
      </c>
      <c r="H109" s="16" t="s">
        <v>39</v>
      </c>
      <c r="I109" s="50">
        <v>1</v>
      </c>
      <c r="J109" s="51">
        <v>13.5</v>
      </c>
      <c r="K109" s="51">
        <v>13.5</v>
      </c>
    </row>
    <row r="110" spans="4:11">
      <c r="D110" s="49">
        <v>46150</v>
      </c>
      <c r="E110" s="16">
        <v>1601187</v>
      </c>
      <c r="F110" s="16" t="s">
        <v>21</v>
      </c>
      <c r="G110" s="50">
        <v>20313588</v>
      </c>
      <c r="H110" s="16" t="s">
        <v>30</v>
      </c>
      <c r="I110" s="50">
        <v>3</v>
      </c>
      <c r="J110" s="51">
        <v>8</v>
      </c>
      <c r="K110" s="51">
        <v>24</v>
      </c>
    </row>
    <row r="111" spans="4:11">
      <c r="D111" s="49">
        <v>46150</v>
      </c>
      <c r="E111" s="16">
        <v>1601187</v>
      </c>
      <c r="F111" s="16" t="s">
        <v>21</v>
      </c>
      <c r="G111" s="50">
        <v>20377357</v>
      </c>
      <c r="H111" s="16" t="s">
        <v>31</v>
      </c>
      <c r="I111" s="50">
        <v>2</v>
      </c>
      <c r="J111" s="51">
        <v>8</v>
      </c>
      <c r="K111" s="51">
        <v>16</v>
      </c>
    </row>
    <row r="112" spans="4:11">
      <c r="D112" s="49">
        <v>46151</v>
      </c>
      <c r="E112" s="16">
        <v>1601498</v>
      </c>
      <c r="F112" s="16" t="s">
        <v>21</v>
      </c>
      <c r="G112" s="50">
        <v>20406253</v>
      </c>
      <c r="H112" s="16" t="s">
        <v>39</v>
      </c>
      <c r="I112" s="50">
        <v>1</v>
      </c>
      <c r="J112" s="51">
        <v>13.5</v>
      </c>
      <c r="K112" s="51">
        <v>13.5</v>
      </c>
    </row>
    <row r="113" spans="4:11">
      <c r="D113" s="49">
        <v>46151</v>
      </c>
      <c r="E113" s="16">
        <v>1601498</v>
      </c>
      <c r="F113" s="16" t="s">
        <v>21</v>
      </c>
      <c r="G113" s="50">
        <v>20313588</v>
      </c>
      <c r="H113" s="16" t="s">
        <v>30</v>
      </c>
      <c r="I113" s="50">
        <v>6</v>
      </c>
      <c r="J113" s="51">
        <v>8</v>
      </c>
      <c r="K113" s="51">
        <v>48</v>
      </c>
    </row>
    <row r="114" spans="4:11">
      <c r="D114" s="49">
        <v>46151</v>
      </c>
      <c r="E114" s="16">
        <v>1601498</v>
      </c>
      <c r="F114" s="16" t="s">
        <v>21</v>
      </c>
      <c r="G114" s="50">
        <v>20377357</v>
      </c>
      <c r="H114" s="16" t="s">
        <v>31</v>
      </c>
      <c r="I114" s="50">
        <v>1</v>
      </c>
      <c r="J114" s="51">
        <v>8</v>
      </c>
      <c r="K114" s="51">
        <v>8</v>
      </c>
    </row>
    <row r="115" spans="4:11">
      <c r="D115" s="49">
        <v>46151</v>
      </c>
      <c r="E115" s="16">
        <v>1601613</v>
      </c>
      <c r="F115" s="16" t="s">
        <v>21</v>
      </c>
      <c r="G115" s="50">
        <v>20376624</v>
      </c>
      <c r="H115" s="16" t="s">
        <v>28</v>
      </c>
      <c r="I115" s="50">
        <v>2</v>
      </c>
      <c r="J115" s="51">
        <v>8</v>
      </c>
      <c r="K115" s="51">
        <v>16</v>
      </c>
    </row>
    <row r="116" spans="4:11">
      <c r="D116" s="49">
        <v>46151</v>
      </c>
      <c r="E116" s="16">
        <v>1601613</v>
      </c>
      <c r="F116" s="16" t="s">
        <v>21</v>
      </c>
      <c r="G116" s="50">
        <v>20406253</v>
      </c>
      <c r="H116" s="16" t="s">
        <v>39</v>
      </c>
      <c r="I116" s="50">
        <v>1</v>
      </c>
      <c r="J116" s="51">
        <v>13.5</v>
      </c>
      <c r="K116" s="51">
        <v>13.5</v>
      </c>
    </row>
    <row r="117" spans="4:11">
      <c r="D117" s="49">
        <v>46151</v>
      </c>
      <c r="E117" s="16">
        <v>1601613</v>
      </c>
      <c r="F117" s="16" t="s">
        <v>21</v>
      </c>
      <c r="G117" s="50">
        <v>20400912</v>
      </c>
      <c r="H117" s="16" t="s">
        <v>59</v>
      </c>
      <c r="I117" s="50">
        <v>1</v>
      </c>
      <c r="J117" s="51">
        <v>8</v>
      </c>
      <c r="K117" s="51">
        <v>8</v>
      </c>
    </row>
    <row r="118" spans="4:11">
      <c r="D118" s="49">
        <v>46151</v>
      </c>
      <c r="E118" s="16">
        <v>1601613</v>
      </c>
      <c r="F118" s="16" t="s">
        <v>21</v>
      </c>
      <c r="G118" s="50">
        <v>20313588</v>
      </c>
      <c r="H118" s="16" t="s">
        <v>30</v>
      </c>
      <c r="I118" s="50">
        <v>3</v>
      </c>
      <c r="J118" s="51">
        <v>8</v>
      </c>
      <c r="K118" s="51">
        <v>24</v>
      </c>
    </row>
    <row r="119" spans="4:11">
      <c r="D119" s="49">
        <v>46151</v>
      </c>
      <c r="E119" s="16">
        <v>1601613</v>
      </c>
      <c r="F119" s="16" t="s">
        <v>21</v>
      </c>
      <c r="G119" s="50">
        <v>20377357</v>
      </c>
      <c r="H119" s="16" t="s">
        <v>31</v>
      </c>
      <c r="I119" s="50">
        <v>3</v>
      </c>
      <c r="J119" s="51">
        <v>8</v>
      </c>
      <c r="K119" s="51">
        <v>24</v>
      </c>
    </row>
    <row r="120" spans="4:11">
      <c r="D120" s="49">
        <v>46151</v>
      </c>
      <c r="E120" s="16">
        <v>1601796</v>
      </c>
      <c r="F120" s="16" t="s">
        <v>21</v>
      </c>
      <c r="G120" s="50">
        <v>20005208</v>
      </c>
      <c r="H120" s="16" t="s">
        <v>55</v>
      </c>
      <c r="I120" s="50">
        <v>1</v>
      </c>
      <c r="J120" s="51">
        <v>8</v>
      </c>
      <c r="K120" s="51">
        <v>8</v>
      </c>
    </row>
    <row r="121" spans="4:11">
      <c r="D121" s="49">
        <v>46151</v>
      </c>
      <c r="E121" s="16">
        <v>1601796</v>
      </c>
      <c r="F121" s="16" t="s">
        <v>21</v>
      </c>
      <c r="G121" s="50">
        <v>20406253</v>
      </c>
      <c r="H121" s="16" t="s">
        <v>39</v>
      </c>
      <c r="I121" s="50">
        <v>1</v>
      </c>
      <c r="J121" s="51">
        <v>13.5</v>
      </c>
      <c r="K121" s="51">
        <v>13.5</v>
      </c>
    </row>
    <row r="122" spans="4:11">
      <c r="D122" s="49">
        <v>46151</v>
      </c>
      <c r="E122" s="16">
        <v>1601796</v>
      </c>
      <c r="F122" s="16" t="s">
        <v>21</v>
      </c>
      <c r="G122" s="50">
        <v>20313588</v>
      </c>
      <c r="H122" s="16" t="s">
        <v>30</v>
      </c>
      <c r="I122" s="50">
        <v>6</v>
      </c>
      <c r="J122" s="51">
        <v>8</v>
      </c>
      <c r="K122" s="51">
        <v>48</v>
      </c>
    </row>
    <row r="123" spans="4:11">
      <c r="D123" s="49">
        <v>46151</v>
      </c>
      <c r="E123" s="16">
        <v>1601796</v>
      </c>
      <c r="F123" s="16" t="s">
        <v>21</v>
      </c>
      <c r="G123" s="50">
        <v>20377357</v>
      </c>
      <c r="H123" s="16" t="s">
        <v>31</v>
      </c>
      <c r="I123" s="50">
        <v>5</v>
      </c>
      <c r="J123" s="51">
        <v>8</v>
      </c>
      <c r="K123" s="51">
        <v>40</v>
      </c>
    </row>
    <row r="124" spans="4:11">
      <c r="D124" s="49">
        <v>46151</v>
      </c>
      <c r="E124" s="16">
        <v>1601796</v>
      </c>
      <c r="F124" s="16" t="s">
        <v>21</v>
      </c>
      <c r="G124" s="50">
        <v>20303839</v>
      </c>
      <c r="H124" s="16" t="s">
        <v>79</v>
      </c>
      <c r="I124" s="50">
        <v>1</v>
      </c>
      <c r="J124" s="51">
        <v>8</v>
      </c>
      <c r="K124" s="51">
        <v>8</v>
      </c>
    </row>
    <row r="125" spans="4:11">
      <c r="D125" s="49">
        <v>46151</v>
      </c>
      <c r="E125" s="16">
        <v>1601796</v>
      </c>
      <c r="F125" s="16" t="s">
        <v>21</v>
      </c>
      <c r="G125" s="50">
        <v>20005849</v>
      </c>
      <c r="H125" s="16" t="s">
        <v>54</v>
      </c>
      <c r="I125" s="50">
        <v>1</v>
      </c>
      <c r="J125" s="51">
        <v>8</v>
      </c>
      <c r="K125" s="51">
        <v>8</v>
      </c>
    </row>
    <row r="126" spans="4:11">
      <c r="D126" s="49">
        <v>46154</v>
      </c>
      <c r="E126" s="16">
        <v>1602303</v>
      </c>
      <c r="F126" s="16" t="s">
        <v>21</v>
      </c>
      <c r="G126" s="50">
        <v>20005208</v>
      </c>
      <c r="H126" s="16" t="s">
        <v>55</v>
      </c>
      <c r="I126" s="50">
        <v>1</v>
      </c>
      <c r="J126" s="51">
        <v>8</v>
      </c>
      <c r="K126" s="51">
        <v>8</v>
      </c>
    </row>
    <row r="127" spans="4:11">
      <c r="D127" s="49">
        <v>46154</v>
      </c>
      <c r="E127" s="16">
        <v>1602303</v>
      </c>
      <c r="F127" s="16" t="s">
        <v>21</v>
      </c>
      <c r="G127" s="50">
        <v>20406253</v>
      </c>
      <c r="H127" s="16" t="s">
        <v>39</v>
      </c>
      <c r="I127" s="50">
        <v>1</v>
      </c>
      <c r="J127" s="51">
        <v>13.5</v>
      </c>
      <c r="K127" s="51">
        <v>13.5</v>
      </c>
    </row>
    <row r="128" spans="4:11">
      <c r="D128" s="49">
        <v>46154</v>
      </c>
      <c r="E128" s="16">
        <v>1602303</v>
      </c>
      <c r="F128" s="16" t="s">
        <v>21</v>
      </c>
      <c r="G128" s="50">
        <v>20313588</v>
      </c>
      <c r="H128" s="16" t="s">
        <v>30</v>
      </c>
      <c r="I128" s="50">
        <v>3</v>
      </c>
      <c r="J128" s="51">
        <v>8</v>
      </c>
      <c r="K128" s="51">
        <v>24</v>
      </c>
    </row>
    <row r="129" spans="4:11">
      <c r="D129" s="49">
        <v>46154</v>
      </c>
      <c r="E129" s="16">
        <v>1602303</v>
      </c>
      <c r="F129" s="16" t="s">
        <v>21</v>
      </c>
      <c r="G129" s="50">
        <v>20377357</v>
      </c>
      <c r="H129" s="16" t="s">
        <v>31</v>
      </c>
      <c r="I129" s="50">
        <v>1</v>
      </c>
      <c r="J129" s="51">
        <v>8</v>
      </c>
      <c r="K129" s="51">
        <v>8</v>
      </c>
    </row>
    <row r="130" spans="4:11">
      <c r="D130" s="49">
        <v>46154</v>
      </c>
      <c r="E130" s="16">
        <v>1602560</v>
      </c>
      <c r="F130" s="16" t="s">
        <v>21</v>
      </c>
      <c r="G130" s="50">
        <v>20406253</v>
      </c>
      <c r="H130" s="16" t="s">
        <v>39</v>
      </c>
      <c r="I130" s="50">
        <v>1</v>
      </c>
      <c r="J130" s="51">
        <v>13.5</v>
      </c>
      <c r="K130" s="51">
        <v>13.5</v>
      </c>
    </row>
    <row r="131" spans="4:11">
      <c r="D131" s="49">
        <v>46154</v>
      </c>
      <c r="E131" s="16">
        <v>1602560</v>
      </c>
      <c r="F131" s="16" t="s">
        <v>21</v>
      </c>
      <c r="G131" s="50">
        <v>20313588</v>
      </c>
      <c r="H131" s="16" t="s">
        <v>30</v>
      </c>
      <c r="I131" s="50">
        <v>4</v>
      </c>
      <c r="J131" s="51">
        <v>8</v>
      </c>
      <c r="K131" s="51">
        <v>32</v>
      </c>
    </row>
    <row r="132" spans="4:11">
      <c r="D132" s="49">
        <v>46154</v>
      </c>
      <c r="E132" s="16">
        <v>1602560</v>
      </c>
      <c r="F132" s="16" t="s">
        <v>21</v>
      </c>
      <c r="G132" s="50">
        <v>20377357</v>
      </c>
      <c r="H132" s="16" t="s">
        <v>31</v>
      </c>
      <c r="I132" s="50">
        <v>2</v>
      </c>
      <c r="J132" s="51">
        <v>8</v>
      </c>
      <c r="K132" s="51">
        <v>16</v>
      </c>
    </row>
    <row r="133" spans="4:11">
      <c r="D133" s="49">
        <v>46154</v>
      </c>
      <c r="E133" s="16">
        <v>1602560</v>
      </c>
      <c r="F133" s="16" t="s">
        <v>21</v>
      </c>
      <c r="G133" s="50">
        <v>20303839</v>
      </c>
      <c r="H133" s="16" t="s">
        <v>79</v>
      </c>
      <c r="I133" s="50">
        <v>1</v>
      </c>
      <c r="J133" s="51">
        <v>8</v>
      </c>
      <c r="K133" s="51">
        <v>8</v>
      </c>
    </row>
    <row r="134" spans="4:11">
      <c r="D134" s="49">
        <v>46154</v>
      </c>
      <c r="E134" s="16">
        <v>1602560</v>
      </c>
      <c r="F134" s="16" t="s">
        <v>21</v>
      </c>
      <c r="G134" s="50">
        <v>20314990</v>
      </c>
      <c r="H134" s="16" t="s">
        <v>52</v>
      </c>
      <c r="I134" s="50">
        <v>1</v>
      </c>
      <c r="J134" s="51">
        <v>8</v>
      </c>
      <c r="K134" s="51">
        <v>8</v>
      </c>
    </row>
    <row r="135" spans="4:11">
      <c r="D135" s="49">
        <v>46155</v>
      </c>
      <c r="E135" s="16">
        <v>1602680</v>
      </c>
      <c r="F135" s="16" t="s">
        <v>21</v>
      </c>
      <c r="G135" s="50">
        <v>20005208</v>
      </c>
      <c r="H135" s="16" t="s">
        <v>55</v>
      </c>
      <c r="I135" s="50">
        <v>1</v>
      </c>
      <c r="J135" s="51">
        <v>8</v>
      </c>
      <c r="K135" s="51">
        <v>8</v>
      </c>
    </row>
    <row r="136" spans="4:11">
      <c r="D136" s="49">
        <v>46155</v>
      </c>
      <c r="E136" s="16">
        <v>1602680</v>
      </c>
      <c r="F136" s="16" t="s">
        <v>21</v>
      </c>
      <c r="G136" s="50">
        <v>20406253</v>
      </c>
      <c r="H136" s="16" t="s">
        <v>39</v>
      </c>
      <c r="I136" s="50">
        <v>1</v>
      </c>
      <c r="J136" s="51">
        <v>13.5</v>
      </c>
      <c r="K136" s="51">
        <v>13.5</v>
      </c>
    </row>
    <row r="137" spans="4:11">
      <c r="D137" s="49">
        <v>46155</v>
      </c>
      <c r="E137" s="16">
        <v>1602680</v>
      </c>
      <c r="F137" s="16" t="s">
        <v>21</v>
      </c>
      <c r="G137" s="50">
        <v>20313588</v>
      </c>
      <c r="H137" s="16" t="s">
        <v>30</v>
      </c>
      <c r="I137" s="50">
        <v>3</v>
      </c>
      <c r="J137" s="51">
        <v>8</v>
      </c>
      <c r="K137" s="51">
        <v>24</v>
      </c>
    </row>
    <row r="138" spans="4:11">
      <c r="D138" s="49">
        <v>46155</v>
      </c>
      <c r="E138" s="16">
        <v>1602680</v>
      </c>
      <c r="F138" s="16" t="s">
        <v>21</v>
      </c>
      <c r="G138" s="50">
        <v>20376621</v>
      </c>
      <c r="H138" s="16" t="s">
        <v>58</v>
      </c>
      <c r="I138" s="50">
        <v>1</v>
      </c>
      <c r="J138" s="51">
        <v>8</v>
      </c>
      <c r="K138" s="51">
        <v>8</v>
      </c>
    </row>
    <row r="139" spans="4:11">
      <c r="D139" s="49">
        <v>46155</v>
      </c>
      <c r="E139" s="16">
        <v>1602680</v>
      </c>
      <c r="F139" s="16" t="s">
        <v>21</v>
      </c>
      <c r="G139" s="50">
        <v>20377357</v>
      </c>
      <c r="H139" s="16" t="s">
        <v>31</v>
      </c>
      <c r="I139" s="50">
        <v>1</v>
      </c>
      <c r="J139" s="51">
        <v>8</v>
      </c>
      <c r="K139" s="51">
        <v>8</v>
      </c>
    </row>
    <row r="140" spans="4:11">
      <c r="D140" s="49">
        <v>46155</v>
      </c>
      <c r="E140" s="16">
        <v>1602680</v>
      </c>
      <c r="F140" s="16" t="s">
        <v>21</v>
      </c>
      <c r="G140" s="50">
        <v>20303839</v>
      </c>
      <c r="H140" s="16" t="s">
        <v>79</v>
      </c>
      <c r="I140" s="50">
        <v>1</v>
      </c>
      <c r="J140" s="51">
        <v>8</v>
      </c>
      <c r="K140" s="51">
        <v>8</v>
      </c>
    </row>
    <row r="141" spans="4:11">
      <c r="D141" s="49">
        <v>46156</v>
      </c>
      <c r="E141" s="16">
        <v>1602918</v>
      </c>
      <c r="F141" s="16" t="s">
        <v>21</v>
      </c>
      <c r="G141" s="50">
        <v>20005208</v>
      </c>
      <c r="H141" s="16" t="s">
        <v>55</v>
      </c>
      <c r="I141" s="50">
        <v>1</v>
      </c>
      <c r="J141" s="51">
        <v>8</v>
      </c>
      <c r="K141" s="51">
        <v>8</v>
      </c>
    </row>
    <row r="142" spans="4:11">
      <c r="D142" s="49">
        <v>46156</v>
      </c>
      <c r="E142" s="16">
        <v>1602918</v>
      </c>
      <c r="F142" s="16" t="s">
        <v>21</v>
      </c>
      <c r="G142" s="50">
        <v>20406253</v>
      </c>
      <c r="H142" s="16" t="s">
        <v>39</v>
      </c>
      <c r="I142" s="50">
        <v>1</v>
      </c>
      <c r="J142" s="51">
        <v>13.5</v>
      </c>
      <c r="K142" s="51">
        <v>13.5</v>
      </c>
    </row>
    <row r="143" spans="4:11">
      <c r="D143" s="49">
        <v>46156</v>
      </c>
      <c r="E143" s="16">
        <v>1602918</v>
      </c>
      <c r="F143" s="16" t="s">
        <v>21</v>
      </c>
      <c r="G143" s="50">
        <v>20313588</v>
      </c>
      <c r="H143" s="16" t="s">
        <v>30</v>
      </c>
      <c r="I143" s="50">
        <v>2</v>
      </c>
      <c r="J143" s="51">
        <v>8</v>
      </c>
      <c r="K143" s="51">
        <v>16</v>
      </c>
    </row>
    <row r="144" spans="4:11">
      <c r="D144" s="49">
        <v>46156</v>
      </c>
      <c r="E144" s="16">
        <v>1602918</v>
      </c>
      <c r="F144" s="16" t="s">
        <v>21</v>
      </c>
      <c r="G144" s="50">
        <v>20377357</v>
      </c>
      <c r="H144" s="16" t="s">
        <v>31</v>
      </c>
      <c r="I144" s="50">
        <v>2</v>
      </c>
      <c r="J144" s="51">
        <v>8</v>
      </c>
      <c r="K144" s="51">
        <v>16</v>
      </c>
    </row>
    <row r="145" ht="0.05" customHeight="1"/>
  </sheetData>
  <autoFilter xmlns:etc="http://www.wps.cn/officeDocument/2017/etCustomData" ref="A7:K144" etc:filterBottomFollowUsedRange="0">
    <extLst/>
  </autoFilter>
  <mergeCells count="5">
    <mergeCell ref="D8:H8"/>
    <mergeCell ref="C7:C144"/>
    <mergeCell ref="B4:H5"/>
    <mergeCell ref="A7:B1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1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81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273</v>
      </c>
      <c r="J8" s="48"/>
      <c r="K8" s="48">
        <v>2630.5</v>
      </c>
    </row>
    <row r="9" spans="1:11">
      <c r="D9" s="49">
        <v>46127</v>
      </c>
      <c r="E9" s="16">
        <v>1594871</v>
      </c>
      <c r="F9" s="16" t="s">
        <v>21</v>
      </c>
      <c r="G9" s="50">
        <v>20406253</v>
      </c>
      <c r="H9" s="16" t="s">
        <v>39</v>
      </c>
      <c r="I9" s="50">
        <v>6</v>
      </c>
      <c r="J9" s="51">
        <v>13.5</v>
      </c>
      <c r="K9" s="51">
        <v>81</v>
      </c>
    </row>
    <row r="10" spans="1:11">
      <c r="D10" s="49">
        <v>46127</v>
      </c>
      <c r="E10" s="16">
        <v>1594871</v>
      </c>
      <c r="F10" s="16" t="s">
        <v>21</v>
      </c>
      <c r="G10" s="50">
        <v>20313588</v>
      </c>
      <c r="H10" s="16" t="s">
        <v>30</v>
      </c>
      <c r="I10" s="50">
        <v>10</v>
      </c>
      <c r="J10" s="51">
        <v>8</v>
      </c>
      <c r="K10" s="51">
        <v>80</v>
      </c>
    </row>
    <row r="11" spans="1:11">
      <c r="D11" s="49">
        <v>46127</v>
      </c>
      <c r="E11" s="16">
        <v>1594871</v>
      </c>
      <c r="F11" s="16" t="s">
        <v>21</v>
      </c>
      <c r="G11" s="50">
        <v>20377357</v>
      </c>
      <c r="H11" s="16" t="s">
        <v>31</v>
      </c>
      <c r="I11" s="50">
        <v>7</v>
      </c>
      <c r="J11" s="51">
        <v>8</v>
      </c>
      <c r="K11" s="51">
        <v>56</v>
      </c>
    </row>
    <row r="12" spans="1:11">
      <c r="D12" s="49">
        <v>46127</v>
      </c>
      <c r="E12" s="16">
        <v>1594970</v>
      </c>
      <c r="F12" s="16" t="s">
        <v>21</v>
      </c>
      <c r="G12" s="50">
        <v>20406253</v>
      </c>
      <c r="H12" s="16" t="s">
        <v>39</v>
      </c>
      <c r="I12" s="50">
        <v>2</v>
      </c>
      <c r="J12" s="51">
        <v>13.5</v>
      </c>
      <c r="K12" s="51">
        <v>27</v>
      </c>
    </row>
    <row r="13" spans="1:11">
      <c r="D13" s="49">
        <v>46127</v>
      </c>
      <c r="E13" s="16">
        <v>1594970</v>
      </c>
      <c r="F13" s="16" t="s">
        <v>21</v>
      </c>
      <c r="G13" s="50">
        <v>20313588</v>
      </c>
      <c r="H13" s="16" t="s">
        <v>30</v>
      </c>
      <c r="I13" s="50">
        <v>3</v>
      </c>
      <c r="J13" s="51">
        <v>8</v>
      </c>
      <c r="K13" s="51">
        <v>24</v>
      </c>
    </row>
    <row r="14" spans="1:11">
      <c r="D14" s="49">
        <v>46127</v>
      </c>
      <c r="E14" s="16">
        <v>1594970</v>
      </c>
      <c r="F14" s="16" t="s">
        <v>21</v>
      </c>
      <c r="G14" s="50">
        <v>20377357</v>
      </c>
      <c r="H14" s="16" t="s">
        <v>31</v>
      </c>
      <c r="I14" s="50">
        <v>2</v>
      </c>
      <c r="J14" s="51">
        <v>8</v>
      </c>
      <c r="K14" s="51">
        <v>16</v>
      </c>
    </row>
    <row r="15" spans="1:11">
      <c r="D15" s="49">
        <v>46127</v>
      </c>
      <c r="E15" s="16">
        <v>1595216</v>
      </c>
      <c r="F15" s="16" t="s">
        <v>21</v>
      </c>
      <c r="G15" s="50">
        <v>20406253</v>
      </c>
      <c r="H15" s="16" t="s">
        <v>39</v>
      </c>
      <c r="I15" s="50">
        <v>2</v>
      </c>
      <c r="J15" s="51">
        <v>13.5</v>
      </c>
      <c r="K15" s="51">
        <v>27</v>
      </c>
    </row>
    <row r="16" spans="1:11">
      <c r="D16" s="49">
        <v>46127</v>
      </c>
      <c r="E16" s="16">
        <v>1595216</v>
      </c>
      <c r="F16" s="16" t="s">
        <v>21</v>
      </c>
      <c r="G16" s="50">
        <v>20313588</v>
      </c>
      <c r="H16" s="16" t="s">
        <v>30</v>
      </c>
      <c r="I16" s="50">
        <v>5</v>
      </c>
      <c r="J16" s="51">
        <v>8</v>
      </c>
      <c r="K16" s="51">
        <v>40</v>
      </c>
    </row>
    <row r="17" spans="4:11">
      <c r="D17" s="49">
        <v>46127</v>
      </c>
      <c r="E17" s="16">
        <v>1595216</v>
      </c>
      <c r="F17" s="16" t="s">
        <v>21</v>
      </c>
      <c r="G17" s="50">
        <v>20395495</v>
      </c>
      <c r="H17" s="16" t="s">
        <v>42</v>
      </c>
      <c r="I17" s="50">
        <v>1</v>
      </c>
      <c r="J17" s="51">
        <v>13.5</v>
      </c>
      <c r="K17" s="51">
        <v>13.5</v>
      </c>
    </row>
    <row r="18" spans="4:11">
      <c r="D18" s="49">
        <v>46127</v>
      </c>
      <c r="E18" s="16">
        <v>1595216</v>
      </c>
      <c r="F18" s="16" t="s">
        <v>21</v>
      </c>
      <c r="G18" s="50">
        <v>20376620</v>
      </c>
      <c r="H18" s="16" t="s">
        <v>58</v>
      </c>
      <c r="I18" s="50">
        <v>1</v>
      </c>
      <c r="J18" s="51">
        <v>8</v>
      </c>
      <c r="K18" s="51">
        <v>8</v>
      </c>
    </row>
    <row r="19" spans="4:11">
      <c r="D19" s="49">
        <v>46128</v>
      </c>
      <c r="E19" s="16">
        <v>1595340</v>
      </c>
      <c r="F19" s="16" t="s">
        <v>21</v>
      </c>
      <c r="G19" s="50">
        <v>20406253</v>
      </c>
      <c r="H19" s="16" t="s">
        <v>39</v>
      </c>
      <c r="I19" s="50">
        <v>3</v>
      </c>
      <c r="J19" s="51">
        <v>13.5</v>
      </c>
      <c r="K19" s="51">
        <v>40.5</v>
      </c>
    </row>
    <row r="20" spans="4:11">
      <c r="D20" s="49">
        <v>46128</v>
      </c>
      <c r="E20" s="16">
        <v>1595340</v>
      </c>
      <c r="F20" s="16" t="s">
        <v>21</v>
      </c>
      <c r="G20" s="50">
        <v>20313588</v>
      </c>
      <c r="H20" s="16" t="s">
        <v>30</v>
      </c>
      <c r="I20" s="50">
        <v>4</v>
      </c>
      <c r="J20" s="51">
        <v>8</v>
      </c>
      <c r="K20" s="51">
        <v>32</v>
      </c>
    </row>
    <row r="21" spans="4:11">
      <c r="D21" s="49">
        <v>46128</v>
      </c>
      <c r="E21" s="16">
        <v>1595340</v>
      </c>
      <c r="F21" s="16" t="s">
        <v>21</v>
      </c>
      <c r="G21" s="50">
        <v>20377357</v>
      </c>
      <c r="H21" s="16" t="s">
        <v>31</v>
      </c>
      <c r="I21" s="50">
        <v>1</v>
      </c>
      <c r="J21" s="51">
        <v>8</v>
      </c>
      <c r="K21" s="51">
        <v>8</v>
      </c>
    </row>
    <row r="22" spans="4:11">
      <c r="D22" s="49">
        <v>46129</v>
      </c>
      <c r="E22" s="16">
        <v>1595645</v>
      </c>
      <c r="F22" s="16" t="s">
        <v>21</v>
      </c>
      <c r="G22" s="50">
        <v>20406253</v>
      </c>
      <c r="H22" s="16" t="s">
        <v>39</v>
      </c>
      <c r="I22" s="50">
        <v>4</v>
      </c>
      <c r="J22" s="51">
        <v>13.5</v>
      </c>
      <c r="K22" s="51">
        <v>54</v>
      </c>
    </row>
    <row r="23" spans="4:11">
      <c r="D23" s="49">
        <v>46129</v>
      </c>
      <c r="E23" s="16">
        <v>1595645</v>
      </c>
      <c r="F23" s="16" t="s">
        <v>21</v>
      </c>
      <c r="G23" s="50">
        <v>20313588</v>
      </c>
      <c r="H23" s="16" t="s">
        <v>30</v>
      </c>
      <c r="I23" s="50">
        <v>6</v>
      </c>
      <c r="J23" s="51">
        <v>8</v>
      </c>
      <c r="K23" s="51">
        <v>48</v>
      </c>
    </row>
    <row r="24" spans="4:11">
      <c r="D24" s="49">
        <v>46129</v>
      </c>
      <c r="E24" s="16">
        <v>1595645</v>
      </c>
      <c r="F24" s="16" t="s">
        <v>21</v>
      </c>
      <c r="G24" s="50">
        <v>20377357</v>
      </c>
      <c r="H24" s="16" t="s">
        <v>31</v>
      </c>
      <c r="I24" s="50">
        <v>5</v>
      </c>
      <c r="J24" s="51">
        <v>8</v>
      </c>
      <c r="K24" s="51">
        <v>40</v>
      </c>
    </row>
    <row r="25" spans="4:11">
      <c r="D25" s="49">
        <v>46129</v>
      </c>
      <c r="E25" s="16">
        <v>1595781</v>
      </c>
      <c r="F25" s="16" t="s">
        <v>21</v>
      </c>
      <c r="G25" s="50">
        <v>20406253</v>
      </c>
      <c r="H25" s="16" t="s">
        <v>39</v>
      </c>
      <c r="I25" s="50">
        <v>1</v>
      </c>
      <c r="J25" s="51">
        <v>13.5</v>
      </c>
      <c r="K25" s="51">
        <v>13.5</v>
      </c>
    </row>
    <row r="26" spans="4:11">
      <c r="D26" s="49">
        <v>46129</v>
      </c>
      <c r="E26" s="16">
        <v>1595781</v>
      </c>
      <c r="F26" s="16" t="s">
        <v>21</v>
      </c>
      <c r="G26" s="50">
        <v>20313588</v>
      </c>
      <c r="H26" s="16" t="s">
        <v>30</v>
      </c>
      <c r="I26" s="50">
        <v>2</v>
      </c>
      <c r="J26" s="51">
        <v>8</v>
      </c>
      <c r="K26" s="51">
        <v>16</v>
      </c>
    </row>
    <row r="27" spans="4:11">
      <c r="D27" s="49">
        <v>46129</v>
      </c>
      <c r="E27" s="16">
        <v>1595781</v>
      </c>
      <c r="F27" s="16" t="s">
        <v>21</v>
      </c>
      <c r="G27" s="50">
        <v>20377357</v>
      </c>
      <c r="H27" s="16" t="s">
        <v>31</v>
      </c>
      <c r="I27" s="50">
        <v>1</v>
      </c>
      <c r="J27" s="51">
        <v>8</v>
      </c>
      <c r="K27" s="51">
        <v>8</v>
      </c>
    </row>
    <row r="28" spans="4:11">
      <c r="D28" s="49">
        <v>46130</v>
      </c>
      <c r="E28" s="16">
        <v>1596015</v>
      </c>
      <c r="F28" s="16" t="s">
        <v>21</v>
      </c>
      <c r="G28" s="50">
        <v>20406253</v>
      </c>
      <c r="H28" s="16" t="s">
        <v>39</v>
      </c>
      <c r="I28" s="50">
        <v>1</v>
      </c>
      <c r="J28" s="51">
        <v>13.5</v>
      </c>
      <c r="K28" s="51">
        <v>13.5</v>
      </c>
    </row>
    <row r="29" spans="4:11">
      <c r="D29" s="49">
        <v>46130</v>
      </c>
      <c r="E29" s="16">
        <v>1596015</v>
      </c>
      <c r="F29" s="16" t="s">
        <v>21</v>
      </c>
      <c r="G29" s="50">
        <v>20313588</v>
      </c>
      <c r="H29" s="16" t="s">
        <v>30</v>
      </c>
      <c r="I29" s="50">
        <v>2</v>
      </c>
      <c r="J29" s="51">
        <v>8</v>
      </c>
      <c r="K29" s="51">
        <v>16</v>
      </c>
    </row>
    <row r="30" spans="4:11">
      <c r="D30" s="49">
        <v>46130</v>
      </c>
      <c r="E30" s="16">
        <v>1596015</v>
      </c>
      <c r="F30" s="16" t="s">
        <v>21</v>
      </c>
      <c r="G30" s="50">
        <v>20376620</v>
      </c>
      <c r="H30" s="16" t="s">
        <v>58</v>
      </c>
      <c r="I30" s="50">
        <v>1</v>
      </c>
      <c r="J30" s="51">
        <v>8</v>
      </c>
      <c r="K30" s="51">
        <v>8</v>
      </c>
    </row>
    <row r="31" spans="4:11">
      <c r="D31" s="49">
        <v>46130</v>
      </c>
      <c r="E31" s="16">
        <v>1596015</v>
      </c>
      <c r="F31" s="16" t="s">
        <v>21</v>
      </c>
      <c r="G31" s="50">
        <v>20377357</v>
      </c>
      <c r="H31" s="16" t="s">
        <v>31</v>
      </c>
      <c r="I31" s="50">
        <v>1</v>
      </c>
      <c r="J31" s="51">
        <v>8</v>
      </c>
      <c r="K31" s="51">
        <v>8</v>
      </c>
    </row>
    <row r="32" spans="4:11">
      <c r="D32" s="49">
        <v>46133</v>
      </c>
      <c r="E32" s="16">
        <v>1596598</v>
      </c>
      <c r="F32" s="16" t="s">
        <v>21</v>
      </c>
      <c r="G32" s="50">
        <v>20406253</v>
      </c>
      <c r="H32" s="16" t="s">
        <v>39</v>
      </c>
      <c r="I32" s="50">
        <v>1</v>
      </c>
      <c r="J32" s="51">
        <v>13.5</v>
      </c>
      <c r="K32" s="51">
        <v>13.5</v>
      </c>
    </row>
    <row r="33" spans="4:11">
      <c r="D33" s="49">
        <v>46133</v>
      </c>
      <c r="E33" s="16">
        <v>1596598</v>
      </c>
      <c r="F33" s="16" t="s">
        <v>21</v>
      </c>
      <c r="G33" s="50">
        <v>20394943</v>
      </c>
      <c r="H33" s="16" t="s">
        <v>29</v>
      </c>
      <c r="I33" s="50">
        <v>1</v>
      </c>
      <c r="J33" s="51">
        <v>11</v>
      </c>
      <c r="K33" s="51">
        <v>11</v>
      </c>
    </row>
    <row r="34" spans="4:11">
      <c r="D34" s="49">
        <v>46133</v>
      </c>
      <c r="E34" s="16">
        <v>1596598</v>
      </c>
      <c r="F34" s="16" t="s">
        <v>21</v>
      </c>
      <c r="G34" s="50">
        <v>20395495</v>
      </c>
      <c r="H34" s="16" t="s">
        <v>42</v>
      </c>
      <c r="I34" s="50">
        <v>1</v>
      </c>
      <c r="J34" s="51">
        <v>13.5</v>
      </c>
      <c r="K34" s="51">
        <v>13.5</v>
      </c>
    </row>
    <row r="35" spans="4:11">
      <c r="D35" s="49">
        <v>46133</v>
      </c>
      <c r="E35" s="16">
        <v>1596692</v>
      </c>
      <c r="F35" s="16" t="s">
        <v>21</v>
      </c>
      <c r="G35" s="50">
        <v>20406253</v>
      </c>
      <c r="H35" s="16" t="s">
        <v>39</v>
      </c>
      <c r="I35" s="50">
        <v>4</v>
      </c>
      <c r="J35" s="51">
        <v>13.5</v>
      </c>
      <c r="K35" s="51">
        <v>54</v>
      </c>
    </row>
    <row r="36" spans="4:11">
      <c r="D36" s="49">
        <v>46133</v>
      </c>
      <c r="E36" s="16">
        <v>1596692</v>
      </c>
      <c r="F36" s="16" t="s">
        <v>21</v>
      </c>
      <c r="G36" s="50">
        <v>20313588</v>
      </c>
      <c r="H36" s="16" t="s">
        <v>30</v>
      </c>
      <c r="I36" s="50">
        <v>2</v>
      </c>
      <c r="J36" s="51">
        <v>8</v>
      </c>
      <c r="K36" s="51">
        <v>16</v>
      </c>
    </row>
    <row r="37" spans="4:11">
      <c r="D37" s="49">
        <v>46133</v>
      </c>
      <c r="E37" s="16">
        <v>1596692</v>
      </c>
      <c r="F37" s="16" t="s">
        <v>21</v>
      </c>
      <c r="G37" s="50">
        <v>20377357</v>
      </c>
      <c r="H37" s="16" t="s">
        <v>31</v>
      </c>
      <c r="I37" s="50">
        <v>2</v>
      </c>
      <c r="J37" s="51">
        <v>8</v>
      </c>
      <c r="K37" s="51">
        <v>16</v>
      </c>
    </row>
    <row r="38" spans="4:11">
      <c r="D38" s="49">
        <v>46134</v>
      </c>
      <c r="E38" s="16">
        <v>1596960</v>
      </c>
      <c r="F38" s="16" t="s">
        <v>21</v>
      </c>
      <c r="G38" s="50">
        <v>20406253</v>
      </c>
      <c r="H38" s="16" t="s">
        <v>39</v>
      </c>
      <c r="I38" s="50">
        <v>4</v>
      </c>
      <c r="J38" s="51">
        <v>13.5</v>
      </c>
      <c r="K38" s="51">
        <v>54</v>
      </c>
    </row>
    <row r="39" spans="4:11">
      <c r="D39" s="49">
        <v>46134</v>
      </c>
      <c r="E39" s="16">
        <v>1596960</v>
      </c>
      <c r="F39" s="16" t="s">
        <v>21</v>
      </c>
      <c r="G39" s="50">
        <v>20313588</v>
      </c>
      <c r="H39" s="16" t="s">
        <v>30</v>
      </c>
      <c r="I39" s="50">
        <v>6</v>
      </c>
      <c r="J39" s="51">
        <v>8</v>
      </c>
      <c r="K39" s="51">
        <v>48</v>
      </c>
    </row>
    <row r="40" spans="4:11">
      <c r="D40" s="49">
        <v>46134</v>
      </c>
      <c r="E40" s="16">
        <v>1596960</v>
      </c>
      <c r="F40" s="16" t="s">
        <v>21</v>
      </c>
      <c r="G40" s="50">
        <v>20377357</v>
      </c>
      <c r="H40" s="16" t="s">
        <v>31</v>
      </c>
      <c r="I40" s="50">
        <v>5</v>
      </c>
      <c r="J40" s="51">
        <v>8</v>
      </c>
      <c r="K40" s="51">
        <v>40</v>
      </c>
    </row>
    <row r="41" spans="4:11">
      <c r="D41" s="49">
        <v>46135</v>
      </c>
      <c r="E41" s="16">
        <v>1597331</v>
      </c>
      <c r="F41" s="16" t="s">
        <v>21</v>
      </c>
      <c r="G41" s="50">
        <v>20406253</v>
      </c>
      <c r="H41" s="16" t="s">
        <v>39</v>
      </c>
      <c r="I41" s="50">
        <v>1</v>
      </c>
      <c r="J41" s="51">
        <v>13.5</v>
      </c>
      <c r="K41" s="51">
        <v>13.5</v>
      </c>
    </row>
    <row r="42" spans="4:11">
      <c r="D42" s="49">
        <v>46135</v>
      </c>
      <c r="E42" s="16">
        <v>1597331</v>
      </c>
      <c r="F42" s="16" t="s">
        <v>21</v>
      </c>
      <c r="G42" s="50">
        <v>20313588</v>
      </c>
      <c r="H42" s="16" t="s">
        <v>30</v>
      </c>
      <c r="I42" s="50">
        <v>2</v>
      </c>
      <c r="J42" s="51">
        <v>8</v>
      </c>
      <c r="K42" s="51">
        <v>16</v>
      </c>
    </row>
    <row r="43" spans="4:11">
      <c r="D43" s="49">
        <v>46135</v>
      </c>
      <c r="E43" s="16">
        <v>1597331</v>
      </c>
      <c r="F43" s="16" t="s">
        <v>21</v>
      </c>
      <c r="G43" s="50">
        <v>20377357</v>
      </c>
      <c r="H43" s="16" t="s">
        <v>31</v>
      </c>
      <c r="I43" s="50">
        <v>1</v>
      </c>
      <c r="J43" s="51">
        <v>8</v>
      </c>
      <c r="K43" s="51">
        <v>8</v>
      </c>
    </row>
    <row r="44" spans="4:11">
      <c r="D44" s="49">
        <v>46135</v>
      </c>
      <c r="E44" s="16">
        <v>1597438</v>
      </c>
      <c r="F44" s="16" t="s">
        <v>21</v>
      </c>
      <c r="G44" s="50">
        <v>20406253</v>
      </c>
      <c r="H44" s="16" t="s">
        <v>39</v>
      </c>
      <c r="I44" s="50">
        <v>2</v>
      </c>
      <c r="J44" s="51">
        <v>13.5</v>
      </c>
      <c r="K44" s="51">
        <v>27</v>
      </c>
    </row>
    <row r="45" spans="4:11">
      <c r="D45" s="49">
        <v>46135</v>
      </c>
      <c r="E45" s="16">
        <v>1597438</v>
      </c>
      <c r="F45" s="16" t="s">
        <v>21</v>
      </c>
      <c r="G45" s="50">
        <v>20377357</v>
      </c>
      <c r="H45" s="16" t="s">
        <v>31</v>
      </c>
      <c r="I45" s="50">
        <v>1</v>
      </c>
      <c r="J45" s="51">
        <v>8</v>
      </c>
      <c r="K45" s="51">
        <v>8</v>
      </c>
    </row>
    <row r="46" spans="4:11">
      <c r="D46" s="49">
        <v>46136</v>
      </c>
      <c r="E46" s="16">
        <v>1597720</v>
      </c>
      <c r="F46" s="16" t="s">
        <v>21</v>
      </c>
      <c r="G46" s="50">
        <v>20406253</v>
      </c>
      <c r="H46" s="16" t="s">
        <v>39</v>
      </c>
      <c r="I46" s="50">
        <v>4</v>
      </c>
      <c r="J46" s="51">
        <v>13.5</v>
      </c>
      <c r="K46" s="51">
        <v>54</v>
      </c>
    </row>
    <row r="47" spans="4:11">
      <c r="D47" s="49">
        <v>46136</v>
      </c>
      <c r="E47" s="16">
        <v>1597720</v>
      </c>
      <c r="F47" s="16" t="s">
        <v>21</v>
      </c>
      <c r="G47" s="50">
        <v>20313588</v>
      </c>
      <c r="H47" s="16" t="s">
        <v>30</v>
      </c>
      <c r="I47" s="50">
        <v>4</v>
      </c>
      <c r="J47" s="51">
        <v>8</v>
      </c>
      <c r="K47" s="51">
        <v>32</v>
      </c>
    </row>
    <row r="48" spans="4:11">
      <c r="D48" s="49">
        <v>46136</v>
      </c>
      <c r="E48" s="16">
        <v>1597720</v>
      </c>
      <c r="F48" s="16" t="s">
        <v>21</v>
      </c>
      <c r="G48" s="50">
        <v>20377357</v>
      </c>
      <c r="H48" s="16" t="s">
        <v>31</v>
      </c>
      <c r="I48" s="50">
        <v>2</v>
      </c>
      <c r="J48" s="51">
        <v>8</v>
      </c>
      <c r="K48" s="51">
        <v>16</v>
      </c>
    </row>
    <row r="49" spans="4:11">
      <c r="D49" s="49">
        <v>46137</v>
      </c>
      <c r="E49" s="16">
        <v>1598089</v>
      </c>
      <c r="F49" s="16" t="s">
        <v>21</v>
      </c>
      <c r="G49" s="50">
        <v>20406253</v>
      </c>
      <c r="H49" s="16" t="s">
        <v>39</v>
      </c>
      <c r="I49" s="50">
        <v>3</v>
      </c>
      <c r="J49" s="51">
        <v>13.5</v>
      </c>
      <c r="K49" s="51">
        <v>40.5</v>
      </c>
    </row>
    <row r="50" spans="4:11">
      <c r="D50" s="49">
        <v>46137</v>
      </c>
      <c r="E50" s="16">
        <v>1598089</v>
      </c>
      <c r="F50" s="16" t="s">
        <v>21</v>
      </c>
      <c r="G50" s="50">
        <v>20394943</v>
      </c>
      <c r="H50" s="16" t="s">
        <v>29</v>
      </c>
      <c r="I50" s="50">
        <v>1</v>
      </c>
      <c r="J50" s="51">
        <v>11</v>
      </c>
      <c r="K50" s="51">
        <v>11</v>
      </c>
    </row>
    <row r="51" spans="4:11">
      <c r="D51" s="49">
        <v>46137</v>
      </c>
      <c r="E51" s="16">
        <v>1598089</v>
      </c>
      <c r="F51" s="16" t="s">
        <v>21</v>
      </c>
      <c r="G51" s="50">
        <v>20313588</v>
      </c>
      <c r="H51" s="16" t="s">
        <v>30</v>
      </c>
      <c r="I51" s="50">
        <v>3</v>
      </c>
      <c r="J51" s="51">
        <v>8</v>
      </c>
      <c r="K51" s="51">
        <v>24</v>
      </c>
    </row>
    <row r="52" spans="4:11">
      <c r="D52" s="49">
        <v>46137</v>
      </c>
      <c r="E52" s="16">
        <v>1598089</v>
      </c>
      <c r="F52" s="16" t="s">
        <v>21</v>
      </c>
      <c r="G52" s="50">
        <v>20395495</v>
      </c>
      <c r="H52" s="16" t="s">
        <v>42</v>
      </c>
      <c r="I52" s="50">
        <v>1</v>
      </c>
      <c r="J52" s="51">
        <v>13.5</v>
      </c>
      <c r="K52" s="51">
        <v>13.5</v>
      </c>
    </row>
    <row r="53" spans="4:11">
      <c r="D53" s="49">
        <v>46137</v>
      </c>
      <c r="E53" s="16">
        <v>1598089</v>
      </c>
      <c r="F53" s="16" t="s">
        <v>21</v>
      </c>
      <c r="G53" s="50">
        <v>20377357</v>
      </c>
      <c r="H53" s="16" t="s">
        <v>31</v>
      </c>
      <c r="I53" s="50">
        <v>3</v>
      </c>
      <c r="J53" s="51">
        <v>8</v>
      </c>
      <c r="K53" s="51">
        <v>24</v>
      </c>
    </row>
    <row r="54" spans="4:11">
      <c r="D54" s="49">
        <v>46140</v>
      </c>
      <c r="E54" s="16">
        <v>1598751</v>
      </c>
      <c r="F54" s="16" t="s">
        <v>21</v>
      </c>
      <c r="G54" s="50">
        <v>20406253</v>
      </c>
      <c r="H54" s="16" t="s">
        <v>39</v>
      </c>
      <c r="I54" s="50">
        <v>1</v>
      </c>
      <c r="J54" s="51">
        <v>13.5</v>
      </c>
      <c r="K54" s="51">
        <v>13.5</v>
      </c>
    </row>
    <row r="55" spans="4:11">
      <c r="D55" s="49">
        <v>46140</v>
      </c>
      <c r="E55" s="16">
        <v>1598751</v>
      </c>
      <c r="F55" s="16" t="s">
        <v>21</v>
      </c>
      <c r="G55" s="50">
        <v>20313588</v>
      </c>
      <c r="H55" s="16" t="s">
        <v>30</v>
      </c>
      <c r="I55" s="50">
        <v>3</v>
      </c>
      <c r="J55" s="51">
        <v>8</v>
      </c>
      <c r="K55" s="51">
        <v>24</v>
      </c>
    </row>
    <row r="56" spans="4:11">
      <c r="D56" s="49">
        <v>46140</v>
      </c>
      <c r="E56" s="16">
        <v>1598751</v>
      </c>
      <c r="F56" s="16" t="s">
        <v>21</v>
      </c>
      <c r="G56" s="50">
        <v>20377357</v>
      </c>
      <c r="H56" s="16" t="s">
        <v>31</v>
      </c>
      <c r="I56" s="50">
        <v>1</v>
      </c>
      <c r="J56" s="51">
        <v>8</v>
      </c>
      <c r="K56" s="51">
        <v>8</v>
      </c>
    </row>
    <row r="57" spans="4:11">
      <c r="D57" s="49">
        <v>46141</v>
      </c>
      <c r="E57" s="16">
        <v>1599058</v>
      </c>
      <c r="F57" s="16" t="s">
        <v>21</v>
      </c>
      <c r="G57" s="50">
        <v>20406253</v>
      </c>
      <c r="H57" s="16" t="s">
        <v>39</v>
      </c>
      <c r="I57" s="50">
        <v>3</v>
      </c>
      <c r="J57" s="51">
        <v>13.5</v>
      </c>
      <c r="K57" s="51">
        <v>40.5</v>
      </c>
    </row>
    <row r="58" spans="4:11">
      <c r="D58" s="49">
        <v>46141</v>
      </c>
      <c r="E58" s="16">
        <v>1599058</v>
      </c>
      <c r="F58" s="16" t="s">
        <v>21</v>
      </c>
      <c r="G58" s="50">
        <v>20313588</v>
      </c>
      <c r="H58" s="16" t="s">
        <v>30</v>
      </c>
      <c r="I58" s="50">
        <v>5</v>
      </c>
      <c r="J58" s="51">
        <v>8</v>
      </c>
      <c r="K58" s="51">
        <v>40</v>
      </c>
    </row>
    <row r="59" spans="4:11">
      <c r="D59" s="49">
        <v>46141</v>
      </c>
      <c r="E59" s="16">
        <v>1599058</v>
      </c>
      <c r="F59" s="16" t="s">
        <v>21</v>
      </c>
      <c r="G59" s="50">
        <v>20377357</v>
      </c>
      <c r="H59" s="16" t="s">
        <v>31</v>
      </c>
      <c r="I59" s="50">
        <v>1</v>
      </c>
      <c r="J59" s="51">
        <v>8</v>
      </c>
      <c r="K59" s="51">
        <v>8</v>
      </c>
    </row>
    <row r="60" spans="4:11">
      <c r="D60" s="49">
        <v>46141</v>
      </c>
      <c r="E60" s="16">
        <v>1599156</v>
      </c>
      <c r="F60" s="16" t="s">
        <v>21</v>
      </c>
      <c r="G60" s="50">
        <v>20406253</v>
      </c>
      <c r="H60" s="16" t="s">
        <v>39</v>
      </c>
      <c r="I60" s="50">
        <v>3</v>
      </c>
      <c r="J60" s="51">
        <v>13.5</v>
      </c>
      <c r="K60" s="51">
        <v>40.5</v>
      </c>
    </row>
    <row r="61" spans="4:11">
      <c r="D61" s="49">
        <v>46141</v>
      </c>
      <c r="E61" s="16">
        <v>1599156</v>
      </c>
      <c r="F61" s="16" t="s">
        <v>21</v>
      </c>
      <c r="G61" s="50">
        <v>20313588</v>
      </c>
      <c r="H61" s="16" t="s">
        <v>30</v>
      </c>
      <c r="I61" s="50">
        <v>6</v>
      </c>
      <c r="J61" s="51">
        <v>8</v>
      </c>
      <c r="K61" s="51">
        <v>48</v>
      </c>
    </row>
    <row r="62" spans="4:11">
      <c r="D62" s="49">
        <v>46141</v>
      </c>
      <c r="E62" s="16">
        <v>1599156</v>
      </c>
      <c r="F62" s="16" t="s">
        <v>21</v>
      </c>
      <c r="G62" s="50">
        <v>20377357</v>
      </c>
      <c r="H62" s="16" t="s">
        <v>31</v>
      </c>
      <c r="I62" s="50">
        <v>3</v>
      </c>
      <c r="J62" s="51">
        <v>8</v>
      </c>
      <c r="K62" s="51">
        <v>24</v>
      </c>
    </row>
    <row r="63" spans="4:11">
      <c r="D63" s="49">
        <v>46142</v>
      </c>
      <c r="E63" s="16">
        <v>1599447</v>
      </c>
      <c r="F63" s="16" t="s">
        <v>21</v>
      </c>
      <c r="G63" s="50">
        <v>20406253</v>
      </c>
      <c r="H63" s="16" t="s">
        <v>39</v>
      </c>
      <c r="I63" s="50">
        <v>3</v>
      </c>
      <c r="J63" s="51">
        <v>13.5</v>
      </c>
      <c r="K63" s="51">
        <v>40.5</v>
      </c>
    </row>
    <row r="64" spans="4:11">
      <c r="D64" s="49">
        <v>46142</v>
      </c>
      <c r="E64" s="16">
        <v>1599447</v>
      </c>
      <c r="F64" s="16" t="s">
        <v>21</v>
      </c>
      <c r="G64" s="50">
        <v>20313588</v>
      </c>
      <c r="H64" s="16" t="s">
        <v>30</v>
      </c>
      <c r="I64" s="50">
        <v>4</v>
      </c>
      <c r="J64" s="51">
        <v>8</v>
      </c>
      <c r="K64" s="51">
        <v>32</v>
      </c>
    </row>
    <row r="65" spans="4:11">
      <c r="D65" s="49">
        <v>46142</v>
      </c>
      <c r="E65" s="16">
        <v>1599447</v>
      </c>
      <c r="F65" s="16" t="s">
        <v>21</v>
      </c>
      <c r="G65" s="50">
        <v>20377357</v>
      </c>
      <c r="H65" s="16" t="s">
        <v>31</v>
      </c>
      <c r="I65" s="50">
        <v>4</v>
      </c>
      <c r="J65" s="51">
        <v>8</v>
      </c>
      <c r="K65" s="51">
        <v>32</v>
      </c>
    </row>
    <row r="66" spans="4:11">
      <c r="D66" s="49">
        <v>46142</v>
      </c>
      <c r="E66" s="16">
        <v>1599615</v>
      </c>
      <c r="F66" s="16" t="s">
        <v>21</v>
      </c>
      <c r="G66" s="50">
        <v>20406253</v>
      </c>
      <c r="H66" s="16" t="s">
        <v>39</v>
      </c>
      <c r="I66" s="50">
        <v>2</v>
      </c>
      <c r="J66" s="51">
        <v>13.5</v>
      </c>
      <c r="K66" s="51">
        <v>27</v>
      </c>
    </row>
    <row r="67" spans="4:11">
      <c r="D67" s="49">
        <v>46142</v>
      </c>
      <c r="E67" s="16">
        <v>1599615</v>
      </c>
      <c r="F67" s="16" t="s">
        <v>21</v>
      </c>
      <c r="G67" s="50">
        <v>20313588</v>
      </c>
      <c r="H67" s="16" t="s">
        <v>30</v>
      </c>
      <c r="I67" s="50">
        <v>3</v>
      </c>
      <c r="J67" s="51">
        <v>8</v>
      </c>
      <c r="K67" s="51">
        <v>24</v>
      </c>
    </row>
    <row r="68" spans="4:11">
      <c r="D68" s="49">
        <v>46142</v>
      </c>
      <c r="E68" s="16">
        <v>1599615</v>
      </c>
      <c r="F68" s="16" t="s">
        <v>21</v>
      </c>
      <c r="G68" s="50">
        <v>20377357</v>
      </c>
      <c r="H68" s="16" t="s">
        <v>31</v>
      </c>
      <c r="I68" s="50">
        <v>2</v>
      </c>
      <c r="J68" s="51">
        <v>8</v>
      </c>
      <c r="K68" s="51">
        <v>16</v>
      </c>
    </row>
    <row r="69" spans="4:11">
      <c r="D69" s="49">
        <v>46142</v>
      </c>
      <c r="E69" s="16">
        <v>1599905</v>
      </c>
      <c r="F69" s="16" t="s">
        <v>21</v>
      </c>
      <c r="G69" s="50">
        <v>20423780</v>
      </c>
      <c r="H69" s="16" t="s">
        <v>82</v>
      </c>
      <c r="I69" s="50">
        <v>1</v>
      </c>
      <c r="J69" s="51">
        <v>8</v>
      </c>
      <c r="K69" s="51">
        <v>8</v>
      </c>
    </row>
    <row r="70" spans="4:11">
      <c r="D70" s="49">
        <v>46142</v>
      </c>
      <c r="E70" s="16">
        <v>1599905</v>
      </c>
      <c r="F70" s="16" t="s">
        <v>21</v>
      </c>
      <c r="G70" s="50">
        <v>20406253</v>
      </c>
      <c r="H70" s="16" t="s">
        <v>39</v>
      </c>
      <c r="I70" s="50">
        <v>2</v>
      </c>
      <c r="J70" s="51">
        <v>13.5</v>
      </c>
      <c r="K70" s="51">
        <v>27</v>
      </c>
    </row>
    <row r="71" spans="4:11">
      <c r="D71" s="49">
        <v>46142</v>
      </c>
      <c r="E71" s="16">
        <v>1599905</v>
      </c>
      <c r="F71" s="16" t="s">
        <v>21</v>
      </c>
      <c r="G71" s="50">
        <v>20414939</v>
      </c>
      <c r="H71" s="16" t="s">
        <v>62</v>
      </c>
      <c r="I71" s="50">
        <v>1</v>
      </c>
      <c r="J71" s="51">
        <v>8</v>
      </c>
      <c r="K71" s="51">
        <v>8</v>
      </c>
    </row>
    <row r="72" spans="4:11">
      <c r="D72" s="49">
        <v>46142</v>
      </c>
      <c r="E72" s="16">
        <v>1599905</v>
      </c>
      <c r="F72" s="16" t="s">
        <v>21</v>
      </c>
      <c r="G72" s="50">
        <v>20313588</v>
      </c>
      <c r="H72" s="16" t="s">
        <v>30</v>
      </c>
      <c r="I72" s="50">
        <v>6</v>
      </c>
      <c r="J72" s="51">
        <v>8</v>
      </c>
      <c r="K72" s="51">
        <v>48</v>
      </c>
    </row>
    <row r="73" spans="4:11">
      <c r="D73" s="49">
        <v>46142</v>
      </c>
      <c r="E73" s="16">
        <v>1599905</v>
      </c>
      <c r="F73" s="16" t="s">
        <v>21</v>
      </c>
      <c r="G73" s="50">
        <v>20393917</v>
      </c>
      <c r="H73" s="16" t="s">
        <v>47</v>
      </c>
      <c r="I73" s="50">
        <v>2</v>
      </c>
      <c r="J73" s="51">
        <v>11</v>
      </c>
      <c r="K73" s="51">
        <v>22</v>
      </c>
    </row>
    <row r="74" spans="4:11">
      <c r="D74" s="49">
        <v>46142</v>
      </c>
      <c r="E74" s="16">
        <v>1599905</v>
      </c>
      <c r="F74" s="16" t="s">
        <v>21</v>
      </c>
      <c r="G74" s="50">
        <v>20396337</v>
      </c>
      <c r="H74" s="16" t="s">
        <v>36</v>
      </c>
      <c r="I74" s="50">
        <v>4</v>
      </c>
      <c r="J74" s="51">
        <v>8</v>
      </c>
      <c r="K74" s="51">
        <v>32</v>
      </c>
    </row>
    <row r="75" spans="4:11">
      <c r="D75" s="49">
        <v>46142</v>
      </c>
      <c r="E75" s="16">
        <v>1599905</v>
      </c>
      <c r="F75" s="16" t="s">
        <v>21</v>
      </c>
      <c r="G75" s="50">
        <v>20376620</v>
      </c>
      <c r="H75" s="16" t="s">
        <v>58</v>
      </c>
      <c r="I75" s="50">
        <v>1</v>
      </c>
      <c r="J75" s="51">
        <v>8</v>
      </c>
      <c r="K75" s="51">
        <v>8</v>
      </c>
    </row>
    <row r="76" spans="4:11">
      <c r="D76" s="49">
        <v>46142</v>
      </c>
      <c r="E76" s="16">
        <v>1599905</v>
      </c>
      <c r="F76" s="16" t="s">
        <v>21</v>
      </c>
      <c r="G76" s="50">
        <v>20377357</v>
      </c>
      <c r="H76" s="16" t="s">
        <v>31</v>
      </c>
      <c r="I76" s="50">
        <v>2</v>
      </c>
      <c r="J76" s="51">
        <v>8</v>
      </c>
      <c r="K76" s="51">
        <v>16</v>
      </c>
    </row>
    <row r="77" spans="4:11">
      <c r="D77" s="49">
        <v>46143</v>
      </c>
      <c r="E77" s="16">
        <v>1599931</v>
      </c>
      <c r="F77" s="16" t="s">
        <v>21</v>
      </c>
      <c r="G77" s="50">
        <v>20396337</v>
      </c>
      <c r="H77" s="16" t="s">
        <v>36</v>
      </c>
      <c r="I77" s="50">
        <v>1</v>
      </c>
      <c r="J77" s="51">
        <v>8</v>
      </c>
      <c r="K77" s="51">
        <v>8</v>
      </c>
    </row>
    <row r="78" spans="4:11">
      <c r="D78" s="49">
        <v>46149</v>
      </c>
      <c r="E78" s="16">
        <v>1600758</v>
      </c>
      <c r="F78" s="16" t="s">
        <v>21</v>
      </c>
      <c r="G78" s="50">
        <v>20406253</v>
      </c>
      <c r="H78" s="16" t="s">
        <v>39</v>
      </c>
      <c r="I78" s="50">
        <v>2</v>
      </c>
      <c r="J78" s="51">
        <v>13.5</v>
      </c>
      <c r="K78" s="51">
        <v>27</v>
      </c>
    </row>
    <row r="79" spans="4:11">
      <c r="D79" s="49">
        <v>46149</v>
      </c>
      <c r="E79" s="16">
        <v>1600758</v>
      </c>
      <c r="F79" s="16" t="s">
        <v>21</v>
      </c>
      <c r="G79" s="50">
        <v>20313588</v>
      </c>
      <c r="H79" s="16" t="s">
        <v>30</v>
      </c>
      <c r="I79" s="50">
        <v>2</v>
      </c>
      <c r="J79" s="51">
        <v>8</v>
      </c>
      <c r="K79" s="51">
        <v>16</v>
      </c>
    </row>
    <row r="80" spans="4:11">
      <c r="D80" s="49">
        <v>46149</v>
      </c>
      <c r="E80" s="16">
        <v>1600758</v>
      </c>
      <c r="F80" s="16" t="s">
        <v>21</v>
      </c>
      <c r="G80" s="50">
        <v>20377357</v>
      </c>
      <c r="H80" s="16" t="s">
        <v>31</v>
      </c>
      <c r="I80" s="50">
        <v>2</v>
      </c>
      <c r="J80" s="51">
        <v>8</v>
      </c>
      <c r="K80" s="51">
        <v>16</v>
      </c>
    </row>
    <row r="81" spans="4:11">
      <c r="D81" s="49">
        <v>46150</v>
      </c>
      <c r="E81" s="16">
        <v>1601070</v>
      </c>
      <c r="F81" s="16" t="s">
        <v>21</v>
      </c>
      <c r="G81" s="50">
        <v>20376624</v>
      </c>
      <c r="H81" s="16" t="s">
        <v>28</v>
      </c>
      <c r="I81" s="50">
        <v>1</v>
      </c>
      <c r="J81" s="51">
        <v>8</v>
      </c>
      <c r="K81" s="51">
        <v>8</v>
      </c>
    </row>
    <row r="82" spans="4:11">
      <c r="D82" s="49">
        <v>46150</v>
      </c>
      <c r="E82" s="16">
        <v>1601070</v>
      </c>
      <c r="F82" s="16" t="s">
        <v>21</v>
      </c>
      <c r="G82" s="50">
        <v>20406253</v>
      </c>
      <c r="H82" s="16" t="s">
        <v>39</v>
      </c>
      <c r="I82" s="50">
        <v>1</v>
      </c>
      <c r="J82" s="51">
        <v>13.5</v>
      </c>
      <c r="K82" s="51">
        <v>13.5</v>
      </c>
    </row>
    <row r="83" spans="4:11">
      <c r="D83" s="49">
        <v>46150</v>
      </c>
      <c r="E83" s="16">
        <v>1601070</v>
      </c>
      <c r="F83" s="16" t="s">
        <v>21</v>
      </c>
      <c r="G83" s="50">
        <v>20313588</v>
      </c>
      <c r="H83" s="16" t="s">
        <v>30</v>
      </c>
      <c r="I83" s="50">
        <v>2</v>
      </c>
      <c r="J83" s="51">
        <v>8</v>
      </c>
      <c r="K83" s="51">
        <v>16</v>
      </c>
    </row>
    <row r="84" spans="4:11">
      <c r="D84" s="49">
        <v>46150</v>
      </c>
      <c r="E84" s="16">
        <v>1601070</v>
      </c>
      <c r="F84" s="16" t="s">
        <v>21</v>
      </c>
      <c r="G84" s="50">
        <v>20376620</v>
      </c>
      <c r="H84" s="16" t="s">
        <v>58</v>
      </c>
      <c r="I84" s="50">
        <v>1</v>
      </c>
      <c r="J84" s="51">
        <v>8</v>
      </c>
      <c r="K84" s="51">
        <v>8</v>
      </c>
    </row>
    <row r="85" spans="4:11">
      <c r="D85" s="49">
        <v>46150</v>
      </c>
      <c r="E85" s="16">
        <v>1601070</v>
      </c>
      <c r="F85" s="16" t="s">
        <v>21</v>
      </c>
      <c r="G85" s="50">
        <v>20377357</v>
      </c>
      <c r="H85" s="16" t="s">
        <v>31</v>
      </c>
      <c r="I85" s="50">
        <v>1</v>
      </c>
      <c r="J85" s="51">
        <v>8</v>
      </c>
      <c r="K85" s="51">
        <v>8</v>
      </c>
    </row>
    <row r="86" spans="4:11">
      <c r="D86" s="49">
        <v>46150</v>
      </c>
      <c r="E86" s="16">
        <v>1601188</v>
      </c>
      <c r="F86" s="16" t="s">
        <v>21</v>
      </c>
      <c r="G86" s="50">
        <v>20406253</v>
      </c>
      <c r="H86" s="16" t="s">
        <v>39</v>
      </c>
      <c r="I86" s="50">
        <v>4</v>
      </c>
      <c r="J86" s="51">
        <v>13.5</v>
      </c>
      <c r="K86" s="51">
        <v>54</v>
      </c>
    </row>
    <row r="87" spans="4:11">
      <c r="D87" s="49">
        <v>46150</v>
      </c>
      <c r="E87" s="16">
        <v>1601188</v>
      </c>
      <c r="F87" s="16" t="s">
        <v>21</v>
      </c>
      <c r="G87" s="50">
        <v>20313588</v>
      </c>
      <c r="H87" s="16" t="s">
        <v>30</v>
      </c>
      <c r="I87" s="50">
        <v>6</v>
      </c>
      <c r="J87" s="51">
        <v>8</v>
      </c>
      <c r="K87" s="51">
        <v>48</v>
      </c>
    </row>
    <row r="88" spans="4:11">
      <c r="D88" s="49">
        <v>46150</v>
      </c>
      <c r="E88" s="16">
        <v>1601188</v>
      </c>
      <c r="F88" s="16" t="s">
        <v>21</v>
      </c>
      <c r="G88" s="50">
        <v>20377357</v>
      </c>
      <c r="H88" s="16" t="s">
        <v>31</v>
      </c>
      <c r="I88" s="50">
        <v>3</v>
      </c>
      <c r="J88" s="51">
        <v>8</v>
      </c>
      <c r="K88" s="51">
        <v>24</v>
      </c>
    </row>
    <row r="89" spans="4:11">
      <c r="D89" s="49">
        <v>46151</v>
      </c>
      <c r="E89" s="16">
        <v>1601499</v>
      </c>
      <c r="F89" s="16" t="s">
        <v>21</v>
      </c>
      <c r="G89" s="50">
        <v>20406253</v>
      </c>
      <c r="H89" s="16" t="s">
        <v>39</v>
      </c>
      <c r="I89" s="50">
        <v>2</v>
      </c>
      <c r="J89" s="51">
        <v>13.5</v>
      </c>
      <c r="K89" s="51">
        <v>27</v>
      </c>
    </row>
    <row r="90" spans="4:11">
      <c r="D90" s="49">
        <v>46151</v>
      </c>
      <c r="E90" s="16">
        <v>1601499</v>
      </c>
      <c r="F90" s="16" t="s">
        <v>21</v>
      </c>
      <c r="G90" s="50">
        <v>20313588</v>
      </c>
      <c r="H90" s="16" t="s">
        <v>30</v>
      </c>
      <c r="I90" s="50">
        <v>2</v>
      </c>
      <c r="J90" s="51">
        <v>8</v>
      </c>
      <c r="K90" s="51">
        <v>16</v>
      </c>
    </row>
    <row r="91" spans="4:11">
      <c r="D91" s="49">
        <v>46151</v>
      </c>
      <c r="E91" s="16">
        <v>1601499</v>
      </c>
      <c r="F91" s="16" t="s">
        <v>21</v>
      </c>
      <c r="G91" s="50">
        <v>20376620</v>
      </c>
      <c r="H91" s="16" t="s">
        <v>58</v>
      </c>
      <c r="I91" s="50">
        <v>1</v>
      </c>
      <c r="J91" s="51">
        <v>8</v>
      </c>
      <c r="K91" s="51">
        <v>8</v>
      </c>
    </row>
    <row r="92" spans="4:11">
      <c r="D92" s="49">
        <v>46151</v>
      </c>
      <c r="E92" s="16">
        <v>1601499</v>
      </c>
      <c r="F92" s="16" t="s">
        <v>21</v>
      </c>
      <c r="G92" s="50">
        <v>20377357</v>
      </c>
      <c r="H92" s="16" t="s">
        <v>31</v>
      </c>
      <c r="I92" s="50">
        <v>5</v>
      </c>
      <c r="J92" s="51">
        <v>8</v>
      </c>
      <c r="K92" s="51">
        <v>40</v>
      </c>
    </row>
    <row r="93" spans="4:11">
      <c r="D93" s="49">
        <v>46151</v>
      </c>
      <c r="E93" s="16">
        <v>1601614</v>
      </c>
      <c r="F93" s="16" t="s">
        <v>21</v>
      </c>
      <c r="G93" s="50">
        <v>20406253</v>
      </c>
      <c r="H93" s="16" t="s">
        <v>39</v>
      </c>
      <c r="I93" s="50">
        <v>3</v>
      </c>
      <c r="J93" s="51">
        <v>13.5</v>
      </c>
      <c r="K93" s="51">
        <v>40.5</v>
      </c>
    </row>
    <row r="94" spans="4:11">
      <c r="D94" s="49">
        <v>46151</v>
      </c>
      <c r="E94" s="16">
        <v>1601614</v>
      </c>
      <c r="F94" s="16" t="s">
        <v>21</v>
      </c>
      <c r="G94" s="50">
        <v>20414939</v>
      </c>
      <c r="H94" s="16" t="s">
        <v>62</v>
      </c>
      <c r="I94" s="50">
        <v>1</v>
      </c>
      <c r="J94" s="51">
        <v>8</v>
      </c>
      <c r="K94" s="51">
        <v>8</v>
      </c>
    </row>
    <row r="95" spans="4:11">
      <c r="D95" s="49">
        <v>46151</v>
      </c>
      <c r="E95" s="16">
        <v>1601614</v>
      </c>
      <c r="F95" s="16" t="s">
        <v>21</v>
      </c>
      <c r="G95" s="50">
        <v>20313588</v>
      </c>
      <c r="H95" s="16" t="s">
        <v>30</v>
      </c>
      <c r="I95" s="50">
        <v>4</v>
      </c>
      <c r="J95" s="51">
        <v>8</v>
      </c>
      <c r="K95" s="51">
        <v>32</v>
      </c>
    </row>
    <row r="96" spans="4:11">
      <c r="D96" s="49">
        <v>46151</v>
      </c>
      <c r="E96" s="16">
        <v>1601797</v>
      </c>
      <c r="F96" s="16" t="s">
        <v>21</v>
      </c>
      <c r="G96" s="50">
        <v>20406253</v>
      </c>
      <c r="H96" s="16" t="s">
        <v>39</v>
      </c>
      <c r="I96" s="50">
        <v>3</v>
      </c>
      <c r="J96" s="51">
        <v>13.5</v>
      </c>
      <c r="K96" s="51">
        <v>40.5</v>
      </c>
    </row>
    <row r="97" spans="4:11">
      <c r="D97" s="49">
        <v>46151</v>
      </c>
      <c r="E97" s="16">
        <v>1601797</v>
      </c>
      <c r="F97" s="16" t="s">
        <v>21</v>
      </c>
      <c r="G97" s="50">
        <v>20313588</v>
      </c>
      <c r="H97" s="16" t="s">
        <v>30</v>
      </c>
      <c r="I97" s="50">
        <v>3</v>
      </c>
      <c r="J97" s="51">
        <v>8</v>
      </c>
      <c r="K97" s="51">
        <v>24</v>
      </c>
    </row>
    <row r="98" spans="4:11">
      <c r="D98" s="49">
        <v>46151</v>
      </c>
      <c r="E98" s="16">
        <v>1601797</v>
      </c>
      <c r="F98" s="16" t="s">
        <v>21</v>
      </c>
      <c r="G98" s="50">
        <v>20377357</v>
      </c>
      <c r="H98" s="16" t="s">
        <v>31</v>
      </c>
      <c r="I98" s="50">
        <v>4</v>
      </c>
      <c r="J98" s="51">
        <v>8</v>
      </c>
      <c r="K98" s="51">
        <v>32</v>
      </c>
    </row>
    <row r="99" spans="4:11">
      <c r="D99" s="49">
        <v>46154</v>
      </c>
      <c r="E99" s="16">
        <v>1602304</v>
      </c>
      <c r="F99" s="16" t="s">
        <v>21</v>
      </c>
      <c r="G99" s="50">
        <v>20406253</v>
      </c>
      <c r="H99" s="16" t="s">
        <v>39</v>
      </c>
      <c r="I99" s="50">
        <v>1</v>
      </c>
      <c r="J99" s="51">
        <v>13.5</v>
      </c>
      <c r="K99" s="51">
        <v>13.5</v>
      </c>
    </row>
    <row r="100" spans="4:11">
      <c r="D100" s="49">
        <v>46154</v>
      </c>
      <c r="E100" s="16">
        <v>1602304</v>
      </c>
      <c r="F100" s="16" t="s">
        <v>21</v>
      </c>
      <c r="G100" s="50">
        <v>20313588</v>
      </c>
      <c r="H100" s="16" t="s">
        <v>30</v>
      </c>
      <c r="I100" s="50">
        <v>3</v>
      </c>
      <c r="J100" s="51">
        <v>8</v>
      </c>
      <c r="K100" s="51">
        <v>24</v>
      </c>
    </row>
    <row r="101" spans="4:11">
      <c r="D101" s="49">
        <v>46154</v>
      </c>
      <c r="E101" s="16">
        <v>1602304</v>
      </c>
      <c r="F101" s="16" t="s">
        <v>21</v>
      </c>
      <c r="G101" s="50">
        <v>20377357</v>
      </c>
      <c r="H101" s="16" t="s">
        <v>31</v>
      </c>
      <c r="I101" s="50">
        <v>2</v>
      </c>
      <c r="J101" s="51">
        <v>8</v>
      </c>
      <c r="K101" s="51">
        <v>16</v>
      </c>
    </row>
    <row r="102" spans="4:11">
      <c r="D102" s="49">
        <v>46154</v>
      </c>
      <c r="E102" s="16">
        <v>1602561</v>
      </c>
      <c r="F102" s="16" t="s">
        <v>21</v>
      </c>
      <c r="G102" s="50">
        <v>20406253</v>
      </c>
      <c r="H102" s="16" t="s">
        <v>39</v>
      </c>
      <c r="I102" s="50">
        <v>3</v>
      </c>
      <c r="J102" s="51">
        <v>13.5</v>
      </c>
      <c r="K102" s="51">
        <v>40.5</v>
      </c>
    </row>
    <row r="103" spans="4:11">
      <c r="D103" s="49">
        <v>46154</v>
      </c>
      <c r="E103" s="16">
        <v>1602561</v>
      </c>
      <c r="F103" s="16" t="s">
        <v>21</v>
      </c>
      <c r="G103" s="50">
        <v>20313588</v>
      </c>
      <c r="H103" s="16" t="s">
        <v>30</v>
      </c>
      <c r="I103" s="50">
        <v>1</v>
      </c>
      <c r="J103" s="51">
        <v>8</v>
      </c>
      <c r="K103" s="51">
        <v>8</v>
      </c>
    </row>
    <row r="104" spans="4:11">
      <c r="D104" s="49">
        <v>46154</v>
      </c>
      <c r="E104" s="16">
        <v>1602561</v>
      </c>
      <c r="F104" s="16" t="s">
        <v>21</v>
      </c>
      <c r="G104" s="50">
        <v>20376620</v>
      </c>
      <c r="H104" s="16" t="s">
        <v>58</v>
      </c>
      <c r="I104" s="50">
        <v>3</v>
      </c>
      <c r="J104" s="51">
        <v>8</v>
      </c>
      <c r="K104" s="51">
        <v>24</v>
      </c>
    </row>
    <row r="105" spans="4:11">
      <c r="D105" s="49">
        <v>46154</v>
      </c>
      <c r="E105" s="16">
        <v>1602561</v>
      </c>
      <c r="F105" s="16" t="s">
        <v>21</v>
      </c>
      <c r="G105" s="50">
        <v>20377357</v>
      </c>
      <c r="H105" s="16" t="s">
        <v>31</v>
      </c>
      <c r="I105" s="50">
        <v>4</v>
      </c>
      <c r="J105" s="51">
        <v>8</v>
      </c>
      <c r="K105" s="51">
        <v>32</v>
      </c>
    </row>
    <row r="106" spans="4:11">
      <c r="D106" s="49">
        <v>46155</v>
      </c>
      <c r="E106" s="16">
        <v>1602681</v>
      </c>
      <c r="F106" s="16" t="s">
        <v>21</v>
      </c>
      <c r="G106" s="50">
        <v>20406253</v>
      </c>
      <c r="H106" s="16" t="s">
        <v>39</v>
      </c>
      <c r="I106" s="50">
        <v>4</v>
      </c>
      <c r="J106" s="51">
        <v>13.5</v>
      </c>
      <c r="K106" s="51">
        <v>54</v>
      </c>
    </row>
    <row r="107" spans="4:11">
      <c r="D107" s="49">
        <v>46155</v>
      </c>
      <c r="E107" s="16">
        <v>1602681</v>
      </c>
      <c r="F107" s="16" t="s">
        <v>21</v>
      </c>
      <c r="G107" s="50">
        <v>20313588</v>
      </c>
      <c r="H107" s="16" t="s">
        <v>30</v>
      </c>
      <c r="I107" s="50">
        <v>2</v>
      </c>
      <c r="J107" s="51">
        <v>8</v>
      </c>
      <c r="K107" s="51">
        <v>16</v>
      </c>
    </row>
    <row r="108" spans="4:11">
      <c r="D108" s="49">
        <v>46155</v>
      </c>
      <c r="E108" s="16">
        <v>1602681</v>
      </c>
      <c r="F108" s="16" t="s">
        <v>21</v>
      </c>
      <c r="G108" s="50">
        <v>20377357</v>
      </c>
      <c r="H108" s="16" t="s">
        <v>31</v>
      </c>
      <c r="I108" s="50">
        <v>1</v>
      </c>
      <c r="J108" s="51">
        <v>8</v>
      </c>
      <c r="K108" s="51">
        <v>8</v>
      </c>
    </row>
    <row r="109" spans="4:11">
      <c r="D109" s="49">
        <v>46156</v>
      </c>
      <c r="E109" s="16">
        <v>1603039</v>
      </c>
      <c r="F109" s="16" t="s">
        <v>21</v>
      </c>
      <c r="G109" s="50">
        <v>20376624</v>
      </c>
      <c r="H109" s="16" t="s">
        <v>28</v>
      </c>
      <c r="I109" s="50">
        <v>1</v>
      </c>
      <c r="J109" s="51">
        <v>8</v>
      </c>
      <c r="K109" s="51">
        <v>8</v>
      </c>
    </row>
    <row r="110" spans="4:11">
      <c r="D110" s="49">
        <v>46156</v>
      </c>
      <c r="E110" s="16">
        <v>1603039</v>
      </c>
      <c r="F110" s="16" t="s">
        <v>21</v>
      </c>
      <c r="G110" s="50">
        <v>20406253</v>
      </c>
      <c r="H110" s="16" t="s">
        <v>39</v>
      </c>
      <c r="I110" s="50">
        <v>1</v>
      </c>
      <c r="J110" s="51">
        <v>13.5</v>
      </c>
      <c r="K110" s="51">
        <v>13.5</v>
      </c>
    </row>
    <row r="111" spans="4:11">
      <c r="D111" s="49">
        <v>46156</v>
      </c>
      <c r="E111" s="16">
        <v>1603039</v>
      </c>
      <c r="F111" s="16" t="s">
        <v>21</v>
      </c>
      <c r="G111" s="50">
        <v>20376621</v>
      </c>
      <c r="H111" s="16" t="s">
        <v>58</v>
      </c>
      <c r="I111" s="50">
        <v>2</v>
      </c>
      <c r="J111" s="51">
        <v>8</v>
      </c>
      <c r="K111" s="51">
        <v>16</v>
      </c>
    </row>
    <row r="112" spans="4:11">
      <c r="D112" s="49">
        <v>46156</v>
      </c>
      <c r="E112" s="16">
        <v>1603039</v>
      </c>
      <c r="F112" s="16" t="s">
        <v>21</v>
      </c>
      <c r="G112" s="50">
        <v>20377357</v>
      </c>
      <c r="H112" s="16" t="s">
        <v>31</v>
      </c>
      <c r="I112" s="50">
        <v>3</v>
      </c>
      <c r="J112" s="51">
        <v>8</v>
      </c>
      <c r="K112" s="51">
        <v>24</v>
      </c>
    </row>
    <row r="113" ht="0.05" customHeight="1"/>
  </sheetData>
  <autoFilter xmlns:etc="http://www.wps.cn/officeDocument/2017/etCustomData" ref="A7:K112" etc:filterBottomFollowUsedRange="0">
    <extLst/>
  </autoFilter>
  <mergeCells count="5">
    <mergeCell ref="D8:H8"/>
    <mergeCell ref="C7:C112"/>
    <mergeCell ref="B4:H5"/>
    <mergeCell ref="A7:B1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2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83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261</v>
      </c>
      <c r="J8" s="48"/>
      <c r="K8" s="48">
        <v>2454</v>
      </c>
    </row>
    <row r="9" spans="1:11">
      <c r="D9" s="49">
        <v>46127</v>
      </c>
      <c r="E9" s="16">
        <v>1594872</v>
      </c>
      <c r="F9" s="16" t="s">
        <v>21</v>
      </c>
      <c r="G9" s="50">
        <v>20406253</v>
      </c>
      <c r="H9" s="16" t="s">
        <v>39</v>
      </c>
      <c r="I9" s="50">
        <v>2</v>
      </c>
      <c r="J9" s="51">
        <v>13.5</v>
      </c>
      <c r="K9" s="51">
        <v>27</v>
      </c>
    </row>
    <row r="10" spans="1:11">
      <c r="D10" s="49">
        <v>46127</v>
      </c>
      <c r="E10" s="16">
        <v>1594872</v>
      </c>
      <c r="F10" s="16" t="s">
        <v>21</v>
      </c>
      <c r="G10" s="50">
        <v>20313588</v>
      </c>
      <c r="H10" s="16" t="s">
        <v>30</v>
      </c>
      <c r="I10" s="50">
        <v>7</v>
      </c>
      <c r="J10" s="51">
        <v>8</v>
      </c>
      <c r="K10" s="51">
        <v>56</v>
      </c>
    </row>
    <row r="11" spans="1:11">
      <c r="D11" s="49">
        <v>46127</v>
      </c>
      <c r="E11" s="16">
        <v>1594872</v>
      </c>
      <c r="F11" s="16" t="s">
        <v>21</v>
      </c>
      <c r="G11" s="50">
        <v>20376620</v>
      </c>
      <c r="H11" s="16" t="s">
        <v>58</v>
      </c>
      <c r="I11" s="50">
        <v>1</v>
      </c>
      <c r="J11" s="51">
        <v>8</v>
      </c>
      <c r="K11" s="51">
        <v>8</v>
      </c>
    </row>
    <row r="12" spans="1:11">
      <c r="D12" s="49">
        <v>46127</v>
      </c>
      <c r="E12" s="16">
        <v>1594872</v>
      </c>
      <c r="F12" s="16" t="s">
        <v>21</v>
      </c>
      <c r="G12" s="50">
        <v>20303839</v>
      </c>
      <c r="H12" s="16" t="s">
        <v>79</v>
      </c>
      <c r="I12" s="50">
        <v>1</v>
      </c>
      <c r="J12" s="51">
        <v>8</v>
      </c>
      <c r="K12" s="51">
        <v>8</v>
      </c>
    </row>
    <row r="13" spans="1:11">
      <c r="D13" s="49">
        <v>46127</v>
      </c>
      <c r="E13" s="16">
        <v>1594971</v>
      </c>
      <c r="F13" s="16" t="s">
        <v>21</v>
      </c>
      <c r="G13" s="50">
        <v>20313588</v>
      </c>
      <c r="H13" s="16" t="s">
        <v>30</v>
      </c>
      <c r="I13" s="50">
        <v>1</v>
      </c>
      <c r="J13" s="51">
        <v>8</v>
      </c>
      <c r="K13" s="51">
        <v>8</v>
      </c>
    </row>
    <row r="14" spans="1:11">
      <c r="D14" s="49">
        <v>46127</v>
      </c>
      <c r="E14" s="16">
        <v>1594971</v>
      </c>
      <c r="F14" s="16" t="s">
        <v>21</v>
      </c>
      <c r="G14" s="50">
        <v>20377357</v>
      </c>
      <c r="H14" s="16" t="s">
        <v>31</v>
      </c>
      <c r="I14" s="50">
        <v>2</v>
      </c>
      <c r="J14" s="51">
        <v>8</v>
      </c>
      <c r="K14" s="51">
        <v>16</v>
      </c>
    </row>
    <row r="15" spans="1:11">
      <c r="D15" s="49">
        <v>46127</v>
      </c>
      <c r="E15" s="16">
        <v>1595217</v>
      </c>
      <c r="F15" s="16" t="s">
        <v>21</v>
      </c>
      <c r="G15" s="50">
        <v>20406253</v>
      </c>
      <c r="H15" s="16" t="s">
        <v>39</v>
      </c>
      <c r="I15" s="50">
        <v>3</v>
      </c>
      <c r="J15" s="51">
        <v>13.5</v>
      </c>
      <c r="K15" s="51">
        <v>40.5</v>
      </c>
    </row>
    <row r="16" spans="1:11">
      <c r="D16" s="49">
        <v>46127</v>
      </c>
      <c r="E16" s="16">
        <v>1595217</v>
      </c>
      <c r="F16" s="16" t="s">
        <v>21</v>
      </c>
      <c r="G16" s="50">
        <v>20313588</v>
      </c>
      <c r="H16" s="16" t="s">
        <v>30</v>
      </c>
      <c r="I16" s="50">
        <v>6</v>
      </c>
      <c r="J16" s="51">
        <v>8</v>
      </c>
      <c r="K16" s="51">
        <v>48</v>
      </c>
    </row>
    <row r="17" spans="4:11">
      <c r="D17" s="49">
        <v>46127</v>
      </c>
      <c r="E17" s="16">
        <v>1595217</v>
      </c>
      <c r="F17" s="16" t="s">
        <v>21</v>
      </c>
      <c r="G17" s="50">
        <v>20377357</v>
      </c>
      <c r="H17" s="16" t="s">
        <v>31</v>
      </c>
      <c r="I17" s="50">
        <v>2</v>
      </c>
      <c r="J17" s="51">
        <v>8</v>
      </c>
      <c r="K17" s="51">
        <v>16</v>
      </c>
    </row>
    <row r="18" spans="4:11">
      <c r="D18" s="49">
        <v>46128</v>
      </c>
      <c r="E18" s="16">
        <v>1595341</v>
      </c>
      <c r="F18" s="16" t="s">
        <v>21</v>
      </c>
      <c r="G18" s="50">
        <v>20406253</v>
      </c>
      <c r="H18" s="16" t="s">
        <v>39</v>
      </c>
      <c r="I18" s="50">
        <v>3</v>
      </c>
      <c r="J18" s="51">
        <v>13.5</v>
      </c>
      <c r="K18" s="51">
        <v>40.5</v>
      </c>
    </row>
    <row r="19" spans="4:11">
      <c r="D19" s="49">
        <v>46128</v>
      </c>
      <c r="E19" s="16">
        <v>1595341</v>
      </c>
      <c r="F19" s="16" t="s">
        <v>21</v>
      </c>
      <c r="G19" s="50">
        <v>20313588</v>
      </c>
      <c r="H19" s="16" t="s">
        <v>30</v>
      </c>
      <c r="I19" s="50">
        <v>3</v>
      </c>
      <c r="J19" s="51">
        <v>8</v>
      </c>
      <c r="K19" s="51">
        <v>24</v>
      </c>
    </row>
    <row r="20" spans="4:11">
      <c r="D20" s="49">
        <v>46128</v>
      </c>
      <c r="E20" s="16">
        <v>1595341</v>
      </c>
      <c r="F20" s="16" t="s">
        <v>21</v>
      </c>
      <c r="G20" s="50">
        <v>20377357</v>
      </c>
      <c r="H20" s="16" t="s">
        <v>31</v>
      </c>
      <c r="I20" s="50">
        <v>2</v>
      </c>
      <c r="J20" s="51">
        <v>8</v>
      </c>
      <c r="K20" s="51">
        <v>16</v>
      </c>
    </row>
    <row r="21" spans="4:11">
      <c r="D21" s="49">
        <v>46129</v>
      </c>
      <c r="E21" s="16">
        <v>1595646</v>
      </c>
      <c r="F21" s="16" t="s">
        <v>21</v>
      </c>
      <c r="G21" s="50">
        <v>20406253</v>
      </c>
      <c r="H21" s="16" t="s">
        <v>39</v>
      </c>
      <c r="I21" s="50">
        <v>1</v>
      </c>
      <c r="J21" s="51">
        <v>13.5</v>
      </c>
      <c r="K21" s="51">
        <v>13.5</v>
      </c>
    </row>
    <row r="22" spans="4:11">
      <c r="D22" s="49">
        <v>46129</v>
      </c>
      <c r="E22" s="16">
        <v>1595646</v>
      </c>
      <c r="F22" s="16" t="s">
        <v>21</v>
      </c>
      <c r="G22" s="50">
        <v>20313588</v>
      </c>
      <c r="H22" s="16" t="s">
        <v>30</v>
      </c>
      <c r="I22" s="50">
        <v>7</v>
      </c>
      <c r="J22" s="51">
        <v>8</v>
      </c>
      <c r="K22" s="51">
        <v>56</v>
      </c>
    </row>
    <row r="23" spans="4:11">
      <c r="D23" s="49">
        <v>46129</v>
      </c>
      <c r="E23" s="16">
        <v>1595646</v>
      </c>
      <c r="F23" s="16" t="s">
        <v>21</v>
      </c>
      <c r="G23" s="50">
        <v>20377357</v>
      </c>
      <c r="H23" s="16" t="s">
        <v>31</v>
      </c>
      <c r="I23" s="50">
        <v>1</v>
      </c>
      <c r="J23" s="51">
        <v>8</v>
      </c>
      <c r="K23" s="51">
        <v>8</v>
      </c>
    </row>
    <row r="24" spans="4:11">
      <c r="D24" s="49">
        <v>46129</v>
      </c>
      <c r="E24" s="16">
        <v>1595646</v>
      </c>
      <c r="F24" s="16" t="s">
        <v>21</v>
      </c>
      <c r="G24" s="50">
        <v>20303839</v>
      </c>
      <c r="H24" s="16" t="s">
        <v>79</v>
      </c>
      <c r="I24" s="50">
        <v>1</v>
      </c>
      <c r="J24" s="51">
        <v>8</v>
      </c>
      <c r="K24" s="51">
        <v>8</v>
      </c>
    </row>
    <row r="25" spans="4:11">
      <c r="D25" s="49">
        <v>46129</v>
      </c>
      <c r="E25" s="16">
        <v>1595782</v>
      </c>
      <c r="F25" s="16" t="s">
        <v>21</v>
      </c>
      <c r="G25" s="50">
        <v>20406253</v>
      </c>
      <c r="H25" s="16" t="s">
        <v>39</v>
      </c>
      <c r="I25" s="50">
        <v>1</v>
      </c>
      <c r="J25" s="51">
        <v>13.5</v>
      </c>
      <c r="K25" s="51">
        <v>13.5</v>
      </c>
    </row>
    <row r="26" spans="4:11">
      <c r="D26" s="49">
        <v>46130</v>
      </c>
      <c r="E26" s="16">
        <v>1596016</v>
      </c>
      <c r="F26" s="16" t="s">
        <v>21</v>
      </c>
      <c r="G26" s="50">
        <v>20406253</v>
      </c>
      <c r="H26" s="16" t="s">
        <v>39</v>
      </c>
      <c r="I26" s="50">
        <v>3</v>
      </c>
      <c r="J26" s="51">
        <v>13.5</v>
      </c>
      <c r="K26" s="51">
        <v>40.5</v>
      </c>
    </row>
    <row r="27" spans="4:11">
      <c r="D27" s="49">
        <v>46130</v>
      </c>
      <c r="E27" s="16">
        <v>1596016</v>
      </c>
      <c r="F27" s="16" t="s">
        <v>21</v>
      </c>
      <c r="G27" s="50">
        <v>20313588</v>
      </c>
      <c r="H27" s="16" t="s">
        <v>30</v>
      </c>
      <c r="I27" s="50">
        <v>4</v>
      </c>
      <c r="J27" s="51">
        <v>8</v>
      </c>
      <c r="K27" s="51">
        <v>32</v>
      </c>
    </row>
    <row r="28" spans="4:11">
      <c r="D28" s="49">
        <v>46130</v>
      </c>
      <c r="E28" s="16">
        <v>1596016</v>
      </c>
      <c r="F28" s="16" t="s">
        <v>21</v>
      </c>
      <c r="G28" s="50">
        <v>20377357</v>
      </c>
      <c r="H28" s="16" t="s">
        <v>31</v>
      </c>
      <c r="I28" s="50">
        <v>1</v>
      </c>
      <c r="J28" s="51">
        <v>8</v>
      </c>
      <c r="K28" s="51">
        <v>8</v>
      </c>
    </row>
    <row r="29" spans="4:11">
      <c r="D29" s="49">
        <v>46133</v>
      </c>
      <c r="E29" s="16">
        <v>1596693</v>
      </c>
      <c r="F29" s="16" t="s">
        <v>21</v>
      </c>
      <c r="G29" s="50">
        <v>20313588</v>
      </c>
      <c r="H29" s="16" t="s">
        <v>30</v>
      </c>
      <c r="I29" s="50">
        <v>10</v>
      </c>
      <c r="J29" s="51">
        <v>8</v>
      </c>
      <c r="K29" s="51">
        <v>80</v>
      </c>
    </row>
    <row r="30" spans="4:11">
      <c r="D30" s="49">
        <v>46133</v>
      </c>
      <c r="E30" s="16">
        <v>1596693</v>
      </c>
      <c r="F30" s="16" t="s">
        <v>21</v>
      </c>
      <c r="G30" s="50">
        <v>20376620</v>
      </c>
      <c r="H30" s="16" t="s">
        <v>58</v>
      </c>
      <c r="I30" s="50">
        <v>2</v>
      </c>
      <c r="J30" s="51">
        <v>8</v>
      </c>
      <c r="K30" s="51">
        <v>16</v>
      </c>
    </row>
    <row r="31" spans="4:11">
      <c r="D31" s="49">
        <v>46133</v>
      </c>
      <c r="E31" s="16">
        <v>1596693</v>
      </c>
      <c r="F31" s="16" t="s">
        <v>21</v>
      </c>
      <c r="G31" s="50">
        <v>20377357</v>
      </c>
      <c r="H31" s="16" t="s">
        <v>31</v>
      </c>
      <c r="I31" s="50">
        <v>2</v>
      </c>
      <c r="J31" s="51">
        <v>8</v>
      </c>
      <c r="K31" s="51">
        <v>16</v>
      </c>
    </row>
    <row r="32" spans="4:11">
      <c r="D32" s="49">
        <v>46133</v>
      </c>
      <c r="E32" s="16">
        <v>1596693</v>
      </c>
      <c r="F32" s="16" t="s">
        <v>21</v>
      </c>
      <c r="G32" s="50">
        <v>20303839</v>
      </c>
      <c r="H32" s="16" t="s">
        <v>79</v>
      </c>
      <c r="I32" s="50">
        <v>2</v>
      </c>
      <c r="J32" s="51">
        <v>8</v>
      </c>
      <c r="K32" s="51">
        <v>16</v>
      </c>
    </row>
    <row r="33" spans="4:11">
      <c r="D33" s="49">
        <v>46134</v>
      </c>
      <c r="E33" s="16">
        <v>1596961</v>
      </c>
      <c r="F33" s="16" t="s">
        <v>21</v>
      </c>
      <c r="G33" s="50">
        <v>20406253</v>
      </c>
      <c r="H33" s="16" t="s">
        <v>39</v>
      </c>
      <c r="I33" s="50">
        <v>1</v>
      </c>
      <c r="J33" s="51">
        <v>13.5</v>
      </c>
      <c r="K33" s="51">
        <v>13.5</v>
      </c>
    </row>
    <row r="34" spans="4:11">
      <c r="D34" s="49">
        <v>46134</v>
      </c>
      <c r="E34" s="16">
        <v>1596961</v>
      </c>
      <c r="F34" s="16" t="s">
        <v>21</v>
      </c>
      <c r="G34" s="50">
        <v>20313588</v>
      </c>
      <c r="H34" s="16" t="s">
        <v>30</v>
      </c>
      <c r="I34" s="50">
        <v>5</v>
      </c>
      <c r="J34" s="51">
        <v>8</v>
      </c>
      <c r="K34" s="51">
        <v>40</v>
      </c>
    </row>
    <row r="35" spans="4:11">
      <c r="D35" s="49">
        <v>46134</v>
      </c>
      <c r="E35" s="16">
        <v>1596961</v>
      </c>
      <c r="F35" s="16" t="s">
        <v>21</v>
      </c>
      <c r="G35" s="50">
        <v>20376620</v>
      </c>
      <c r="H35" s="16" t="s">
        <v>58</v>
      </c>
      <c r="I35" s="50">
        <v>1</v>
      </c>
      <c r="J35" s="51">
        <v>8</v>
      </c>
      <c r="K35" s="51">
        <v>8</v>
      </c>
    </row>
    <row r="36" spans="4:11">
      <c r="D36" s="49">
        <v>46134</v>
      </c>
      <c r="E36" s="16">
        <v>1596961</v>
      </c>
      <c r="F36" s="16" t="s">
        <v>21</v>
      </c>
      <c r="G36" s="50">
        <v>20377357</v>
      </c>
      <c r="H36" s="16" t="s">
        <v>31</v>
      </c>
      <c r="I36" s="50">
        <v>1</v>
      </c>
      <c r="J36" s="51">
        <v>8</v>
      </c>
      <c r="K36" s="51">
        <v>8</v>
      </c>
    </row>
    <row r="37" spans="4:11">
      <c r="D37" s="49">
        <v>46134</v>
      </c>
      <c r="E37" s="16">
        <v>1597060</v>
      </c>
      <c r="F37" s="16" t="s">
        <v>21</v>
      </c>
      <c r="G37" s="50">
        <v>20406253</v>
      </c>
      <c r="H37" s="16" t="s">
        <v>39</v>
      </c>
      <c r="I37" s="50">
        <v>2</v>
      </c>
      <c r="J37" s="51">
        <v>13.5</v>
      </c>
      <c r="K37" s="51">
        <v>27</v>
      </c>
    </row>
    <row r="38" spans="4:11">
      <c r="D38" s="49">
        <v>46134</v>
      </c>
      <c r="E38" s="16">
        <v>1597060</v>
      </c>
      <c r="F38" s="16" t="s">
        <v>21</v>
      </c>
      <c r="G38" s="50">
        <v>20394769</v>
      </c>
      <c r="H38" s="16" t="s">
        <v>61</v>
      </c>
      <c r="I38" s="50">
        <v>1</v>
      </c>
      <c r="J38" s="51">
        <v>8</v>
      </c>
      <c r="K38" s="51">
        <v>8</v>
      </c>
    </row>
    <row r="39" spans="4:11">
      <c r="D39" s="49">
        <v>46134</v>
      </c>
      <c r="E39" s="16">
        <v>1597060</v>
      </c>
      <c r="F39" s="16" t="s">
        <v>21</v>
      </c>
      <c r="G39" s="50">
        <v>20313588</v>
      </c>
      <c r="H39" s="16" t="s">
        <v>30</v>
      </c>
      <c r="I39" s="50">
        <v>2</v>
      </c>
      <c r="J39" s="51">
        <v>8</v>
      </c>
      <c r="K39" s="51">
        <v>16</v>
      </c>
    </row>
    <row r="40" spans="4:11">
      <c r="D40" s="49">
        <v>46134</v>
      </c>
      <c r="E40" s="16">
        <v>1597060</v>
      </c>
      <c r="F40" s="16" t="s">
        <v>21</v>
      </c>
      <c r="G40" s="50">
        <v>20376863</v>
      </c>
      <c r="H40" s="16" t="s">
        <v>72</v>
      </c>
      <c r="I40" s="50">
        <v>1</v>
      </c>
      <c r="J40" s="51">
        <v>13.5</v>
      </c>
      <c r="K40" s="51">
        <v>13.5</v>
      </c>
    </row>
    <row r="41" spans="4:11">
      <c r="D41" s="49">
        <v>46135</v>
      </c>
      <c r="E41" s="16">
        <v>1597332</v>
      </c>
      <c r="F41" s="16" t="s">
        <v>21</v>
      </c>
      <c r="G41" s="50">
        <v>20406253</v>
      </c>
      <c r="H41" s="16" t="s">
        <v>39</v>
      </c>
      <c r="I41" s="50">
        <v>3</v>
      </c>
      <c r="J41" s="51">
        <v>13.5</v>
      </c>
      <c r="K41" s="51">
        <v>40.5</v>
      </c>
    </row>
    <row r="42" spans="4:11">
      <c r="D42" s="49">
        <v>46135</v>
      </c>
      <c r="E42" s="16">
        <v>1597332</v>
      </c>
      <c r="F42" s="16" t="s">
        <v>21</v>
      </c>
      <c r="G42" s="50">
        <v>20313588</v>
      </c>
      <c r="H42" s="16" t="s">
        <v>30</v>
      </c>
      <c r="I42" s="50">
        <v>6</v>
      </c>
      <c r="J42" s="51">
        <v>8</v>
      </c>
      <c r="K42" s="51">
        <v>48</v>
      </c>
    </row>
    <row r="43" spans="4:11">
      <c r="D43" s="49">
        <v>46135</v>
      </c>
      <c r="E43" s="16">
        <v>1597332</v>
      </c>
      <c r="F43" s="16" t="s">
        <v>21</v>
      </c>
      <c r="G43" s="50">
        <v>20376620</v>
      </c>
      <c r="H43" s="16" t="s">
        <v>58</v>
      </c>
      <c r="I43" s="50">
        <v>1</v>
      </c>
      <c r="J43" s="51">
        <v>8</v>
      </c>
      <c r="K43" s="51">
        <v>8</v>
      </c>
    </row>
    <row r="44" spans="4:11">
      <c r="D44" s="49">
        <v>46135</v>
      </c>
      <c r="E44" s="16">
        <v>1597332</v>
      </c>
      <c r="F44" s="16" t="s">
        <v>21</v>
      </c>
      <c r="G44" s="50">
        <v>20377357</v>
      </c>
      <c r="H44" s="16" t="s">
        <v>31</v>
      </c>
      <c r="I44" s="50">
        <v>2</v>
      </c>
      <c r="J44" s="51">
        <v>8</v>
      </c>
      <c r="K44" s="51">
        <v>16</v>
      </c>
    </row>
    <row r="45" spans="4:11">
      <c r="D45" s="49">
        <v>46135</v>
      </c>
      <c r="E45" s="16">
        <v>1597332</v>
      </c>
      <c r="F45" s="16" t="s">
        <v>21</v>
      </c>
      <c r="G45" s="50">
        <v>20303839</v>
      </c>
      <c r="H45" s="16" t="s">
        <v>79</v>
      </c>
      <c r="I45" s="50">
        <v>1</v>
      </c>
      <c r="J45" s="51">
        <v>8</v>
      </c>
      <c r="K45" s="51">
        <v>8</v>
      </c>
    </row>
    <row r="46" spans="4:11">
      <c r="D46" s="49">
        <v>46135</v>
      </c>
      <c r="E46" s="16">
        <v>1597439</v>
      </c>
      <c r="F46" s="16" t="s">
        <v>21</v>
      </c>
      <c r="G46" s="50">
        <v>20406253</v>
      </c>
      <c r="H46" s="16" t="s">
        <v>39</v>
      </c>
      <c r="I46" s="50">
        <v>1</v>
      </c>
      <c r="J46" s="51">
        <v>13.5</v>
      </c>
      <c r="K46" s="51">
        <v>13.5</v>
      </c>
    </row>
    <row r="47" spans="4:11">
      <c r="D47" s="49">
        <v>46135</v>
      </c>
      <c r="E47" s="16">
        <v>1597439</v>
      </c>
      <c r="F47" s="16" t="s">
        <v>21</v>
      </c>
      <c r="G47" s="50">
        <v>20313588</v>
      </c>
      <c r="H47" s="16" t="s">
        <v>30</v>
      </c>
      <c r="I47" s="50">
        <v>4</v>
      </c>
      <c r="J47" s="51">
        <v>8</v>
      </c>
      <c r="K47" s="51">
        <v>32</v>
      </c>
    </row>
    <row r="48" spans="4:11">
      <c r="D48" s="49">
        <v>46135</v>
      </c>
      <c r="E48" s="16">
        <v>1597439</v>
      </c>
      <c r="F48" s="16" t="s">
        <v>21</v>
      </c>
      <c r="G48" s="50">
        <v>20395986</v>
      </c>
      <c r="H48" s="16" t="s">
        <v>67</v>
      </c>
      <c r="I48" s="50">
        <v>1</v>
      </c>
      <c r="J48" s="51">
        <v>13.5</v>
      </c>
      <c r="K48" s="51">
        <v>13.5</v>
      </c>
    </row>
    <row r="49" spans="4:11">
      <c r="D49" s="49">
        <v>46135</v>
      </c>
      <c r="E49" s="16">
        <v>1597439</v>
      </c>
      <c r="F49" s="16" t="s">
        <v>21</v>
      </c>
      <c r="G49" s="50">
        <v>20376620</v>
      </c>
      <c r="H49" s="16" t="s">
        <v>58</v>
      </c>
      <c r="I49" s="50">
        <v>1</v>
      </c>
      <c r="J49" s="51">
        <v>8</v>
      </c>
      <c r="K49" s="51">
        <v>8</v>
      </c>
    </row>
    <row r="50" spans="4:11">
      <c r="D50" s="49">
        <v>46135</v>
      </c>
      <c r="E50" s="16">
        <v>1597439</v>
      </c>
      <c r="F50" s="16" t="s">
        <v>21</v>
      </c>
      <c r="G50" s="50">
        <v>20377357</v>
      </c>
      <c r="H50" s="16" t="s">
        <v>31</v>
      </c>
      <c r="I50" s="50">
        <v>2</v>
      </c>
      <c r="J50" s="51">
        <v>8</v>
      </c>
      <c r="K50" s="51">
        <v>16</v>
      </c>
    </row>
    <row r="51" spans="4:11">
      <c r="D51" s="49">
        <v>46135</v>
      </c>
      <c r="E51" s="16">
        <v>1597439</v>
      </c>
      <c r="F51" s="16" t="s">
        <v>21</v>
      </c>
      <c r="G51" s="50">
        <v>20303839</v>
      </c>
      <c r="H51" s="16" t="s">
        <v>79</v>
      </c>
      <c r="I51" s="50">
        <v>1</v>
      </c>
      <c r="J51" s="51">
        <v>8</v>
      </c>
      <c r="K51" s="51">
        <v>8</v>
      </c>
    </row>
    <row r="52" spans="4:11">
      <c r="D52" s="49">
        <v>46136</v>
      </c>
      <c r="E52" s="16">
        <v>1597721</v>
      </c>
      <c r="F52" s="16" t="s">
        <v>21</v>
      </c>
      <c r="G52" s="50">
        <v>20406253</v>
      </c>
      <c r="H52" s="16" t="s">
        <v>39</v>
      </c>
      <c r="I52" s="50">
        <v>1</v>
      </c>
      <c r="J52" s="51">
        <v>13.5</v>
      </c>
      <c r="K52" s="51">
        <v>13.5</v>
      </c>
    </row>
    <row r="53" spans="4:11">
      <c r="D53" s="49">
        <v>46136</v>
      </c>
      <c r="E53" s="16">
        <v>1597721</v>
      </c>
      <c r="F53" s="16" t="s">
        <v>21</v>
      </c>
      <c r="G53" s="50">
        <v>20313588</v>
      </c>
      <c r="H53" s="16" t="s">
        <v>30</v>
      </c>
      <c r="I53" s="50">
        <v>8</v>
      </c>
      <c r="J53" s="51">
        <v>8</v>
      </c>
      <c r="K53" s="51">
        <v>64</v>
      </c>
    </row>
    <row r="54" spans="4:11">
      <c r="D54" s="49">
        <v>46136</v>
      </c>
      <c r="E54" s="16">
        <v>1597721</v>
      </c>
      <c r="F54" s="16" t="s">
        <v>21</v>
      </c>
      <c r="G54" s="50">
        <v>20377357</v>
      </c>
      <c r="H54" s="16" t="s">
        <v>31</v>
      </c>
      <c r="I54" s="50">
        <v>1</v>
      </c>
      <c r="J54" s="51">
        <v>8</v>
      </c>
      <c r="K54" s="51">
        <v>8</v>
      </c>
    </row>
    <row r="55" spans="4:11">
      <c r="D55" s="49">
        <v>46136</v>
      </c>
      <c r="E55" s="16">
        <v>1597839</v>
      </c>
      <c r="F55" s="16" t="s">
        <v>21</v>
      </c>
      <c r="G55" s="50">
        <v>20406253</v>
      </c>
      <c r="H55" s="16" t="s">
        <v>39</v>
      </c>
      <c r="I55" s="50">
        <v>1</v>
      </c>
      <c r="J55" s="51">
        <v>13.5</v>
      </c>
      <c r="K55" s="51">
        <v>13.5</v>
      </c>
    </row>
    <row r="56" spans="4:11">
      <c r="D56" s="49">
        <v>46136</v>
      </c>
      <c r="E56" s="16">
        <v>1597839</v>
      </c>
      <c r="F56" s="16" t="s">
        <v>21</v>
      </c>
      <c r="G56" s="50">
        <v>20313588</v>
      </c>
      <c r="H56" s="16" t="s">
        <v>30</v>
      </c>
      <c r="I56" s="50">
        <v>1</v>
      </c>
      <c r="J56" s="51">
        <v>8</v>
      </c>
      <c r="K56" s="51">
        <v>8</v>
      </c>
    </row>
    <row r="57" spans="4:11">
      <c r="D57" s="49">
        <v>46136</v>
      </c>
      <c r="E57" s="16">
        <v>1597839</v>
      </c>
      <c r="F57" s="16" t="s">
        <v>21</v>
      </c>
      <c r="G57" s="50">
        <v>20303839</v>
      </c>
      <c r="H57" s="16" t="s">
        <v>79</v>
      </c>
      <c r="I57" s="50">
        <v>1</v>
      </c>
      <c r="J57" s="51">
        <v>8</v>
      </c>
      <c r="K57" s="51">
        <v>8</v>
      </c>
    </row>
    <row r="58" spans="4:11">
      <c r="D58" s="49">
        <v>46137</v>
      </c>
      <c r="E58" s="16">
        <v>1598090</v>
      </c>
      <c r="F58" s="16" t="s">
        <v>21</v>
      </c>
      <c r="G58" s="50">
        <v>20406253</v>
      </c>
      <c r="H58" s="16" t="s">
        <v>39</v>
      </c>
      <c r="I58" s="50">
        <v>4</v>
      </c>
      <c r="J58" s="51">
        <v>13.5</v>
      </c>
      <c r="K58" s="51">
        <v>54</v>
      </c>
    </row>
    <row r="59" spans="4:11">
      <c r="D59" s="49">
        <v>46137</v>
      </c>
      <c r="E59" s="16">
        <v>1598090</v>
      </c>
      <c r="F59" s="16" t="s">
        <v>21</v>
      </c>
      <c r="G59" s="50">
        <v>20313588</v>
      </c>
      <c r="H59" s="16" t="s">
        <v>30</v>
      </c>
      <c r="I59" s="50">
        <v>8</v>
      </c>
      <c r="J59" s="51">
        <v>8</v>
      </c>
      <c r="K59" s="51">
        <v>64</v>
      </c>
    </row>
    <row r="60" spans="4:11">
      <c r="D60" s="49">
        <v>46137</v>
      </c>
      <c r="E60" s="16">
        <v>1598090</v>
      </c>
      <c r="F60" s="16" t="s">
        <v>21</v>
      </c>
      <c r="G60" s="50">
        <v>20377357</v>
      </c>
      <c r="H60" s="16" t="s">
        <v>31</v>
      </c>
      <c r="I60" s="50">
        <v>2</v>
      </c>
      <c r="J60" s="51">
        <v>8</v>
      </c>
      <c r="K60" s="51">
        <v>16</v>
      </c>
    </row>
    <row r="61" spans="4:11">
      <c r="D61" s="49">
        <v>46140</v>
      </c>
      <c r="E61" s="16">
        <v>1598752</v>
      </c>
      <c r="F61" s="16" t="s">
        <v>21</v>
      </c>
      <c r="G61" s="50">
        <v>20406253</v>
      </c>
      <c r="H61" s="16" t="s">
        <v>39</v>
      </c>
      <c r="I61" s="50">
        <v>2</v>
      </c>
      <c r="J61" s="51">
        <v>13.5</v>
      </c>
      <c r="K61" s="51">
        <v>27</v>
      </c>
    </row>
    <row r="62" spans="4:11">
      <c r="D62" s="49">
        <v>46140</v>
      </c>
      <c r="E62" s="16">
        <v>1598752</v>
      </c>
      <c r="F62" s="16" t="s">
        <v>21</v>
      </c>
      <c r="G62" s="50">
        <v>20313588</v>
      </c>
      <c r="H62" s="16" t="s">
        <v>30</v>
      </c>
      <c r="I62" s="50">
        <v>4</v>
      </c>
      <c r="J62" s="51">
        <v>8</v>
      </c>
      <c r="K62" s="51">
        <v>32</v>
      </c>
    </row>
    <row r="63" spans="4:11">
      <c r="D63" s="49">
        <v>46140</v>
      </c>
      <c r="E63" s="16">
        <v>1598752</v>
      </c>
      <c r="F63" s="16" t="s">
        <v>21</v>
      </c>
      <c r="G63" s="50">
        <v>20377357</v>
      </c>
      <c r="H63" s="16" t="s">
        <v>31</v>
      </c>
      <c r="I63" s="50">
        <v>2</v>
      </c>
      <c r="J63" s="51">
        <v>8</v>
      </c>
      <c r="K63" s="51">
        <v>16</v>
      </c>
    </row>
    <row r="64" spans="4:11">
      <c r="D64" s="49">
        <v>46141</v>
      </c>
      <c r="E64" s="16">
        <v>1599059</v>
      </c>
      <c r="F64" s="16" t="s">
        <v>21</v>
      </c>
      <c r="G64" s="50">
        <v>20406253</v>
      </c>
      <c r="H64" s="16" t="s">
        <v>39</v>
      </c>
      <c r="I64" s="50">
        <v>1</v>
      </c>
      <c r="J64" s="51">
        <v>13.5</v>
      </c>
      <c r="K64" s="51">
        <v>13.5</v>
      </c>
    </row>
    <row r="65" spans="4:11">
      <c r="D65" s="49">
        <v>46141</v>
      </c>
      <c r="E65" s="16">
        <v>1599059</v>
      </c>
      <c r="F65" s="16" t="s">
        <v>21</v>
      </c>
      <c r="G65" s="50">
        <v>20313588</v>
      </c>
      <c r="H65" s="16" t="s">
        <v>30</v>
      </c>
      <c r="I65" s="50">
        <v>4</v>
      </c>
      <c r="J65" s="51">
        <v>8</v>
      </c>
      <c r="K65" s="51">
        <v>32</v>
      </c>
    </row>
    <row r="66" spans="4:11">
      <c r="D66" s="49">
        <v>46141</v>
      </c>
      <c r="E66" s="16">
        <v>1599059</v>
      </c>
      <c r="F66" s="16" t="s">
        <v>21</v>
      </c>
      <c r="G66" s="50">
        <v>20395986</v>
      </c>
      <c r="H66" s="16" t="s">
        <v>67</v>
      </c>
      <c r="I66" s="50">
        <v>1</v>
      </c>
      <c r="J66" s="51">
        <v>13.5</v>
      </c>
      <c r="K66" s="51">
        <v>13.5</v>
      </c>
    </row>
    <row r="67" spans="4:11">
      <c r="D67" s="49">
        <v>46141</v>
      </c>
      <c r="E67" s="16">
        <v>1599059</v>
      </c>
      <c r="F67" s="16" t="s">
        <v>21</v>
      </c>
      <c r="G67" s="50">
        <v>20377357</v>
      </c>
      <c r="H67" s="16" t="s">
        <v>31</v>
      </c>
      <c r="I67" s="50">
        <v>2</v>
      </c>
      <c r="J67" s="51">
        <v>8</v>
      </c>
      <c r="K67" s="51">
        <v>16</v>
      </c>
    </row>
    <row r="68" spans="4:11">
      <c r="D68" s="49">
        <v>46141</v>
      </c>
      <c r="E68" s="16">
        <v>1599059</v>
      </c>
      <c r="F68" s="16" t="s">
        <v>21</v>
      </c>
      <c r="G68" s="50">
        <v>20303839</v>
      </c>
      <c r="H68" s="16" t="s">
        <v>79</v>
      </c>
      <c r="I68" s="50">
        <v>1</v>
      </c>
      <c r="J68" s="51">
        <v>8</v>
      </c>
      <c r="K68" s="51">
        <v>8</v>
      </c>
    </row>
    <row r="69" spans="4:11">
      <c r="D69" s="49">
        <v>46141</v>
      </c>
      <c r="E69" s="16">
        <v>1599157</v>
      </c>
      <c r="F69" s="16" t="s">
        <v>21</v>
      </c>
      <c r="G69" s="50">
        <v>20406253</v>
      </c>
      <c r="H69" s="16" t="s">
        <v>39</v>
      </c>
      <c r="I69" s="50">
        <v>1</v>
      </c>
      <c r="J69" s="51">
        <v>13.5</v>
      </c>
      <c r="K69" s="51">
        <v>13.5</v>
      </c>
    </row>
    <row r="70" spans="4:11">
      <c r="D70" s="49">
        <v>46141</v>
      </c>
      <c r="E70" s="16">
        <v>1599157</v>
      </c>
      <c r="F70" s="16" t="s">
        <v>21</v>
      </c>
      <c r="G70" s="50">
        <v>20313588</v>
      </c>
      <c r="H70" s="16" t="s">
        <v>30</v>
      </c>
      <c r="I70" s="50">
        <v>2</v>
      </c>
      <c r="J70" s="51">
        <v>8</v>
      </c>
      <c r="K70" s="51">
        <v>16</v>
      </c>
    </row>
    <row r="71" spans="4:11">
      <c r="D71" s="49">
        <v>46142</v>
      </c>
      <c r="E71" s="16">
        <v>1599448</v>
      </c>
      <c r="F71" s="16" t="s">
        <v>21</v>
      </c>
      <c r="G71" s="50">
        <v>20406253</v>
      </c>
      <c r="H71" s="16" t="s">
        <v>39</v>
      </c>
      <c r="I71" s="50">
        <v>3</v>
      </c>
      <c r="J71" s="51">
        <v>13.5</v>
      </c>
      <c r="K71" s="51">
        <v>40.5</v>
      </c>
    </row>
    <row r="72" spans="4:11">
      <c r="D72" s="49">
        <v>46142</v>
      </c>
      <c r="E72" s="16">
        <v>1599448</v>
      </c>
      <c r="F72" s="16" t="s">
        <v>21</v>
      </c>
      <c r="G72" s="50">
        <v>20400912</v>
      </c>
      <c r="H72" s="16" t="s">
        <v>59</v>
      </c>
      <c r="I72" s="50">
        <v>1</v>
      </c>
      <c r="J72" s="51">
        <v>8</v>
      </c>
      <c r="K72" s="51">
        <v>8</v>
      </c>
    </row>
    <row r="73" spans="4:11">
      <c r="D73" s="49">
        <v>46142</v>
      </c>
      <c r="E73" s="16">
        <v>1599448</v>
      </c>
      <c r="F73" s="16" t="s">
        <v>21</v>
      </c>
      <c r="G73" s="50">
        <v>20313588</v>
      </c>
      <c r="H73" s="16" t="s">
        <v>30</v>
      </c>
      <c r="I73" s="50">
        <v>4</v>
      </c>
      <c r="J73" s="51">
        <v>8</v>
      </c>
      <c r="K73" s="51">
        <v>32</v>
      </c>
    </row>
    <row r="74" spans="4:11">
      <c r="D74" s="49">
        <v>46142</v>
      </c>
      <c r="E74" s="16">
        <v>1599448</v>
      </c>
      <c r="F74" s="16" t="s">
        <v>21</v>
      </c>
      <c r="G74" s="50">
        <v>20401202</v>
      </c>
      <c r="H74" s="16" t="s">
        <v>73</v>
      </c>
      <c r="I74" s="50">
        <v>1</v>
      </c>
      <c r="J74" s="51">
        <v>13.5</v>
      </c>
      <c r="K74" s="51">
        <v>13.5</v>
      </c>
    </row>
    <row r="75" spans="4:11">
      <c r="D75" s="49">
        <v>46142</v>
      </c>
      <c r="E75" s="16">
        <v>1599448</v>
      </c>
      <c r="F75" s="16" t="s">
        <v>21</v>
      </c>
      <c r="G75" s="50">
        <v>20395836</v>
      </c>
      <c r="H75" s="16" t="s">
        <v>41</v>
      </c>
      <c r="I75" s="50">
        <v>1</v>
      </c>
      <c r="J75" s="51">
        <v>8</v>
      </c>
      <c r="K75" s="51">
        <v>8</v>
      </c>
    </row>
    <row r="76" spans="4:11">
      <c r="D76" s="49">
        <v>46142</v>
      </c>
      <c r="E76" s="16">
        <v>1599448</v>
      </c>
      <c r="F76" s="16" t="s">
        <v>21</v>
      </c>
      <c r="G76" s="50">
        <v>20376620</v>
      </c>
      <c r="H76" s="16" t="s">
        <v>58</v>
      </c>
      <c r="I76" s="50">
        <v>1</v>
      </c>
      <c r="J76" s="51">
        <v>8</v>
      </c>
      <c r="K76" s="51">
        <v>8</v>
      </c>
    </row>
    <row r="77" spans="4:11">
      <c r="D77" s="49">
        <v>46142</v>
      </c>
      <c r="E77" s="16">
        <v>1599448</v>
      </c>
      <c r="F77" s="16" t="s">
        <v>21</v>
      </c>
      <c r="G77" s="50">
        <v>20377357</v>
      </c>
      <c r="H77" s="16" t="s">
        <v>31</v>
      </c>
      <c r="I77" s="50">
        <v>3</v>
      </c>
      <c r="J77" s="51">
        <v>8</v>
      </c>
      <c r="K77" s="51">
        <v>24</v>
      </c>
    </row>
    <row r="78" spans="4:11">
      <c r="D78" s="49">
        <v>46142</v>
      </c>
      <c r="E78" s="16">
        <v>1599448</v>
      </c>
      <c r="F78" s="16" t="s">
        <v>21</v>
      </c>
      <c r="G78" s="50">
        <v>20303839</v>
      </c>
      <c r="H78" s="16" t="s">
        <v>79</v>
      </c>
      <c r="I78" s="50">
        <v>1</v>
      </c>
      <c r="J78" s="51">
        <v>8</v>
      </c>
      <c r="K78" s="51">
        <v>8</v>
      </c>
    </row>
    <row r="79" spans="4:11">
      <c r="D79" s="49">
        <v>46142</v>
      </c>
      <c r="E79" s="16">
        <v>1599906</v>
      </c>
      <c r="F79" s="16" t="s">
        <v>21</v>
      </c>
      <c r="G79" s="50">
        <v>20406253</v>
      </c>
      <c r="H79" s="16" t="s">
        <v>39</v>
      </c>
      <c r="I79" s="50">
        <v>3</v>
      </c>
      <c r="J79" s="51">
        <v>13.5</v>
      </c>
      <c r="K79" s="51">
        <v>40.5</v>
      </c>
    </row>
    <row r="80" spans="4:11">
      <c r="D80" s="49">
        <v>46142</v>
      </c>
      <c r="E80" s="16">
        <v>1599906</v>
      </c>
      <c r="F80" s="16" t="s">
        <v>21</v>
      </c>
      <c r="G80" s="50">
        <v>20400912</v>
      </c>
      <c r="H80" s="16" t="s">
        <v>59</v>
      </c>
      <c r="I80" s="50">
        <v>1</v>
      </c>
      <c r="J80" s="51">
        <v>8</v>
      </c>
      <c r="K80" s="51">
        <v>8</v>
      </c>
    </row>
    <row r="81" spans="4:11">
      <c r="D81" s="49">
        <v>46142</v>
      </c>
      <c r="E81" s="16">
        <v>1599906</v>
      </c>
      <c r="F81" s="16" t="s">
        <v>21</v>
      </c>
      <c r="G81" s="50">
        <v>20401202</v>
      </c>
      <c r="H81" s="16" t="s">
        <v>73</v>
      </c>
      <c r="I81" s="50">
        <v>2</v>
      </c>
      <c r="J81" s="51">
        <v>13.5</v>
      </c>
      <c r="K81" s="51">
        <v>27</v>
      </c>
    </row>
    <row r="82" spans="4:11">
      <c r="D82" s="49">
        <v>46142</v>
      </c>
      <c r="E82" s="16">
        <v>1599906</v>
      </c>
      <c r="F82" s="16" t="s">
        <v>21</v>
      </c>
      <c r="G82" s="50">
        <v>20377357</v>
      </c>
      <c r="H82" s="16" t="s">
        <v>31</v>
      </c>
      <c r="I82" s="50">
        <v>1</v>
      </c>
      <c r="J82" s="51">
        <v>8</v>
      </c>
      <c r="K82" s="51">
        <v>8</v>
      </c>
    </row>
    <row r="83" spans="4:11">
      <c r="D83" s="49">
        <v>46142</v>
      </c>
      <c r="E83" s="16">
        <v>1599906</v>
      </c>
      <c r="F83" s="16" t="s">
        <v>21</v>
      </c>
      <c r="G83" s="50">
        <v>20406735</v>
      </c>
      <c r="H83" s="16" t="s">
        <v>84</v>
      </c>
      <c r="I83" s="50">
        <v>1</v>
      </c>
      <c r="J83" s="51">
        <v>8</v>
      </c>
      <c r="K83" s="51">
        <v>8</v>
      </c>
    </row>
    <row r="84" spans="4:11">
      <c r="D84" s="49">
        <v>46149</v>
      </c>
      <c r="E84" s="16">
        <v>1600759</v>
      </c>
      <c r="F84" s="16" t="s">
        <v>21</v>
      </c>
      <c r="G84" s="50">
        <v>20406253</v>
      </c>
      <c r="H84" s="16" t="s">
        <v>39</v>
      </c>
      <c r="I84" s="50">
        <v>2</v>
      </c>
      <c r="J84" s="51">
        <v>13.5</v>
      </c>
      <c r="K84" s="51">
        <v>27</v>
      </c>
    </row>
    <row r="85" spans="4:11">
      <c r="D85" s="49">
        <v>46149</v>
      </c>
      <c r="E85" s="16">
        <v>1600759</v>
      </c>
      <c r="F85" s="16" t="s">
        <v>21</v>
      </c>
      <c r="G85" s="50">
        <v>20400912</v>
      </c>
      <c r="H85" s="16" t="s">
        <v>59</v>
      </c>
      <c r="I85" s="50">
        <v>1</v>
      </c>
      <c r="J85" s="51">
        <v>8</v>
      </c>
      <c r="K85" s="51">
        <v>8</v>
      </c>
    </row>
    <row r="86" spans="4:11">
      <c r="D86" s="49">
        <v>46149</v>
      </c>
      <c r="E86" s="16">
        <v>1600759</v>
      </c>
      <c r="F86" s="16" t="s">
        <v>21</v>
      </c>
      <c r="G86" s="50">
        <v>20313588</v>
      </c>
      <c r="H86" s="16" t="s">
        <v>30</v>
      </c>
      <c r="I86" s="50">
        <v>3</v>
      </c>
      <c r="J86" s="51">
        <v>8</v>
      </c>
      <c r="K86" s="51">
        <v>24</v>
      </c>
    </row>
    <row r="87" spans="4:11">
      <c r="D87" s="49">
        <v>46149</v>
      </c>
      <c r="E87" s="16">
        <v>1600759</v>
      </c>
      <c r="F87" s="16" t="s">
        <v>21</v>
      </c>
      <c r="G87" s="50">
        <v>20377357</v>
      </c>
      <c r="H87" s="16" t="s">
        <v>31</v>
      </c>
      <c r="I87" s="50">
        <v>5</v>
      </c>
      <c r="J87" s="51">
        <v>8</v>
      </c>
      <c r="K87" s="51">
        <v>40</v>
      </c>
    </row>
    <row r="88" spans="4:11">
      <c r="D88" s="49">
        <v>46150</v>
      </c>
      <c r="E88" s="16">
        <v>1601071</v>
      </c>
      <c r="F88" s="16" t="s">
        <v>21</v>
      </c>
      <c r="G88" s="50">
        <v>20406253</v>
      </c>
      <c r="H88" s="16" t="s">
        <v>39</v>
      </c>
      <c r="I88" s="50">
        <v>2</v>
      </c>
      <c r="J88" s="51">
        <v>13.5</v>
      </c>
      <c r="K88" s="51">
        <v>27</v>
      </c>
    </row>
    <row r="89" spans="4:11">
      <c r="D89" s="49">
        <v>46150</v>
      </c>
      <c r="E89" s="16">
        <v>1601071</v>
      </c>
      <c r="F89" s="16" t="s">
        <v>21</v>
      </c>
      <c r="G89" s="50">
        <v>20313588</v>
      </c>
      <c r="H89" s="16" t="s">
        <v>30</v>
      </c>
      <c r="I89" s="50">
        <v>4</v>
      </c>
      <c r="J89" s="51">
        <v>8</v>
      </c>
      <c r="K89" s="51">
        <v>32</v>
      </c>
    </row>
    <row r="90" spans="4:11">
      <c r="D90" s="49">
        <v>46150</v>
      </c>
      <c r="E90" s="16">
        <v>1601071</v>
      </c>
      <c r="F90" s="16" t="s">
        <v>21</v>
      </c>
      <c r="G90" s="50">
        <v>20401202</v>
      </c>
      <c r="H90" s="16" t="s">
        <v>73</v>
      </c>
      <c r="I90" s="50">
        <v>1</v>
      </c>
      <c r="J90" s="51">
        <v>13.5</v>
      </c>
      <c r="K90" s="51">
        <v>13.5</v>
      </c>
    </row>
    <row r="91" spans="4:11">
      <c r="D91" s="49">
        <v>46150</v>
      </c>
      <c r="E91" s="16">
        <v>1601071</v>
      </c>
      <c r="F91" s="16" t="s">
        <v>21</v>
      </c>
      <c r="G91" s="50">
        <v>20377357</v>
      </c>
      <c r="H91" s="16" t="s">
        <v>31</v>
      </c>
      <c r="I91" s="50">
        <v>1</v>
      </c>
      <c r="J91" s="51">
        <v>8</v>
      </c>
      <c r="K91" s="51">
        <v>8</v>
      </c>
    </row>
    <row r="92" spans="4:11">
      <c r="D92" s="49">
        <v>46150</v>
      </c>
      <c r="E92" s="16">
        <v>1601189</v>
      </c>
      <c r="F92" s="16" t="s">
        <v>21</v>
      </c>
      <c r="G92" s="50">
        <v>20406253</v>
      </c>
      <c r="H92" s="16" t="s">
        <v>39</v>
      </c>
      <c r="I92" s="50">
        <v>1</v>
      </c>
      <c r="J92" s="51">
        <v>13.5</v>
      </c>
      <c r="K92" s="51">
        <v>13.5</v>
      </c>
    </row>
    <row r="93" spans="4:11">
      <c r="D93" s="49">
        <v>46150</v>
      </c>
      <c r="E93" s="16">
        <v>1601189</v>
      </c>
      <c r="F93" s="16" t="s">
        <v>21</v>
      </c>
      <c r="G93" s="50">
        <v>20313588</v>
      </c>
      <c r="H93" s="16" t="s">
        <v>30</v>
      </c>
      <c r="I93" s="50">
        <v>2</v>
      </c>
      <c r="J93" s="51">
        <v>8</v>
      </c>
      <c r="K93" s="51">
        <v>16</v>
      </c>
    </row>
    <row r="94" spans="4:11">
      <c r="D94" s="49">
        <v>46151</v>
      </c>
      <c r="E94" s="16">
        <v>1601500</v>
      </c>
      <c r="F94" s="16" t="s">
        <v>21</v>
      </c>
      <c r="G94" s="50">
        <v>20406253</v>
      </c>
      <c r="H94" s="16" t="s">
        <v>39</v>
      </c>
      <c r="I94" s="50">
        <v>3</v>
      </c>
      <c r="J94" s="51">
        <v>13.5</v>
      </c>
      <c r="K94" s="51">
        <v>40.5</v>
      </c>
    </row>
    <row r="95" spans="4:11">
      <c r="D95" s="49">
        <v>46151</v>
      </c>
      <c r="E95" s="16">
        <v>1601500</v>
      </c>
      <c r="F95" s="16" t="s">
        <v>21</v>
      </c>
      <c r="G95" s="50">
        <v>20313588</v>
      </c>
      <c r="H95" s="16" t="s">
        <v>30</v>
      </c>
      <c r="I95" s="50">
        <v>3</v>
      </c>
      <c r="J95" s="51">
        <v>8</v>
      </c>
      <c r="K95" s="51">
        <v>24</v>
      </c>
    </row>
    <row r="96" spans="4:11">
      <c r="D96" s="49">
        <v>46151</v>
      </c>
      <c r="E96" s="16">
        <v>1601615</v>
      </c>
      <c r="F96" s="16" t="s">
        <v>21</v>
      </c>
      <c r="G96" s="50">
        <v>20406253</v>
      </c>
      <c r="H96" s="16" t="s">
        <v>39</v>
      </c>
      <c r="I96" s="50">
        <v>2</v>
      </c>
      <c r="J96" s="51">
        <v>13.5</v>
      </c>
      <c r="K96" s="51">
        <v>27</v>
      </c>
    </row>
    <row r="97" spans="4:11">
      <c r="D97" s="49">
        <v>46151</v>
      </c>
      <c r="E97" s="16">
        <v>1601615</v>
      </c>
      <c r="F97" s="16" t="s">
        <v>21</v>
      </c>
      <c r="G97" s="50">
        <v>20414939</v>
      </c>
      <c r="H97" s="16" t="s">
        <v>62</v>
      </c>
      <c r="I97" s="50">
        <v>1</v>
      </c>
      <c r="J97" s="51">
        <v>8</v>
      </c>
      <c r="K97" s="51">
        <v>8</v>
      </c>
    </row>
    <row r="98" spans="4:11">
      <c r="D98" s="49">
        <v>46151</v>
      </c>
      <c r="E98" s="16">
        <v>1601615</v>
      </c>
      <c r="F98" s="16" t="s">
        <v>21</v>
      </c>
      <c r="G98" s="50">
        <v>20313588</v>
      </c>
      <c r="H98" s="16" t="s">
        <v>30</v>
      </c>
      <c r="I98" s="50">
        <v>4</v>
      </c>
      <c r="J98" s="51">
        <v>8</v>
      </c>
      <c r="K98" s="51">
        <v>32</v>
      </c>
    </row>
    <row r="99" spans="4:11">
      <c r="D99" s="49">
        <v>46151</v>
      </c>
      <c r="E99" s="16">
        <v>1601615</v>
      </c>
      <c r="F99" s="16" t="s">
        <v>21</v>
      </c>
      <c r="G99" s="50">
        <v>20377357</v>
      </c>
      <c r="H99" s="16" t="s">
        <v>31</v>
      </c>
      <c r="I99" s="50">
        <v>1</v>
      </c>
      <c r="J99" s="51">
        <v>8</v>
      </c>
      <c r="K99" s="51">
        <v>8</v>
      </c>
    </row>
    <row r="100" spans="4:11">
      <c r="D100" s="49">
        <v>46151</v>
      </c>
      <c r="E100" s="16">
        <v>1601798</v>
      </c>
      <c r="F100" s="16" t="s">
        <v>21</v>
      </c>
      <c r="G100" s="50">
        <v>20406253</v>
      </c>
      <c r="H100" s="16" t="s">
        <v>39</v>
      </c>
      <c r="I100" s="50">
        <v>3</v>
      </c>
      <c r="J100" s="51">
        <v>13.5</v>
      </c>
      <c r="K100" s="51">
        <v>40.5</v>
      </c>
    </row>
    <row r="101" spans="4:11">
      <c r="D101" s="49">
        <v>46151</v>
      </c>
      <c r="E101" s="16">
        <v>1601798</v>
      </c>
      <c r="F101" s="16" t="s">
        <v>21</v>
      </c>
      <c r="G101" s="50">
        <v>20313588</v>
      </c>
      <c r="H101" s="16" t="s">
        <v>30</v>
      </c>
      <c r="I101" s="50">
        <v>3</v>
      </c>
      <c r="J101" s="51">
        <v>8</v>
      </c>
      <c r="K101" s="51">
        <v>24</v>
      </c>
    </row>
    <row r="102" spans="4:11">
      <c r="D102" s="49">
        <v>46151</v>
      </c>
      <c r="E102" s="16">
        <v>1601798</v>
      </c>
      <c r="F102" s="16" t="s">
        <v>21</v>
      </c>
      <c r="G102" s="50">
        <v>20404173</v>
      </c>
      <c r="H102" s="16" t="s">
        <v>66</v>
      </c>
      <c r="I102" s="50">
        <v>1</v>
      </c>
      <c r="J102" s="51">
        <v>27.5</v>
      </c>
      <c r="K102" s="51">
        <v>27.5</v>
      </c>
    </row>
    <row r="103" spans="4:11">
      <c r="D103" s="49">
        <v>46151</v>
      </c>
      <c r="E103" s="16">
        <v>1601798</v>
      </c>
      <c r="F103" s="16" t="s">
        <v>21</v>
      </c>
      <c r="G103" s="50">
        <v>20377357</v>
      </c>
      <c r="H103" s="16" t="s">
        <v>31</v>
      </c>
      <c r="I103" s="50">
        <v>1</v>
      </c>
      <c r="J103" s="51">
        <v>8</v>
      </c>
      <c r="K103" s="51">
        <v>8</v>
      </c>
    </row>
    <row r="104" spans="4:11">
      <c r="D104" s="49">
        <v>46154</v>
      </c>
      <c r="E104" s="16">
        <v>1602305</v>
      </c>
      <c r="F104" s="16" t="s">
        <v>21</v>
      </c>
      <c r="G104" s="50">
        <v>20313588</v>
      </c>
      <c r="H104" s="16" t="s">
        <v>30</v>
      </c>
      <c r="I104" s="50">
        <v>7</v>
      </c>
      <c r="J104" s="51">
        <v>8</v>
      </c>
      <c r="K104" s="51">
        <v>56</v>
      </c>
    </row>
    <row r="105" spans="4:11">
      <c r="D105" s="49">
        <v>46154</v>
      </c>
      <c r="E105" s="16">
        <v>1602305</v>
      </c>
      <c r="F105" s="16" t="s">
        <v>21</v>
      </c>
      <c r="G105" s="50">
        <v>20376621</v>
      </c>
      <c r="H105" s="16" t="s">
        <v>58</v>
      </c>
      <c r="I105" s="50">
        <v>2</v>
      </c>
      <c r="J105" s="51">
        <v>8</v>
      </c>
      <c r="K105" s="51">
        <v>16</v>
      </c>
    </row>
    <row r="106" spans="4:11">
      <c r="D106" s="49">
        <v>46154</v>
      </c>
      <c r="E106" s="16">
        <v>1602305</v>
      </c>
      <c r="F106" s="16" t="s">
        <v>21</v>
      </c>
      <c r="G106" s="50">
        <v>20377357</v>
      </c>
      <c r="H106" s="16" t="s">
        <v>31</v>
      </c>
      <c r="I106" s="50">
        <v>4</v>
      </c>
      <c r="J106" s="51">
        <v>8</v>
      </c>
      <c r="K106" s="51">
        <v>32</v>
      </c>
    </row>
    <row r="107" spans="4:11">
      <c r="D107" s="49">
        <v>46154</v>
      </c>
      <c r="E107" s="16">
        <v>1602305</v>
      </c>
      <c r="F107" s="16" t="s">
        <v>21</v>
      </c>
      <c r="G107" s="50">
        <v>20303839</v>
      </c>
      <c r="H107" s="16" t="s">
        <v>79</v>
      </c>
      <c r="I107" s="50">
        <v>2</v>
      </c>
      <c r="J107" s="51">
        <v>8</v>
      </c>
      <c r="K107" s="51">
        <v>16</v>
      </c>
    </row>
    <row r="108" spans="4:11">
      <c r="D108" s="49">
        <v>46154</v>
      </c>
      <c r="E108" s="16">
        <v>1602562</v>
      </c>
      <c r="F108" s="16" t="s">
        <v>21</v>
      </c>
      <c r="G108" s="50">
        <v>20406253</v>
      </c>
      <c r="H108" s="16" t="s">
        <v>39</v>
      </c>
      <c r="I108" s="50">
        <v>2</v>
      </c>
      <c r="J108" s="51">
        <v>13.5</v>
      </c>
      <c r="K108" s="51">
        <v>27</v>
      </c>
    </row>
    <row r="109" spans="4:11">
      <c r="D109" s="49">
        <v>46154</v>
      </c>
      <c r="E109" s="16">
        <v>1602562</v>
      </c>
      <c r="F109" s="16" t="s">
        <v>21</v>
      </c>
      <c r="G109" s="50">
        <v>20394769</v>
      </c>
      <c r="H109" s="16" t="s">
        <v>61</v>
      </c>
      <c r="I109" s="50">
        <v>1</v>
      </c>
      <c r="J109" s="51">
        <v>8</v>
      </c>
      <c r="K109" s="51">
        <v>8</v>
      </c>
    </row>
    <row r="110" spans="4:11">
      <c r="D110" s="49">
        <v>46154</v>
      </c>
      <c r="E110" s="16">
        <v>1602562</v>
      </c>
      <c r="F110" s="16" t="s">
        <v>21</v>
      </c>
      <c r="G110" s="50">
        <v>20313588</v>
      </c>
      <c r="H110" s="16" t="s">
        <v>30</v>
      </c>
      <c r="I110" s="50">
        <v>7</v>
      </c>
      <c r="J110" s="51">
        <v>8</v>
      </c>
      <c r="K110" s="51">
        <v>56</v>
      </c>
    </row>
    <row r="111" spans="4:11">
      <c r="D111" s="49">
        <v>46154</v>
      </c>
      <c r="E111" s="16">
        <v>1602562</v>
      </c>
      <c r="F111" s="16" t="s">
        <v>21</v>
      </c>
      <c r="G111" s="50">
        <v>20376620</v>
      </c>
      <c r="H111" s="16" t="s">
        <v>58</v>
      </c>
      <c r="I111" s="50">
        <v>1</v>
      </c>
      <c r="J111" s="51">
        <v>8</v>
      </c>
      <c r="K111" s="51">
        <v>8</v>
      </c>
    </row>
    <row r="112" spans="4:11">
      <c r="D112" s="49">
        <v>46154</v>
      </c>
      <c r="E112" s="16">
        <v>1602562</v>
      </c>
      <c r="F112" s="16" t="s">
        <v>21</v>
      </c>
      <c r="G112" s="50">
        <v>20377357</v>
      </c>
      <c r="H112" s="16" t="s">
        <v>31</v>
      </c>
      <c r="I112" s="50">
        <v>1</v>
      </c>
      <c r="J112" s="51">
        <v>8</v>
      </c>
      <c r="K112" s="51">
        <v>8</v>
      </c>
    </row>
    <row r="113" spans="4:11">
      <c r="D113" s="49">
        <v>46155</v>
      </c>
      <c r="E113" s="16">
        <v>1602682</v>
      </c>
      <c r="F113" s="16" t="s">
        <v>21</v>
      </c>
      <c r="G113" s="50">
        <v>20406253</v>
      </c>
      <c r="H113" s="16" t="s">
        <v>39</v>
      </c>
      <c r="I113" s="50">
        <v>1</v>
      </c>
      <c r="J113" s="51">
        <v>13.5</v>
      </c>
      <c r="K113" s="51">
        <v>13.5</v>
      </c>
    </row>
    <row r="114" spans="4:11">
      <c r="D114" s="49">
        <v>46155</v>
      </c>
      <c r="E114" s="16">
        <v>1602682</v>
      </c>
      <c r="F114" s="16" t="s">
        <v>21</v>
      </c>
      <c r="G114" s="50">
        <v>20313588</v>
      </c>
      <c r="H114" s="16" t="s">
        <v>30</v>
      </c>
      <c r="I114" s="50">
        <v>2</v>
      </c>
      <c r="J114" s="51">
        <v>8</v>
      </c>
      <c r="K114" s="51">
        <v>16</v>
      </c>
    </row>
    <row r="115" spans="4:11">
      <c r="D115" s="49">
        <v>46155</v>
      </c>
      <c r="E115" s="16">
        <v>1602682</v>
      </c>
      <c r="F115" s="16" t="s">
        <v>21</v>
      </c>
      <c r="G115" s="50">
        <v>20395986</v>
      </c>
      <c r="H115" s="16" t="s">
        <v>67</v>
      </c>
      <c r="I115" s="50">
        <v>1</v>
      </c>
      <c r="J115" s="51">
        <v>13.5</v>
      </c>
      <c r="K115" s="51">
        <v>13.5</v>
      </c>
    </row>
    <row r="116" spans="4:11">
      <c r="D116" s="49">
        <v>46155</v>
      </c>
      <c r="E116" s="16">
        <v>1602682</v>
      </c>
      <c r="F116" s="16" t="s">
        <v>21</v>
      </c>
      <c r="G116" s="50">
        <v>20376620</v>
      </c>
      <c r="H116" s="16" t="s">
        <v>58</v>
      </c>
      <c r="I116" s="50">
        <v>1</v>
      </c>
      <c r="J116" s="51">
        <v>8</v>
      </c>
      <c r="K116" s="51">
        <v>8</v>
      </c>
    </row>
    <row r="117" spans="4:11">
      <c r="D117" s="49">
        <v>46155</v>
      </c>
      <c r="E117" s="16">
        <v>1602682</v>
      </c>
      <c r="F117" s="16" t="s">
        <v>21</v>
      </c>
      <c r="G117" s="50">
        <v>20303839</v>
      </c>
      <c r="H117" s="16" t="s">
        <v>79</v>
      </c>
      <c r="I117" s="50">
        <v>1</v>
      </c>
      <c r="J117" s="51">
        <v>8</v>
      </c>
      <c r="K117" s="51">
        <v>8</v>
      </c>
    </row>
    <row r="118" spans="4:11">
      <c r="D118" s="49">
        <v>46156</v>
      </c>
      <c r="E118" s="16">
        <v>1602919</v>
      </c>
      <c r="F118" s="16" t="s">
        <v>21</v>
      </c>
      <c r="G118" s="50">
        <v>20406253</v>
      </c>
      <c r="H118" s="16" t="s">
        <v>39</v>
      </c>
      <c r="I118" s="50">
        <v>2</v>
      </c>
      <c r="J118" s="51">
        <v>13.5</v>
      </c>
      <c r="K118" s="51">
        <v>27</v>
      </c>
    </row>
    <row r="119" spans="4:11">
      <c r="D119" s="49">
        <v>46156</v>
      </c>
      <c r="E119" s="16">
        <v>1602919</v>
      </c>
      <c r="F119" s="16" t="s">
        <v>21</v>
      </c>
      <c r="G119" s="50">
        <v>20400912</v>
      </c>
      <c r="H119" s="16" t="s">
        <v>59</v>
      </c>
      <c r="I119" s="50">
        <v>1</v>
      </c>
      <c r="J119" s="51">
        <v>8</v>
      </c>
      <c r="K119" s="51">
        <v>8</v>
      </c>
    </row>
    <row r="120" spans="4:11">
      <c r="D120" s="49">
        <v>46156</v>
      </c>
      <c r="E120" s="16">
        <v>1602919</v>
      </c>
      <c r="F120" s="16" t="s">
        <v>21</v>
      </c>
      <c r="G120" s="50">
        <v>20313588</v>
      </c>
      <c r="H120" s="16" t="s">
        <v>30</v>
      </c>
      <c r="I120" s="50">
        <v>3</v>
      </c>
      <c r="J120" s="51">
        <v>8</v>
      </c>
      <c r="K120" s="51">
        <v>24</v>
      </c>
    </row>
    <row r="121" spans="4:11">
      <c r="D121" s="49">
        <v>46156</v>
      </c>
      <c r="E121" s="16">
        <v>1603040</v>
      </c>
      <c r="F121" s="16" t="s">
        <v>21</v>
      </c>
      <c r="G121" s="50">
        <v>20406253</v>
      </c>
      <c r="H121" s="16" t="s">
        <v>39</v>
      </c>
      <c r="I121" s="50">
        <v>1</v>
      </c>
      <c r="J121" s="51">
        <v>13.5</v>
      </c>
      <c r="K121" s="51">
        <v>13.5</v>
      </c>
    </row>
    <row r="122" spans="4:11">
      <c r="D122" s="49">
        <v>46156</v>
      </c>
      <c r="E122" s="16">
        <v>1603040</v>
      </c>
      <c r="F122" s="16" t="s">
        <v>21</v>
      </c>
      <c r="G122" s="50">
        <v>20313588</v>
      </c>
      <c r="H122" s="16" t="s">
        <v>30</v>
      </c>
      <c r="I122" s="50">
        <v>2</v>
      </c>
      <c r="J122" s="51">
        <v>8</v>
      </c>
      <c r="K122" s="51">
        <v>16</v>
      </c>
    </row>
    <row r="123" ht="0.05" customHeight="1"/>
  </sheetData>
  <autoFilter xmlns:etc="http://www.wps.cn/officeDocument/2017/etCustomData" ref="A7:K122" etc:filterBottomFollowUsedRange="0">
    <extLst/>
  </autoFilter>
  <mergeCells count="5">
    <mergeCell ref="D8:H8"/>
    <mergeCell ref="C7:C122"/>
    <mergeCell ref="B4:H5"/>
    <mergeCell ref="A7:B12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85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18</v>
      </c>
      <c r="J8" s="48"/>
      <c r="K8" s="48">
        <v>144</v>
      </c>
    </row>
    <row r="9" spans="1:11">
      <c r="D9" s="49">
        <v>46136</v>
      </c>
      <c r="E9" s="16">
        <v>1597722</v>
      </c>
      <c r="F9" s="16" t="s">
        <v>21</v>
      </c>
      <c r="G9" s="50">
        <v>20313588</v>
      </c>
      <c r="H9" s="16" t="s">
        <v>30</v>
      </c>
      <c r="I9" s="50">
        <v>1</v>
      </c>
      <c r="J9" s="51">
        <v>8</v>
      </c>
      <c r="K9" s="51">
        <v>8</v>
      </c>
    </row>
    <row r="10" spans="1:11">
      <c r="D10" s="49">
        <v>46136</v>
      </c>
      <c r="E10" s="16">
        <v>1597722</v>
      </c>
      <c r="F10" s="16" t="s">
        <v>21</v>
      </c>
      <c r="G10" s="50">
        <v>20377357</v>
      </c>
      <c r="H10" s="16" t="s">
        <v>31</v>
      </c>
      <c r="I10" s="50">
        <v>4</v>
      </c>
      <c r="J10" s="51">
        <v>8</v>
      </c>
      <c r="K10" s="51">
        <v>32</v>
      </c>
    </row>
    <row r="11" spans="1:11">
      <c r="D11" s="49">
        <v>46141</v>
      </c>
      <c r="E11" s="16">
        <v>1599060</v>
      </c>
      <c r="F11" s="16" t="s">
        <v>21</v>
      </c>
      <c r="G11" s="50">
        <v>20377357</v>
      </c>
      <c r="H11" s="16" t="s">
        <v>31</v>
      </c>
      <c r="I11" s="50">
        <v>3</v>
      </c>
      <c r="J11" s="51">
        <v>8</v>
      </c>
      <c r="K11" s="51">
        <v>24</v>
      </c>
    </row>
    <row r="12" spans="1:11">
      <c r="D12" s="49">
        <v>46142</v>
      </c>
      <c r="E12" s="16">
        <v>1599449</v>
      </c>
      <c r="F12" s="16" t="s">
        <v>21</v>
      </c>
      <c r="G12" s="50">
        <v>20313588</v>
      </c>
      <c r="H12" s="16" t="s">
        <v>30</v>
      </c>
      <c r="I12" s="50">
        <v>1</v>
      </c>
      <c r="J12" s="51">
        <v>8</v>
      </c>
      <c r="K12" s="51">
        <v>8</v>
      </c>
    </row>
    <row r="13" spans="1:11">
      <c r="D13" s="49">
        <v>46142</v>
      </c>
      <c r="E13" s="16">
        <v>1599449</v>
      </c>
      <c r="F13" s="16" t="s">
        <v>21</v>
      </c>
      <c r="G13" s="50">
        <v>20377357</v>
      </c>
      <c r="H13" s="16" t="s">
        <v>31</v>
      </c>
      <c r="I13" s="50">
        <v>2</v>
      </c>
      <c r="J13" s="51">
        <v>8</v>
      </c>
      <c r="K13" s="51">
        <v>16</v>
      </c>
    </row>
    <row r="14" spans="1:11">
      <c r="D14" s="49">
        <v>46142</v>
      </c>
      <c r="E14" s="16">
        <v>1599616</v>
      </c>
      <c r="F14" s="16" t="s">
        <v>21</v>
      </c>
      <c r="G14" s="50">
        <v>20313588</v>
      </c>
      <c r="H14" s="16" t="s">
        <v>30</v>
      </c>
      <c r="I14" s="50">
        <v>1</v>
      </c>
      <c r="J14" s="51">
        <v>8</v>
      </c>
      <c r="K14" s="51">
        <v>8</v>
      </c>
    </row>
    <row r="15" spans="1:11">
      <c r="D15" s="49">
        <v>46142</v>
      </c>
      <c r="E15" s="16">
        <v>1599616</v>
      </c>
      <c r="F15" s="16" t="s">
        <v>21</v>
      </c>
      <c r="G15" s="50">
        <v>20377357</v>
      </c>
      <c r="H15" s="16" t="s">
        <v>31</v>
      </c>
      <c r="I15" s="50">
        <v>2</v>
      </c>
      <c r="J15" s="51">
        <v>8</v>
      </c>
      <c r="K15" s="51">
        <v>16</v>
      </c>
    </row>
    <row r="16" spans="1:11">
      <c r="D16" s="49">
        <v>46149</v>
      </c>
      <c r="E16" s="16">
        <v>1600760</v>
      </c>
      <c r="F16" s="16" t="s">
        <v>21</v>
      </c>
      <c r="G16" s="50">
        <v>20377357</v>
      </c>
      <c r="H16" s="16" t="s">
        <v>31</v>
      </c>
      <c r="I16" s="50">
        <v>4</v>
      </c>
      <c r="J16" s="51">
        <v>8</v>
      </c>
      <c r="K16" s="51">
        <v>32</v>
      </c>
    </row>
  </sheetData>
  <autoFilter xmlns:etc="http://www.wps.cn/officeDocument/2017/etCustomData" ref="A7:K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1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86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154</v>
      </c>
      <c r="J8" s="48"/>
      <c r="K8" s="48">
        <v>1386</v>
      </c>
    </row>
    <row r="9" spans="1:11">
      <c r="D9" s="49">
        <v>46127</v>
      </c>
      <c r="E9" s="16">
        <v>1594972</v>
      </c>
      <c r="F9" s="16" t="s">
        <v>21</v>
      </c>
      <c r="G9" s="50">
        <v>20377357</v>
      </c>
      <c r="H9" s="16" t="s">
        <v>31</v>
      </c>
      <c r="I9" s="50">
        <v>6</v>
      </c>
      <c r="J9" s="51">
        <v>8</v>
      </c>
      <c r="K9" s="51">
        <v>48</v>
      </c>
    </row>
    <row r="10" spans="1:11">
      <c r="D10" s="49">
        <v>46127</v>
      </c>
      <c r="E10" s="16">
        <v>1595218</v>
      </c>
      <c r="F10" s="16" t="s">
        <v>21</v>
      </c>
      <c r="G10" s="50">
        <v>20406253</v>
      </c>
      <c r="H10" s="16" t="s">
        <v>39</v>
      </c>
      <c r="I10" s="50">
        <v>2</v>
      </c>
      <c r="J10" s="51">
        <v>13.5</v>
      </c>
      <c r="K10" s="51">
        <v>27</v>
      </c>
    </row>
    <row r="11" spans="1:11">
      <c r="D11" s="49">
        <v>46127</v>
      </c>
      <c r="E11" s="16">
        <v>1595218</v>
      </c>
      <c r="F11" s="16" t="s">
        <v>21</v>
      </c>
      <c r="G11" s="50">
        <v>20313588</v>
      </c>
      <c r="H11" s="16" t="s">
        <v>30</v>
      </c>
      <c r="I11" s="50">
        <v>2</v>
      </c>
      <c r="J11" s="51">
        <v>8</v>
      </c>
      <c r="K11" s="51">
        <v>16</v>
      </c>
    </row>
    <row r="12" spans="1:11">
      <c r="D12" s="49">
        <v>46127</v>
      </c>
      <c r="E12" s="16">
        <v>1595218</v>
      </c>
      <c r="F12" s="16" t="s">
        <v>21</v>
      </c>
      <c r="G12" s="50">
        <v>20377357</v>
      </c>
      <c r="H12" s="16" t="s">
        <v>31</v>
      </c>
      <c r="I12" s="50">
        <v>4</v>
      </c>
      <c r="J12" s="51">
        <v>8</v>
      </c>
      <c r="K12" s="51">
        <v>32</v>
      </c>
    </row>
    <row r="13" spans="1:11">
      <c r="D13" s="49">
        <v>46128</v>
      </c>
      <c r="E13" s="16">
        <v>1595342</v>
      </c>
      <c r="F13" s="16" t="s">
        <v>21</v>
      </c>
      <c r="G13" s="50">
        <v>20406253</v>
      </c>
      <c r="H13" s="16" t="s">
        <v>39</v>
      </c>
      <c r="I13" s="50">
        <v>1</v>
      </c>
      <c r="J13" s="51">
        <v>13.5</v>
      </c>
      <c r="K13" s="51">
        <v>13.5</v>
      </c>
    </row>
    <row r="14" spans="1:11">
      <c r="D14" s="49">
        <v>46128</v>
      </c>
      <c r="E14" s="16">
        <v>1595342</v>
      </c>
      <c r="F14" s="16" t="s">
        <v>21</v>
      </c>
      <c r="G14" s="50">
        <v>20376620</v>
      </c>
      <c r="H14" s="16" t="s">
        <v>58</v>
      </c>
      <c r="I14" s="50">
        <v>1</v>
      </c>
      <c r="J14" s="51">
        <v>8</v>
      </c>
      <c r="K14" s="51">
        <v>8</v>
      </c>
    </row>
    <row r="15" spans="1:11">
      <c r="D15" s="49">
        <v>46128</v>
      </c>
      <c r="E15" s="16">
        <v>1595342</v>
      </c>
      <c r="F15" s="16" t="s">
        <v>21</v>
      </c>
      <c r="G15" s="50">
        <v>20377357</v>
      </c>
      <c r="H15" s="16" t="s">
        <v>31</v>
      </c>
      <c r="I15" s="50">
        <v>1</v>
      </c>
      <c r="J15" s="51">
        <v>8</v>
      </c>
      <c r="K15" s="51">
        <v>8</v>
      </c>
    </row>
    <row r="16" spans="1:11">
      <c r="D16" s="49">
        <v>46129</v>
      </c>
      <c r="E16" s="16">
        <v>1595647</v>
      </c>
      <c r="F16" s="16" t="s">
        <v>21</v>
      </c>
      <c r="G16" s="50">
        <v>20313588</v>
      </c>
      <c r="H16" s="16" t="s">
        <v>30</v>
      </c>
      <c r="I16" s="50">
        <v>2</v>
      </c>
      <c r="J16" s="51">
        <v>8</v>
      </c>
      <c r="K16" s="51">
        <v>16</v>
      </c>
    </row>
    <row r="17" spans="4:11">
      <c r="D17" s="49">
        <v>46129</v>
      </c>
      <c r="E17" s="16">
        <v>1595647</v>
      </c>
      <c r="F17" s="16" t="s">
        <v>21</v>
      </c>
      <c r="G17" s="50">
        <v>20377357</v>
      </c>
      <c r="H17" s="16" t="s">
        <v>31</v>
      </c>
      <c r="I17" s="50">
        <v>2</v>
      </c>
      <c r="J17" s="51">
        <v>8</v>
      </c>
      <c r="K17" s="51">
        <v>16</v>
      </c>
    </row>
    <row r="18" spans="4:11">
      <c r="D18" s="49">
        <v>46129</v>
      </c>
      <c r="E18" s="16">
        <v>1595783</v>
      </c>
      <c r="F18" s="16" t="s">
        <v>21</v>
      </c>
      <c r="G18" s="50">
        <v>20406253</v>
      </c>
      <c r="H18" s="16" t="s">
        <v>39</v>
      </c>
      <c r="I18" s="50">
        <v>2</v>
      </c>
      <c r="J18" s="51">
        <v>13.5</v>
      </c>
      <c r="K18" s="51">
        <v>27</v>
      </c>
    </row>
    <row r="19" spans="4:11">
      <c r="D19" s="49">
        <v>46129</v>
      </c>
      <c r="E19" s="16">
        <v>1595783</v>
      </c>
      <c r="F19" s="16" t="s">
        <v>21</v>
      </c>
      <c r="G19" s="50">
        <v>20313588</v>
      </c>
      <c r="H19" s="16" t="s">
        <v>30</v>
      </c>
      <c r="I19" s="50">
        <v>3</v>
      </c>
      <c r="J19" s="51">
        <v>8</v>
      </c>
      <c r="K19" s="51">
        <v>24</v>
      </c>
    </row>
    <row r="20" spans="4:11">
      <c r="D20" s="49">
        <v>46129</v>
      </c>
      <c r="E20" s="16">
        <v>1595783</v>
      </c>
      <c r="F20" s="16" t="s">
        <v>21</v>
      </c>
      <c r="G20" s="50">
        <v>20377357</v>
      </c>
      <c r="H20" s="16" t="s">
        <v>31</v>
      </c>
      <c r="I20" s="50">
        <v>4</v>
      </c>
      <c r="J20" s="51">
        <v>8</v>
      </c>
      <c r="K20" s="51">
        <v>32</v>
      </c>
    </row>
    <row r="21" spans="4:11">
      <c r="D21" s="49">
        <v>46130</v>
      </c>
      <c r="E21" s="16">
        <v>1596017</v>
      </c>
      <c r="F21" s="16" t="s">
        <v>21</v>
      </c>
      <c r="G21" s="50">
        <v>20406253</v>
      </c>
      <c r="H21" s="16" t="s">
        <v>39</v>
      </c>
      <c r="I21" s="50">
        <v>1</v>
      </c>
      <c r="J21" s="51">
        <v>13.5</v>
      </c>
      <c r="K21" s="51">
        <v>13.5</v>
      </c>
    </row>
    <row r="22" spans="4:11">
      <c r="D22" s="49">
        <v>46130</v>
      </c>
      <c r="E22" s="16">
        <v>1596017</v>
      </c>
      <c r="F22" s="16" t="s">
        <v>21</v>
      </c>
      <c r="G22" s="50">
        <v>20313588</v>
      </c>
      <c r="H22" s="16" t="s">
        <v>30</v>
      </c>
      <c r="I22" s="50">
        <v>1</v>
      </c>
      <c r="J22" s="51">
        <v>8</v>
      </c>
      <c r="K22" s="51">
        <v>8</v>
      </c>
    </row>
    <row r="23" spans="4:11">
      <c r="D23" s="49">
        <v>46130</v>
      </c>
      <c r="E23" s="16">
        <v>1596017</v>
      </c>
      <c r="F23" s="16" t="s">
        <v>21</v>
      </c>
      <c r="G23" s="50">
        <v>20376620</v>
      </c>
      <c r="H23" s="16" t="s">
        <v>58</v>
      </c>
      <c r="I23" s="50">
        <v>1</v>
      </c>
      <c r="J23" s="51">
        <v>8</v>
      </c>
      <c r="K23" s="51">
        <v>8</v>
      </c>
    </row>
    <row r="24" spans="4:11">
      <c r="D24" s="49">
        <v>46130</v>
      </c>
      <c r="E24" s="16">
        <v>1596017</v>
      </c>
      <c r="F24" s="16" t="s">
        <v>21</v>
      </c>
      <c r="G24" s="50">
        <v>20377357</v>
      </c>
      <c r="H24" s="16" t="s">
        <v>31</v>
      </c>
      <c r="I24" s="50">
        <v>1</v>
      </c>
      <c r="J24" s="51">
        <v>8</v>
      </c>
      <c r="K24" s="51">
        <v>8</v>
      </c>
    </row>
    <row r="25" spans="4:11">
      <c r="D25" s="49">
        <v>46133</v>
      </c>
      <c r="E25" s="16">
        <v>1596694</v>
      </c>
      <c r="F25" s="16" t="s">
        <v>21</v>
      </c>
      <c r="G25" s="50">
        <v>20406253</v>
      </c>
      <c r="H25" s="16" t="s">
        <v>39</v>
      </c>
      <c r="I25" s="50">
        <v>2</v>
      </c>
      <c r="J25" s="51">
        <v>13.5</v>
      </c>
      <c r="K25" s="51">
        <v>27</v>
      </c>
    </row>
    <row r="26" spans="4:11">
      <c r="D26" s="49">
        <v>46133</v>
      </c>
      <c r="E26" s="16">
        <v>1596694</v>
      </c>
      <c r="F26" s="16" t="s">
        <v>21</v>
      </c>
      <c r="G26" s="50">
        <v>20313588</v>
      </c>
      <c r="H26" s="16" t="s">
        <v>30</v>
      </c>
      <c r="I26" s="50">
        <v>3</v>
      </c>
      <c r="J26" s="51">
        <v>8</v>
      </c>
      <c r="K26" s="51">
        <v>24</v>
      </c>
    </row>
    <row r="27" spans="4:11">
      <c r="D27" s="49">
        <v>46133</v>
      </c>
      <c r="E27" s="16">
        <v>1596694</v>
      </c>
      <c r="F27" s="16" t="s">
        <v>21</v>
      </c>
      <c r="G27" s="50">
        <v>20376620</v>
      </c>
      <c r="H27" s="16" t="s">
        <v>58</v>
      </c>
      <c r="I27" s="50">
        <v>2</v>
      </c>
      <c r="J27" s="51">
        <v>8</v>
      </c>
      <c r="K27" s="51">
        <v>16</v>
      </c>
    </row>
    <row r="28" spans="4:11">
      <c r="D28" s="49">
        <v>46133</v>
      </c>
      <c r="E28" s="16">
        <v>1596694</v>
      </c>
      <c r="F28" s="16" t="s">
        <v>21</v>
      </c>
      <c r="G28" s="50">
        <v>20377357</v>
      </c>
      <c r="H28" s="16" t="s">
        <v>31</v>
      </c>
      <c r="I28" s="50">
        <v>4</v>
      </c>
      <c r="J28" s="51">
        <v>8</v>
      </c>
      <c r="K28" s="51">
        <v>32</v>
      </c>
    </row>
    <row r="29" spans="4:11">
      <c r="D29" s="49">
        <v>46134</v>
      </c>
      <c r="E29" s="16">
        <v>1596962</v>
      </c>
      <c r="F29" s="16" t="s">
        <v>21</v>
      </c>
      <c r="G29" s="50">
        <v>20313588</v>
      </c>
      <c r="H29" s="16" t="s">
        <v>30</v>
      </c>
      <c r="I29" s="50">
        <v>1</v>
      </c>
      <c r="J29" s="51">
        <v>8</v>
      </c>
      <c r="K29" s="51">
        <v>8</v>
      </c>
    </row>
    <row r="30" spans="4:11">
      <c r="D30" s="49">
        <v>46134</v>
      </c>
      <c r="E30" s="16">
        <v>1596962</v>
      </c>
      <c r="F30" s="16" t="s">
        <v>21</v>
      </c>
      <c r="G30" s="50">
        <v>20376620</v>
      </c>
      <c r="H30" s="16" t="s">
        <v>58</v>
      </c>
      <c r="I30" s="50">
        <v>2</v>
      </c>
      <c r="J30" s="51">
        <v>8</v>
      </c>
      <c r="K30" s="51">
        <v>16</v>
      </c>
    </row>
    <row r="31" spans="4:11">
      <c r="D31" s="49">
        <v>46134</v>
      </c>
      <c r="E31" s="16">
        <v>1596962</v>
      </c>
      <c r="F31" s="16" t="s">
        <v>21</v>
      </c>
      <c r="G31" s="50">
        <v>20377357</v>
      </c>
      <c r="H31" s="16" t="s">
        <v>31</v>
      </c>
      <c r="I31" s="50">
        <v>1</v>
      </c>
      <c r="J31" s="51">
        <v>8</v>
      </c>
      <c r="K31" s="51">
        <v>8</v>
      </c>
    </row>
    <row r="32" spans="4:11">
      <c r="D32" s="49">
        <v>46134</v>
      </c>
      <c r="E32" s="16">
        <v>1597061</v>
      </c>
      <c r="F32" s="16" t="s">
        <v>21</v>
      </c>
      <c r="G32" s="50">
        <v>20406253</v>
      </c>
      <c r="H32" s="16" t="s">
        <v>39</v>
      </c>
      <c r="I32" s="50">
        <v>1</v>
      </c>
      <c r="J32" s="51">
        <v>13.5</v>
      </c>
      <c r="K32" s="51">
        <v>13.5</v>
      </c>
    </row>
    <row r="33" spans="4:11">
      <c r="D33" s="49">
        <v>46134</v>
      </c>
      <c r="E33" s="16">
        <v>1597061</v>
      </c>
      <c r="F33" s="16" t="s">
        <v>21</v>
      </c>
      <c r="G33" s="50">
        <v>20313588</v>
      </c>
      <c r="H33" s="16" t="s">
        <v>30</v>
      </c>
      <c r="I33" s="50">
        <v>2</v>
      </c>
      <c r="J33" s="51">
        <v>8</v>
      </c>
      <c r="K33" s="51">
        <v>16</v>
      </c>
    </row>
    <row r="34" spans="4:11">
      <c r="D34" s="49">
        <v>46134</v>
      </c>
      <c r="E34" s="16">
        <v>1597061</v>
      </c>
      <c r="F34" s="16" t="s">
        <v>21</v>
      </c>
      <c r="G34" s="50">
        <v>20377357</v>
      </c>
      <c r="H34" s="16" t="s">
        <v>31</v>
      </c>
      <c r="I34" s="50">
        <v>2</v>
      </c>
      <c r="J34" s="51">
        <v>8</v>
      </c>
      <c r="K34" s="51">
        <v>16</v>
      </c>
    </row>
    <row r="35" spans="4:11">
      <c r="D35" s="49">
        <v>46135</v>
      </c>
      <c r="E35" s="16">
        <v>1597333</v>
      </c>
      <c r="F35" s="16" t="s">
        <v>21</v>
      </c>
      <c r="G35" s="50">
        <v>20406253</v>
      </c>
      <c r="H35" s="16" t="s">
        <v>39</v>
      </c>
      <c r="I35" s="50">
        <v>2</v>
      </c>
      <c r="J35" s="51">
        <v>13.5</v>
      </c>
      <c r="K35" s="51">
        <v>27</v>
      </c>
    </row>
    <row r="36" spans="4:11">
      <c r="D36" s="49">
        <v>46135</v>
      </c>
      <c r="E36" s="16">
        <v>1597333</v>
      </c>
      <c r="F36" s="16" t="s">
        <v>21</v>
      </c>
      <c r="G36" s="50">
        <v>20313588</v>
      </c>
      <c r="H36" s="16" t="s">
        <v>30</v>
      </c>
      <c r="I36" s="50">
        <v>4</v>
      </c>
      <c r="J36" s="51">
        <v>8</v>
      </c>
      <c r="K36" s="51">
        <v>32</v>
      </c>
    </row>
    <row r="37" spans="4:11">
      <c r="D37" s="49">
        <v>46135</v>
      </c>
      <c r="E37" s="16">
        <v>1597333</v>
      </c>
      <c r="F37" s="16" t="s">
        <v>21</v>
      </c>
      <c r="G37" s="50">
        <v>20376620</v>
      </c>
      <c r="H37" s="16" t="s">
        <v>58</v>
      </c>
      <c r="I37" s="50">
        <v>1</v>
      </c>
      <c r="J37" s="51">
        <v>8</v>
      </c>
      <c r="K37" s="51">
        <v>8</v>
      </c>
    </row>
    <row r="38" spans="4:11">
      <c r="D38" s="49">
        <v>46135</v>
      </c>
      <c r="E38" s="16">
        <v>1597440</v>
      </c>
      <c r="F38" s="16" t="s">
        <v>21</v>
      </c>
      <c r="G38" s="50">
        <v>20406253</v>
      </c>
      <c r="H38" s="16" t="s">
        <v>39</v>
      </c>
      <c r="I38" s="50">
        <v>1</v>
      </c>
      <c r="J38" s="51">
        <v>13.5</v>
      </c>
      <c r="K38" s="51">
        <v>13.5</v>
      </c>
    </row>
    <row r="39" spans="4:11">
      <c r="D39" s="49">
        <v>46135</v>
      </c>
      <c r="E39" s="16">
        <v>1597440</v>
      </c>
      <c r="F39" s="16" t="s">
        <v>21</v>
      </c>
      <c r="G39" s="50">
        <v>20313588</v>
      </c>
      <c r="H39" s="16" t="s">
        <v>30</v>
      </c>
      <c r="I39" s="50">
        <v>2</v>
      </c>
      <c r="J39" s="51">
        <v>8</v>
      </c>
      <c r="K39" s="51">
        <v>16</v>
      </c>
    </row>
    <row r="40" spans="4:11">
      <c r="D40" s="49">
        <v>46135</v>
      </c>
      <c r="E40" s="16">
        <v>1597440</v>
      </c>
      <c r="F40" s="16" t="s">
        <v>21</v>
      </c>
      <c r="G40" s="50">
        <v>20376620</v>
      </c>
      <c r="H40" s="16" t="s">
        <v>58</v>
      </c>
      <c r="I40" s="50">
        <v>1</v>
      </c>
      <c r="J40" s="51">
        <v>8</v>
      </c>
      <c r="K40" s="51">
        <v>8</v>
      </c>
    </row>
    <row r="41" spans="4:11">
      <c r="D41" s="49">
        <v>46135</v>
      </c>
      <c r="E41" s="16">
        <v>1597440</v>
      </c>
      <c r="F41" s="16" t="s">
        <v>21</v>
      </c>
      <c r="G41" s="50">
        <v>20377357</v>
      </c>
      <c r="H41" s="16" t="s">
        <v>31</v>
      </c>
      <c r="I41" s="50">
        <v>2</v>
      </c>
      <c r="J41" s="51">
        <v>8</v>
      </c>
      <c r="K41" s="51">
        <v>16</v>
      </c>
    </row>
    <row r="42" spans="4:11">
      <c r="D42" s="49">
        <v>46136</v>
      </c>
      <c r="E42" s="16">
        <v>1597723</v>
      </c>
      <c r="F42" s="16" t="s">
        <v>21</v>
      </c>
      <c r="G42" s="50">
        <v>20313588</v>
      </c>
      <c r="H42" s="16" t="s">
        <v>30</v>
      </c>
      <c r="I42" s="50">
        <v>1</v>
      </c>
      <c r="J42" s="51">
        <v>8</v>
      </c>
      <c r="K42" s="51">
        <v>8</v>
      </c>
    </row>
    <row r="43" spans="4:11">
      <c r="D43" s="49">
        <v>46136</v>
      </c>
      <c r="E43" s="16">
        <v>1597723</v>
      </c>
      <c r="F43" s="16" t="s">
        <v>21</v>
      </c>
      <c r="G43" s="50">
        <v>20377357</v>
      </c>
      <c r="H43" s="16" t="s">
        <v>31</v>
      </c>
      <c r="I43" s="50">
        <v>2</v>
      </c>
      <c r="J43" s="51">
        <v>8</v>
      </c>
      <c r="K43" s="51">
        <v>16</v>
      </c>
    </row>
    <row r="44" spans="4:11">
      <c r="D44" s="49">
        <v>46136</v>
      </c>
      <c r="E44" s="16">
        <v>1597840</v>
      </c>
      <c r="F44" s="16" t="s">
        <v>21</v>
      </c>
      <c r="G44" s="50">
        <v>20406253</v>
      </c>
      <c r="H44" s="16" t="s">
        <v>39</v>
      </c>
      <c r="I44" s="50">
        <v>1</v>
      </c>
      <c r="J44" s="51">
        <v>13.5</v>
      </c>
      <c r="K44" s="51">
        <v>13.5</v>
      </c>
    </row>
    <row r="45" spans="4:11">
      <c r="D45" s="49">
        <v>46136</v>
      </c>
      <c r="E45" s="16">
        <v>1597840</v>
      </c>
      <c r="F45" s="16" t="s">
        <v>21</v>
      </c>
      <c r="G45" s="50">
        <v>20313588</v>
      </c>
      <c r="H45" s="16" t="s">
        <v>30</v>
      </c>
      <c r="I45" s="50">
        <v>1</v>
      </c>
      <c r="J45" s="51">
        <v>8</v>
      </c>
      <c r="K45" s="51">
        <v>8</v>
      </c>
    </row>
    <row r="46" spans="4:11">
      <c r="D46" s="49">
        <v>46136</v>
      </c>
      <c r="E46" s="16">
        <v>1597840</v>
      </c>
      <c r="F46" s="16" t="s">
        <v>21</v>
      </c>
      <c r="G46" s="50">
        <v>20377357</v>
      </c>
      <c r="H46" s="16" t="s">
        <v>31</v>
      </c>
      <c r="I46" s="50">
        <v>2</v>
      </c>
      <c r="J46" s="51">
        <v>8</v>
      </c>
      <c r="K46" s="51">
        <v>16</v>
      </c>
    </row>
    <row r="47" spans="4:11">
      <c r="D47" s="49">
        <v>46137</v>
      </c>
      <c r="E47" s="16">
        <v>1598091</v>
      </c>
      <c r="F47" s="16" t="s">
        <v>21</v>
      </c>
      <c r="G47" s="50">
        <v>20406253</v>
      </c>
      <c r="H47" s="16" t="s">
        <v>39</v>
      </c>
      <c r="I47" s="50">
        <v>2</v>
      </c>
      <c r="J47" s="51">
        <v>13.5</v>
      </c>
      <c r="K47" s="51">
        <v>27</v>
      </c>
    </row>
    <row r="48" spans="4:11">
      <c r="D48" s="49">
        <v>46137</v>
      </c>
      <c r="E48" s="16">
        <v>1598091</v>
      </c>
      <c r="F48" s="16" t="s">
        <v>21</v>
      </c>
      <c r="G48" s="50">
        <v>20313588</v>
      </c>
      <c r="H48" s="16" t="s">
        <v>30</v>
      </c>
      <c r="I48" s="50">
        <v>2</v>
      </c>
      <c r="J48" s="51">
        <v>8</v>
      </c>
      <c r="K48" s="51">
        <v>16</v>
      </c>
    </row>
    <row r="49" spans="4:11">
      <c r="D49" s="49">
        <v>46137</v>
      </c>
      <c r="E49" s="16">
        <v>1598091</v>
      </c>
      <c r="F49" s="16" t="s">
        <v>21</v>
      </c>
      <c r="G49" s="50">
        <v>20377357</v>
      </c>
      <c r="H49" s="16" t="s">
        <v>31</v>
      </c>
      <c r="I49" s="50">
        <v>3</v>
      </c>
      <c r="J49" s="51">
        <v>8</v>
      </c>
      <c r="K49" s="51">
        <v>24</v>
      </c>
    </row>
    <row r="50" spans="4:11">
      <c r="D50" s="49">
        <v>46140</v>
      </c>
      <c r="E50" s="16">
        <v>1598753</v>
      </c>
      <c r="F50" s="16" t="s">
        <v>21</v>
      </c>
      <c r="G50" s="50">
        <v>20406253</v>
      </c>
      <c r="H50" s="16" t="s">
        <v>39</v>
      </c>
      <c r="I50" s="50">
        <v>1</v>
      </c>
      <c r="J50" s="51">
        <v>13.5</v>
      </c>
      <c r="K50" s="51">
        <v>13.5</v>
      </c>
    </row>
    <row r="51" spans="4:11">
      <c r="D51" s="49">
        <v>46140</v>
      </c>
      <c r="E51" s="16">
        <v>1598753</v>
      </c>
      <c r="F51" s="16" t="s">
        <v>21</v>
      </c>
      <c r="G51" s="50">
        <v>20377357</v>
      </c>
      <c r="H51" s="16" t="s">
        <v>31</v>
      </c>
      <c r="I51" s="50">
        <v>2</v>
      </c>
      <c r="J51" s="51">
        <v>8</v>
      </c>
      <c r="K51" s="51">
        <v>16</v>
      </c>
    </row>
    <row r="52" spans="4:11">
      <c r="D52" s="49">
        <v>46141</v>
      </c>
      <c r="E52" s="16">
        <v>1599061</v>
      </c>
      <c r="F52" s="16" t="s">
        <v>21</v>
      </c>
      <c r="G52" s="50">
        <v>20406253</v>
      </c>
      <c r="H52" s="16" t="s">
        <v>39</v>
      </c>
      <c r="I52" s="50">
        <v>1</v>
      </c>
      <c r="J52" s="51">
        <v>13.5</v>
      </c>
      <c r="K52" s="51">
        <v>13.5</v>
      </c>
    </row>
    <row r="53" spans="4:11">
      <c r="D53" s="49">
        <v>46141</v>
      </c>
      <c r="E53" s="16">
        <v>1599061</v>
      </c>
      <c r="F53" s="16" t="s">
        <v>21</v>
      </c>
      <c r="G53" s="50">
        <v>20313588</v>
      </c>
      <c r="H53" s="16" t="s">
        <v>30</v>
      </c>
      <c r="I53" s="50">
        <v>1</v>
      </c>
      <c r="J53" s="51">
        <v>8</v>
      </c>
      <c r="K53" s="51">
        <v>8</v>
      </c>
    </row>
    <row r="54" spans="4:11">
      <c r="D54" s="49">
        <v>46141</v>
      </c>
      <c r="E54" s="16">
        <v>1599061</v>
      </c>
      <c r="F54" s="16" t="s">
        <v>21</v>
      </c>
      <c r="G54" s="50">
        <v>20376620</v>
      </c>
      <c r="H54" s="16" t="s">
        <v>58</v>
      </c>
      <c r="I54" s="50">
        <v>1</v>
      </c>
      <c r="J54" s="51">
        <v>8</v>
      </c>
      <c r="K54" s="51">
        <v>8</v>
      </c>
    </row>
    <row r="55" spans="4:11">
      <c r="D55" s="49">
        <v>46141</v>
      </c>
      <c r="E55" s="16">
        <v>1599061</v>
      </c>
      <c r="F55" s="16" t="s">
        <v>21</v>
      </c>
      <c r="G55" s="50">
        <v>20377357</v>
      </c>
      <c r="H55" s="16" t="s">
        <v>31</v>
      </c>
      <c r="I55" s="50">
        <v>2</v>
      </c>
      <c r="J55" s="51">
        <v>8</v>
      </c>
      <c r="K55" s="51">
        <v>16</v>
      </c>
    </row>
    <row r="56" spans="4:11">
      <c r="D56" s="49">
        <v>46141</v>
      </c>
      <c r="E56" s="16">
        <v>1599158</v>
      </c>
      <c r="F56" s="16" t="s">
        <v>21</v>
      </c>
      <c r="G56" s="50">
        <v>20406253</v>
      </c>
      <c r="H56" s="16" t="s">
        <v>39</v>
      </c>
      <c r="I56" s="50">
        <v>1</v>
      </c>
      <c r="J56" s="51">
        <v>13.5</v>
      </c>
      <c r="K56" s="51">
        <v>13.5</v>
      </c>
    </row>
    <row r="57" spans="4:11">
      <c r="D57" s="49">
        <v>46141</v>
      </c>
      <c r="E57" s="16">
        <v>1599158</v>
      </c>
      <c r="F57" s="16" t="s">
        <v>21</v>
      </c>
      <c r="G57" s="50">
        <v>20313588</v>
      </c>
      <c r="H57" s="16" t="s">
        <v>30</v>
      </c>
      <c r="I57" s="50">
        <v>3</v>
      </c>
      <c r="J57" s="51">
        <v>8</v>
      </c>
      <c r="K57" s="51">
        <v>24</v>
      </c>
    </row>
    <row r="58" spans="4:11">
      <c r="D58" s="49">
        <v>46141</v>
      </c>
      <c r="E58" s="16">
        <v>1599158</v>
      </c>
      <c r="F58" s="16" t="s">
        <v>21</v>
      </c>
      <c r="G58" s="50">
        <v>20377357</v>
      </c>
      <c r="H58" s="16" t="s">
        <v>31</v>
      </c>
      <c r="I58" s="50">
        <v>4</v>
      </c>
      <c r="J58" s="51">
        <v>8</v>
      </c>
      <c r="K58" s="51">
        <v>32</v>
      </c>
    </row>
    <row r="59" spans="4:11">
      <c r="D59" s="49">
        <v>46142</v>
      </c>
      <c r="E59" s="16">
        <v>1599450</v>
      </c>
      <c r="F59" s="16" t="s">
        <v>21</v>
      </c>
      <c r="G59" s="50">
        <v>20406253</v>
      </c>
      <c r="H59" s="16" t="s">
        <v>39</v>
      </c>
      <c r="I59" s="50">
        <v>1</v>
      </c>
      <c r="J59" s="51">
        <v>13.5</v>
      </c>
      <c r="K59" s="51">
        <v>13.5</v>
      </c>
    </row>
    <row r="60" spans="4:11">
      <c r="D60" s="49">
        <v>46142</v>
      </c>
      <c r="E60" s="16">
        <v>1599450</v>
      </c>
      <c r="F60" s="16" t="s">
        <v>21</v>
      </c>
      <c r="G60" s="50">
        <v>20313588</v>
      </c>
      <c r="H60" s="16" t="s">
        <v>30</v>
      </c>
      <c r="I60" s="50">
        <v>1</v>
      </c>
      <c r="J60" s="51">
        <v>8</v>
      </c>
      <c r="K60" s="51">
        <v>8</v>
      </c>
    </row>
    <row r="61" spans="4:11">
      <c r="D61" s="49">
        <v>46142</v>
      </c>
      <c r="E61" s="16">
        <v>1599617</v>
      </c>
      <c r="F61" s="16" t="s">
        <v>21</v>
      </c>
      <c r="G61" s="50">
        <v>20406253</v>
      </c>
      <c r="H61" s="16" t="s">
        <v>39</v>
      </c>
      <c r="I61" s="50">
        <v>1</v>
      </c>
      <c r="J61" s="51">
        <v>13.5</v>
      </c>
      <c r="K61" s="51">
        <v>13.5</v>
      </c>
    </row>
    <row r="62" spans="4:11">
      <c r="D62" s="49">
        <v>46142</v>
      </c>
      <c r="E62" s="16">
        <v>1599617</v>
      </c>
      <c r="F62" s="16" t="s">
        <v>21</v>
      </c>
      <c r="G62" s="50">
        <v>20313588</v>
      </c>
      <c r="H62" s="16" t="s">
        <v>30</v>
      </c>
      <c r="I62" s="50">
        <v>2</v>
      </c>
      <c r="J62" s="51">
        <v>8</v>
      </c>
      <c r="K62" s="51">
        <v>16</v>
      </c>
    </row>
    <row r="63" spans="4:11">
      <c r="D63" s="49">
        <v>46142</v>
      </c>
      <c r="E63" s="16">
        <v>1599617</v>
      </c>
      <c r="F63" s="16" t="s">
        <v>21</v>
      </c>
      <c r="G63" s="50">
        <v>20377357</v>
      </c>
      <c r="H63" s="16" t="s">
        <v>31</v>
      </c>
      <c r="I63" s="50">
        <v>3</v>
      </c>
      <c r="J63" s="51">
        <v>8</v>
      </c>
      <c r="K63" s="51">
        <v>24</v>
      </c>
    </row>
    <row r="64" spans="4:11">
      <c r="D64" s="49">
        <v>46142</v>
      </c>
      <c r="E64" s="16">
        <v>1599907</v>
      </c>
      <c r="F64" s="16" t="s">
        <v>21</v>
      </c>
      <c r="G64" s="50">
        <v>20313588</v>
      </c>
      <c r="H64" s="16" t="s">
        <v>30</v>
      </c>
      <c r="I64" s="50">
        <v>2</v>
      </c>
      <c r="J64" s="51">
        <v>8</v>
      </c>
      <c r="K64" s="51">
        <v>16</v>
      </c>
    </row>
    <row r="65" spans="4:11">
      <c r="D65" s="49">
        <v>46142</v>
      </c>
      <c r="E65" s="16">
        <v>1599907</v>
      </c>
      <c r="F65" s="16" t="s">
        <v>21</v>
      </c>
      <c r="G65" s="50">
        <v>20376620</v>
      </c>
      <c r="H65" s="16" t="s">
        <v>58</v>
      </c>
      <c r="I65" s="50">
        <v>1</v>
      </c>
      <c r="J65" s="51">
        <v>8</v>
      </c>
      <c r="K65" s="51">
        <v>8</v>
      </c>
    </row>
    <row r="66" spans="4:11">
      <c r="D66" s="49">
        <v>46142</v>
      </c>
      <c r="E66" s="16">
        <v>1599907</v>
      </c>
      <c r="F66" s="16" t="s">
        <v>21</v>
      </c>
      <c r="G66" s="50">
        <v>20377357</v>
      </c>
      <c r="H66" s="16" t="s">
        <v>31</v>
      </c>
      <c r="I66" s="50">
        <v>2</v>
      </c>
      <c r="J66" s="51">
        <v>8</v>
      </c>
      <c r="K66" s="51">
        <v>16</v>
      </c>
    </row>
    <row r="67" spans="4:11">
      <c r="D67" s="49">
        <v>46149</v>
      </c>
      <c r="E67" s="16">
        <v>1600761</v>
      </c>
      <c r="F67" s="16" t="s">
        <v>21</v>
      </c>
      <c r="G67" s="50">
        <v>20406253</v>
      </c>
      <c r="H67" s="16" t="s">
        <v>39</v>
      </c>
      <c r="I67" s="50">
        <v>1</v>
      </c>
      <c r="J67" s="51">
        <v>13.5</v>
      </c>
      <c r="K67" s="51">
        <v>13.5</v>
      </c>
    </row>
    <row r="68" spans="4:11">
      <c r="D68" s="49">
        <v>46149</v>
      </c>
      <c r="E68" s="16">
        <v>1600761</v>
      </c>
      <c r="F68" s="16" t="s">
        <v>21</v>
      </c>
      <c r="G68" s="50">
        <v>20376620</v>
      </c>
      <c r="H68" s="16" t="s">
        <v>58</v>
      </c>
      <c r="I68" s="50">
        <v>2</v>
      </c>
      <c r="J68" s="51">
        <v>8</v>
      </c>
      <c r="K68" s="51">
        <v>16</v>
      </c>
    </row>
    <row r="69" spans="4:11">
      <c r="D69" s="49">
        <v>46149</v>
      </c>
      <c r="E69" s="16">
        <v>1600761</v>
      </c>
      <c r="F69" s="16" t="s">
        <v>21</v>
      </c>
      <c r="G69" s="50">
        <v>20377357</v>
      </c>
      <c r="H69" s="16" t="s">
        <v>31</v>
      </c>
      <c r="I69" s="50">
        <v>3</v>
      </c>
      <c r="J69" s="51">
        <v>8</v>
      </c>
      <c r="K69" s="51">
        <v>24</v>
      </c>
    </row>
    <row r="70" spans="4:11">
      <c r="D70" s="49">
        <v>46151</v>
      </c>
      <c r="E70" s="16">
        <v>1601501</v>
      </c>
      <c r="F70" s="16" t="s">
        <v>21</v>
      </c>
      <c r="G70" s="50">
        <v>20406253</v>
      </c>
      <c r="H70" s="16" t="s">
        <v>39</v>
      </c>
      <c r="I70" s="50">
        <v>1</v>
      </c>
      <c r="J70" s="51">
        <v>13.5</v>
      </c>
      <c r="K70" s="51">
        <v>13.5</v>
      </c>
    </row>
    <row r="71" spans="4:11">
      <c r="D71" s="49">
        <v>46151</v>
      </c>
      <c r="E71" s="16">
        <v>1601501</v>
      </c>
      <c r="F71" s="16" t="s">
        <v>21</v>
      </c>
      <c r="G71" s="50">
        <v>20313588</v>
      </c>
      <c r="H71" s="16" t="s">
        <v>30</v>
      </c>
      <c r="I71" s="50">
        <v>1</v>
      </c>
      <c r="J71" s="51">
        <v>8</v>
      </c>
      <c r="K71" s="51">
        <v>8</v>
      </c>
    </row>
    <row r="72" spans="4:11">
      <c r="D72" s="49">
        <v>46151</v>
      </c>
      <c r="E72" s="16">
        <v>1601501</v>
      </c>
      <c r="F72" s="16" t="s">
        <v>21</v>
      </c>
      <c r="G72" s="50">
        <v>20376621</v>
      </c>
      <c r="H72" s="16" t="s">
        <v>58</v>
      </c>
      <c r="I72" s="50">
        <v>1</v>
      </c>
      <c r="J72" s="51">
        <v>8</v>
      </c>
      <c r="K72" s="51">
        <v>8</v>
      </c>
    </row>
    <row r="73" spans="4:11">
      <c r="D73" s="49">
        <v>46151</v>
      </c>
      <c r="E73" s="16">
        <v>1601501</v>
      </c>
      <c r="F73" s="16" t="s">
        <v>21</v>
      </c>
      <c r="G73" s="50">
        <v>20377357</v>
      </c>
      <c r="H73" s="16" t="s">
        <v>31</v>
      </c>
      <c r="I73" s="50">
        <v>1</v>
      </c>
      <c r="J73" s="51">
        <v>8</v>
      </c>
      <c r="K73" s="51">
        <v>8</v>
      </c>
    </row>
    <row r="74" spans="4:11">
      <c r="D74" s="49">
        <v>46151</v>
      </c>
      <c r="E74" s="16">
        <v>1601616</v>
      </c>
      <c r="F74" s="16" t="s">
        <v>21</v>
      </c>
      <c r="G74" s="50">
        <v>20406253</v>
      </c>
      <c r="H74" s="16" t="s">
        <v>39</v>
      </c>
      <c r="I74" s="50">
        <v>1</v>
      </c>
      <c r="J74" s="51">
        <v>13.5</v>
      </c>
      <c r="K74" s="51">
        <v>13.5</v>
      </c>
    </row>
    <row r="75" spans="4:11">
      <c r="D75" s="49">
        <v>46151</v>
      </c>
      <c r="E75" s="16">
        <v>1601616</v>
      </c>
      <c r="F75" s="16" t="s">
        <v>21</v>
      </c>
      <c r="G75" s="50">
        <v>20313588</v>
      </c>
      <c r="H75" s="16" t="s">
        <v>30</v>
      </c>
      <c r="I75" s="50">
        <v>3</v>
      </c>
      <c r="J75" s="51">
        <v>8</v>
      </c>
      <c r="K75" s="51">
        <v>24</v>
      </c>
    </row>
    <row r="76" spans="4:11">
      <c r="D76" s="49">
        <v>46151</v>
      </c>
      <c r="E76" s="16">
        <v>1601616</v>
      </c>
      <c r="F76" s="16" t="s">
        <v>21</v>
      </c>
      <c r="G76" s="50">
        <v>20377357</v>
      </c>
      <c r="H76" s="16" t="s">
        <v>31</v>
      </c>
      <c r="I76" s="50">
        <v>4</v>
      </c>
      <c r="J76" s="51">
        <v>8</v>
      </c>
      <c r="K76" s="51">
        <v>32</v>
      </c>
    </row>
    <row r="77" spans="4:11">
      <c r="D77" s="49">
        <v>46151</v>
      </c>
      <c r="E77" s="16">
        <v>1601799</v>
      </c>
      <c r="F77" s="16" t="s">
        <v>21</v>
      </c>
      <c r="G77" s="50">
        <v>20406253</v>
      </c>
      <c r="H77" s="16" t="s">
        <v>39</v>
      </c>
      <c r="I77" s="50">
        <v>1</v>
      </c>
      <c r="J77" s="51">
        <v>13.5</v>
      </c>
      <c r="K77" s="51">
        <v>13.5</v>
      </c>
    </row>
    <row r="78" spans="4:11">
      <c r="D78" s="49">
        <v>46151</v>
      </c>
      <c r="E78" s="16">
        <v>1601799</v>
      </c>
      <c r="F78" s="16" t="s">
        <v>21</v>
      </c>
      <c r="G78" s="50">
        <v>20313588</v>
      </c>
      <c r="H78" s="16" t="s">
        <v>30</v>
      </c>
      <c r="I78" s="50">
        <v>3</v>
      </c>
      <c r="J78" s="51">
        <v>8</v>
      </c>
      <c r="K78" s="51">
        <v>24</v>
      </c>
    </row>
    <row r="79" spans="4:11">
      <c r="D79" s="49">
        <v>46151</v>
      </c>
      <c r="E79" s="16">
        <v>1601799</v>
      </c>
      <c r="F79" s="16" t="s">
        <v>21</v>
      </c>
      <c r="G79" s="50">
        <v>20376620</v>
      </c>
      <c r="H79" s="16" t="s">
        <v>58</v>
      </c>
      <c r="I79" s="50">
        <v>1</v>
      </c>
      <c r="J79" s="51">
        <v>8</v>
      </c>
      <c r="K79" s="51">
        <v>8</v>
      </c>
    </row>
    <row r="80" spans="4:11">
      <c r="D80" s="49">
        <v>46151</v>
      </c>
      <c r="E80" s="16">
        <v>1601799</v>
      </c>
      <c r="F80" s="16" t="s">
        <v>21</v>
      </c>
      <c r="G80" s="50">
        <v>20377357</v>
      </c>
      <c r="H80" s="16" t="s">
        <v>31</v>
      </c>
      <c r="I80" s="50">
        <v>1</v>
      </c>
      <c r="J80" s="51">
        <v>8</v>
      </c>
      <c r="K80" s="51">
        <v>8</v>
      </c>
    </row>
    <row r="81" spans="4:11">
      <c r="D81" s="49">
        <v>46154</v>
      </c>
      <c r="E81" s="16">
        <v>1602306</v>
      </c>
      <c r="F81" s="16" t="s">
        <v>21</v>
      </c>
      <c r="G81" s="50">
        <v>20406253</v>
      </c>
      <c r="H81" s="16" t="s">
        <v>39</v>
      </c>
      <c r="I81" s="50">
        <v>1</v>
      </c>
      <c r="J81" s="51">
        <v>13.5</v>
      </c>
      <c r="K81" s="51">
        <v>13.5</v>
      </c>
    </row>
    <row r="82" spans="4:11">
      <c r="D82" s="49">
        <v>46154</v>
      </c>
      <c r="E82" s="16">
        <v>1602306</v>
      </c>
      <c r="F82" s="16" t="s">
        <v>21</v>
      </c>
      <c r="G82" s="50">
        <v>20313588</v>
      </c>
      <c r="H82" s="16" t="s">
        <v>30</v>
      </c>
      <c r="I82" s="50">
        <v>3</v>
      </c>
      <c r="J82" s="51">
        <v>8</v>
      </c>
      <c r="K82" s="51">
        <v>24</v>
      </c>
    </row>
    <row r="83" spans="4:11">
      <c r="D83" s="49">
        <v>46154</v>
      </c>
      <c r="E83" s="16">
        <v>1602306</v>
      </c>
      <c r="F83" s="16" t="s">
        <v>21</v>
      </c>
      <c r="G83" s="50">
        <v>20376620</v>
      </c>
      <c r="H83" s="16" t="s">
        <v>58</v>
      </c>
      <c r="I83" s="50">
        <v>1</v>
      </c>
      <c r="J83" s="51">
        <v>8</v>
      </c>
      <c r="K83" s="51">
        <v>8</v>
      </c>
    </row>
    <row r="84" spans="4:11">
      <c r="D84" s="49">
        <v>46154</v>
      </c>
      <c r="E84" s="16">
        <v>1602306</v>
      </c>
      <c r="F84" s="16" t="s">
        <v>21</v>
      </c>
      <c r="G84" s="50">
        <v>20377357</v>
      </c>
      <c r="H84" s="16" t="s">
        <v>31</v>
      </c>
      <c r="I84" s="50">
        <v>3</v>
      </c>
      <c r="J84" s="51">
        <v>8</v>
      </c>
      <c r="K84" s="51">
        <v>24</v>
      </c>
    </row>
    <row r="85" spans="4:11">
      <c r="D85" s="49">
        <v>46154</v>
      </c>
      <c r="E85" s="16">
        <v>1602563</v>
      </c>
      <c r="F85" s="16" t="s">
        <v>21</v>
      </c>
      <c r="G85" s="50">
        <v>20406253</v>
      </c>
      <c r="H85" s="16" t="s">
        <v>39</v>
      </c>
      <c r="I85" s="50">
        <v>2</v>
      </c>
      <c r="J85" s="51">
        <v>13.5</v>
      </c>
      <c r="K85" s="51">
        <v>27</v>
      </c>
    </row>
    <row r="86" spans="4:11">
      <c r="D86" s="49">
        <v>46154</v>
      </c>
      <c r="E86" s="16">
        <v>1602563</v>
      </c>
      <c r="F86" s="16" t="s">
        <v>21</v>
      </c>
      <c r="G86" s="50">
        <v>20313588</v>
      </c>
      <c r="H86" s="16" t="s">
        <v>30</v>
      </c>
      <c r="I86" s="50">
        <v>2</v>
      </c>
      <c r="J86" s="51">
        <v>8</v>
      </c>
      <c r="K86" s="51">
        <v>16</v>
      </c>
    </row>
    <row r="87" spans="4:11">
      <c r="D87" s="49">
        <v>46154</v>
      </c>
      <c r="E87" s="16">
        <v>1602563</v>
      </c>
      <c r="F87" s="16" t="s">
        <v>21</v>
      </c>
      <c r="G87" s="50">
        <v>20376620</v>
      </c>
      <c r="H87" s="16" t="s">
        <v>58</v>
      </c>
      <c r="I87" s="50">
        <v>1</v>
      </c>
      <c r="J87" s="51">
        <v>8</v>
      </c>
      <c r="K87" s="51">
        <v>8</v>
      </c>
    </row>
    <row r="88" spans="4:11">
      <c r="D88" s="49">
        <v>46154</v>
      </c>
      <c r="E88" s="16">
        <v>1602563</v>
      </c>
      <c r="F88" s="16" t="s">
        <v>21</v>
      </c>
      <c r="G88" s="50">
        <v>20377357</v>
      </c>
      <c r="H88" s="16" t="s">
        <v>31</v>
      </c>
      <c r="I88" s="50">
        <v>3</v>
      </c>
      <c r="J88" s="51">
        <v>8</v>
      </c>
      <c r="K88" s="51">
        <v>24</v>
      </c>
    </row>
    <row r="89" spans="4:11">
      <c r="D89" s="49">
        <v>46156</v>
      </c>
      <c r="E89" s="16">
        <v>1603041</v>
      </c>
      <c r="F89" s="16" t="s">
        <v>21</v>
      </c>
      <c r="G89" s="50">
        <v>20406253</v>
      </c>
      <c r="H89" s="16" t="s">
        <v>39</v>
      </c>
      <c r="I89" s="50">
        <v>1</v>
      </c>
      <c r="J89" s="51">
        <v>13.5</v>
      </c>
      <c r="K89" s="51">
        <v>13.5</v>
      </c>
    </row>
    <row r="90" spans="4:11">
      <c r="D90" s="49">
        <v>46156</v>
      </c>
      <c r="E90" s="16">
        <v>1603041</v>
      </c>
      <c r="F90" s="16" t="s">
        <v>21</v>
      </c>
      <c r="G90" s="50">
        <v>20313588</v>
      </c>
      <c r="H90" s="16" t="s">
        <v>30</v>
      </c>
      <c r="I90" s="50">
        <v>1</v>
      </c>
      <c r="J90" s="51">
        <v>8</v>
      </c>
      <c r="K90" s="51">
        <v>8</v>
      </c>
    </row>
    <row r="91" spans="4:11">
      <c r="D91" s="49">
        <v>46156</v>
      </c>
      <c r="E91" s="16">
        <v>1603041</v>
      </c>
      <c r="F91" s="16" t="s">
        <v>21</v>
      </c>
      <c r="G91" s="50">
        <v>20377357</v>
      </c>
      <c r="H91" s="16" t="s">
        <v>31</v>
      </c>
      <c r="I91" s="50">
        <v>2</v>
      </c>
      <c r="J91" s="51">
        <v>8</v>
      </c>
      <c r="K91" s="51">
        <v>16</v>
      </c>
    </row>
  </sheetData>
  <autoFilter xmlns:etc="http://www.wps.cn/officeDocument/2017/etCustomData" ref="A7:K91" etc:filterBottomFollowUsedRange="0">
    <extLst/>
  </autoFilter>
  <mergeCells count="5">
    <mergeCell ref="D8:H8"/>
    <mergeCell ref="C7:C91"/>
    <mergeCell ref="B4:H5"/>
    <mergeCell ref="A7:B9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87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546</v>
      </c>
      <c r="J8" s="48"/>
      <c r="K8" s="48">
        <v>4767.5</v>
      </c>
    </row>
    <row r="9" spans="1:11">
      <c r="D9" s="49">
        <v>46127</v>
      </c>
      <c r="E9" s="16">
        <v>1594873</v>
      </c>
      <c r="F9" s="16" t="s">
        <v>21</v>
      </c>
      <c r="G9" s="50">
        <v>20376624</v>
      </c>
      <c r="H9" s="16" t="s">
        <v>28</v>
      </c>
      <c r="I9" s="50">
        <v>1</v>
      </c>
      <c r="J9" s="51">
        <v>8</v>
      </c>
      <c r="K9" s="51">
        <v>8</v>
      </c>
    </row>
    <row r="10" spans="1:11">
      <c r="D10" s="49">
        <v>46127</v>
      </c>
      <c r="E10" s="16">
        <v>1594873</v>
      </c>
      <c r="F10" s="16" t="s">
        <v>21</v>
      </c>
      <c r="G10" s="50">
        <v>20406253</v>
      </c>
      <c r="H10" s="16" t="s">
        <v>39</v>
      </c>
      <c r="I10" s="50">
        <v>1</v>
      </c>
      <c r="J10" s="51">
        <v>13.5</v>
      </c>
      <c r="K10" s="51">
        <v>13.5</v>
      </c>
    </row>
    <row r="11" spans="1:11">
      <c r="D11" s="49">
        <v>46127</v>
      </c>
      <c r="E11" s="16">
        <v>1594873</v>
      </c>
      <c r="F11" s="16" t="s">
        <v>21</v>
      </c>
      <c r="G11" s="50">
        <v>20313588</v>
      </c>
      <c r="H11" s="16" t="s">
        <v>30</v>
      </c>
      <c r="I11" s="50">
        <v>5</v>
      </c>
      <c r="J11" s="51">
        <v>8</v>
      </c>
      <c r="K11" s="51">
        <v>40</v>
      </c>
    </row>
    <row r="12" spans="1:11">
      <c r="D12" s="49">
        <v>46127</v>
      </c>
      <c r="E12" s="16">
        <v>1594873</v>
      </c>
      <c r="F12" s="16" t="s">
        <v>21</v>
      </c>
      <c r="G12" s="50">
        <v>20401202</v>
      </c>
      <c r="H12" s="16" t="s">
        <v>73</v>
      </c>
      <c r="I12" s="50">
        <v>1</v>
      </c>
      <c r="J12" s="51">
        <v>13.5</v>
      </c>
      <c r="K12" s="51">
        <v>13.5</v>
      </c>
    </row>
    <row r="13" spans="1:11">
      <c r="D13" s="49">
        <v>46127</v>
      </c>
      <c r="E13" s="16">
        <v>1594873</v>
      </c>
      <c r="F13" s="16" t="s">
        <v>21</v>
      </c>
      <c r="G13" s="50">
        <v>20377357</v>
      </c>
      <c r="H13" s="16" t="s">
        <v>31</v>
      </c>
      <c r="I13" s="50">
        <v>4</v>
      </c>
      <c r="J13" s="51">
        <v>8</v>
      </c>
      <c r="K13" s="51">
        <v>32</v>
      </c>
    </row>
    <row r="14" spans="1:11">
      <c r="D14" s="49">
        <v>46127</v>
      </c>
      <c r="E14" s="16">
        <v>1594973</v>
      </c>
      <c r="F14" s="16" t="s">
        <v>21</v>
      </c>
      <c r="G14" s="50">
        <v>20397296</v>
      </c>
      <c r="H14" s="16" t="s">
        <v>88</v>
      </c>
      <c r="I14" s="50">
        <v>2</v>
      </c>
      <c r="J14" s="51">
        <v>8</v>
      </c>
      <c r="K14" s="51">
        <v>16</v>
      </c>
    </row>
    <row r="15" spans="1:11">
      <c r="D15" s="49">
        <v>46127</v>
      </c>
      <c r="E15" s="16">
        <v>1594973</v>
      </c>
      <c r="F15" s="16" t="s">
        <v>21</v>
      </c>
      <c r="G15" s="50">
        <v>20376624</v>
      </c>
      <c r="H15" s="16" t="s">
        <v>28</v>
      </c>
      <c r="I15" s="50">
        <v>2</v>
      </c>
      <c r="J15" s="51">
        <v>8</v>
      </c>
      <c r="K15" s="51">
        <v>16</v>
      </c>
    </row>
    <row r="16" spans="1:11">
      <c r="D16" s="49">
        <v>46127</v>
      </c>
      <c r="E16" s="16">
        <v>1594973</v>
      </c>
      <c r="F16" s="16" t="s">
        <v>21</v>
      </c>
      <c r="G16" s="50">
        <v>20406253</v>
      </c>
      <c r="H16" s="16" t="s">
        <v>39</v>
      </c>
      <c r="I16" s="50">
        <v>2</v>
      </c>
      <c r="J16" s="51">
        <v>13.5</v>
      </c>
      <c r="K16" s="51">
        <v>27</v>
      </c>
    </row>
    <row r="17" spans="4:11">
      <c r="D17" s="49">
        <v>46127</v>
      </c>
      <c r="E17" s="16">
        <v>1594973</v>
      </c>
      <c r="F17" s="16" t="s">
        <v>21</v>
      </c>
      <c r="G17" s="50">
        <v>20313588</v>
      </c>
      <c r="H17" s="16" t="s">
        <v>30</v>
      </c>
      <c r="I17" s="50">
        <v>4</v>
      </c>
      <c r="J17" s="51">
        <v>8</v>
      </c>
      <c r="K17" s="51">
        <v>32</v>
      </c>
    </row>
    <row r="18" spans="4:11">
      <c r="D18" s="49">
        <v>46127</v>
      </c>
      <c r="E18" s="16">
        <v>1594973</v>
      </c>
      <c r="F18" s="16" t="s">
        <v>21</v>
      </c>
      <c r="G18" s="50">
        <v>20401202</v>
      </c>
      <c r="H18" s="16" t="s">
        <v>73</v>
      </c>
      <c r="I18" s="50">
        <v>1</v>
      </c>
      <c r="J18" s="51">
        <v>13.5</v>
      </c>
      <c r="K18" s="51">
        <v>13.5</v>
      </c>
    </row>
    <row r="19" spans="4:11">
      <c r="D19" s="49">
        <v>46127</v>
      </c>
      <c r="E19" s="16">
        <v>1594973</v>
      </c>
      <c r="F19" s="16" t="s">
        <v>21</v>
      </c>
      <c r="G19" s="50">
        <v>20376863</v>
      </c>
      <c r="H19" s="16" t="s">
        <v>72</v>
      </c>
      <c r="I19" s="50">
        <v>1</v>
      </c>
      <c r="J19" s="51">
        <v>13.5</v>
      </c>
      <c r="K19" s="51">
        <v>13.5</v>
      </c>
    </row>
    <row r="20" spans="4:11">
      <c r="D20" s="49">
        <v>46127</v>
      </c>
      <c r="E20" s="16">
        <v>1594973</v>
      </c>
      <c r="F20" s="16" t="s">
        <v>21</v>
      </c>
      <c r="G20" s="50">
        <v>20397285</v>
      </c>
      <c r="H20" s="16" t="s">
        <v>89</v>
      </c>
      <c r="I20" s="50">
        <v>2</v>
      </c>
      <c r="J20" s="51">
        <v>8</v>
      </c>
      <c r="K20" s="51">
        <v>16</v>
      </c>
    </row>
    <row r="21" spans="4:11">
      <c r="D21" s="49">
        <v>46127</v>
      </c>
      <c r="E21" s="16">
        <v>1594973</v>
      </c>
      <c r="F21" s="16" t="s">
        <v>21</v>
      </c>
      <c r="G21" s="50">
        <v>20377357</v>
      </c>
      <c r="H21" s="16" t="s">
        <v>31</v>
      </c>
      <c r="I21" s="50">
        <v>2</v>
      </c>
      <c r="J21" s="51">
        <v>8</v>
      </c>
      <c r="K21" s="51">
        <v>16</v>
      </c>
    </row>
    <row r="22" spans="4:11">
      <c r="D22" s="49">
        <v>46127</v>
      </c>
      <c r="E22" s="16">
        <v>1594973</v>
      </c>
      <c r="F22" s="16" t="s">
        <v>21</v>
      </c>
      <c r="G22" s="50">
        <v>20397297</v>
      </c>
      <c r="H22" s="16" t="s">
        <v>90</v>
      </c>
      <c r="I22" s="50">
        <v>37</v>
      </c>
      <c r="J22" s="51">
        <v>8</v>
      </c>
      <c r="K22" s="51">
        <v>296</v>
      </c>
    </row>
    <row r="23" spans="4:11">
      <c r="D23" s="49">
        <v>46127</v>
      </c>
      <c r="E23" s="16">
        <v>1595219</v>
      </c>
      <c r="F23" s="16" t="s">
        <v>21</v>
      </c>
      <c r="G23" s="50">
        <v>20397296</v>
      </c>
      <c r="H23" s="16" t="s">
        <v>88</v>
      </c>
      <c r="I23" s="50">
        <v>1</v>
      </c>
      <c r="J23" s="51">
        <v>8</v>
      </c>
      <c r="K23" s="51">
        <v>8</v>
      </c>
    </row>
    <row r="24" spans="4:11">
      <c r="D24" s="49">
        <v>46127</v>
      </c>
      <c r="E24" s="16">
        <v>1595219</v>
      </c>
      <c r="F24" s="16" t="s">
        <v>21</v>
      </c>
      <c r="G24" s="50">
        <v>20376624</v>
      </c>
      <c r="H24" s="16" t="s">
        <v>28</v>
      </c>
      <c r="I24" s="50">
        <v>1</v>
      </c>
      <c r="J24" s="51">
        <v>8</v>
      </c>
      <c r="K24" s="51">
        <v>8</v>
      </c>
    </row>
    <row r="25" spans="4:11">
      <c r="D25" s="49">
        <v>46127</v>
      </c>
      <c r="E25" s="16">
        <v>1595219</v>
      </c>
      <c r="F25" s="16" t="s">
        <v>21</v>
      </c>
      <c r="G25" s="50">
        <v>20398872</v>
      </c>
      <c r="H25" s="16" t="s">
        <v>44</v>
      </c>
      <c r="I25" s="50">
        <v>1</v>
      </c>
      <c r="J25" s="51">
        <v>8</v>
      </c>
      <c r="K25" s="51">
        <v>8</v>
      </c>
    </row>
    <row r="26" spans="4:11">
      <c r="D26" s="49">
        <v>46127</v>
      </c>
      <c r="E26" s="16">
        <v>1595219</v>
      </c>
      <c r="F26" s="16" t="s">
        <v>21</v>
      </c>
      <c r="G26" s="50">
        <v>20406253</v>
      </c>
      <c r="H26" s="16" t="s">
        <v>39</v>
      </c>
      <c r="I26" s="50">
        <v>1</v>
      </c>
      <c r="J26" s="51">
        <v>13.5</v>
      </c>
      <c r="K26" s="51">
        <v>13.5</v>
      </c>
    </row>
    <row r="27" spans="4:11">
      <c r="D27" s="49">
        <v>46127</v>
      </c>
      <c r="E27" s="16">
        <v>1595219</v>
      </c>
      <c r="F27" s="16" t="s">
        <v>21</v>
      </c>
      <c r="G27" s="50">
        <v>20313588</v>
      </c>
      <c r="H27" s="16" t="s">
        <v>30</v>
      </c>
      <c r="I27" s="50">
        <v>8</v>
      </c>
      <c r="J27" s="51">
        <v>8</v>
      </c>
      <c r="K27" s="51">
        <v>64</v>
      </c>
    </row>
    <row r="28" spans="4:11">
      <c r="D28" s="49">
        <v>46127</v>
      </c>
      <c r="E28" s="16">
        <v>1595219</v>
      </c>
      <c r="F28" s="16" t="s">
        <v>21</v>
      </c>
      <c r="G28" s="50">
        <v>20397285</v>
      </c>
      <c r="H28" s="16" t="s">
        <v>89</v>
      </c>
      <c r="I28" s="50">
        <v>3</v>
      </c>
      <c r="J28" s="51">
        <v>8</v>
      </c>
      <c r="K28" s="51">
        <v>24</v>
      </c>
    </row>
    <row r="29" spans="4:11">
      <c r="D29" s="49">
        <v>46127</v>
      </c>
      <c r="E29" s="16">
        <v>1595219</v>
      </c>
      <c r="F29" s="16" t="s">
        <v>21</v>
      </c>
      <c r="G29" s="50">
        <v>20377357</v>
      </c>
      <c r="H29" s="16" t="s">
        <v>31</v>
      </c>
      <c r="I29" s="50">
        <v>3</v>
      </c>
      <c r="J29" s="51">
        <v>8</v>
      </c>
      <c r="K29" s="51">
        <v>24</v>
      </c>
    </row>
    <row r="30" spans="4:11">
      <c r="D30" s="49">
        <v>46127</v>
      </c>
      <c r="E30" s="16">
        <v>1595219</v>
      </c>
      <c r="F30" s="16" t="s">
        <v>21</v>
      </c>
      <c r="G30" s="50">
        <v>20314990</v>
      </c>
      <c r="H30" s="16" t="s">
        <v>52</v>
      </c>
      <c r="I30" s="50">
        <v>1</v>
      </c>
      <c r="J30" s="51">
        <v>8</v>
      </c>
      <c r="K30" s="51">
        <v>8</v>
      </c>
    </row>
    <row r="31" spans="4:11">
      <c r="D31" s="49">
        <v>46127</v>
      </c>
      <c r="E31" s="16">
        <v>1595219</v>
      </c>
      <c r="F31" s="16" t="s">
        <v>21</v>
      </c>
      <c r="G31" s="50">
        <v>20397297</v>
      </c>
      <c r="H31" s="16" t="s">
        <v>90</v>
      </c>
      <c r="I31" s="50">
        <v>1</v>
      </c>
      <c r="J31" s="51">
        <v>8</v>
      </c>
      <c r="K31" s="51">
        <v>8</v>
      </c>
    </row>
    <row r="32" spans="4:11">
      <c r="D32" s="49">
        <v>46127</v>
      </c>
      <c r="E32" s="16">
        <v>1595219</v>
      </c>
      <c r="F32" s="16" t="s">
        <v>21</v>
      </c>
      <c r="G32" s="50">
        <v>20005930</v>
      </c>
      <c r="H32" s="16" t="s">
        <v>23</v>
      </c>
      <c r="I32" s="50">
        <v>1</v>
      </c>
      <c r="J32" s="51">
        <v>8</v>
      </c>
      <c r="K32" s="51">
        <v>8</v>
      </c>
    </row>
    <row r="33" spans="4:11">
      <c r="D33" s="49">
        <v>46128</v>
      </c>
      <c r="E33" s="16">
        <v>1595343</v>
      </c>
      <c r="F33" s="16" t="s">
        <v>21</v>
      </c>
      <c r="G33" s="50">
        <v>20313588</v>
      </c>
      <c r="H33" s="16" t="s">
        <v>30</v>
      </c>
      <c r="I33" s="50">
        <v>1</v>
      </c>
      <c r="J33" s="51">
        <v>8</v>
      </c>
      <c r="K33" s="51">
        <v>8</v>
      </c>
    </row>
    <row r="34" spans="4:11">
      <c r="D34" s="49">
        <v>46128</v>
      </c>
      <c r="E34" s="16">
        <v>1595343</v>
      </c>
      <c r="F34" s="16" t="s">
        <v>21</v>
      </c>
      <c r="G34" s="50">
        <v>20397285</v>
      </c>
      <c r="H34" s="16" t="s">
        <v>89</v>
      </c>
      <c r="I34" s="50">
        <v>1</v>
      </c>
      <c r="J34" s="51">
        <v>8</v>
      </c>
      <c r="K34" s="51">
        <v>8</v>
      </c>
    </row>
    <row r="35" spans="4:11">
      <c r="D35" s="49">
        <v>46128</v>
      </c>
      <c r="E35" s="16">
        <v>1595343</v>
      </c>
      <c r="F35" s="16" t="s">
        <v>21</v>
      </c>
      <c r="G35" s="50">
        <v>20377357</v>
      </c>
      <c r="H35" s="16" t="s">
        <v>31</v>
      </c>
      <c r="I35" s="50">
        <v>2</v>
      </c>
      <c r="J35" s="51">
        <v>8</v>
      </c>
      <c r="K35" s="51">
        <v>16</v>
      </c>
    </row>
    <row r="36" spans="4:11">
      <c r="D36" s="49">
        <v>46129</v>
      </c>
      <c r="E36" s="16">
        <v>1595648</v>
      </c>
      <c r="F36" s="16" t="s">
        <v>21</v>
      </c>
      <c r="G36" s="50">
        <v>20397296</v>
      </c>
      <c r="H36" s="16" t="s">
        <v>88</v>
      </c>
      <c r="I36" s="50">
        <v>1</v>
      </c>
      <c r="J36" s="51">
        <v>8</v>
      </c>
      <c r="K36" s="51">
        <v>8</v>
      </c>
    </row>
    <row r="37" spans="4:11">
      <c r="D37" s="49">
        <v>46129</v>
      </c>
      <c r="E37" s="16">
        <v>1595648</v>
      </c>
      <c r="F37" s="16" t="s">
        <v>21</v>
      </c>
      <c r="G37" s="50">
        <v>20376624</v>
      </c>
      <c r="H37" s="16" t="s">
        <v>28</v>
      </c>
      <c r="I37" s="50">
        <v>1</v>
      </c>
      <c r="J37" s="51">
        <v>8</v>
      </c>
      <c r="K37" s="51">
        <v>8</v>
      </c>
    </row>
    <row r="38" spans="4:11">
      <c r="D38" s="49">
        <v>46129</v>
      </c>
      <c r="E38" s="16">
        <v>1595648</v>
      </c>
      <c r="F38" s="16" t="s">
        <v>21</v>
      </c>
      <c r="G38" s="50">
        <v>20406253</v>
      </c>
      <c r="H38" s="16" t="s">
        <v>39</v>
      </c>
      <c r="I38" s="50">
        <v>1</v>
      </c>
      <c r="J38" s="51">
        <v>13.5</v>
      </c>
      <c r="K38" s="51">
        <v>13.5</v>
      </c>
    </row>
    <row r="39" spans="4:11">
      <c r="D39" s="49">
        <v>46129</v>
      </c>
      <c r="E39" s="16">
        <v>1595648</v>
      </c>
      <c r="F39" s="16" t="s">
        <v>21</v>
      </c>
      <c r="G39" s="50">
        <v>20313588</v>
      </c>
      <c r="H39" s="16" t="s">
        <v>30</v>
      </c>
      <c r="I39" s="50">
        <v>2</v>
      </c>
      <c r="J39" s="51">
        <v>8</v>
      </c>
      <c r="K39" s="51">
        <v>16</v>
      </c>
    </row>
    <row r="40" spans="4:11">
      <c r="D40" s="49">
        <v>46129</v>
      </c>
      <c r="E40" s="16">
        <v>1595648</v>
      </c>
      <c r="F40" s="16" t="s">
        <v>21</v>
      </c>
      <c r="G40" s="50">
        <v>20396160</v>
      </c>
      <c r="H40" s="16" t="s">
        <v>60</v>
      </c>
      <c r="I40" s="50">
        <v>1</v>
      </c>
      <c r="J40" s="51">
        <v>13.5</v>
      </c>
      <c r="K40" s="51">
        <v>13.5</v>
      </c>
    </row>
    <row r="41" spans="4:11">
      <c r="D41" s="49">
        <v>46129</v>
      </c>
      <c r="E41" s="16">
        <v>1595648</v>
      </c>
      <c r="F41" s="16" t="s">
        <v>21</v>
      </c>
      <c r="G41" s="50">
        <v>20397285</v>
      </c>
      <c r="H41" s="16" t="s">
        <v>89</v>
      </c>
      <c r="I41" s="50">
        <v>4</v>
      </c>
      <c r="J41" s="51">
        <v>8</v>
      </c>
      <c r="K41" s="51">
        <v>32</v>
      </c>
    </row>
    <row r="42" spans="4:11">
      <c r="D42" s="49">
        <v>46129</v>
      </c>
      <c r="E42" s="16">
        <v>1595648</v>
      </c>
      <c r="F42" s="16" t="s">
        <v>21</v>
      </c>
      <c r="G42" s="50">
        <v>20377357</v>
      </c>
      <c r="H42" s="16" t="s">
        <v>31</v>
      </c>
      <c r="I42" s="50">
        <v>5</v>
      </c>
      <c r="J42" s="51">
        <v>8</v>
      </c>
      <c r="K42" s="51">
        <v>40</v>
      </c>
    </row>
    <row r="43" spans="4:11">
      <c r="D43" s="49">
        <v>46129</v>
      </c>
      <c r="E43" s="16">
        <v>1595648</v>
      </c>
      <c r="F43" s="16" t="s">
        <v>21</v>
      </c>
      <c r="G43" s="50">
        <v>20397297</v>
      </c>
      <c r="H43" s="16" t="s">
        <v>90</v>
      </c>
      <c r="I43" s="50">
        <v>2</v>
      </c>
      <c r="J43" s="51">
        <v>8</v>
      </c>
      <c r="K43" s="51">
        <v>16</v>
      </c>
    </row>
    <row r="44" spans="4:11">
      <c r="D44" s="49">
        <v>46129</v>
      </c>
      <c r="E44" s="16">
        <v>1595784</v>
      </c>
      <c r="F44" s="16" t="s">
        <v>21</v>
      </c>
      <c r="G44" s="50">
        <v>20313588</v>
      </c>
      <c r="H44" s="16" t="s">
        <v>30</v>
      </c>
      <c r="I44" s="50">
        <v>2</v>
      </c>
      <c r="J44" s="51">
        <v>8</v>
      </c>
      <c r="K44" s="51">
        <v>16</v>
      </c>
    </row>
    <row r="45" spans="4:11">
      <c r="D45" s="49">
        <v>46129</v>
      </c>
      <c r="E45" s="16">
        <v>1595784</v>
      </c>
      <c r="F45" s="16" t="s">
        <v>21</v>
      </c>
      <c r="G45" s="50">
        <v>20377357</v>
      </c>
      <c r="H45" s="16" t="s">
        <v>31</v>
      </c>
      <c r="I45" s="50">
        <v>2</v>
      </c>
      <c r="J45" s="51">
        <v>8</v>
      </c>
      <c r="K45" s="51">
        <v>16</v>
      </c>
    </row>
    <row r="46" spans="4:11">
      <c r="D46" s="49">
        <v>46130</v>
      </c>
      <c r="E46" s="16">
        <v>1596018</v>
      </c>
      <c r="F46" s="16" t="s">
        <v>21</v>
      </c>
      <c r="G46" s="50">
        <v>20376624</v>
      </c>
      <c r="H46" s="16" t="s">
        <v>28</v>
      </c>
      <c r="I46" s="50">
        <v>2</v>
      </c>
      <c r="J46" s="51">
        <v>8</v>
      </c>
      <c r="K46" s="51">
        <v>16</v>
      </c>
    </row>
    <row r="47" spans="4:11">
      <c r="D47" s="49">
        <v>46130</v>
      </c>
      <c r="E47" s="16">
        <v>1596018</v>
      </c>
      <c r="F47" s="16" t="s">
        <v>21</v>
      </c>
      <c r="G47" s="50">
        <v>20406253</v>
      </c>
      <c r="H47" s="16" t="s">
        <v>39</v>
      </c>
      <c r="I47" s="50">
        <v>2</v>
      </c>
      <c r="J47" s="51">
        <v>13.5</v>
      </c>
      <c r="K47" s="51">
        <v>27</v>
      </c>
    </row>
    <row r="48" spans="4:11">
      <c r="D48" s="49">
        <v>46130</v>
      </c>
      <c r="E48" s="16">
        <v>1596018</v>
      </c>
      <c r="F48" s="16" t="s">
        <v>21</v>
      </c>
      <c r="G48" s="50">
        <v>20313588</v>
      </c>
      <c r="H48" s="16" t="s">
        <v>30</v>
      </c>
      <c r="I48" s="50">
        <v>14</v>
      </c>
      <c r="J48" s="51">
        <v>8</v>
      </c>
      <c r="K48" s="51">
        <v>112</v>
      </c>
    </row>
    <row r="49" spans="4:11">
      <c r="D49" s="49">
        <v>46130</v>
      </c>
      <c r="E49" s="16">
        <v>1596018</v>
      </c>
      <c r="F49" s="16" t="s">
        <v>21</v>
      </c>
      <c r="G49" s="50">
        <v>20401202</v>
      </c>
      <c r="H49" s="16" t="s">
        <v>73</v>
      </c>
      <c r="I49" s="50">
        <v>1</v>
      </c>
      <c r="J49" s="51">
        <v>13.5</v>
      </c>
      <c r="K49" s="51">
        <v>13.5</v>
      </c>
    </row>
    <row r="50" spans="4:11">
      <c r="D50" s="49">
        <v>46130</v>
      </c>
      <c r="E50" s="16">
        <v>1596018</v>
      </c>
      <c r="F50" s="16" t="s">
        <v>21</v>
      </c>
      <c r="G50" s="50">
        <v>20376863</v>
      </c>
      <c r="H50" s="16" t="s">
        <v>72</v>
      </c>
      <c r="I50" s="50">
        <v>1</v>
      </c>
      <c r="J50" s="51">
        <v>13.5</v>
      </c>
      <c r="K50" s="51">
        <v>13.5</v>
      </c>
    </row>
    <row r="51" spans="4:11">
      <c r="D51" s="49">
        <v>46130</v>
      </c>
      <c r="E51" s="16">
        <v>1596018</v>
      </c>
      <c r="F51" s="16" t="s">
        <v>21</v>
      </c>
      <c r="G51" s="50">
        <v>20397285</v>
      </c>
      <c r="H51" s="16" t="s">
        <v>89</v>
      </c>
      <c r="I51" s="50">
        <v>1</v>
      </c>
      <c r="J51" s="51">
        <v>8</v>
      </c>
      <c r="K51" s="51">
        <v>8</v>
      </c>
    </row>
    <row r="52" spans="4:11">
      <c r="D52" s="49">
        <v>46130</v>
      </c>
      <c r="E52" s="16">
        <v>1596018</v>
      </c>
      <c r="F52" s="16" t="s">
        <v>21</v>
      </c>
      <c r="G52" s="50">
        <v>20377357</v>
      </c>
      <c r="H52" s="16" t="s">
        <v>31</v>
      </c>
      <c r="I52" s="50">
        <v>3</v>
      </c>
      <c r="J52" s="51">
        <v>8</v>
      </c>
      <c r="K52" s="51">
        <v>24</v>
      </c>
    </row>
    <row r="53" spans="4:11">
      <c r="D53" s="49">
        <v>46130</v>
      </c>
      <c r="E53" s="16">
        <v>1596018</v>
      </c>
      <c r="F53" s="16" t="s">
        <v>21</v>
      </c>
      <c r="G53" s="50">
        <v>20397297</v>
      </c>
      <c r="H53" s="16" t="s">
        <v>90</v>
      </c>
      <c r="I53" s="50">
        <v>1</v>
      </c>
      <c r="J53" s="51">
        <v>8</v>
      </c>
      <c r="K53" s="51">
        <v>8</v>
      </c>
    </row>
    <row r="54" spans="4:11">
      <c r="D54" s="49">
        <v>46133</v>
      </c>
      <c r="E54" s="16">
        <v>1596599</v>
      </c>
      <c r="F54" s="16" t="s">
        <v>21</v>
      </c>
      <c r="G54" s="50">
        <v>20005208</v>
      </c>
      <c r="H54" s="16" t="s">
        <v>55</v>
      </c>
      <c r="I54" s="50">
        <v>1</v>
      </c>
      <c r="J54" s="51">
        <v>8</v>
      </c>
      <c r="K54" s="51">
        <v>8</v>
      </c>
    </row>
    <row r="55" spans="4:11">
      <c r="D55" s="49">
        <v>46133</v>
      </c>
      <c r="E55" s="16">
        <v>1596599</v>
      </c>
      <c r="F55" s="16" t="s">
        <v>21</v>
      </c>
      <c r="G55" s="50">
        <v>20313588</v>
      </c>
      <c r="H55" s="16" t="s">
        <v>30</v>
      </c>
      <c r="I55" s="50">
        <v>2</v>
      </c>
      <c r="J55" s="51">
        <v>8</v>
      </c>
      <c r="K55" s="51">
        <v>16</v>
      </c>
    </row>
    <row r="56" spans="4:11">
      <c r="D56" s="49">
        <v>46133</v>
      </c>
      <c r="E56" s="16">
        <v>1596599</v>
      </c>
      <c r="F56" s="16" t="s">
        <v>21</v>
      </c>
      <c r="G56" s="50">
        <v>20377357</v>
      </c>
      <c r="H56" s="16" t="s">
        <v>31</v>
      </c>
      <c r="I56" s="50">
        <v>2</v>
      </c>
      <c r="J56" s="51">
        <v>8</v>
      </c>
      <c r="K56" s="51">
        <v>16</v>
      </c>
    </row>
    <row r="57" spans="4:11">
      <c r="D57" s="49">
        <v>46133</v>
      </c>
      <c r="E57" s="16">
        <v>1596599</v>
      </c>
      <c r="F57" s="16" t="s">
        <v>21</v>
      </c>
      <c r="G57" s="50">
        <v>20397297</v>
      </c>
      <c r="H57" s="16" t="s">
        <v>90</v>
      </c>
      <c r="I57" s="50">
        <v>32</v>
      </c>
      <c r="J57" s="51">
        <v>8</v>
      </c>
      <c r="K57" s="51">
        <v>256</v>
      </c>
    </row>
    <row r="58" spans="4:11">
      <c r="D58" s="49">
        <v>46133</v>
      </c>
      <c r="E58" s="16">
        <v>1596625</v>
      </c>
      <c r="F58" s="16" t="s">
        <v>21</v>
      </c>
      <c r="G58" s="50">
        <v>20397297</v>
      </c>
      <c r="H58" s="16" t="s">
        <v>90</v>
      </c>
      <c r="I58" s="50">
        <v>1</v>
      </c>
      <c r="J58" s="51">
        <v>8</v>
      </c>
      <c r="K58" s="51">
        <v>8</v>
      </c>
    </row>
    <row r="59" spans="4:11">
      <c r="D59" s="49">
        <v>46133</v>
      </c>
      <c r="E59" s="16">
        <v>1596695</v>
      </c>
      <c r="F59" s="16" t="s">
        <v>21</v>
      </c>
      <c r="G59" s="50">
        <v>20406253</v>
      </c>
      <c r="H59" s="16" t="s">
        <v>39</v>
      </c>
      <c r="I59" s="50">
        <v>1</v>
      </c>
      <c r="J59" s="51">
        <v>13.5</v>
      </c>
      <c r="K59" s="51">
        <v>13.5</v>
      </c>
    </row>
    <row r="60" spans="4:11">
      <c r="D60" s="49">
        <v>46133</v>
      </c>
      <c r="E60" s="16">
        <v>1596695</v>
      </c>
      <c r="F60" s="16" t="s">
        <v>21</v>
      </c>
      <c r="G60" s="50">
        <v>20313588</v>
      </c>
      <c r="H60" s="16" t="s">
        <v>30</v>
      </c>
      <c r="I60" s="50">
        <v>2</v>
      </c>
      <c r="J60" s="51">
        <v>8</v>
      </c>
      <c r="K60" s="51">
        <v>16</v>
      </c>
    </row>
    <row r="61" spans="4:11">
      <c r="D61" s="49">
        <v>46133</v>
      </c>
      <c r="E61" s="16">
        <v>1596695</v>
      </c>
      <c r="F61" s="16" t="s">
        <v>21</v>
      </c>
      <c r="G61" s="50">
        <v>20377357</v>
      </c>
      <c r="H61" s="16" t="s">
        <v>31</v>
      </c>
      <c r="I61" s="50">
        <v>4</v>
      </c>
      <c r="J61" s="51">
        <v>8</v>
      </c>
      <c r="K61" s="51">
        <v>32</v>
      </c>
    </row>
    <row r="62" spans="4:11">
      <c r="D62" s="49">
        <v>46133</v>
      </c>
      <c r="E62" s="16">
        <v>1596695</v>
      </c>
      <c r="F62" s="16" t="s">
        <v>21</v>
      </c>
      <c r="G62" s="50">
        <v>20314990</v>
      </c>
      <c r="H62" s="16" t="s">
        <v>52</v>
      </c>
      <c r="I62" s="50">
        <v>1</v>
      </c>
      <c r="J62" s="51">
        <v>8</v>
      </c>
      <c r="K62" s="51">
        <v>8</v>
      </c>
    </row>
    <row r="63" spans="4:11">
      <c r="D63" s="49">
        <v>46133</v>
      </c>
      <c r="E63" s="16">
        <v>1596695</v>
      </c>
      <c r="F63" s="16" t="s">
        <v>21</v>
      </c>
      <c r="G63" s="50">
        <v>20005930</v>
      </c>
      <c r="H63" s="16" t="s">
        <v>23</v>
      </c>
      <c r="I63" s="50">
        <v>1</v>
      </c>
      <c r="J63" s="51">
        <v>8</v>
      </c>
      <c r="K63" s="51">
        <v>8</v>
      </c>
    </row>
    <row r="64" spans="4:11">
      <c r="D64" s="49">
        <v>46134</v>
      </c>
      <c r="E64" s="16">
        <v>1596963</v>
      </c>
      <c r="F64" s="16" t="s">
        <v>21</v>
      </c>
      <c r="G64" s="50">
        <v>20376624</v>
      </c>
      <c r="H64" s="16" t="s">
        <v>28</v>
      </c>
      <c r="I64" s="50">
        <v>2</v>
      </c>
      <c r="J64" s="51">
        <v>8</v>
      </c>
      <c r="K64" s="51">
        <v>16</v>
      </c>
    </row>
    <row r="65" spans="4:11">
      <c r="D65" s="49">
        <v>46134</v>
      </c>
      <c r="E65" s="16">
        <v>1596963</v>
      </c>
      <c r="F65" s="16" t="s">
        <v>21</v>
      </c>
      <c r="G65" s="50">
        <v>20406253</v>
      </c>
      <c r="H65" s="16" t="s">
        <v>39</v>
      </c>
      <c r="I65" s="50">
        <v>2</v>
      </c>
      <c r="J65" s="51">
        <v>13.5</v>
      </c>
      <c r="K65" s="51">
        <v>27</v>
      </c>
    </row>
    <row r="66" spans="4:11">
      <c r="D66" s="49">
        <v>46134</v>
      </c>
      <c r="E66" s="16">
        <v>1596963</v>
      </c>
      <c r="F66" s="16" t="s">
        <v>21</v>
      </c>
      <c r="G66" s="50">
        <v>20313588</v>
      </c>
      <c r="H66" s="16" t="s">
        <v>30</v>
      </c>
      <c r="I66" s="50">
        <v>7</v>
      </c>
      <c r="J66" s="51">
        <v>8</v>
      </c>
      <c r="K66" s="51">
        <v>56</v>
      </c>
    </row>
    <row r="67" spans="4:11">
      <c r="D67" s="49">
        <v>46134</v>
      </c>
      <c r="E67" s="16">
        <v>1596963</v>
      </c>
      <c r="F67" s="16" t="s">
        <v>21</v>
      </c>
      <c r="G67" s="50">
        <v>20376863</v>
      </c>
      <c r="H67" s="16" t="s">
        <v>72</v>
      </c>
      <c r="I67" s="50">
        <v>1</v>
      </c>
      <c r="J67" s="51">
        <v>13.5</v>
      </c>
      <c r="K67" s="51">
        <v>13.5</v>
      </c>
    </row>
    <row r="68" spans="4:11">
      <c r="D68" s="49">
        <v>46134</v>
      </c>
      <c r="E68" s="16">
        <v>1596963</v>
      </c>
      <c r="F68" s="16" t="s">
        <v>21</v>
      </c>
      <c r="G68" s="50">
        <v>20377357</v>
      </c>
      <c r="H68" s="16" t="s">
        <v>31</v>
      </c>
      <c r="I68" s="50">
        <v>3</v>
      </c>
      <c r="J68" s="51">
        <v>8</v>
      </c>
      <c r="K68" s="51">
        <v>24</v>
      </c>
    </row>
    <row r="69" spans="4:11">
      <c r="D69" s="49">
        <v>46134</v>
      </c>
      <c r="E69" s="16">
        <v>1597062</v>
      </c>
      <c r="F69" s="16" t="s">
        <v>21</v>
      </c>
      <c r="G69" s="50">
        <v>20406253</v>
      </c>
      <c r="H69" s="16" t="s">
        <v>39</v>
      </c>
      <c r="I69" s="50">
        <v>1</v>
      </c>
      <c r="J69" s="51">
        <v>13.5</v>
      </c>
      <c r="K69" s="51">
        <v>13.5</v>
      </c>
    </row>
    <row r="70" spans="4:11">
      <c r="D70" s="49">
        <v>46134</v>
      </c>
      <c r="E70" s="16">
        <v>1597062</v>
      </c>
      <c r="F70" s="16" t="s">
        <v>21</v>
      </c>
      <c r="G70" s="50">
        <v>20313588</v>
      </c>
      <c r="H70" s="16" t="s">
        <v>30</v>
      </c>
      <c r="I70" s="50">
        <v>2</v>
      </c>
      <c r="J70" s="51">
        <v>8</v>
      </c>
      <c r="K70" s="51">
        <v>16</v>
      </c>
    </row>
    <row r="71" spans="4:11">
      <c r="D71" s="49">
        <v>46134</v>
      </c>
      <c r="E71" s="16">
        <v>1597062</v>
      </c>
      <c r="F71" s="16" t="s">
        <v>21</v>
      </c>
      <c r="G71" s="50">
        <v>20396160</v>
      </c>
      <c r="H71" s="16" t="s">
        <v>60</v>
      </c>
      <c r="I71" s="50">
        <v>1</v>
      </c>
      <c r="J71" s="51">
        <v>13.5</v>
      </c>
      <c r="K71" s="51">
        <v>13.5</v>
      </c>
    </row>
    <row r="72" spans="4:11">
      <c r="D72" s="49">
        <v>46134</v>
      </c>
      <c r="E72" s="16">
        <v>1597062</v>
      </c>
      <c r="F72" s="16" t="s">
        <v>21</v>
      </c>
      <c r="G72" s="50">
        <v>20377357</v>
      </c>
      <c r="H72" s="16" t="s">
        <v>31</v>
      </c>
      <c r="I72" s="50">
        <v>1</v>
      </c>
      <c r="J72" s="51">
        <v>8</v>
      </c>
      <c r="K72" s="51">
        <v>8</v>
      </c>
    </row>
    <row r="73" spans="4:11">
      <c r="D73" s="49">
        <v>46135</v>
      </c>
      <c r="E73" s="16">
        <v>1597334</v>
      </c>
      <c r="F73" s="16" t="s">
        <v>21</v>
      </c>
      <c r="G73" s="50">
        <v>20376624</v>
      </c>
      <c r="H73" s="16" t="s">
        <v>28</v>
      </c>
      <c r="I73" s="50">
        <v>2</v>
      </c>
      <c r="J73" s="51">
        <v>8</v>
      </c>
      <c r="K73" s="51">
        <v>16</v>
      </c>
    </row>
    <row r="74" spans="4:11">
      <c r="D74" s="49">
        <v>46135</v>
      </c>
      <c r="E74" s="16">
        <v>1597334</v>
      </c>
      <c r="F74" s="16" t="s">
        <v>21</v>
      </c>
      <c r="G74" s="50">
        <v>20406253</v>
      </c>
      <c r="H74" s="16" t="s">
        <v>39</v>
      </c>
      <c r="I74" s="50">
        <v>1</v>
      </c>
      <c r="J74" s="51">
        <v>13.5</v>
      </c>
      <c r="K74" s="51">
        <v>13.5</v>
      </c>
    </row>
    <row r="75" spans="4:11">
      <c r="D75" s="49">
        <v>46135</v>
      </c>
      <c r="E75" s="16">
        <v>1597334</v>
      </c>
      <c r="F75" s="16" t="s">
        <v>21</v>
      </c>
      <c r="G75" s="50">
        <v>20313588</v>
      </c>
      <c r="H75" s="16" t="s">
        <v>30</v>
      </c>
      <c r="I75" s="50">
        <v>5</v>
      </c>
      <c r="J75" s="51">
        <v>8</v>
      </c>
      <c r="K75" s="51">
        <v>40</v>
      </c>
    </row>
    <row r="76" spans="4:11">
      <c r="D76" s="49">
        <v>46135</v>
      </c>
      <c r="E76" s="16">
        <v>1597334</v>
      </c>
      <c r="F76" s="16" t="s">
        <v>21</v>
      </c>
      <c r="G76" s="50">
        <v>20401202</v>
      </c>
      <c r="H76" s="16" t="s">
        <v>73</v>
      </c>
      <c r="I76" s="50">
        <v>1</v>
      </c>
      <c r="J76" s="51">
        <v>13.5</v>
      </c>
      <c r="K76" s="51">
        <v>13.5</v>
      </c>
    </row>
    <row r="77" spans="4:11">
      <c r="D77" s="49">
        <v>46135</v>
      </c>
      <c r="E77" s="16">
        <v>1597334</v>
      </c>
      <c r="F77" s="16" t="s">
        <v>21</v>
      </c>
      <c r="G77" s="50">
        <v>20377357</v>
      </c>
      <c r="H77" s="16" t="s">
        <v>31</v>
      </c>
      <c r="I77" s="50">
        <v>7</v>
      </c>
      <c r="J77" s="51">
        <v>8</v>
      </c>
      <c r="K77" s="51">
        <v>56</v>
      </c>
    </row>
    <row r="78" spans="4:11">
      <c r="D78" s="49">
        <v>46135</v>
      </c>
      <c r="E78" s="16">
        <v>1597441</v>
      </c>
      <c r="F78" s="16" t="s">
        <v>21</v>
      </c>
      <c r="G78" s="50">
        <v>20397296</v>
      </c>
      <c r="H78" s="16" t="s">
        <v>88</v>
      </c>
      <c r="I78" s="50">
        <v>1</v>
      </c>
      <c r="J78" s="51">
        <v>8</v>
      </c>
      <c r="K78" s="51">
        <v>8</v>
      </c>
    </row>
    <row r="79" spans="4:11">
      <c r="D79" s="49">
        <v>46135</v>
      </c>
      <c r="E79" s="16">
        <v>1597441</v>
      </c>
      <c r="F79" s="16" t="s">
        <v>21</v>
      </c>
      <c r="G79" s="50">
        <v>20406253</v>
      </c>
      <c r="H79" s="16" t="s">
        <v>39</v>
      </c>
      <c r="I79" s="50">
        <v>1</v>
      </c>
      <c r="J79" s="51">
        <v>13.5</v>
      </c>
      <c r="K79" s="51">
        <v>13.5</v>
      </c>
    </row>
    <row r="80" spans="4:11">
      <c r="D80" s="49">
        <v>46135</v>
      </c>
      <c r="E80" s="16">
        <v>1597441</v>
      </c>
      <c r="F80" s="16" t="s">
        <v>21</v>
      </c>
      <c r="G80" s="50">
        <v>20313588</v>
      </c>
      <c r="H80" s="16" t="s">
        <v>30</v>
      </c>
      <c r="I80" s="50">
        <v>4</v>
      </c>
      <c r="J80" s="51">
        <v>8</v>
      </c>
      <c r="K80" s="51">
        <v>32</v>
      </c>
    </row>
    <row r="81" spans="4:11">
      <c r="D81" s="49">
        <v>46135</v>
      </c>
      <c r="E81" s="16">
        <v>1597441</v>
      </c>
      <c r="F81" s="16" t="s">
        <v>21</v>
      </c>
      <c r="G81" s="50">
        <v>20397285</v>
      </c>
      <c r="H81" s="16" t="s">
        <v>89</v>
      </c>
      <c r="I81" s="50">
        <v>1</v>
      </c>
      <c r="J81" s="51">
        <v>8</v>
      </c>
      <c r="K81" s="51">
        <v>8</v>
      </c>
    </row>
    <row r="82" spans="4:11">
      <c r="D82" s="49">
        <v>46135</v>
      </c>
      <c r="E82" s="16">
        <v>1597441</v>
      </c>
      <c r="F82" s="16" t="s">
        <v>21</v>
      </c>
      <c r="G82" s="50">
        <v>20377357</v>
      </c>
      <c r="H82" s="16" t="s">
        <v>31</v>
      </c>
      <c r="I82" s="50">
        <v>3</v>
      </c>
      <c r="J82" s="51">
        <v>8</v>
      </c>
      <c r="K82" s="51">
        <v>24</v>
      </c>
    </row>
    <row r="83" spans="4:11">
      <c r="D83" s="49">
        <v>46136</v>
      </c>
      <c r="E83" s="16">
        <v>1597724</v>
      </c>
      <c r="F83" s="16" t="s">
        <v>21</v>
      </c>
      <c r="G83" s="50">
        <v>20005208</v>
      </c>
      <c r="H83" s="16" t="s">
        <v>55</v>
      </c>
      <c r="I83" s="50">
        <v>2</v>
      </c>
      <c r="J83" s="51">
        <v>8</v>
      </c>
      <c r="K83" s="51">
        <v>16</v>
      </c>
    </row>
    <row r="84" spans="4:11">
      <c r="D84" s="49">
        <v>46136</v>
      </c>
      <c r="E84" s="16">
        <v>1597724</v>
      </c>
      <c r="F84" s="16" t="s">
        <v>21</v>
      </c>
      <c r="G84" s="50">
        <v>20397296</v>
      </c>
      <c r="H84" s="16" t="s">
        <v>88</v>
      </c>
      <c r="I84" s="50">
        <v>3</v>
      </c>
      <c r="J84" s="51">
        <v>8</v>
      </c>
      <c r="K84" s="51">
        <v>24</v>
      </c>
    </row>
    <row r="85" spans="4:11">
      <c r="D85" s="49">
        <v>46136</v>
      </c>
      <c r="E85" s="16">
        <v>1597724</v>
      </c>
      <c r="F85" s="16" t="s">
        <v>21</v>
      </c>
      <c r="G85" s="50">
        <v>20376624</v>
      </c>
      <c r="H85" s="16" t="s">
        <v>28</v>
      </c>
      <c r="I85" s="50">
        <v>1</v>
      </c>
      <c r="J85" s="51">
        <v>8</v>
      </c>
      <c r="K85" s="51">
        <v>8</v>
      </c>
    </row>
    <row r="86" spans="4:11">
      <c r="D86" s="49">
        <v>46136</v>
      </c>
      <c r="E86" s="16">
        <v>1597724</v>
      </c>
      <c r="F86" s="16" t="s">
        <v>21</v>
      </c>
      <c r="G86" s="50">
        <v>20406253</v>
      </c>
      <c r="H86" s="16" t="s">
        <v>39</v>
      </c>
      <c r="I86" s="50">
        <v>1</v>
      </c>
      <c r="J86" s="51">
        <v>13.5</v>
      </c>
      <c r="K86" s="51">
        <v>13.5</v>
      </c>
    </row>
    <row r="87" spans="4:11">
      <c r="D87" s="49">
        <v>46136</v>
      </c>
      <c r="E87" s="16">
        <v>1597724</v>
      </c>
      <c r="F87" s="16" t="s">
        <v>21</v>
      </c>
      <c r="G87" s="50">
        <v>20313588</v>
      </c>
      <c r="H87" s="16" t="s">
        <v>30</v>
      </c>
      <c r="I87" s="50">
        <v>4</v>
      </c>
      <c r="J87" s="51">
        <v>8</v>
      </c>
      <c r="K87" s="51">
        <v>32</v>
      </c>
    </row>
    <row r="88" spans="4:11">
      <c r="D88" s="49">
        <v>46136</v>
      </c>
      <c r="E88" s="16">
        <v>1597724</v>
      </c>
      <c r="F88" s="16" t="s">
        <v>21</v>
      </c>
      <c r="G88" s="50">
        <v>20395986</v>
      </c>
      <c r="H88" s="16" t="s">
        <v>67</v>
      </c>
      <c r="I88" s="50">
        <v>1</v>
      </c>
      <c r="J88" s="51">
        <v>13.5</v>
      </c>
      <c r="K88" s="51">
        <v>13.5</v>
      </c>
    </row>
    <row r="89" spans="4:11">
      <c r="D89" s="49">
        <v>46136</v>
      </c>
      <c r="E89" s="16">
        <v>1597724</v>
      </c>
      <c r="F89" s="16" t="s">
        <v>21</v>
      </c>
      <c r="G89" s="50">
        <v>20397285</v>
      </c>
      <c r="H89" s="16" t="s">
        <v>89</v>
      </c>
      <c r="I89" s="50">
        <v>2</v>
      </c>
      <c r="J89" s="51">
        <v>8</v>
      </c>
      <c r="K89" s="51">
        <v>16</v>
      </c>
    </row>
    <row r="90" spans="4:11">
      <c r="D90" s="49">
        <v>46136</v>
      </c>
      <c r="E90" s="16">
        <v>1597724</v>
      </c>
      <c r="F90" s="16" t="s">
        <v>21</v>
      </c>
      <c r="G90" s="50">
        <v>20377357</v>
      </c>
      <c r="H90" s="16" t="s">
        <v>31</v>
      </c>
      <c r="I90" s="50">
        <v>1</v>
      </c>
      <c r="J90" s="51">
        <v>8</v>
      </c>
      <c r="K90" s="51">
        <v>8</v>
      </c>
    </row>
    <row r="91" spans="4:11">
      <c r="D91" s="49">
        <v>46136</v>
      </c>
      <c r="E91" s="16">
        <v>1597724</v>
      </c>
      <c r="F91" s="16" t="s">
        <v>21</v>
      </c>
      <c r="G91" s="50">
        <v>20397297</v>
      </c>
      <c r="H91" s="16" t="s">
        <v>90</v>
      </c>
      <c r="I91" s="50">
        <v>2</v>
      </c>
      <c r="J91" s="51">
        <v>8</v>
      </c>
      <c r="K91" s="51">
        <v>16</v>
      </c>
    </row>
    <row r="92" spans="4:11">
      <c r="D92" s="49">
        <v>46136</v>
      </c>
      <c r="E92" s="16">
        <v>1597841</v>
      </c>
      <c r="F92" s="16" t="s">
        <v>21</v>
      </c>
      <c r="G92" s="50">
        <v>20376624</v>
      </c>
      <c r="H92" s="16" t="s">
        <v>28</v>
      </c>
      <c r="I92" s="50">
        <v>1</v>
      </c>
      <c r="J92" s="51">
        <v>8</v>
      </c>
      <c r="K92" s="51">
        <v>8</v>
      </c>
    </row>
    <row r="93" spans="4:11">
      <c r="D93" s="49">
        <v>46136</v>
      </c>
      <c r="E93" s="16">
        <v>1597841</v>
      </c>
      <c r="F93" s="16" t="s">
        <v>21</v>
      </c>
      <c r="G93" s="50">
        <v>20406253</v>
      </c>
      <c r="H93" s="16" t="s">
        <v>39</v>
      </c>
      <c r="I93" s="50">
        <v>1</v>
      </c>
      <c r="J93" s="51">
        <v>13.5</v>
      </c>
      <c r="K93" s="51">
        <v>13.5</v>
      </c>
    </row>
    <row r="94" spans="4:11">
      <c r="D94" s="49">
        <v>46136</v>
      </c>
      <c r="E94" s="16">
        <v>1597841</v>
      </c>
      <c r="F94" s="16" t="s">
        <v>21</v>
      </c>
      <c r="G94" s="50">
        <v>20313588</v>
      </c>
      <c r="H94" s="16" t="s">
        <v>30</v>
      </c>
      <c r="I94" s="50">
        <v>2</v>
      </c>
      <c r="J94" s="51">
        <v>8</v>
      </c>
      <c r="K94" s="51">
        <v>16</v>
      </c>
    </row>
    <row r="95" spans="4:11">
      <c r="D95" s="49">
        <v>46136</v>
      </c>
      <c r="E95" s="16">
        <v>1597841</v>
      </c>
      <c r="F95" s="16" t="s">
        <v>21</v>
      </c>
      <c r="G95" s="50">
        <v>20377357</v>
      </c>
      <c r="H95" s="16" t="s">
        <v>31</v>
      </c>
      <c r="I95" s="50">
        <v>2</v>
      </c>
      <c r="J95" s="51">
        <v>8</v>
      </c>
      <c r="K95" s="51">
        <v>16</v>
      </c>
    </row>
    <row r="96" spans="4:11">
      <c r="D96" s="49">
        <v>46137</v>
      </c>
      <c r="E96" s="16">
        <v>1598092</v>
      </c>
      <c r="F96" s="16" t="s">
        <v>21</v>
      </c>
      <c r="G96" s="50">
        <v>20397296</v>
      </c>
      <c r="H96" s="16" t="s">
        <v>88</v>
      </c>
      <c r="I96" s="50">
        <v>1</v>
      </c>
      <c r="J96" s="51">
        <v>8</v>
      </c>
      <c r="K96" s="51">
        <v>8</v>
      </c>
    </row>
    <row r="97" spans="4:11">
      <c r="D97" s="49">
        <v>46137</v>
      </c>
      <c r="E97" s="16">
        <v>1598092</v>
      </c>
      <c r="F97" s="16" t="s">
        <v>21</v>
      </c>
      <c r="G97" s="50">
        <v>20406253</v>
      </c>
      <c r="H97" s="16" t="s">
        <v>39</v>
      </c>
      <c r="I97" s="50">
        <v>1</v>
      </c>
      <c r="J97" s="51">
        <v>13.5</v>
      </c>
      <c r="K97" s="51">
        <v>13.5</v>
      </c>
    </row>
    <row r="98" spans="4:11">
      <c r="D98" s="49">
        <v>46137</v>
      </c>
      <c r="E98" s="16">
        <v>1598092</v>
      </c>
      <c r="F98" s="16" t="s">
        <v>21</v>
      </c>
      <c r="G98" s="50">
        <v>20313588</v>
      </c>
      <c r="H98" s="16" t="s">
        <v>30</v>
      </c>
      <c r="I98" s="50">
        <v>8</v>
      </c>
      <c r="J98" s="51">
        <v>8</v>
      </c>
      <c r="K98" s="51">
        <v>64</v>
      </c>
    </row>
    <row r="99" spans="4:11">
      <c r="D99" s="49">
        <v>46137</v>
      </c>
      <c r="E99" s="16">
        <v>1598092</v>
      </c>
      <c r="F99" s="16" t="s">
        <v>21</v>
      </c>
      <c r="G99" s="50">
        <v>20397285</v>
      </c>
      <c r="H99" s="16" t="s">
        <v>89</v>
      </c>
      <c r="I99" s="50">
        <v>1</v>
      </c>
      <c r="J99" s="51">
        <v>8</v>
      </c>
      <c r="K99" s="51">
        <v>8</v>
      </c>
    </row>
    <row r="100" spans="4:11">
      <c r="D100" s="49">
        <v>46137</v>
      </c>
      <c r="E100" s="16">
        <v>1598092</v>
      </c>
      <c r="F100" s="16" t="s">
        <v>21</v>
      </c>
      <c r="G100" s="50">
        <v>20377357</v>
      </c>
      <c r="H100" s="16" t="s">
        <v>31</v>
      </c>
      <c r="I100" s="50">
        <v>8</v>
      </c>
      <c r="J100" s="51">
        <v>8</v>
      </c>
      <c r="K100" s="51">
        <v>64</v>
      </c>
    </row>
    <row r="101" spans="4:11">
      <c r="D101" s="49">
        <v>46137</v>
      </c>
      <c r="E101" s="16">
        <v>1598092</v>
      </c>
      <c r="F101" s="16" t="s">
        <v>21</v>
      </c>
      <c r="G101" s="50">
        <v>20397297</v>
      </c>
      <c r="H101" s="16" t="s">
        <v>90</v>
      </c>
      <c r="I101" s="50">
        <v>1</v>
      </c>
      <c r="J101" s="51">
        <v>8</v>
      </c>
      <c r="K101" s="51">
        <v>8</v>
      </c>
    </row>
    <row r="102" spans="4:11">
      <c r="D102" s="49">
        <v>46140</v>
      </c>
      <c r="E102" s="16">
        <v>1598754</v>
      </c>
      <c r="F102" s="16" t="s">
        <v>21</v>
      </c>
      <c r="G102" s="50">
        <v>20397296</v>
      </c>
      <c r="H102" s="16" t="s">
        <v>88</v>
      </c>
      <c r="I102" s="50">
        <v>1</v>
      </c>
      <c r="J102" s="51">
        <v>8</v>
      </c>
      <c r="K102" s="51">
        <v>8</v>
      </c>
    </row>
    <row r="103" spans="4:11">
      <c r="D103" s="49">
        <v>46140</v>
      </c>
      <c r="E103" s="16">
        <v>1598754</v>
      </c>
      <c r="F103" s="16" t="s">
        <v>21</v>
      </c>
      <c r="G103" s="50">
        <v>20376624</v>
      </c>
      <c r="H103" s="16" t="s">
        <v>28</v>
      </c>
      <c r="I103" s="50">
        <v>1</v>
      </c>
      <c r="J103" s="51">
        <v>8</v>
      </c>
      <c r="K103" s="51">
        <v>8</v>
      </c>
    </row>
    <row r="104" spans="4:11">
      <c r="D104" s="49">
        <v>46140</v>
      </c>
      <c r="E104" s="16">
        <v>1598754</v>
      </c>
      <c r="F104" s="16" t="s">
        <v>21</v>
      </c>
      <c r="G104" s="50">
        <v>20406253</v>
      </c>
      <c r="H104" s="16" t="s">
        <v>39</v>
      </c>
      <c r="I104" s="50">
        <v>1</v>
      </c>
      <c r="J104" s="51">
        <v>13.5</v>
      </c>
      <c r="K104" s="51">
        <v>13.5</v>
      </c>
    </row>
    <row r="105" spans="4:11">
      <c r="D105" s="49">
        <v>46140</v>
      </c>
      <c r="E105" s="16">
        <v>1598754</v>
      </c>
      <c r="F105" s="16" t="s">
        <v>21</v>
      </c>
      <c r="G105" s="50">
        <v>20313588</v>
      </c>
      <c r="H105" s="16" t="s">
        <v>30</v>
      </c>
      <c r="I105" s="50">
        <v>4</v>
      </c>
      <c r="J105" s="51">
        <v>8</v>
      </c>
      <c r="K105" s="51">
        <v>32</v>
      </c>
    </row>
    <row r="106" spans="4:11">
      <c r="D106" s="49">
        <v>46140</v>
      </c>
      <c r="E106" s="16">
        <v>1598754</v>
      </c>
      <c r="F106" s="16" t="s">
        <v>21</v>
      </c>
      <c r="G106" s="50">
        <v>20395986</v>
      </c>
      <c r="H106" s="16" t="s">
        <v>67</v>
      </c>
      <c r="I106" s="50">
        <v>1</v>
      </c>
      <c r="J106" s="51">
        <v>13.5</v>
      </c>
      <c r="K106" s="51">
        <v>13.5</v>
      </c>
    </row>
    <row r="107" spans="4:11">
      <c r="D107" s="49">
        <v>46140</v>
      </c>
      <c r="E107" s="16">
        <v>1598754</v>
      </c>
      <c r="F107" s="16" t="s">
        <v>21</v>
      </c>
      <c r="G107" s="50">
        <v>20397285</v>
      </c>
      <c r="H107" s="16" t="s">
        <v>89</v>
      </c>
      <c r="I107" s="50">
        <v>1</v>
      </c>
      <c r="J107" s="51">
        <v>8</v>
      </c>
      <c r="K107" s="51">
        <v>8</v>
      </c>
    </row>
    <row r="108" spans="4:11">
      <c r="D108" s="49">
        <v>46140</v>
      </c>
      <c r="E108" s="16">
        <v>1598754</v>
      </c>
      <c r="F108" s="16" t="s">
        <v>21</v>
      </c>
      <c r="G108" s="50">
        <v>20377357</v>
      </c>
      <c r="H108" s="16" t="s">
        <v>31</v>
      </c>
      <c r="I108" s="50">
        <v>5</v>
      </c>
      <c r="J108" s="51">
        <v>8</v>
      </c>
      <c r="K108" s="51">
        <v>40</v>
      </c>
    </row>
    <row r="109" spans="4:11">
      <c r="D109" s="49">
        <v>46140</v>
      </c>
      <c r="E109" s="16">
        <v>1598754</v>
      </c>
      <c r="F109" s="16" t="s">
        <v>21</v>
      </c>
      <c r="G109" s="50">
        <v>20397297</v>
      </c>
      <c r="H109" s="16" t="s">
        <v>90</v>
      </c>
      <c r="I109" s="50">
        <v>1</v>
      </c>
      <c r="J109" s="51">
        <v>8</v>
      </c>
      <c r="K109" s="51">
        <v>8</v>
      </c>
    </row>
    <row r="110" spans="4:11">
      <c r="D110" s="49">
        <v>46141</v>
      </c>
      <c r="E110" s="16">
        <v>1599062</v>
      </c>
      <c r="F110" s="16" t="s">
        <v>21</v>
      </c>
      <c r="G110" s="50">
        <v>20376624</v>
      </c>
      <c r="H110" s="16" t="s">
        <v>28</v>
      </c>
      <c r="I110" s="50">
        <v>1</v>
      </c>
      <c r="J110" s="51">
        <v>8</v>
      </c>
      <c r="K110" s="51">
        <v>8</v>
      </c>
    </row>
    <row r="111" spans="4:11">
      <c r="D111" s="49">
        <v>46141</v>
      </c>
      <c r="E111" s="16">
        <v>1599062</v>
      </c>
      <c r="F111" s="16" t="s">
        <v>21</v>
      </c>
      <c r="G111" s="50">
        <v>20406253</v>
      </c>
      <c r="H111" s="16" t="s">
        <v>39</v>
      </c>
      <c r="I111" s="50">
        <v>2</v>
      </c>
      <c r="J111" s="51">
        <v>13.5</v>
      </c>
      <c r="K111" s="51">
        <v>27</v>
      </c>
    </row>
    <row r="112" spans="4:11">
      <c r="D112" s="49">
        <v>46141</v>
      </c>
      <c r="E112" s="16">
        <v>1599062</v>
      </c>
      <c r="F112" s="16" t="s">
        <v>21</v>
      </c>
      <c r="G112" s="50">
        <v>20313588</v>
      </c>
      <c r="H112" s="16" t="s">
        <v>30</v>
      </c>
      <c r="I112" s="50">
        <v>7</v>
      </c>
      <c r="J112" s="51">
        <v>8</v>
      </c>
      <c r="K112" s="51">
        <v>56</v>
      </c>
    </row>
    <row r="113" spans="4:11">
      <c r="D113" s="49">
        <v>46141</v>
      </c>
      <c r="E113" s="16">
        <v>1599062</v>
      </c>
      <c r="F113" s="16" t="s">
        <v>21</v>
      </c>
      <c r="G113" s="50">
        <v>20377357</v>
      </c>
      <c r="H113" s="16" t="s">
        <v>31</v>
      </c>
      <c r="I113" s="50">
        <v>3</v>
      </c>
      <c r="J113" s="51">
        <v>8</v>
      </c>
      <c r="K113" s="51">
        <v>24</v>
      </c>
    </row>
    <row r="114" spans="4:11">
      <c r="D114" s="49">
        <v>46141</v>
      </c>
      <c r="E114" s="16">
        <v>1599159</v>
      </c>
      <c r="F114" s="16" t="s">
        <v>21</v>
      </c>
      <c r="G114" s="50">
        <v>20376624</v>
      </c>
      <c r="H114" s="16" t="s">
        <v>28</v>
      </c>
      <c r="I114" s="50">
        <v>2</v>
      </c>
      <c r="J114" s="51">
        <v>8</v>
      </c>
      <c r="K114" s="51">
        <v>16</v>
      </c>
    </row>
    <row r="115" spans="4:11">
      <c r="D115" s="49">
        <v>46141</v>
      </c>
      <c r="E115" s="16">
        <v>1599159</v>
      </c>
      <c r="F115" s="16" t="s">
        <v>21</v>
      </c>
      <c r="G115" s="50">
        <v>20406253</v>
      </c>
      <c r="H115" s="16" t="s">
        <v>39</v>
      </c>
      <c r="I115" s="50">
        <v>2</v>
      </c>
      <c r="J115" s="51">
        <v>13.5</v>
      </c>
      <c r="K115" s="51">
        <v>27</v>
      </c>
    </row>
    <row r="116" spans="4:11">
      <c r="D116" s="49">
        <v>46141</v>
      </c>
      <c r="E116" s="16">
        <v>1599159</v>
      </c>
      <c r="F116" s="16" t="s">
        <v>21</v>
      </c>
      <c r="G116" s="50">
        <v>20313588</v>
      </c>
      <c r="H116" s="16" t="s">
        <v>30</v>
      </c>
      <c r="I116" s="50">
        <v>6</v>
      </c>
      <c r="J116" s="51">
        <v>8</v>
      </c>
      <c r="K116" s="51">
        <v>48</v>
      </c>
    </row>
    <row r="117" spans="4:11">
      <c r="D117" s="49">
        <v>46141</v>
      </c>
      <c r="E117" s="16">
        <v>1599159</v>
      </c>
      <c r="F117" s="16" t="s">
        <v>21</v>
      </c>
      <c r="G117" s="50">
        <v>20395986</v>
      </c>
      <c r="H117" s="16" t="s">
        <v>67</v>
      </c>
      <c r="I117" s="50">
        <v>1</v>
      </c>
      <c r="J117" s="51">
        <v>13.5</v>
      </c>
      <c r="K117" s="51">
        <v>13.5</v>
      </c>
    </row>
    <row r="118" spans="4:11">
      <c r="D118" s="49">
        <v>46141</v>
      </c>
      <c r="E118" s="16">
        <v>1599159</v>
      </c>
      <c r="F118" s="16" t="s">
        <v>21</v>
      </c>
      <c r="G118" s="50">
        <v>20376863</v>
      </c>
      <c r="H118" s="16" t="s">
        <v>72</v>
      </c>
      <c r="I118" s="50">
        <v>1</v>
      </c>
      <c r="J118" s="51">
        <v>13.5</v>
      </c>
      <c r="K118" s="51">
        <v>13.5</v>
      </c>
    </row>
    <row r="119" spans="4:11">
      <c r="D119" s="49">
        <v>46141</v>
      </c>
      <c r="E119" s="16">
        <v>1599159</v>
      </c>
      <c r="F119" s="16" t="s">
        <v>21</v>
      </c>
      <c r="G119" s="50">
        <v>20377357</v>
      </c>
      <c r="H119" s="16" t="s">
        <v>31</v>
      </c>
      <c r="I119" s="50">
        <v>2</v>
      </c>
      <c r="J119" s="51">
        <v>8</v>
      </c>
      <c r="K119" s="51">
        <v>16</v>
      </c>
    </row>
    <row r="120" spans="4:11">
      <c r="D120" s="49">
        <v>46141</v>
      </c>
      <c r="E120" s="16">
        <v>1599159</v>
      </c>
      <c r="F120" s="16" t="s">
        <v>21</v>
      </c>
      <c r="G120" s="50">
        <v>20314990</v>
      </c>
      <c r="H120" s="16" t="s">
        <v>52</v>
      </c>
      <c r="I120" s="50">
        <v>2</v>
      </c>
      <c r="J120" s="51">
        <v>8</v>
      </c>
      <c r="K120" s="51">
        <v>16</v>
      </c>
    </row>
    <row r="121" spans="4:11">
      <c r="D121" s="49">
        <v>46142</v>
      </c>
      <c r="E121" s="16">
        <v>1599451</v>
      </c>
      <c r="F121" s="16" t="s">
        <v>21</v>
      </c>
      <c r="G121" s="50">
        <v>20005208</v>
      </c>
      <c r="H121" s="16" t="s">
        <v>55</v>
      </c>
      <c r="I121" s="50">
        <v>1</v>
      </c>
      <c r="J121" s="51">
        <v>8</v>
      </c>
      <c r="K121" s="51">
        <v>8</v>
      </c>
    </row>
    <row r="122" spans="4:11">
      <c r="D122" s="49">
        <v>46142</v>
      </c>
      <c r="E122" s="16">
        <v>1599451</v>
      </c>
      <c r="F122" s="16" t="s">
        <v>21</v>
      </c>
      <c r="G122" s="50">
        <v>20397296</v>
      </c>
      <c r="H122" s="16" t="s">
        <v>88</v>
      </c>
      <c r="I122" s="50">
        <v>2</v>
      </c>
      <c r="J122" s="51">
        <v>8</v>
      </c>
      <c r="K122" s="51">
        <v>16</v>
      </c>
    </row>
    <row r="123" spans="4:11">
      <c r="D123" s="49">
        <v>46142</v>
      </c>
      <c r="E123" s="16">
        <v>1599451</v>
      </c>
      <c r="F123" s="16" t="s">
        <v>21</v>
      </c>
      <c r="G123" s="50">
        <v>20376624</v>
      </c>
      <c r="H123" s="16" t="s">
        <v>28</v>
      </c>
      <c r="I123" s="50">
        <v>1</v>
      </c>
      <c r="J123" s="51">
        <v>8</v>
      </c>
      <c r="K123" s="51">
        <v>8</v>
      </c>
    </row>
    <row r="124" spans="4:11">
      <c r="D124" s="49">
        <v>46142</v>
      </c>
      <c r="E124" s="16">
        <v>1599451</v>
      </c>
      <c r="F124" s="16" t="s">
        <v>21</v>
      </c>
      <c r="G124" s="50">
        <v>20406253</v>
      </c>
      <c r="H124" s="16" t="s">
        <v>39</v>
      </c>
      <c r="I124" s="50">
        <v>1</v>
      </c>
      <c r="J124" s="51">
        <v>13.5</v>
      </c>
      <c r="K124" s="51">
        <v>13.5</v>
      </c>
    </row>
    <row r="125" spans="4:11">
      <c r="D125" s="49">
        <v>46142</v>
      </c>
      <c r="E125" s="16">
        <v>1599451</v>
      </c>
      <c r="F125" s="16" t="s">
        <v>21</v>
      </c>
      <c r="G125" s="50">
        <v>20313588</v>
      </c>
      <c r="H125" s="16" t="s">
        <v>30</v>
      </c>
      <c r="I125" s="50">
        <v>9</v>
      </c>
      <c r="J125" s="51">
        <v>8</v>
      </c>
      <c r="K125" s="51">
        <v>72</v>
      </c>
    </row>
    <row r="126" spans="4:11">
      <c r="D126" s="49">
        <v>46142</v>
      </c>
      <c r="E126" s="16">
        <v>1599451</v>
      </c>
      <c r="F126" s="16" t="s">
        <v>21</v>
      </c>
      <c r="G126" s="50">
        <v>20396160</v>
      </c>
      <c r="H126" s="16" t="s">
        <v>60</v>
      </c>
      <c r="I126" s="50">
        <v>1</v>
      </c>
      <c r="J126" s="51">
        <v>13.5</v>
      </c>
      <c r="K126" s="51">
        <v>13.5</v>
      </c>
    </row>
    <row r="127" spans="4:11">
      <c r="D127" s="49">
        <v>46142</v>
      </c>
      <c r="E127" s="16">
        <v>1599451</v>
      </c>
      <c r="F127" s="16" t="s">
        <v>21</v>
      </c>
      <c r="G127" s="50">
        <v>20397285</v>
      </c>
      <c r="H127" s="16" t="s">
        <v>89</v>
      </c>
      <c r="I127" s="50">
        <v>2</v>
      </c>
      <c r="J127" s="51">
        <v>8</v>
      </c>
      <c r="K127" s="51">
        <v>16</v>
      </c>
    </row>
    <row r="128" spans="4:11">
      <c r="D128" s="49">
        <v>46142</v>
      </c>
      <c r="E128" s="16">
        <v>1599451</v>
      </c>
      <c r="F128" s="16" t="s">
        <v>21</v>
      </c>
      <c r="G128" s="50">
        <v>20377357</v>
      </c>
      <c r="H128" s="16" t="s">
        <v>31</v>
      </c>
      <c r="I128" s="50">
        <v>4</v>
      </c>
      <c r="J128" s="51">
        <v>8</v>
      </c>
      <c r="K128" s="51">
        <v>32</v>
      </c>
    </row>
    <row r="129" spans="4:11">
      <c r="D129" s="49">
        <v>46142</v>
      </c>
      <c r="E129" s="16">
        <v>1599451</v>
      </c>
      <c r="F129" s="16" t="s">
        <v>21</v>
      </c>
      <c r="G129" s="50">
        <v>20397297</v>
      </c>
      <c r="H129" s="16" t="s">
        <v>90</v>
      </c>
      <c r="I129" s="50">
        <v>2</v>
      </c>
      <c r="J129" s="51">
        <v>8</v>
      </c>
      <c r="K129" s="51">
        <v>16</v>
      </c>
    </row>
    <row r="130" spans="4:11">
      <c r="D130" s="49">
        <v>46142</v>
      </c>
      <c r="E130" s="16">
        <v>1599618</v>
      </c>
      <c r="F130" s="16" t="s">
        <v>21</v>
      </c>
      <c r="G130" s="50">
        <v>20397296</v>
      </c>
      <c r="H130" s="16" t="s">
        <v>88</v>
      </c>
      <c r="I130" s="50">
        <v>2</v>
      </c>
      <c r="J130" s="51">
        <v>8</v>
      </c>
      <c r="K130" s="51">
        <v>16</v>
      </c>
    </row>
    <row r="131" spans="4:11">
      <c r="D131" s="49">
        <v>46142</v>
      </c>
      <c r="E131" s="16">
        <v>1599618</v>
      </c>
      <c r="F131" s="16" t="s">
        <v>21</v>
      </c>
      <c r="G131" s="50">
        <v>20397285</v>
      </c>
      <c r="H131" s="16" t="s">
        <v>89</v>
      </c>
      <c r="I131" s="50">
        <v>3</v>
      </c>
      <c r="J131" s="51">
        <v>8</v>
      </c>
      <c r="K131" s="51">
        <v>24</v>
      </c>
    </row>
    <row r="132" spans="4:11">
      <c r="D132" s="49">
        <v>46142</v>
      </c>
      <c r="E132" s="16">
        <v>1599618</v>
      </c>
      <c r="F132" s="16" t="s">
        <v>21</v>
      </c>
      <c r="G132" s="50">
        <v>20397297</v>
      </c>
      <c r="H132" s="16" t="s">
        <v>90</v>
      </c>
      <c r="I132" s="50">
        <v>1</v>
      </c>
      <c r="J132" s="51">
        <v>8</v>
      </c>
      <c r="K132" s="51">
        <v>8</v>
      </c>
    </row>
    <row r="133" spans="4:11">
      <c r="D133" s="49">
        <v>46142</v>
      </c>
      <c r="E133" s="16">
        <v>1599908</v>
      </c>
      <c r="F133" s="16" t="s">
        <v>21</v>
      </c>
      <c r="G133" s="50">
        <v>20376624</v>
      </c>
      <c r="H133" s="16" t="s">
        <v>28</v>
      </c>
      <c r="I133" s="50">
        <v>2</v>
      </c>
      <c r="J133" s="51">
        <v>8</v>
      </c>
      <c r="K133" s="51">
        <v>16</v>
      </c>
    </row>
    <row r="134" spans="4:11">
      <c r="D134" s="49">
        <v>46142</v>
      </c>
      <c r="E134" s="16">
        <v>1599908</v>
      </c>
      <c r="F134" s="16" t="s">
        <v>21</v>
      </c>
      <c r="G134" s="50">
        <v>20406253</v>
      </c>
      <c r="H134" s="16" t="s">
        <v>39</v>
      </c>
      <c r="I134" s="50">
        <v>2</v>
      </c>
      <c r="J134" s="51">
        <v>13.5</v>
      </c>
      <c r="K134" s="51">
        <v>27</v>
      </c>
    </row>
    <row r="135" spans="4:11">
      <c r="D135" s="49">
        <v>46142</v>
      </c>
      <c r="E135" s="16">
        <v>1599908</v>
      </c>
      <c r="F135" s="16" t="s">
        <v>21</v>
      </c>
      <c r="G135" s="50">
        <v>20313588</v>
      </c>
      <c r="H135" s="16" t="s">
        <v>30</v>
      </c>
      <c r="I135" s="50">
        <v>5</v>
      </c>
      <c r="J135" s="51">
        <v>8</v>
      </c>
      <c r="K135" s="51">
        <v>40</v>
      </c>
    </row>
    <row r="136" spans="4:11">
      <c r="D136" s="49">
        <v>46142</v>
      </c>
      <c r="E136" s="16">
        <v>1599908</v>
      </c>
      <c r="F136" s="16" t="s">
        <v>21</v>
      </c>
      <c r="G136" s="50">
        <v>20395986</v>
      </c>
      <c r="H136" s="16" t="s">
        <v>67</v>
      </c>
      <c r="I136" s="50">
        <v>1</v>
      </c>
      <c r="J136" s="51">
        <v>13.5</v>
      </c>
      <c r="K136" s="51">
        <v>13.5</v>
      </c>
    </row>
    <row r="137" spans="4:11">
      <c r="D137" s="49">
        <v>46142</v>
      </c>
      <c r="E137" s="16">
        <v>1599908</v>
      </c>
      <c r="F137" s="16" t="s">
        <v>21</v>
      </c>
      <c r="G137" s="50">
        <v>20376863</v>
      </c>
      <c r="H137" s="16" t="s">
        <v>72</v>
      </c>
      <c r="I137" s="50">
        <v>1</v>
      </c>
      <c r="J137" s="51">
        <v>13.5</v>
      </c>
      <c r="K137" s="51">
        <v>13.5</v>
      </c>
    </row>
    <row r="138" spans="4:11">
      <c r="D138" s="49">
        <v>46142</v>
      </c>
      <c r="E138" s="16">
        <v>1599908</v>
      </c>
      <c r="F138" s="16" t="s">
        <v>21</v>
      </c>
      <c r="G138" s="50">
        <v>20397285</v>
      </c>
      <c r="H138" s="16" t="s">
        <v>89</v>
      </c>
      <c r="I138" s="50">
        <v>1</v>
      </c>
      <c r="J138" s="51">
        <v>8</v>
      </c>
      <c r="K138" s="51">
        <v>8</v>
      </c>
    </row>
    <row r="139" spans="4:11">
      <c r="D139" s="49">
        <v>46142</v>
      </c>
      <c r="E139" s="16">
        <v>1599908</v>
      </c>
      <c r="F139" s="16" t="s">
        <v>21</v>
      </c>
      <c r="G139" s="50">
        <v>20377357</v>
      </c>
      <c r="H139" s="16" t="s">
        <v>31</v>
      </c>
      <c r="I139" s="50">
        <v>4</v>
      </c>
      <c r="J139" s="51">
        <v>8</v>
      </c>
      <c r="K139" s="51">
        <v>32</v>
      </c>
    </row>
    <row r="140" spans="4:11">
      <c r="D140" s="49">
        <v>46142</v>
      </c>
      <c r="E140" s="16">
        <v>1599908</v>
      </c>
      <c r="F140" s="16" t="s">
        <v>21</v>
      </c>
      <c r="G140" s="50">
        <v>20397297</v>
      </c>
      <c r="H140" s="16" t="s">
        <v>90</v>
      </c>
      <c r="I140" s="50">
        <v>1</v>
      </c>
      <c r="J140" s="51">
        <v>8</v>
      </c>
      <c r="K140" s="51">
        <v>8</v>
      </c>
    </row>
    <row r="141" spans="4:11">
      <c r="D141" s="49">
        <v>46149</v>
      </c>
      <c r="E141" s="16">
        <v>1600762</v>
      </c>
      <c r="F141" s="16" t="s">
        <v>21</v>
      </c>
      <c r="G141" s="50">
        <v>20397296</v>
      </c>
      <c r="H141" s="16" t="s">
        <v>88</v>
      </c>
      <c r="I141" s="50">
        <v>1</v>
      </c>
      <c r="J141" s="51">
        <v>8</v>
      </c>
      <c r="K141" s="51">
        <v>8</v>
      </c>
    </row>
    <row r="142" spans="4:11">
      <c r="D142" s="49">
        <v>46149</v>
      </c>
      <c r="E142" s="16">
        <v>1600762</v>
      </c>
      <c r="F142" s="16" t="s">
        <v>21</v>
      </c>
      <c r="G142" s="50">
        <v>20406253</v>
      </c>
      <c r="H142" s="16" t="s">
        <v>39</v>
      </c>
      <c r="I142" s="50">
        <v>1</v>
      </c>
      <c r="J142" s="51">
        <v>13.5</v>
      </c>
      <c r="K142" s="51">
        <v>13.5</v>
      </c>
    </row>
    <row r="143" spans="4:11">
      <c r="D143" s="49">
        <v>46149</v>
      </c>
      <c r="E143" s="16">
        <v>1600762</v>
      </c>
      <c r="F143" s="16" t="s">
        <v>21</v>
      </c>
      <c r="G143" s="50">
        <v>20313588</v>
      </c>
      <c r="H143" s="16" t="s">
        <v>30</v>
      </c>
      <c r="I143" s="50">
        <v>2</v>
      </c>
      <c r="J143" s="51">
        <v>8</v>
      </c>
      <c r="K143" s="51">
        <v>16</v>
      </c>
    </row>
    <row r="144" spans="4:11">
      <c r="D144" s="49">
        <v>46149</v>
      </c>
      <c r="E144" s="16">
        <v>1600762</v>
      </c>
      <c r="F144" s="16" t="s">
        <v>21</v>
      </c>
      <c r="G144" s="50">
        <v>20324084</v>
      </c>
      <c r="H144" s="16" t="s">
        <v>22</v>
      </c>
      <c r="I144" s="50">
        <v>1</v>
      </c>
      <c r="J144" s="51">
        <v>8</v>
      </c>
      <c r="K144" s="51">
        <v>8</v>
      </c>
    </row>
    <row r="145" spans="4:11">
      <c r="D145" s="49">
        <v>46149</v>
      </c>
      <c r="E145" s="16">
        <v>1600762</v>
      </c>
      <c r="F145" s="16" t="s">
        <v>21</v>
      </c>
      <c r="G145" s="50">
        <v>20397285</v>
      </c>
      <c r="H145" s="16" t="s">
        <v>89</v>
      </c>
      <c r="I145" s="50">
        <v>1</v>
      </c>
      <c r="J145" s="51">
        <v>8</v>
      </c>
      <c r="K145" s="51">
        <v>8</v>
      </c>
    </row>
    <row r="146" spans="4:11">
      <c r="D146" s="49">
        <v>46149</v>
      </c>
      <c r="E146" s="16">
        <v>1600762</v>
      </c>
      <c r="F146" s="16" t="s">
        <v>21</v>
      </c>
      <c r="G146" s="50">
        <v>20377357</v>
      </c>
      <c r="H146" s="16" t="s">
        <v>31</v>
      </c>
      <c r="I146" s="50">
        <v>2</v>
      </c>
      <c r="J146" s="51">
        <v>8</v>
      </c>
      <c r="K146" s="51">
        <v>16</v>
      </c>
    </row>
    <row r="147" spans="4:11">
      <c r="D147" s="49">
        <v>46150</v>
      </c>
      <c r="E147" s="16">
        <v>1601072</v>
      </c>
      <c r="F147" s="16" t="s">
        <v>21</v>
      </c>
      <c r="G147" s="50">
        <v>20005208</v>
      </c>
      <c r="H147" s="16" t="s">
        <v>55</v>
      </c>
      <c r="I147" s="50">
        <v>1</v>
      </c>
      <c r="J147" s="51">
        <v>8</v>
      </c>
      <c r="K147" s="51">
        <v>8</v>
      </c>
    </row>
    <row r="148" spans="4:11">
      <c r="D148" s="49">
        <v>46150</v>
      </c>
      <c r="E148" s="16">
        <v>1601072</v>
      </c>
      <c r="F148" s="16" t="s">
        <v>21</v>
      </c>
      <c r="G148" s="50">
        <v>20397296</v>
      </c>
      <c r="H148" s="16" t="s">
        <v>88</v>
      </c>
      <c r="I148" s="50">
        <v>2</v>
      </c>
      <c r="J148" s="51">
        <v>8</v>
      </c>
      <c r="K148" s="51">
        <v>16</v>
      </c>
    </row>
    <row r="149" spans="4:11">
      <c r="D149" s="49">
        <v>46150</v>
      </c>
      <c r="E149" s="16">
        <v>1601072</v>
      </c>
      <c r="F149" s="16" t="s">
        <v>21</v>
      </c>
      <c r="G149" s="50">
        <v>20376624</v>
      </c>
      <c r="H149" s="16" t="s">
        <v>28</v>
      </c>
      <c r="I149" s="50">
        <v>2</v>
      </c>
      <c r="J149" s="51">
        <v>8</v>
      </c>
      <c r="K149" s="51">
        <v>16</v>
      </c>
    </row>
    <row r="150" spans="4:11">
      <c r="D150" s="49">
        <v>46150</v>
      </c>
      <c r="E150" s="16">
        <v>1601072</v>
      </c>
      <c r="F150" s="16" t="s">
        <v>21</v>
      </c>
      <c r="G150" s="50">
        <v>20406253</v>
      </c>
      <c r="H150" s="16" t="s">
        <v>39</v>
      </c>
      <c r="I150" s="50">
        <v>1</v>
      </c>
      <c r="J150" s="51">
        <v>13.5</v>
      </c>
      <c r="K150" s="51">
        <v>13.5</v>
      </c>
    </row>
    <row r="151" spans="4:11">
      <c r="D151" s="49">
        <v>46150</v>
      </c>
      <c r="E151" s="16">
        <v>1601072</v>
      </c>
      <c r="F151" s="16" t="s">
        <v>21</v>
      </c>
      <c r="G151" s="50">
        <v>20313588</v>
      </c>
      <c r="H151" s="16" t="s">
        <v>30</v>
      </c>
      <c r="I151" s="50">
        <v>7</v>
      </c>
      <c r="J151" s="51">
        <v>8</v>
      </c>
      <c r="K151" s="51">
        <v>56</v>
      </c>
    </row>
    <row r="152" spans="4:11">
      <c r="D152" s="49">
        <v>46150</v>
      </c>
      <c r="E152" s="16">
        <v>1601072</v>
      </c>
      <c r="F152" s="16" t="s">
        <v>21</v>
      </c>
      <c r="G152" s="50">
        <v>20401202</v>
      </c>
      <c r="H152" s="16" t="s">
        <v>73</v>
      </c>
      <c r="I152" s="50">
        <v>1</v>
      </c>
      <c r="J152" s="51">
        <v>13.5</v>
      </c>
      <c r="K152" s="51">
        <v>13.5</v>
      </c>
    </row>
    <row r="153" spans="4:11">
      <c r="D153" s="49">
        <v>46150</v>
      </c>
      <c r="E153" s="16">
        <v>1601072</v>
      </c>
      <c r="F153" s="16" t="s">
        <v>21</v>
      </c>
      <c r="G153" s="50">
        <v>20376863</v>
      </c>
      <c r="H153" s="16" t="s">
        <v>72</v>
      </c>
      <c r="I153" s="50">
        <v>1</v>
      </c>
      <c r="J153" s="51">
        <v>13.5</v>
      </c>
      <c r="K153" s="51">
        <v>13.5</v>
      </c>
    </row>
    <row r="154" spans="4:11">
      <c r="D154" s="49">
        <v>46150</v>
      </c>
      <c r="E154" s="16">
        <v>1601072</v>
      </c>
      <c r="F154" s="16" t="s">
        <v>21</v>
      </c>
      <c r="G154" s="50">
        <v>20397285</v>
      </c>
      <c r="H154" s="16" t="s">
        <v>89</v>
      </c>
      <c r="I154" s="50">
        <v>2</v>
      </c>
      <c r="J154" s="51">
        <v>8</v>
      </c>
      <c r="K154" s="51">
        <v>16</v>
      </c>
    </row>
    <row r="155" spans="4:11">
      <c r="D155" s="49">
        <v>46150</v>
      </c>
      <c r="E155" s="16">
        <v>1601072</v>
      </c>
      <c r="F155" s="16" t="s">
        <v>21</v>
      </c>
      <c r="G155" s="50">
        <v>20377357</v>
      </c>
      <c r="H155" s="16" t="s">
        <v>31</v>
      </c>
      <c r="I155" s="50">
        <v>3</v>
      </c>
      <c r="J155" s="51">
        <v>8</v>
      </c>
      <c r="K155" s="51">
        <v>24</v>
      </c>
    </row>
    <row r="156" spans="4:11">
      <c r="D156" s="49">
        <v>46150</v>
      </c>
      <c r="E156" s="16">
        <v>1601190</v>
      </c>
      <c r="F156" s="16" t="s">
        <v>21</v>
      </c>
      <c r="G156" s="50">
        <v>20406253</v>
      </c>
      <c r="H156" s="16" t="s">
        <v>39</v>
      </c>
      <c r="I156" s="50">
        <v>1</v>
      </c>
      <c r="J156" s="51">
        <v>13.5</v>
      </c>
      <c r="K156" s="51">
        <v>13.5</v>
      </c>
    </row>
    <row r="157" spans="4:11">
      <c r="D157" s="49">
        <v>46150</v>
      </c>
      <c r="E157" s="16">
        <v>1601190</v>
      </c>
      <c r="F157" s="16" t="s">
        <v>21</v>
      </c>
      <c r="G157" s="50">
        <v>20313588</v>
      </c>
      <c r="H157" s="16" t="s">
        <v>30</v>
      </c>
      <c r="I157" s="50">
        <v>2</v>
      </c>
      <c r="J157" s="51">
        <v>8</v>
      </c>
      <c r="K157" s="51">
        <v>16</v>
      </c>
    </row>
    <row r="158" spans="4:11">
      <c r="D158" s="49">
        <v>46150</v>
      </c>
      <c r="E158" s="16">
        <v>1601190</v>
      </c>
      <c r="F158" s="16" t="s">
        <v>21</v>
      </c>
      <c r="G158" s="50">
        <v>20377357</v>
      </c>
      <c r="H158" s="16" t="s">
        <v>31</v>
      </c>
      <c r="I158" s="50">
        <v>5</v>
      </c>
      <c r="J158" s="51">
        <v>8</v>
      </c>
      <c r="K158" s="51">
        <v>40</v>
      </c>
    </row>
    <row r="159" spans="4:11">
      <c r="D159" s="49">
        <v>46150</v>
      </c>
      <c r="E159" s="16">
        <v>1601190</v>
      </c>
      <c r="F159" s="16" t="s">
        <v>21</v>
      </c>
      <c r="G159" s="50">
        <v>20397297</v>
      </c>
      <c r="H159" s="16" t="s">
        <v>90</v>
      </c>
      <c r="I159" s="50">
        <v>30</v>
      </c>
      <c r="J159" s="51">
        <v>8</v>
      </c>
      <c r="K159" s="51">
        <v>240</v>
      </c>
    </row>
    <row r="160" spans="4:11">
      <c r="D160" s="49">
        <v>46151</v>
      </c>
      <c r="E160" s="16">
        <v>1601502</v>
      </c>
      <c r="F160" s="16" t="s">
        <v>21</v>
      </c>
      <c r="G160" s="50">
        <v>20397296</v>
      </c>
      <c r="H160" s="16" t="s">
        <v>88</v>
      </c>
      <c r="I160" s="50">
        <v>1</v>
      </c>
      <c r="J160" s="51">
        <v>8</v>
      </c>
      <c r="K160" s="51">
        <v>8</v>
      </c>
    </row>
    <row r="161" spans="4:11">
      <c r="D161" s="49">
        <v>46151</v>
      </c>
      <c r="E161" s="16">
        <v>1601502</v>
      </c>
      <c r="F161" s="16" t="s">
        <v>21</v>
      </c>
      <c r="G161" s="50">
        <v>20376624</v>
      </c>
      <c r="H161" s="16" t="s">
        <v>28</v>
      </c>
      <c r="I161" s="50">
        <v>4</v>
      </c>
      <c r="J161" s="51">
        <v>8</v>
      </c>
      <c r="K161" s="51">
        <v>32</v>
      </c>
    </row>
    <row r="162" spans="4:11">
      <c r="D162" s="49">
        <v>46151</v>
      </c>
      <c r="E162" s="16">
        <v>1601502</v>
      </c>
      <c r="F162" s="16" t="s">
        <v>21</v>
      </c>
      <c r="G162" s="50">
        <v>20406253</v>
      </c>
      <c r="H162" s="16" t="s">
        <v>39</v>
      </c>
      <c r="I162" s="50">
        <v>3</v>
      </c>
      <c r="J162" s="51">
        <v>13.5</v>
      </c>
      <c r="K162" s="51">
        <v>40.5</v>
      </c>
    </row>
    <row r="163" spans="4:11">
      <c r="D163" s="49">
        <v>46151</v>
      </c>
      <c r="E163" s="16">
        <v>1601502</v>
      </c>
      <c r="F163" s="16" t="s">
        <v>21</v>
      </c>
      <c r="G163" s="50">
        <v>20313588</v>
      </c>
      <c r="H163" s="16" t="s">
        <v>30</v>
      </c>
      <c r="I163" s="50">
        <v>9</v>
      </c>
      <c r="J163" s="51">
        <v>8</v>
      </c>
      <c r="K163" s="51">
        <v>72</v>
      </c>
    </row>
    <row r="164" spans="4:11">
      <c r="D164" s="49">
        <v>46151</v>
      </c>
      <c r="E164" s="16">
        <v>1601502</v>
      </c>
      <c r="F164" s="16" t="s">
        <v>21</v>
      </c>
      <c r="G164" s="50">
        <v>20376863</v>
      </c>
      <c r="H164" s="16" t="s">
        <v>72</v>
      </c>
      <c r="I164" s="50">
        <v>2</v>
      </c>
      <c r="J164" s="51">
        <v>13.5</v>
      </c>
      <c r="K164" s="51">
        <v>27</v>
      </c>
    </row>
    <row r="165" spans="4:11">
      <c r="D165" s="49">
        <v>46151</v>
      </c>
      <c r="E165" s="16">
        <v>1601502</v>
      </c>
      <c r="F165" s="16" t="s">
        <v>21</v>
      </c>
      <c r="G165" s="50">
        <v>20397287</v>
      </c>
      <c r="H165" s="16" t="s">
        <v>65</v>
      </c>
      <c r="I165" s="50">
        <v>1</v>
      </c>
      <c r="J165" s="51">
        <v>13.5</v>
      </c>
      <c r="K165" s="51">
        <v>13.5</v>
      </c>
    </row>
    <row r="166" spans="4:11">
      <c r="D166" s="49">
        <v>46151</v>
      </c>
      <c r="E166" s="16">
        <v>1601502</v>
      </c>
      <c r="F166" s="16" t="s">
        <v>21</v>
      </c>
      <c r="G166" s="50">
        <v>20397285</v>
      </c>
      <c r="H166" s="16" t="s">
        <v>89</v>
      </c>
      <c r="I166" s="50">
        <v>1</v>
      </c>
      <c r="J166" s="51">
        <v>8</v>
      </c>
      <c r="K166" s="51">
        <v>8</v>
      </c>
    </row>
    <row r="167" spans="4:11">
      <c r="D167" s="49">
        <v>46151</v>
      </c>
      <c r="E167" s="16">
        <v>1601502</v>
      </c>
      <c r="F167" s="16" t="s">
        <v>21</v>
      </c>
      <c r="G167" s="50">
        <v>20377357</v>
      </c>
      <c r="H167" s="16" t="s">
        <v>31</v>
      </c>
      <c r="I167" s="50">
        <v>3</v>
      </c>
      <c r="J167" s="51">
        <v>8</v>
      </c>
      <c r="K167" s="51">
        <v>24</v>
      </c>
    </row>
    <row r="168" spans="4:11">
      <c r="D168" s="49">
        <v>46151</v>
      </c>
      <c r="E168" s="16">
        <v>1601617</v>
      </c>
      <c r="F168" s="16" t="s">
        <v>21</v>
      </c>
      <c r="G168" s="50">
        <v>20005208</v>
      </c>
      <c r="H168" s="16" t="s">
        <v>55</v>
      </c>
      <c r="I168" s="50">
        <v>1</v>
      </c>
      <c r="J168" s="51">
        <v>8</v>
      </c>
      <c r="K168" s="51">
        <v>8</v>
      </c>
    </row>
    <row r="169" spans="4:11">
      <c r="D169" s="49">
        <v>46151</v>
      </c>
      <c r="E169" s="16">
        <v>1601617</v>
      </c>
      <c r="F169" s="16" t="s">
        <v>21</v>
      </c>
      <c r="G169" s="50">
        <v>20406253</v>
      </c>
      <c r="H169" s="16" t="s">
        <v>39</v>
      </c>
      <c r="I169" s="50">
        <v>1</v>
      </c>
      <c r="J169" s="51">
        <v>13.5</v>
      </c>
      <c r="K169" s="51">
        <v>13.5</v>
      </c>
    </row>
    <row r="170" spans="4:11">
      <c r="D170" s="49">
        <v>46151</v>
      </c>
      <c r="E170" s="16">
        <v>1601617</v>
      </c>
      <c r="F170" s="16" t="s">
        <v>21</v>
      </c>
      <c r="G170" s="50">
        <v>20313588</v>
      </c>
      <c r="H170" s="16" t="s">
        <v>30</v>
      </c>
      <c r="I170" s="50">
        <v>6</v>
      </c>
      <c r="J170" s="51">
        <v>8</v>
      </c>
      <c r="K170" s="51">
        <v>48</v>
      </c>
    </row>
    <row r="171" spans="4:11">
      <c r="D171" s="49">
        <v>46151</v>
      </c>
      <c r="E171" s="16">
        <v>1601617</v>
      </c>
      <c r="F171" s="16" t="s">
        <v>21</v>
      </c>
      <c r="G171" s="50">
        <v>20401202</v>
      </c>
      <c r="H171" s="16" t="s">
        <v>73</v>
      </c>
      <c r="I171" s="50">
        <v>1</v>
      </c>
      <c r="J171" s="51">
        <v>13.5</v>
      </c>
      <c r="K171" s="51">
        <v>13.5</v>
      </c>
    </row>
    <row r="172" spans="4:11">
      <c r="D172" s="49">
        <v>46151</v>
      </c>
      <c r="E172" s="16">
        <v>1601617</v>
      </c>
      <c r="F172" s="16" t="s">
        <v>21</v>
      </c>
      <c r="G172" s="50">
        <v>20397285</v>
      </c>
      <c r="H172" s="16" t="s">
        <v>89</v>
      </c>
      <c r="I172" s="50">
        <v>1</v>
      </c>
      <c r="J172" s="51">
        <v>8</v>
      </c>
      <c r="K172" s="51">
        <v>8</v>
      </c>
    </row>
    <row r="173" spans="4:11">
      <c r="D173" s="49">
        <v>46151</v>
      </c>
      <c r="E173" s="16">
        <v>1601617</v>
      </c>
      <c r="F173" s="16" t="s">
        <v>21</v>
      </c>
      <c r="G173" s="50">
        <v>20377357</v>
      </c>
      <c r="H173" s="16" t="s">
        <v>31</v>
      </c>
      <c r="I173" s="50">
        <v>2</v>
      </c>
      <c r="J173" s="51">
        <v>8</v>
      </c>
      <c r="K173" s="51">
        <v>16</v>
      </c>
    </row>
    <row r="174" spans="4:11">
      <c r="D174" s="49">
        <v>46151</v>
      </c>
      <c r="E174" s="16">
        <v>1601800</v>
      </c>
      <c r="F174" s="16" t="s">
        <v>21</v>
      </c>
      <c r="G174" s="50">
        <v>20005208</v>
      </c>
      <c r="H174" s="16" t="s">
        <v>55</v>
      </c>
      <c r="I174" s="50">
        <v>1</v>
      </c>
      <c r="J174" s="51">
        <v>8</v>
      </c>
      <c r="K174" s="51">
        <v>8</v>
      </c>
    </row>
    <row r="175" spans="4:11">
      <c r="D175" s="49">
        <v>46151</v>
      </c>
      <c r="E175" s="16">
        <v>1601800</v>
      </c>
      <c r="F175" s="16" t="s">
        <v>21</v>
      </c>
      <c r="G175" s="50">
        <v>20406253</v>
      </c>
      <c r="H175" s="16" t="s">
        <v>39</v>
      </c>
      <c r="I175" s="50">
        <v>1</v>
      </c>
      <c r="J175" s="51">
        <v>13.5</v>
      </c>
      <c r="K175" s="51">
        <v>13.5</v>
      </c>
    </row>
    <row r="176" spans="4:11">
      <c r="D176" s="49">
        <v>46151</v>
      </c>
      <c r="E176" s="16">
        <v>1601800</v>
      </c>
      <c r="F176" s="16" t="s">
        <v>21</v>
      </c>
      <c r="G176" s="50">
        <v>20313588</v>
      </c>
      <c r="H176" s="16" t="s">
        <v>30</v>
      </c>
      <c r="I176" s="50">
        <v>5</v>
      </c>
      <c r="J176" s="51">
        <v>8</v>
      </c>
      <c r="K176" s="51">
        <v>40</v>
      </c>
    </row>
    <row r="177" spans="4:11">
      <c r="D177" s="49">
        <v>46151</v>
      </c>
      <c r="E177" s="16">
        <v>1601800</v>
      </c>
      <c r="F177" s="16" t="s">
        <v>21</v>
      </c>
      <c r="G177" s="50">
        <v>20377357</v>
      </c>
      <c r="H177" s="16" t="s">
        <v>31</v>
      </c>
      <c r="I177" s="50">
        <v>4</v>
      </c>
      <c r="J177" s="51">
        <v>8</v>
      </c>
      <c r="K177" s="51">
        <v>32</v>
      </c>
    </row>
    <row r="178" spans="4:11">
      <c r="D178" s="49">
        <v>46154</v>
      </c>
      <c r="E178" s="16">
        <v>1602307</v>
      </c>
      <c r="F178" s="16" t="s">
        <v>21</v>
      </c>
      <c r="G178" s="50">
        <v>20005208</v>
      </c>
      <c r="H178" s="16" t="s">
        <v>55</v>
      </c>
      <c r="I178" s="50">
        <v>1</v>
      </c>
      <c r="J178" s="51">
        <v>8</v>
      </c>
      <c r="K178" s="51">
        <v>8</v>
      </c>
    </row>
    <row r="179" spans="4:11">
      <c r="D179" s="49">
        <v>46154</v>
      </c>
      <c r="E179" s="16">
        <v>1602307</v>
      </c>
      <c r="F179" s="16" t="s">
        <v>21</v>
      </c>
      <c r="G179" s="50">
        <v>20376624</v>
      </c>
      <c r="H179" s="16" t="s">
        <v>28</v>
      </c>
      <c r="I179" s="50">
        <v>1</v>
      </c>
      <c r="J179" s="51">
        <v>8</v>
      </c>
      <c r="K179" s="51">
        <v>8</v>
      </c>
    </row>
    <row r="180" spans="4:11">
      <c r="D180" s="49">
        <v>46154</v>
      </c>
      <c r="E180" s="16">
        <v>1602307</v>
      </c>
      <c r="F180" s="16" t="s">
        <v>21</v>
      </c>
      <c r="G180" s="50">
        <v>20406253</v>
      </c>
      <c r="H180" s="16" t="s">
        <v>39</v>
      </c>
      <c r="I180" s="50">
        <v>2</v>
      </c>
      <c r="J180" s="51">
        <v>13.5</v>
      </c>
      <c r="K180" s="51">
        <v>27</v>
      </c>
    </row>
    <row r="181" spans="4:11">
      <c r="D181" s="49">
        <v>46154</v>
      </c>
      <c r="E181" s="16">
        <v>1602307</v>
      </c>
      <c r="F181" s="16" t="s">
        <v>21</v>
      </c>
      <c r="G181" s="50">
        <v>20313588</v>
      </c>
      <c r="H181" s="16" t="s">
        <v>30</v>
      </c>
      <c r="I181" s="50">
        <v>3</v>
      </c>
      <c r="J181" s="51">
        <v>8</v>
      </c>
      <c r="K181" s="51">
        <v>24</v>
      </c>
    </row>
    <row r="182" spans="4:11">
      <c r="D182" s="49">
        <v>46154</v>
      </c>
      <c r="E182" s="16">
        <v>1602307</v>
      </c>
      <c r="F182" s="16" t="s">
        <v>21</v>
      </c>
      <c r="G182" s="50">
        <v>20376863</v>
      </c>
      <c r="H182" s="16" t="s">
        <v>72</v>
      </c>
      <c r="I182" s="50">
        <v>1</v>
      </c>
      <c r="J182" s="51">
        <v>13.5</v>
      </c>
      <c r="K182" s="51">
        <v>13.5</v>
      </c>
    </row>
    <row r="183" spans="4:11">
      <c r="D183" s="49">
        <v>46154</v>
      </c>
      <c r="E183" s="16">
        <v>1602307</v>
      </c>
      <c r="F183" s="16" t="s">
        <v>21</v>
      </c>
      <c r="G183" s="50">
        <v>20376620</v>
      </c>
      <c r="H183" s="16" t="s">
        <v>58</v>
      </c>
      <c r="I183" s="50">
        <v>1</v>
      </c>
      <c r="J183" s="51">
        <v>8</v>
      </c>
      <c r="K183" s="51">
        <v>8</v>
      </c>
    </row>
    <row r="184" spans="4:11">
      <c r="D184" s="49">
        <v>46154</v>
      </c>
      <c r="E184" s="16">
        <v>1602307</v>
      </c>
      <c r="F184" s="16" t="s">
        <v>21</v>
      </c>
      <c r="G184" s="50">
        <v>20377357</v>
      </c>
      <c r="H184" s="16" t="s">
        <v>31</v>
      </c>
      <c r="I184" s="50">
        <v>5</v>
      </c>
      <c r="J184" s="51">
        <v>8</v>
      </c>
      <c r="K184" s="51">
        <v>40</v>
      </c>
    </row>
    <row r="185" spans="4:11">
      <c r="D185" s="49">
        <v>46154</v>
      </c>
      <c r="E185" s="16">
        <v>1602564</v>
      </c>
      <c r="F185" s="16" t="s">
        <v>21</v>
      </c>
      <c r="G185" s="50">
        <v>20376624</v>
      </c>
      <c r="H185" s="16" t="s">
        <v>28</v>
      </c>
      <c r="I185" s="50">
        <v>1</v>
      </c>
      <c r="J185" s="51">
        <v>8</v>
      </c>
      <c r="K185" s="51">
        <v>8</v>
      </c>
    </row>
    <row r="186" spans="4:11">
      <c r="D186" s="49">
        <v>46154</v>
      </c>
      <c r="E186" s="16">
        <v>1602564</v>
      </c>
      <c r="F186" s="16" t="s">
        <v>21</v>
      </c>
      <c r="G186" s="50">
        <v>20406253</v>
      </c>
      <c r="H186" s="16" t="s">
        <v>39</v>
      </c>
      <c r="I186" s="50">
        <v>3</v>
      </c>
      <c r="J186" s="51">
        <v>13.5</v>
      </c>
      <c r="K186" s="51">
        <v>40.5</v>
      </c>
    </row>
    <row r="187" spans="4:11">
      <c r="D187" s="49">
        <v>46154</v>
      </c>
      <c r="E187" s="16">
        <v>1602564</v>
      </c>
      <c r="F187" s="16" t="s">
        <v>21</v>
      </c>
      <c r="G187" s="50">
        <v>20313588</v>
      </c>
      <c r="H187" s="16" t="s">
        <v>30</v>
      </c>
      <c r="I187" s="50">
        <v>10</v>
      </c>
      <c r="J187" s="51">
        <v>8</v>
      </c>
      <c r="K187" s="51">
        <v>80</v>
      </c>
    </row>
    <row r="188" spans="4:11">
      <c r="D188" s="49">
        <v>46154</v>
      </c>
      <c r="E188" s="16">
        <v>1602564</v>
      </c>
      <c r="F188" s="16" t="s">
        <v>21</v>
      </c>
      <c r="G188" s="50">
        <v>20396160</v>
      </c>
      <c r="H188" s="16" t="s">
        <v>60</v>
      </c>
      <c r="I188" s="50">
        <v>1</v>
      </c>
      <c r="J188" s="51">
        <v>13.5</v>
      </c>
      <c r="K188" s="51">
        <v>13.5</v>
      </c>
    </row>
    <row r="189" spans="4:11">
      <c r="D189" s="49">
        <v>46154</v>
      </c>
      <c r="E189" s="16">
        <v>1602564</v>
      </c>
      <c r="F189" s="16" t="s">
        <v>21</v>
      </c>
      <c r="G189" s="50">
        <v>20397287</v>
      </c>
      <c r="H189" s="16" t="s">
        <v>65</v>
      </c>
      <c r="I189" s="50">
        <v>2</v>
      </c>
      <c r="J189" s="51">
        <v>13.5</v>
      </c>
      <c r="K189" s="51">
        <v>27</v>
      </c>
    </row>
    <row r="190" spans="4:11">
      <c r="D190" s="49">
        <v>46154</v>
      </c>
      <c r="E190" s="16">
        <v>1602564</v>
      </c>
      <c r="F190" s="16" t="s">
        <v>21</v>
      </c>
      <c r="G190" s="50">
        <v>20377357</v>
      </c>
      <c r="H190" s="16" t="s">
        <v>31</v>
      </c>
      <c r="I190" s="50">
        <v>4</v>
      </c>
      <c r="J190" s="51">
        <v>8</v>
      </c>
      <c r="K190" s="51">
        <v>32</v>
      </c>
    </row>
    <row r="191" spans="4:11">
      <c r="D191" s="49">
        <v>46154</v>
      </c>
      <c r="E191" s="16">
        <v>1602564</v>
      </c>
      <c r="F191" s="16" t="s">
        <v>13</v>
      </c>
      <c r="G191" s="50">
        <v>20005838</v>
      </c>
      <c r="H191" s="16" t="s">
        <v>91</v>
      </c>
      <c r="I191" s="50">
        <v>1</v>
      </c>
      <c r="J191" s="51">
        <v>16.5</v>
      </c>
      <c r="K191" s="51">
        <v>16.5</v>
      </c>
    </row>
    <row r="192" spans="4:11">
      <c r="D192" s="49">
        <v>46155</v>
      </c>
      <c r="E192" s="16">
        <v>1602683</v>
      </c>
      <c r="F192" s="16" t="s">
        <v>21</v>
      </c>
      <c r="G192" s="50">
        <v>20397296</v>
      </c>
      <c r="H192" s="16" t="s">
        <v>88</v>
      </c>
      <c r="I192" s="50">
        <v>1</v>
      </c>
      <c r="J192" s="51">
        <v>8</v>
      </c>
      <c r="K192" s="51">
        <v>8</v>
      </c>
    </row>
    <row r="193" spans="4:11">
      <c r="D193" s="49">
        <v>46155</v>
      </c>
      <c r="E193" s="16">
        <v>1602683</v>
      </c>
      <c r="F193" s="16" t="s">
        <v>21</v>
      </c>
      <c r="G193" s="50">
        <v>20376624</v>
      </c>
      <c r="H193" s="16" t="s">
        <v>28</v>
      </c>
      <c r="I193" s="50">
        <v>3</v>
      </c>
      <c r="J193" s="51">
        <v>8</v>
      </c>
      <c r="K193" s="51">
        <v>24</v>
      </c>
    </row>
    <row r="194" spans="4:11">
      <c r="D194" s="49">
        <v>46155</v>
      </c>
      <c r="E194" s="16">
        <v>1602683</v>
      </c>
      <c r="F194" s="16" t="s">
        <v>21</v>
      </c>
      <c r="G194" s="50">
        <v>20406253</v>
      </c>
      <c r="H194" s="16" t="s">
        <v>39</v>
      </c>
      <c r="I194" s="50">
        <v>2</v>
      </c>
      <c r="J194" s="51">
        <v>13.5</v>
      </c>
      <c r="K194" s="51">
        <v>27</v>
      </c>
    </row>
    <row r="195" spans="4:11">
      <c r="D195" s="49">
        <v>46155</v>
      </c>
      <c r="E195" s="16">
        <v>1602683</v>
      </c>
      <c r="F195" s="16" t="s">
        <v>21</v>
      </c>
      <c r="G195" s="50">
        <v>20313588</v>
      </c>
      <c r="H195" s="16" t="s">
        <v>30</v>
      </c>
      <c r="I195" s="50">
        <v>2</v>
      </c>
      <c r="J195" s="51">
        <v>8</v>
      </c>
      <c r="K195" s="51">
        <v>16</v>
      </c>
    </row>
    <row r="196" spans="4:11">
      <c r="D196" s="49">
        <v>46155</v>
      </c>
      <c r="E196" s="16">
        <v>1602683</v>
      </c>
      <c r="F196" s="16" t="s">
        <v>21</v>
      </c>
      <c r="G196" s="50">
        <v>20395986</v>
      </c>
      <c r="H196" s="16" t="s">
        <v>67</v>
      </c>
      <c r="I196" s="50">
        <v>1</v>
      </c>
      <c r="J196" s="51">
        <v>13.5</v>
      </c>
      <c r="K196" s="51">
        <v>13.5</v>
      </c>
    </row>
    <row r="197" spans="4:11">
      <c r="D197" s="49">
        <v>46155</v>
      </c>
      <c r="E197" s="16">
        <v>1602683</v>
      </c>
      <c r="F197" s="16" t="s">
        <v>21</v>
      </c>
      <c r="G197" s="50">
        <v>20409657</v>
      </c>
      <c r="H197" s="16" t="s">
        <v>46</v>
      </c>
      <c r="I197" s="50">
        <v>1</v>
      </c>
      <c r="J197" s="51">
        <v>16.5</v>
      </c>
      <c r="K197" s="51">
        <v>16.5</v>
      </c>
    </row>
    <row r="198" spans="4:11">
      <c r="D198" s="49">
        <v>46155</v>
      </c>
      <c r="E198" s="16">
        <v>1602683</v>
      </c>
      <c r="F198" s="16" t="s">
        <v>21</v>
      </c>
      <c r="G198" s="50">
        <v>20397285</v>
      </c>
      <c r="H198" s="16" t="s">
        <v>89</v>
      </c>
      <c r="I198" s="50">
        <v>1</v>
      </c>
      <c r="J198" s="51">
        <v>8</v>
      </c>
      <c r="K198" s="51">
        <v>8</v>
      </c>
    </row>
    <row r="199" spans="4:11">
      <c r="D199" s="49">
        <v>46155</v>
      </c>
      <c r="E199" s="16">
        <v>1602683</v>
      </c>
      <c r="F199" s="16" t="s">
        <v>21</v>
      </c>
      <c r="G199" s="50">
        <v>20396339</v>
      </c>
      <c r="H199" s="16" t="s">
        <v>43</v>
      </c>
      <c r="I199" s="50">
        <v>1</v>
      </c>
      <c r="J199" s="51">
        <v>11</v>
      </c>
      <c r="K199" s="51">
        <v>11</v>
      </c>
    </row>
    <row r="200" spans="4:11">
      <c r="D200" s="49">
        <v>46155</v>
      </c>
      <c r="E200" s="16">
        <v>1602683</v>
      </c>
      <c r="F200" s="16" t="s">
        <v>21</v>
      </c>
      <c r="G200" s="50">
        <v>20377357</v>
      </c>
      <c r="H200" s="16" t="s">
        <v>31</v>
      </c>
      <c r="I200" s="50">
        <v>2</v>
      </c>
      <c r="J200" s="51">
        <v>8</v>
      </c>
      <c r="K200" s="51">
        <v>16</v>
      </c>
    </row>
    <row r="201" spans="4:11">
      <c r="D201" s="49">
        <v>46156</v>
      </c>
      <c r="E201" s="16">
        <v>1602920</v>
      </c>
      <c r="F201" s="16" t="s">
        <v>21</v>
      </c>
      <c r="G201" s="50">
        <v>20005208</v>
      </c>
      <c r="H201" s="16" t="s">
        <v>55</v>
      </c>
      <c r="I201" s="50">
        <v>2</v>
      </c>
      <c r="J201" s="51">
        <v>8</v>
      </c>
      <c r="K201" s="51">
        <v>16</v>
      </c>
    </row>
    <row r="202" spans="4:11">
      <c r="D202" s="49">
        <v>46156</v>
      </c>
      <c r="E202" s="16">
        <v>1602920</v>
      </c>
      <c r="F202" s="16" t="s">
        <v>21</v>
      </c>
      <c r="G202" s="50">
        <v>20376624</v>
      </c>
      <c r="H202" s="16" t="s">
        <v>28</v>
      </c>
      <c r="I202" s="50">
        <v>1</v>
      </c>
      <c r="J202" s="51">
        <v>8</v>
      </c>
      <c r="K202" s="51">
        <v>8</v>
      </c>
    </row>
    <row r="203" spans="4:11">
      <c r="D203" s="49">
        <v>46156</v>
      </c>
      <c r="E203" s="16">
        <v>1602920</v>
      </c>
      <c r="F203" s="16" t="s">
        <v>21</v>
      </c>
      <c r="G203" s="50">
        <v>20406253</v>
      </c>
      <c r="H203" s="16" t="s">
        <v>39</v>
      </c>
      <c r="I203" s="50">
        <v>1</v>
      </c>
      <c r="J203" s="51">
        <v>13.5</v>
      </c>
      <c r="K203" s="51">
        <v>13.5</v>
      </c>
    </row>
    <row r="204" spans="4:11">
      <c r="D204" s="49">
        <v>46156</v>
      </c>
      <c r="E204" s="16">
        <v>1602920</v>
      </c>
      <c r="F204" s="16" t="s">
        <v>21</v>
      </c>
      <c r="G204" s="50">
        <v>20313588</v>
      </c>
      <c r="H204" s="16" t="s">
        <v>30</v>
      </c>
      <c r="I204" s="50">
        <v>4</v>
      </c>
      <c r="J204" s="51">
        <v>8</v>
      </c>
      <c r="K204" s="51">
        <v>32</v>
      </c>
    </row>
    <row r="205" spans="4:11">
      <c r="D205" s="49">
        <v>46156</v>
      </c>
      <c r="E205" s="16">
        <v>1602920</v>
      </c>
      <c r="F205" s="16" t="s">
        <v>21</v>
      </c>
      <c r="G205" s="50">
        <v>20376863</v>
      </c>
      <c r="H205" s="16" t="s">
        <v>72</v>
      </c>
      <c r="I205" s="50">
        <v>1</v>
      </c>
      <c r="J205" s="51">
        <v>13.5</v>
      </c>
      <c r="K205" s="51">
        <v>13.5</v>
      </c>
    </row>
    <row r="206" spans="4:11">
      <c r="D206" s="49">
        <v>46156</v>
      </c>
      <c r="E206" s="16">
        <v>1602920</v>
      </c>
      <c r="F206" s="16" t="s">
        <v>21</v>
      </c>
      <c r="G206" s="50">
        <v>20377357</v>
      </c>
      <c r="H206" s="16" t="s">
        <v>31</v>
      </c>
      <c r="I206" s="50">
        <v>3</v>
      </c>
      <c r="J206" s="51">
        <v>8</v>
      </c>
      <c r="K206" s="51">
        <v>24</v>
      </c>
    </row>
    <row r="207" spans="4:11">
      <c r="D207" s="49">
        <v>46156</v>
      </c>
      <c r="E207" s="16">
        <v>1603042</v>
      </c>
      <c r="F207" s="16" t="s">
        <v>21</v>
      </c>
      <c r="G207" s="50">
        <v>20397296</v>
      </c>
      <c r="H207" s="16" t="s">
        <v>88</v>
      </c>
      <c r="I207" s="50">
        <v>1</v>
      </c>
      <c r="J207" s="51">
        <v>8</v>
      </c>
      <c r="K207" s="51">
        <v>8</v>
      </c>
    </row>
    <row r="208" spans="4:11">
      <c r="D208" s="49">
        <v>46156</v>
      </c>
      <c r="E208" s="16">
        <v>1603042</v>
      </c>
      <c r="F208" s="16" t="s">
        <v>21</v>
      </c>
      <c r="G208" s="50">
        <v>20376624</v>
      </c>
      <c r="H208" s="16" t="s">
        <v>28</v>
      </c>
      <c r="I208" s="50">
        <v>1</v>
      </c>
      <c r="J208" s="51">
        <v>8</v>
      </c>
      <c r="K208" s="51">
        <v>8</v>
      </c>
    </row>
    <row r="209" spans="4:11">
      <c r="D209" s="49">
        <v>46156</v>
      </c>
      <c r="E209" s="16">
        <v>1603042</v>
      </c>
      <c r="F209" s="16" t="s">
        <v>21</v>
      </c>
      <c r="G209" s="50">
        <v>20406253</v>
      </c>
      <c r="H209" s="16" t="s">
        <v>39</v>
      </c>
      <c r="I209" s="50">
        <v>1</v>
      </c>
      <c r="J209" s="51">
        <v>13.5</v>
      </c>
      <c r="K209" s="51">
        <v>13.5</v>
      </c>
    </row>
    <row r="210" spans="4:11">
      <c r="D210" s="49">
        <v>46156</v>
      </c>
      <c r="E210" s="16">
        <v>1603042</v>
      </c>
      <c r="F210" s="16" t="s">
        <v>21</v>
      </c>
      <c r="G210" s="50">
        <v>20313588</v>
      </c>
      <c r="H210" s="16" t="s">
        <v>30</v>
      </c>
      <c r="I210" s="50">
        <v>3</v>
      </c>
      <c r="J210" s="51">
        <v>8</v>
      </c>
      <c r="K210" s="51">
        <v>24</v>
      </c>
    </row>
    <row r="211" spans="4:11">
      <c r="D211" s="49">
        <v>46156</v>
      </c>
      <c r="E211" s="16">
        <v>1603042</v>
      </c>
      <c r="F211" s="16" t="s">
        <v>21</v>
      </c>
      <c r="G211" s="50">
        <v>20397285</v>
      </c>
      <c r="H211" s="16" t="s">
        <v>89</v>
      </c>
      <c r="I211" s="50">
        <v>2</v>
      </c>
      <c r="J211" s="51">
        <v>8</v>
      </c>
      <c r="K211" s="51">
        <v>16</v>
      </c>
    </row>
    <row r="212" spans="4:11">
      <c r="D212" s="49">
        <v>46156</v>
      </c>
      <c r="E212" s="16">
        <v>1603042</v>
      </c>
      <c r="F212" s="16" t="s">
        <v>21</v>
      </c>
      <c r="G212" s="50">
        <v>20377357</v>
      </c>
      <c r="H212" s="16" t="s">
        <v>31</v>
      </c>
      <c r="I212" s="50">
        <v>1</v>
      </c>
      <c r="J212" s="51">
        <v>8</v>
      </c>
      <c r="K212" s="51">
        <v>8</v>
      </c>
    </row>
  </sheetData>
  <autoFilter xmlns:etc="http://www.wps.cn/officeDocument/2017/etCustomData" ref="A7:K212" etc:filterBottomFollowUsedRange="0">
    <extLst/>
  </autoFilter>
  <mergeCells count="5">
    <mergeCell ref="D8:H8"/>
    <mergeCell ref="C7:C212"/>
    <mergeCell ref="B4:H5"/>
    <mergeCell ref="A7:B2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5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92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141</v>
      </c>
      <c r="J8" s="48"/>
      <c r="K8" s="48">
        <v>1348.5</v>
      </c>
    </row>
    <row r="9" spans="1:11">
      <c r="D9" s="49">
        <v>46127</v>
      </c>
      <c r="E9" s="16">
        <v>1594974</v>
      </c>
      <c r="F9" s="16" t="s">
        <v>21</v>
      </c>
      <c r="G9" s="50">
        <v>20406253</v>
      </c>
      <c r="H9" s="16" t="s">
        <v>39</v>
      </c>
      <c r="I9" s="50">
        <v>1</v>
      </c>
      <c r="J9" s="51">
        <v>13.5</v>
      </c>
      <c r="K9" s="51">
        <v>13.5</v>
      </c>
    </row>
    <row r="10" spans="1:11">
      <c r="D10" s="49">
        <v>46127</v>
      </c>
      <c r="E10" s="16">
        <v>1594974</v>
      </c>
      <c r="F10" s="16" t="s">
        <v>21</v>
      </c>
      <c r="G10" s="50">
        <v>20377357</v>
      </c>
      <c r="H10" s="16" t="s">
        <v>31</v>
      </c>
      <c r="I10" s="50">
        <v>1</v>
      </c>
      <c r="J10" s="51">
        <v>8</v>
      </c>
      <c r="K10" s="51">
        <v>8</v>
      </c>
    </row>
    <row r="11" spans="1:11">
      <c r="D11" s="49">
        <v>46127</v>
      </c>
      <c r="E11" s="16">
        <v>1595220</v>
      </c>
      <c r="F11" s="16" t="s">
        <v>21</v>
      </c>
      <c r="G11" s="50">
        <v>20005208</v>
      </c>
      <c r="H11" s="16" t="s">
        <v>55</v>
      </c>
      <c r="I11" s="50">
        <v>2</v>
      </c>
      <c r="J11" s="51">
        <v>8</v>
      </c>
      <c r="K11" s="51">
        <v>16</v>
      </c>
    </row>
    <row r="12" spans="1:11">
      <c r="D12" s="49">
        <v>46127</v>
      </c>
      <c r="E12" s="16">
        <v>1595220</v>
      </c>
      <c r="F12" s="16" t="s">
        <v>21</v>
      </c>
      <c r="G12" s="50">
        <v>20376624</v>
      </c>
      <c r="H12" s="16" t="s">
        <v>28</v>
      </c>
      <c r="I12" s="50">
        <v>2</v>
      </c>
      <c r="J12" s="51">
        <v>8</v>
      </c>
      <c r="K12" s="51">
        <v>16</v>
      </c>
    </row>
    <row r="13" spans="1:11">
      <c r="D13" s="49">
        <v>46127</v>
      </c>
      <c r="E13" s="16">
        <v>1595220</v>
      </c>
      <c r="F13" s="16" t="s">
        <v>21</v>
      </c>
      <c r="G13" s="50">
        <v>20406253</v>
      </c>
      <c r="H13" s="16" t="s">
        <v>39</v>
      </c>
      <c r="I13" s="50">
        <v>3</v>
      </c>
      <c r="J13" s="51">
        <v>13.5</v>
      </c>
      <c r="K13" s="51">
        <v>40.5</v>
      </c>
    </row>
    <row r="14" spans="1:11">
      <c r="D14" s="49">
        <v>46127</v>
      </c>
      <c r="E14" s="16">
        <v>1595220</v>
      </c>
      <c r="F14" s="16" t="s">
        <v>21</v>
      </c>
      <c r="G14" s="50">
        <v>20394769</v>
      </c>
      <c r="H14" s="16" t="s">
        <v>61</v>
      </c>
      <c r="I14" s="50">
        <v>1</v>
      </c>
      <c r="J14" s="51">
        <v>8</v>
      </c>
      <c r="K14" s="51">
        <v>8</v>
      </c>
    </row>
    <row r="15" spans="1:11">
      <c r="D15" s="49">
        <v>46127</v>
      </c>
      <c r="E15" s="16">
        <v>1595220</v>
      </c>
      <c r="F15" s="16" t="s">
        <v>21</v>
      </c>
      <c r="G15" s="50">
        <v>20313588</v>
      </c>
      <c r="H15" s="16" t="s">
        <v>30</v>
      </c>
      <c r="I15" s="50">
        <v>7</v>
      </c>
      <c r="J15" s="51">
        <v>8</v>
      </c>
      <c r="K15" s="51">
        <v>56</v>
      </c>
    </row>
    <row r="16" spans="1:11">
      <c r="D16" s="49">
        <v>46127</v>
      </c>
      <c r="E16" s="16">
        <v>1595220</v>
      </c>
      <c r="F16" s="16" t="s">
        <v>21</v>
      </c>
      <c r="G16" s="50">
        <v>20376620</v>
      </c>
      <c r="H16" s="16" t="s">
        <v>58</v>
      </c>
      <c r="I16" s="50">
        <v>2</v>
      </c>
      <c r="J16" s="51">
        <v>8</v>
      </c>
      <c r="K16" s="51">
        <v>16</v>
      </c>
    </row>
    <row r="17" spans="4:11">
      <c r="D17" s="49">
        <v>46127</v>
      </c>
      <c r="E17" s="16">
        <v>1595220</v>
      </c>
      <c r="F17" s="16" t="s">
        <v>21</v>
      </c>
      <c r="G17" s="50">
        <v>20377357</v>
      </c>
      <c r="H17" s="16" t="s">
        <v>31</v>
      </c>
      <c r="I17" s="50">
        <v>3</v>
      </c>
      <c r="J17" s="51">
        <v>8</v>
      </c>
      <c r="K17" s="51">
        <v>24</v>
      </c>
    </row>
    <row r="18" spans="4:11">
      <c r="D18" s="49">
        <v>46128</v>
      </c>
      <c r="E18" s="16">
        <v>1595344</v>
      </c>
      <c r="F18" s="16" t="s">
        <v>21</v>
      </c>
      <c r="G18" s="50">
        <v>20406253</v>
      </c>
      <c r="H18" s="16" t="s">
        <v>39</v>
      </c>
      <c r="I18" s="50">
        <v>1</v>
      </c>
      <c r="J18" s="51">
        <v>13.5</v>
      </c>
      <c r="K18" s="51">
        <v>13.5</v>
      </c>
    </row>
    <row r="19" spans="4:11">
      <c r="D19" s="49">
        <v>46128</v>
      </c>
      <c r="E19" s="16">
        <v>1595344</v>
      </c>
      <c r="F19" s="16" t="s">
        <v>21</v>
      </c>
      <c r="G19" s="50">
        <v>20313588</v>
      </c>
      <c r="H19" s="16" t="s">
        <v>30</v>
      </c>
      <c r="I19" s="50">
        <v>1</v>
      </c>
      <c r="J19" s="51">
        <v>8</v>
      </c>
      <c r="K19" s="51">
        <v>8</v>
      </c>
    </row>
    <row r="20" spans="4:11">
      <c r="D20" s="49">
        <v>46128</v>
      </c>
      <c r="E20" s="16">
        <v>1595344</v>
      </c>
      <c r="F20" s="16" t="s">
        <v>21</v>
      </c>
      <c r="G20" s="50">
        <v>20397287</v>
      </c>
      <c r="H20" s="16" t="s">
        <v>65</v>
      </c>
      <c r="I20" s="50">
        <v>1</v>
      </c>
      <c r="J20" s="51">
        <v>13.5</v>
      </c>
      <c r="K20" s="51">
        <v>13.5</v>
      </c>
    </row>
    <row r="21" spans="4:11">
      <c r="D21" s="49">
        <v>46129</v>
      </c>
      <c r="E21" s="16">
        <v>1595649</v>
      </c>
      <c r="F21" s="16" t="s">
        <v>21</v>
      </c>
      <c r="G21" s="50">
        <v>20313588</v>
      </c>
      <c r="H21" s="16" t="s">
        <v>30</v>
      </c>
      <c r="I21" s="50">
        <v>2</v>
      </c>
      <c r="J21" s="51">
        <v>8</v>
      </c>
      <c r="K21" s="51">
        <v>16</v>
      </c>
    </row>
    <row r="22" spans="4:11">
      <c r="D22" s="49">
        <v>46129</v>
      </c>
      <c r="E22" s="16">
        <v>1595649</v>
      </c>
      <c r="F22" s="16" t="s">
        <v>21</v>
      </c>
      <c r="G22" s="50">
        <v>20377357</v>
      </c>
      <c r="H22" s="16" t="s">
        <v>31</v>
      </c>
      <c r="I22" s="50">
        <v>2</v>
      </c>
      <c r="J22" s="51">
        <v>8</v>
      </c>
      <c r="K22" s="51">
        <v>16</v>
      </c>
    </row>
    <row r="23" spans="4:11">
      <c r="D23" s="49">
        <v>46129</v>
      </c>
      <c r="E23" s="16">
        <v>1595785</v>
      </c>
      <c r="F23" s="16" t="s">
        <v>21</v>
      </c>
      <c r="G23" s="50">
        <v>20406253</v>
      </c>
      <c r="H23" s="16" t="s">
        <v>39</v>
      </c>
      <c r="I23" s="50">
        <v>1</v>
      </c>
      <c r="J23" s="51">
        <v>13.5</v>
      </c>
      <c r="K23" s="51">
        <v>13.5</v>
      </c>
    </row>
    <row r="24" spans="4:11">
      <c r="D24" s="49">
        <v>46129</v>
      </c>
      <c r="E24" s="16">
        <v>1595785</v>
      </c>
      <c r="F24" s="16" t="s">
        <v>21</v>
      </c>
      <c r="G24" s="50">
        <v>20313588</v>
      </c>
      <c r="H24" s="16" t="s">
        <v>30</v>
      </c>
      <c r="I24" s="50">
        <v>1</v>
      </c>
      <c r="J24" s="51">
        <v>8</v>
      </c>
      <c r="K24" s="51">
        <v>8</v>
      </c>
    </row>
    <row r="25" spans="4:11">
      <c r="D25" s="49">
        <v>46130</v>
      </c>
      <c r="E25" s="16">
        <v>1596019</v>
      </c>
      <c r="F25" s="16" t="s">
        <v>21</v>
      </c>
      <c r="G25" s="50">
        <v>20005208</v>
      </c>
      <c r="H25" s="16" t="s">
        <v>55</v>
      </c>
      <c r="I25" s="50">
        <v>1</v>
      </c>
      <c r="J25" s="51">
        <v>8</v>
      </c>
      <c r="K25" s="51">
        <v>8</v>
      </c>
    </row>
    <row r="26" spans="4:11">
      <c r="D26" s="49">
        <v>46130</v>
      </c>
      <c r="E26" s="16">
        <v>1596019</v>
      </c>
      <c r="F26" s="16" t="s">
        <v>21</v>
      </c>
      <c r="G26" s="50">
        <v>20376624</v>
      </c>
      <c r="H26" s="16" t="s">
        <v>28</v>
      </c>
      <c r="I26" s="50">
        <v>1</v>
      </c>
      <c r="J26" s="51">
        <v>8</v>
      </c>
      <c r="K26" s="51">
        <v>8</v>
      </c>
    </row>
    <row r="27" spans="4:11">
      <c r="D27" s="49">
        <v>46130</v>
      </c>
      <c r="E27" s="16">
        <v>1596019</v>
      </c>
      <c r="F27" s="16" t="s">
        <v>21</v>
      </c>
      <c r="G27" s="50">
        <v>20406253</v>
      </c>
      <c r="H27" s="16" t="s">
        <v>39</v>
      </c>
      <c r="I27" s="50">
        <v>1</v>
      </c>
      <c r="J27" s="51">
        <v>13.5</v>
      </c>
      <c r="K27" s="51">
        <v>13.5</v>
      </c>
    </row>
    <row r="28" spans="4:11">
      <c r="D28" s="49">
        <v>46130</v>
      </c>
      <c r="E28" s="16">
        <v>1596019</v>
      </c>
      <c r="F28" s="16" t="s">
        <v>21</v>
      </c>
      <c r="G28" s="50">
        <v>20376620</v>
      </c>
      <c r="H28" s="16" t="s">
        <v>58</v>
      </c>
      <c r="I28" s="50">
        <v>1</v>
      </c>
      <c r="J28" s="51">
        <v>8</v>
      </c>
      <c r="K28" s="51">
        <v>8</v>
      </c>
    </row>
    <row r="29" spans="4:11">
      <c r="D29" s="49">
        <v>46130</v>
      </c>
      <c r="E29" s="16">
        <v>1596019</v>
      </c>
      <c r="F29" s="16" t="s">
        <v>21</v>
      </c>
      <c r="G29" s="50">
        <v>20377357</v>
      </c>
      <c r="H29" s="16" t="s">
        <v>31</v>
      </c>
      <c r="I29" s="50">
        <v>1</v>
      </c>
      <c r="J29" s="51">
        <v>8</v>
      </c>
      <c r="K29" s="51">
        <v>8</v>
      </c>
    </row>
    <row r="30" spans="4:11">
      <c r="D30" s="49">
        <v>46134</v>
      </c>
      <c r="E30" s="16">
        <v>1596964</v>
      </c>
      <c r="F30" s="16" t="s">
        <v>21</v>
      </c>
      <c r="G30" s="50">
        <v>20376624</v>
      </c>
      <c r="H30" s="16" t="s">
        <v>28</v>
      </c>
      <c r="I30" s="50">
        <v>1</v>
      </c>
      <c r="J30" s="51">
        <v>8</v>
      </c>
      <c r="K30" s="51">
        <v>8</v>
      </c>
    </row>
    <row r="31" spans="4:11">
      <c r="D31" s="49">
        <v>46134</v>
      </c>
      <c r="E31" s="16">
        <v>1596964</v>
      </c>
      <c r="F31" s="16" t="s">
        <v>21</v>
      </c>
      <c r="G31" s="50">
        <v>20406253</v>
      </c>
      <c r="H31" s="16" t="s">
        <v>39</v>
      </c>
      <c r="I31" s="50">
        <v>3</v>
      </c>
      <c r="J31" s="51">
        <v>13.5</v>
      </c>
      <c r="K31" s="51">
        <v>40.5</v>
      </c>
    </row>
    <row r="32" spans="4:11">
      <c r="D32" s="49">
        <v>46134</v>
      </c>
      <c r="E32" s="16">
        <v>1596964</v>
      </c>
      <c r="F32" s="16" t="s">
        <v>21</v>
      </c>
      <c r="G32" s="50">
        <v>20313588</v>
      </c>
      <c r="H32" s="16" t="s">
        <v>30</v>
      </c>
      <c r="I32" s="50">
        <v>1</v>
      </c>
      <c r="J32" s="51">
        <v>8</v>
      </c>
      <c r="K32" s="51">
        <v>8</v>
      </c>
    </row>
    <row r="33" spans="4:11">
      <c r="D33" s="49">
        <v>46134</v>
      </c>
      <c r="E33" s="16">
        <v>1596964</v>
      </c>
      <c r="F33" s="16" t="s">
        <v>21</v>
      </c>
      <c r="G33" s="50">
        <v>20397287</v>
      </c>
      <c r="H33" s="16" t="s">
        <v>65</v>
      </c>
      <c r="I33" s="50">
        <v>1</v>
      </c>
      <c r="J33" s="51">
        <v>13.5</v>
      </c>
      <c r="K33" s="51">
        <v>13.5</v>
      </c>
    </row>
    <row r="34" spans="4:11">
      <c r="D34" s="49">
        <v>46134</v>
      </c>
      <c r="E34" s="16">
        <v>1596964</v>
      </c>
      <c r="F34" s="16" t="s">
        <v>21</v>
      </c>
      <c r="G34" s="50">
        <v>20377357</v>
      </c>
      <c r="H34" s="16" t="s">
        <v>31</v>
      </c>
      <c r="I34" s="50">
        <v>1</v>
      </c>
      <c r="J34" s="51">
        <v>8</v>
      </c>
      <c r="K34" s="51">
        <v>8</v>
      </c>
    </row>
    <row r="35" spans="4:11">
      <c r="D35" s="49">
        <v>46134</v>
      </c>
      <c r="E35" s="16">
        <v>1597063</v>
      </c>
      <c r="F35" s="16" t="s">
        <v>21</v>
      </c>
      <c r="G35" s="50">
        <v>20402557</v>
      </c>
      <c r="H35" s="16" t="s">
        <v>93</v>
      </c>
      <c r="I35" s="50">
        <v>1</v>
      </c>
      <c r="J35" s="51">
        <v>16.5</v>
      </c>
      <c r="K35" s="51">
        <v>16.5</v>
      </c>
    </row>
    <row r="36" spans="4:11">
      <c r="D36" s="49">
        <v>46135</v>
      </c>
      <c r="E36" s="16">
        <v>1597335</v>
      </c>
      <c r="F36" s="16" t="s">
        <v>21</v>
      </c>
      <c r="G36" s="50">
        <v>20376624</v>
      </c>
      <c r="H36" s="16" t="s">
        <v>28</v>
      </c>
      <c r="I36" s="50">
        <v>1</v>
      </c>
      <c r="J36" s="51">
        <v>8</v>
      </c>
      <c r="K36" s="51">
        <v>8</v>
      </c>
    </row>
    <row r="37" spans="4:11">
      <c r="D37" s="49">
        <v>46135</v>
      </c>
      <c r="E37" s="16">
        <v>1597335</v>
      </c>
      <c r="F37" s="16" t="s">
        <v>21</v>
      </c>
      <c r="G37" s="50">
        <v>20406253</v>
      </c>
      <c r="H37" s="16" t="s">
        <v>39</v>
      </c>
      <c r="I37" s="50">
        <v>3</v>
      </c>
      <c r="J37" s="51">
        <v>13.5</v>
      </c>
      <c r="K37" s="51">
        <v>40.5</v>
      </c>
    </row>
    <row r="38" spans="4:11">
      <c r="D38" s="49">
        <v>46135</v>
      </c>
      <c r="E38" s="16">
        <v>1597335</v>
      </c>
      <c r="F38" s="16" t="s">
        <v>21</v>
      </c>
      <c r="G38" s="50">
        <v>20313588</v>
      </c>
      <c r="H38" s="16" t="s">
        <v>30</v>
      </c>
      <c r="I38" s="50">
        <v>7</v>
      </c>
      <c r="J38" s="51">
        <v>8</v>
      </c>
      <c r="K38" s="51">
        <v>56</v>
      </c>
    </row>
    <row r="39" spans="4:11">
      <c r="D39" s="49">
        <v>46135</v>
      </c>
      <c r="E39" s="16">
        <v>1597335</v>
      </c>
      <c r="F39" s="16" t="s">
        <v>21</v>
      </c>
      <c r="G39" s="50">
        <v>20377357</v>
      </c>
      <c r="H39" s="16" t="s">
        <v>31</v>
      </c>
      <c r="I39" s="50">
        <v>2</v>
      </c>
      <c r="J39" s="51">
        <v>8</v>
      </c>
      <c r="K39" s="51">
        <v>16</v>
      </c>
    </row>
    <row r="40" spans="4:11">
      <c r="D40" s="49">
        <v>46136</v>
      </c>
      <c r="E40" s="16">
        <v>1597842</v>
      </c>
      <c r="F40" s="16" t="s">
        <v>21</v>
      </c>
      <c r="G40" s="50">
        <v>20406253</v>
      </c>
      <c r="H40" s="16" t="s">
        <v>39</v>
      </c>
      <c r="I40" s="50">
        <v>1</v>
      </c>
      <c r="J40" s="51">
        <v>13.5</v>
      </c>
      <c r="K40" s="51">
        <v>13.5</v>
      </c>
    </row>
    <row r="41" spans="4:11">
      <c r="D41" s="49">
        <v>46136</v>
      </c>
      <c r="E41" s="16">
        <v>1597842</v>
      </c>
      <c r="F41" s="16" t="s">
        <v>21</v>
      </c>
      <c r="G41" s="50">
        <v>20313588</v>
      </c>
      <c r="H41" s="16" t="s">
        <v>30</v>
      </c>
      <c r="I41" s="50">
        <v>3</v>
      </c>
      <c r="J41" s="51">
        <v>8</v>
      </c>
      <c r="K41" s="51">
        <v>24</v>
      </c>
    </row>
    <row r="42" spans="4:11">
      <c r="D42" s="49">
        <v>46136</v>
      </c>
      <c r="E42" s="16">
        <v>1597842</v>
      </c>
      <c r="F42" s="16" t="s">
        <v>21</v>
      </c>
      <c r="G42" s="50">
        <v>20377357</v>
      </c>
      <c r="H42" s="16" t="s">
        <v>31</v>
      </c>
      <c r="I42" s="50">
        <v>3</v>
      </c>
      <c r="J42" s="51">
        <v>8</v>
      </c>
      <c r="K42" s="51">
        <v>24</v>
      </c>
    </row>
    <row r="43" spans="4:11">
      <c r="D43" s="49">
        <v>46137</v>
      </c>
      <c r="E43" s="16">
        <v>1598093</v>
      </c>
      <c r="F43" s="16" t="s">
        <v>21</v>
      </c>
      <c r="G43" s="50">
        <v>20376624</v>
      </c>
      <c r="H43" s="16" t="s">
        <v>28</v>
      </c>
      <c r="I43" s="50">
        <v>1</v>
      </c>
      <c r="J43" s="51">
        <v>8</v>
      </c>
      <c r="K43" s="51">
        <v>8</v>
      </c>
    </row>
    <row r="44" spans="4:11">
      <c r="D44" s="49">
        <v>46137</v>
      </c>
      <c r="E44" s="16">
        <v>1598093</v>
      </c>
      <c r="F44" s="16" t="s">
        <v>21</v>
      </c>
      <c r="G44" s="50">
        <v>20406253</v>
      </c>
      <c r="H44" s="16" t="s">
        <v>39</v>
      </c>
      <c r="I44" s="50">
        <v>2</v>
      </c>
      <c r="J44" s="51">
        <v>13.5</v>
      </c>
      <c r="K44" s="51">
        <v>27</v>
      </c>
    </row>
    <row r="45" spans="4:11">
      <c r="D45" s="49">
        <v>46137</v>
      </c>
      <c r="E45" s="16">
        <v>1598093</v>
      </c>
      <c r="F45" s="16" t="s">
        <v>21</v>
      </c>
      <c r="G45" s="50">
        <v>20313588</v>
      </c>
      <c r="H45" s="16" t="s">
        <v>30</v>
      </c>
      <c r="I45" s="50">
        <v>2</v>
      </c>
      <c r="J45" s="51">
        <v>8</v>
      </c>
      <c r="K45" s="51">
        <v>16</v>
      </c>
    </row>
    <row r="46" spans="4:11">
      <c r="D46" s="49">
        <v>46137</v>
      </c>
      <c r="E46" s="16">
        <v>1598093</v>
      </c>
      <c r="F46" s="16" t="s">
        <v>21</v>
      </c>
      <c r="G46" s="50">
        <v>20377357</v>
      </c>
      <c r="H46" s="16" t="s">
        <v>31</v>
      </c>
      <c r="I46" s="50">
        <v>2</v>
      </c>
      <c r="J46" s="51">
        <v>8</v>
      </c>
      <c r="K46" s="51">
        <v>16</v>
      </c>
    </row>
    <row r="47" spans="4:11">
      <c r="D47" s="49">
        <v>46141</v>
      </c>
      <c r="E47" s="16">
        <v>1599063</v>
      </c>
      <c r="F47" s="16" t="s">
        <v>21</v>
      </c>
      <c r="G47" s="50">
        <v>20376624</v>
      </c>
      <c r="H47" s="16" t="s">
        <v>28</v>
      </c>
      <c r="I47" s="50">
        <v>1</v>
      </c>
      <c r="J47" s="51">
        <v>8</v>
      </c>
      <c r="K47" s="51">
        <v>8</v>
      </c>
    </row>
    <row r="48" spans="4:11">
      <c r="D48" s="49">
        <v>46141</v>
      </c>
      <c r="E48" s="16">
        <v>1599063</v>
      </c>
      <c r="F48" s="16" t="s">
        <v>21</v>
      </c>
      <c r="G48" s="50">
        <v>20406253</v>
      </c>
      <c r="H48" s="16" t="s">
        <v>39</v>
      </c>
      <c r="I48" s="50">
        <v>2</v>
      </c>
      <c r="J48" s="51">
        <v>13.5</v>
      </c>
      <c r="K48" s="51">
        <v>27</v>
      </c>
    </row>
    <row r="49" spans="4:11">
      <c r="D49" s="49">
        <v>46141</v>
      </c>
      <c r="E49" s="16">
        <v>1599063</v>
      </c>
      <c r="F49" s="16" t="s">
        <v>21</v>
      </c>
      <c r="G49" s="50">
        <v>20397287</v>
      </c>
      <c r="H49" s="16" t="s">
        <v>65</v>
      </c>
      <c r="I49" s="50">
        <v>1</v>
      </c>
      <c r="J49" s="51">
        <v>13.5</v>
      </c>
      <c r="K49" s="51">
        <v>13.5</v>
      </c>
    </row>
    <row r="50" spans="4:11">
      <c r="D50" s="49">
        <v>46141</v>
      </c>
      <c r="E50" s="16">
        <v>1599160</v>
      </c>
      <c r="F50" s="16" t="s">
        <v>21</v>
      </c>
      <c r="G50" s="50">
        <v>20406253</v>
      </c>
      <c r="H50" s="16" t="s">
        <v>39</v>
      </c>
      <c r="I50" s="50">
        <v>2</v>
      </c>
      <c r="J50" s="51">
        <v>13.5</v>
      </c>
      <c r="K50" s="51">
        <v>27</v>
      </c>
    </row>
    <row r="51" spans="4:11">
      <c r="D51" s="49">
        <v>46141</v>
      </c>
      <c r="E51" s="16">
        <v>1599160</v>
      </c>
      <c r="F51" s="16" t="s">
        <v>21</v>
      </c>
      <c r="G51" s="50">
        <v>20313588</v>
      </c>
      <c r="H51" s="16" t="s">
        <v>30</v>
      </c>
      <c r="I51" s="50">
        <v>2</v>
      </c>
      <c r="J51" s="51">
        <v>8</v>
      </c>
      <c r="K51" s="51">
        <v>16</v>
      </c>
    </row>
    <row r="52" spans="4:11">
      <c r="D52" s="49">
        <v>46141</v>
      </c>
      <c r="E52" s="16">
        <v>1599160</v>
      </c>
      <c r="F52" s="16" t="s">
        <v>21</v>
      </c>
      <c r="G52" s="50">
        <v>20377357</v>
      </c>
      <c r="H52" s="16" t="s">
        <v>31</v>
      </c>
      <c r="I52" s="50">
        <v>1</v>
      </c>
      <c r="J52" s="51">
        <v>8</v>
      </c>
      <c r="K52" s="51">
        <v>8</v>
      </c>
    </row>
    <row r="53" spans="4:11">
      <c r="D53" s="49">
        <v>46142</v>
      </c>
      <c r="E53" s="16">
        <v>1599452</v>
      </c>
      <c r="F53" s="16" t="s">
        <v>21</v>
      </c>
      <c r="G53" s="50">
        <v>20376624</v>
      </c>
      <c r="H53" s="16" t="s">
        <v>28</v>
      </c>
      <c r="I53" s="50">
        <v>1</v>
      </c>
      <c r="J53" s="51">
        <v>8</v>
      </c>
      <c r="K53" s="51">
        <v>8</v>
      </c>
    </row>
    <row r="54" spans="4:11">
      <c r="D54" s="49">
        <v>46142</v>
      </c>
      <c r="E54" s="16">
        <v>1599452</v>
      </c>
      <c r="F54" s="16" t="s">
        <v>21</v>
      </c>
      <c r="G54" s="50">
        <v>20406253</v>
      </c>
      <c r="H54" s="16" t="s">
        <v>39</v>
      </c>
      <c r="I54" s="50">
        <v>2</v>
      </c>
      <c r="J54" s="51">
        <v>13.5</v>
      </c>
      <c r="K54" s="51">
        <v>27</v>
      </c>
    </row>
    <row r="55" spans="4:11">
      <c r="D55" s="49">
        <v>46142</v>
      </c>
      <c r="E55" s="16">
        <v>1599452</v>
      </c>
      <c r="F55" s="16" t="s">
        <v>21</v>
      </c>
      <c r="G55" s="50">
        <v>20313588</v>
      </c>
      <c r="H55" s="16" t="s">
        <v>30</v>
      </c>
      <c r="I55" s="50">
        <v>2</v>
      </c>
      <c r="J55" s="51">
        <v>8</v>
      </c>
      <c r="K55" s="51">
        <v>16</v>
      </c>
    </row>
    <row r="56" spans="4:11">
      <c r="D56" s="49">
        <v>46142</v>
      </c>
      <c r="E56" s="16">
        <v>1599452</v>
      </c>
      <c r="F56" s="16" t="s">
        <v>21</v>
      </c>
      <c r="G56" s="50">
        <v>20377357</v>
      </c>
      <c r="H56" s="16" t="s">
        <v>31</v>
      </c>
      <c r="I56" s="50">
        <v>1</v>
      </c>
      <c r="J56" s="51">
        <v>8</v>
      </c>
      <c r="K56" s="51">
        <v>8</v>
      </c>
    </row>
    <row r="57" spans="4:11">
      <c r="D57" s="49">
        <v>46142</v>
      </c>
      <c r="E57" s="16">
        <v>1599619</v>
      </c>
      <c r="F57" s="16" t="s">
        <v>21</v>
      </c>
      <c r="G57" s="50">
        <v>20005208</v>
      </c>
      <c r="H57" s="16" t="s">
        <v>55</v>
      </c>
      <c r="I57" s="50">
        <v>1</v>
      </c>
      <c r="J57" s="51">
        <v>8</v>
      </c>
      <c r="K57" s="51">
        <v>8</v>
      </c>
    </row>
    <row r="58" spans="4:11">
      <c r="D58" s="49">
        <v>46142</v>
      </c>
      <c r="E58" s="16">
        <v>1599619</v>
      </c>
      <c r="F58" s="16" t="s">
        <v>21</v>
      </c>
      <c r="G58" s="50">
        <v>20406253</v>
      </c>
      <c r="H58" s="16" t="s">
        <v>39</v>
      </c>
      <c r="I58" s="50">
        <v>1</v>
      </c>
      <c r="J58" s="51">
        <v>13.5</v>
      </c>
      <c r="K58" s="51">
        <v>13.5</v>
      </c>
    </row>
    <row r="59" spans="4:11">
      <c r="D59" s="49">
        <v>46142</v>
      </c>
      <c r="E59" s="16">
        <v>1599619</v>
      </c>
      <c r="F59" s="16" t="s">
        <v>21</v>
      </c>
      <c r="G59" s="50">
        <v>20313588</v>
      </c>
      <c r="H59" s="16" t="s">
        <v>30</v>
      </c>
      <c r="I59" s="50">
        <v>2</v>
      </c>
      <c r="J59" s="51">
        <v>8</v>
      </c>
      <c r="K59" s="51">
        <v>16</v>
      </c>
    </row>
    <row r="60" spans="4:11">
      <c r="D60" s="49">
        <v>46142</v>
      </c>
      <c r="E60" s="16">
        <v>1599619</v>
      </c>
      <c r="F60" s="16" t="s">
        <v>21</v>
      </c>
      <c r="G60" s="50">
        <v>20376620</v>
      </c>
      <c r="H60" s="16" t="s">
        <v>58</v>
      </c>
      <c r="I60" s="50">
        <v>1</v>
      </c>
      <c r="J60" s="51">
        <v>8</v>
      </c>
      <c r="K60" s="51">
        <v>8</v>
      </c>
    </row>
    <row r="61" spans="4:11">
      <c r="D61" s="49">
        <v>46142</v>
      </c>
      <c r="E61" s="16">
        <v>1599909</v>
      </c>
      <c r="F61" s="16" t="s">
        <v>21</v>
      </c>
      <c r="G61" s="50">
        <v>20376624</v>
      </c>
      <c r="H61" s="16" t="s">
        <v>28</v>
      </c>
      <c r="I61" s="50">
        <v>1</v>
      </c>
      <c r="J61" s="51">
        <v>8</v>
      </c>
      <c r="K61" s="51">
        <v>8</v>
      </c>
    </row>
    <row r="62" spans="4:11">
      <c r="D62" s="49">
        <v>46142</v>
      </c>
      <c r="E62" s="16">
        <v>1599909</v>
      </c>
      <c r="F62" s="16" t="s">
        <v>21</v>
      </c>
      <c r="G62" s="50">
        <v>20406253</v>
      </c>
      <c r="H62" s="16" t="s">
        <v>39</v>
      </c>
      <c r="I62" s="50">
        <v>2</v>
      </c>
      <c r="J62" s="51">
        <v>13.5</v>
      </c>
      <c r="K62" s="51">
        <v>27</v>
      </c>
    </row>
    <row r="63" spans="4:11">
      <c r="D63" s="49">
        <v>46142</v>
      </c>
      <c r="E63" s="16">
        <v>1599909</v>
      </c>
      <c r="F63" s="16" t="s">
        <v>21</v>
      </c>
      <c r="G63" s="50">
        <v>20313588</v>
      </c>
      <c r="H63" s="16" t="s">
        <v>30</v>
      </c>
      <c r="I63" s="50">
        <v>1</v>
      </c>
      <c r="J63" s="51">
        <v>8</v>
      </c>
      <c r="K63" s="51">
        <v>8</v>
      </c>
    </row>
    <row r="64" spans="4:11">
      <c r="D64" s="49">
        <v>46151</v>
      </c>
      <c r="E64" s="16">
        <v>1601503</v>
      </c>
      <c r="F64" s="16" t="s">
        <v>21</v>
      </c>
      <c r="G64" s="50">
        <v>20376624</v>
      </c>
      <c r="H64" s="16" t="s">
        <v>28</v>
      </c>
      <c r="I64" s="50">
        <v>2</v>
      </c>
      <c r="J64" s="51">
        <v>8</v>
      </c>
      <c r="K64" s="51">
        <v>16</v>
      </c>
    </row>
    <row r="65" spans="4:11">
      <c r="D65" s="49">
        <v>46151</v>
      </c>
      <c r="E65" s="16">
        <v>1601503</v>
      </c>
      <c r="F65" s="16" t="s">
        <v>21</v>
      </c>
      <c r="G65" s="50">
        <v>20406253</v>
      </c>
      <c r="H65" s="16" t="s">
        <v>39</v>
      </c>
      <c r="I65" s="50">
        <v>3</v>
      </c>
      <c r="J65" s="51">
        <v>13.5</v>
      </c>
      <c r="K65" s="51">
        <v>40.5</v>
      </c>
    </row>
    <row r="66" spans="4:11">
      <c r="D66" s="49">
        <v>46151</v>
      </c>
      <c r="E66" s="16">
        <v>1601503</v>
      </c>
      <c r="F66" s="16" t="s">
        <v>21</v>
      </c>
      <c r="G66" s="50">
        <v>20313588</v>
      </c>
      <c r="H66" s="16" t="s">
        <v>30</v>
      </c>
      <c r="I66" s="50">
        <v>6</v>
      </c>
      <c r="J66" s="51">
        <v>8</v>
      </c>
      <c r="K66" s="51">
        <v>48</v>
      </c>
    </row>
    <row r="67" spans="4:11">
      <c r="D67" s="49">
        <v>46151</v>
      </c>
      <c r="E67" s="16">
        <v>1601503</v>
      </c>
      <c r="F67" s="16" t="s">
        <v>21</v>
      </c>
      <c r="G67" s="50">
        <v>20376862</v>
      </c>
      <c r="H67" s="16" t="s">
        <v>94</v>
      </c>
      <c r="I67" s="50">
        <v>1</v>
      </c>
      <c r="J67" s="51">
        <v>16.5</v>
      </c>
      <c r="K67" s="51">
        <v>16.5</v>
      </c>
    </row>
    <row r="68" spans="4:11">
      <c r="D68" s="49">
        <v>46151</v>
      </c>
      <c r="E68" s="16">
        <v>1601503</v>
      </c>
      <c r="F68" s="16" t="s">
        <v>21</v>
      </c>
      <c r="G68" s="50">
        <v>20377357</v>
      </c>
      <c r="H68" s="16" t="s">
        <v>31</v>
      </c>
      <c r="I68" s="50">
        <v>2</v>
      </c>
      <c r="J68" s="51">
        <v>8</v>
      </c>
      <c r="K68" s="51">
        <v>16</v>
      </c>
    </row>
    <row r="69" spans="4:11">
      <c r="D69" s="49">
        <v>46151</v>
      </c>
      <c r="E69" s="16">
        <v>1601618</v>
      </c>
      <c r="F69" s="16" t="s">
        <v>21</v>
      </c>
      <c r="G69" s="50">
        <v>20376624</v>
      </c>
      <c r="H69" s="16" t="s">
        <v>28</v>
      </c>
      <c r="I69" s="50">
        <v>1</v>
      </c>
      <c r="J69" s="51">
        <v>8</v>
      </c>
      <c r="K69" s="51">
        <v>8</v>
      </c>
    </row>
    <row r="70" spans="4:11">
      <c r="D70" s="49">
        <v>46151</v>
      </c>
      <c r="E70" s="16">
        <v>1601618</v>
      </c>
      <c r="F70" s="16" t="s">
        <v>21</v>
      </c>
      <c r="G70" s="50">
        <v>20406253</v>
      </c>
      <c r="H70" s="16" t="s">
        <v>39</v>
      </c>
      <c r="I70" s="50">
        <v>2</v>
      </c>
      <c r="J70" s="51">
        <v>13.5</v>
      </c>
      <c r="K70" s="51">
        <v>27</v>
      </c>
    </row>
    <row r="71" spans="4:11">
      <c r="D71" s="49">
        <v>46151</v>
      </c>
      <c r="E71" s="16">
        <v>1601618</v>
      </c>
      <c r="F71" s="16" t="s">
        <v>21</v>
      </c>
      <c r="G71" s="50">
        <v>20313588</v>
      </c>
      <c r="H71" s="16" t="s">
        <v>30</v>
      </c>
      <c r="I71" s="50">
        <v>3</v>
      </c>
      <c r="J71" s="51">
        <v>8</v>
      </c>
      <c r="K71" s="51">
        <v>24</v>
      </c>
    </row>
    <row r="72" spans="4:11">
      <c r="D72" s="49">
        <v>46151</v>
      </c>
      <c r="E72" s="16">
        <v>1601618</v>
      </c>
      <c r="F72" s="16" t="s">
        <v>21</v>
      </c>
      <c r="G72" s="50">
        <v>20376621</v>
      </c>
      <c r="H72" s="16" t="s">
        <v>58</v>
      </c>
      <c r="I72" s="50">
        <v>1</v>
      </c>
      <c r="J72" s="51">
        <v>8</v>
      </c>
      <c r="K72" s="51">
        <v>8</v>
      </c>
    </row>
    <row r="73" spans="4:11">
      <c r="D73" s="49">
        <v>46151</v>
      </c>
      <c r="E73" s="16">
        <v>1601618</v>
      </c>
      <c r="F73" s="16" t="s">
        <v>21</v>
      </c>
      <c r="G73" s="50">
        <v>20377357</v>
      </c>
      <c r="H73" s="16" t="s">
        <v>31</v>
      </c>
      <c r="I73" s="50">
        <v>3</v>
      </c>
      <c r="J73" s="51">
        <v>8</v>
      </c>
      <c r="K73" s="51">
        <v>24</v>
      </c>
    </row>
    <row r="74" spans="4:11">
      <c r="D74" s="49">
        <v>46151</v>
      </c>
      <c r="E74" s="16">
        <v>1601801</v>
      </c>
      <c r="F74" s="16" t="s">
        <v>21</v>
      </c>
      <c r="G74" s="50">
        <v>20005208</v>
      </c>
      <c r="H74" s="16" t="s">
        <v>55</v>
      </c>
      <c r="I74" s="50">
        <v>1</v>
      </c>
      <c r="J74" s="51">
        <v>8</v>
      </c>
      <c r="K74" s="51">
        <v>8</v>
      </c>
    </row>
    <row r="75" spans="4:11">
      <c r="D75" s="49">
        <v>46151</v>
      </c>
      <c r="E75" s="16">
        <v>1601801</v>
      </c>
      <c r="F75" s="16" t="s">
        <v>21</v>
      </c>
      <c r="G75" s="50">
        <v>20406253</v>
      </c>
      <c r="H75" s="16" t="s">
        <v>39</v>
      </c>
      <c r="I75" s="50">
        <v>1</v>
      </c>
      <c r="J75" s="51">
        <v>13.5</v>
      </c>
      <c r="K75" s="51">
        <v>13.5</v>
      </c>
    </row>
    <row r="76" spans="4:11">
      <c r="D76" s="49">
        <v>46151</v>
      </c>
      <c r="E76" s="16">
        <v>1601801</v>
      </c>
      <c r="F76" s="16" t="s">
        <v>21</v>
      </c>
      <c r="G76" s="50">
        <v>20313588</v>
      </c>
      <c r="H76" s="16" t="s">
        <v>30</v>
      </c>
      <c r="I76" s="50">
        <v>2</v>
      </c>
      <c r="J76" s="51">
        <v>8</v>
      </c>
      <c r="K76" s="51">
        <v>16</v>
      </c>
    </row>
    <row r="77" spans="4:11">
      <c r="D77" s="49">
        <v>46151</v>
      </c>
      <c r="E77" s="16">
        <v>1601801</v>
      </c>
      <c r="F77" s="16" t="s">
        <v>21</v>
      </c>
      <c r="G77" s="50">
        <v>20376620</v>
      </c>
      <c r="H77" s="16" t="s">
        <v>58</v>
      </c>
      <c r="I77" s="50">
        <v>1</v>
      </c>
      <c r="J77" s="51">
        <v>8</v>
      </c>
      <c r="K77" s="51">
        <v>8</v>
      </c>
    </row>
    <row r="78" spans="4:11">
      <c r="D78" s="49">
        <v>46151</v>
      </c>
      <c r="E78" s="16">
        <v>1601801</v>
      </c>
      <c r="F78" s="16" t="s">
        <v>21</v>
      </c>
      <c r="G78" s="50">
        <v>20377357</v>
      </c>
      <c r="H78" s="16" t="s">
        <v>31</v>
      </c>
      <c r="I78" s="50">
        <v>2</v>
      </c>
      <c r="J78" s="51">
        <v>8</v>
      </c>
      <c r="K78" s="51">
        <v>16</v>
      </c>
    </row>
    <row r="79" spans="4:11">
      <c r="D79" s="49">
        <v>46154</v>
      </c>
      <c r="E79" s="16">
        <v>1602565</v>
      </c>
      <c r="F79" s="16" t="s">
        <v>21</v>
      </c>
      <c r="G79" s="50">
        <v>20406253</v>
      </c>
      <c r="H79" s="16" t="s">
        <v>39</v>
      </c>
      <c r="I79" s="50">
        <v>2</v>
      </c>
      <c r="J79" s="51">
        <v>13.5</v>
      </c>
      <c r="K79" s="51">
        <v>27</v>
      </c>
    </row>
    <row r="80" spans="4:11">
      <c r="D80" s="49">
        <v>46154</v>
      </c>
      <c r="E80" s="16">
        <v>1602565</v>
      </c>
      <c r="F80" s="16" t="s">
        <v>21</v>
      </c>
      <c r="G80" s="50">
        <v>20313588</v>
      </c>
      <c r="H80" s="16" t="s">
        <v>30</v>
      </c>
      <c r="I80" s="50">
        <v>5</v>
      </c>
      <c r="J80" s="51">
        <v>8</v>
      </c>
      <c r="K80" s="51">
        <v>40</v>
      </c>
    </row>
    <row r="81" spans="4:11">
      <c r="D81" s="49">
        <v>46156</v>
      </c>
      <c r="E81" s="16">
        <v>1602921</v>
      </c>
      <c r="F81" s="16" t="s">
        <v>21</v>
      </c>
      <c r="G81" s="50">
        <v>20376624</v>
      </c>
      <c r="H81" s="16" t="s">
        <v>28</v>
      </c>
      <c r="I81" s="50">
        <v>1</v>
      </c>
      <c r="J81" s="51">
        <v>8</v>
      </c>
      <c r="K81" s="51">
        <v>8</v>
      </c>
    </row>
    <row r="82" spans="4:11">
      <c r="D82" s="49">
        <v>46156</v>
      </c>
      <c r="E82" s="16">
        <v>1602921</v>
      </c>
      <c r="F82" s="16" t="s">
        <v>21</v>
      </c>
      <c r="G82" s="50">
        <v>20406253</v>
      </c>
      <c r="H82" s="16" t="s">
        <v>39</v>
      </c>
      <c r="I82" s="50">
        <v>1</v>
      </c>
      <c r="J82" s="51">
        <v>13.5</v>
      </c>
      <c r="K82" s="51">
        <v>13.5</v>
      </c>
    </row>
    <row r="83" spans="4:11">
      <c r="D83" s="49">
        <v>46156</v>
      </c>
      <c r="E83" s="16">
        <v>1602921</v>
      </c>
      <c r="F83" s="16" t="s">
        <v>21</v>
      </c>
      <c r="G83" s="50">
        <v>20313588</v>
      </c>
      <c r="H83" s="16" t="s">
        <v>30</v>
      </c>
      <c r="I83" s="50">
        <v>4</v>
      </c>
      <c r="J83" s="51">
        <v>8</v>
      </c>
      <c r="K83" s="51">
        <v>32</v>
      </c>
    </row>
    <row r="84" spans="4:11">
      <c r="D84" s="49">
        <v>46156</v>
      </c>
      <c r="E84" s="16">
        <v>1602921</v>
      </c>
      <c r="F84" s="16" t="s">
        <v>21</v>
      </c>
      <c r="G84" s="50">
        <v>20376621</v>
      </c>
      <c r="H84" s="16" t="s">
        <v>58</v>
      </c>
      <c r="I84" s="50">
        <v>1</v>
      </c>
      <c r="J84" s="51">
        <v>8</v>
      </c>
      <c r="K84" s="51">
        <v>8</v>
      </c>
    </row>
    <row r="85" spans="4:11">
      <c r="D85" s="49">
        <v>46156</v>
      </c>
      <c r="E85" s="16">
        <v>1602921</v>
      </c>
      <c r="F85" s="16" t="s">
        <v>21</v>
      </c>
      <c r="G85" s="50">
        <v>20377357</v>
      </c>
      <c r="H85" s="16" t="s">
        <v>31</v>
      </c>
      <c r="I85" s="50">
        <v>1</v>
      </c>
      <c r="J85" s="51">
        <v>8</v>
      </c>
      <c r="K85" s="51">
        <v>8</v>
      </c>
    </row>
  </sheetData>
  <autoFilter xmlns:etc="http://www.wps.cn/officeDocument/2017/etCustomData" ref="A7:K85" etc:filterBottomFollowUsedRange="0">
    <extLst/>
  </autoFilter>
  <mergeCells count="5">
    <mergeCell ref="D8:H8"/>
    <mergeCell ref="C7:C85"/>
    <mergeCell ref="B4:H5"/>
    <mergeCell ref="A7:B8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4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9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95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181</v>
      </c>
      <c r="J8" s="48"/>
      <c r="K8" s="48">
        <v>1783.5</v>
      </c>
    </row>
    <row r="9" spans="1:11">
      <c r="D9" s="49">
        <v>46127</v>
      </c>
      <c r="E9" s="16">
        <v>1594874</v>
      </c>
      <c r="F9" s="16" t="s">
        <v>21</v>
      </c>
      <c r="G9" s="50">
        <v>20406253</v>
      </c>
      <c r="H9" s="16" t="s">
        <v>39</v>
      </c>
      <c r="I9" s="50">
        <v>2</v>
      </c>
      <c r="J9" s="51">
        <v>13.5</v>
      </c>
      <c r="K9" s="51">
        <v>27</v>
      </c>
    </row>
    <row r="10" spans="1:11">
      <c r="D10" s="49">
        <v>46127</v>
      </c>
      <c r="E10" s="16">
        <v>1594975</v>
      </c>
      <c r="F10" s="16" t="s">
        <v>21</v>
      </c>
      <c r="G10" s="50">
        <v>20406253</v>
      </c>
      <c r="H10" s="16" t="s">
        <v>39</v>
      </c>
      <c r="I10" s="50">
        <v>2</v>
      </c>
      <c r="J10" s="51">
        <v>13.5</v>
      </c>
      <c r="K10" s="51">
        <v>27</v>
      </c>
    </row>
    <row r="11" spans="1:11">
      <c r="D11" s="49">
        <v>46127</v>
      </c>
      <c r="E11" s="16">
        <v>1595221</v>
      </c>
      <c r="F11" s="16" t="s">
        <v>21</v>
      </c>
      <c r="G11" s="50">
        <v>20406253</v>
      </c>
      <c r="H11" s="16" t="s">
        <v>39</v>
      </c>
      <c r="I11" s="50">
        <v>2</v>
      </c>
      <c r="J11" s="51">
        <v>13.5</v>
      </c>
      <c r="K11" s="51">
        <v>27</v>
      </c>
    </row>
    <row r="12" spans="1:11">
      <c r="D12" s="49">
        <v>46127</v>
      </c>
      <c r="E12" s="16">
        <v>1595221</v>
      </c>
      <c r="F12" s="16" t="s">
        <v>21</v>
      </c>
      <c r="G12" s="50">
        <v>20313588</v>
      </c>
      <c r="H12" s="16" t="s">
        <v>30</v>
      </c>
      <c r="I12" s="50">
        <v>7</v>
      </c>
      <c r="J12" s="51">
        <v>8</v>
      </c>
      <c r="K12" s="51">
        <v>56</v>
      </c>
    </row>
    <row r="13" spans="1:11">
      <c r="D13" s="49">
        <v>46127</v>
      </c>
      <c r="E13" s="16">
        <v>1595221</v>
      </c>
      <c r="F13" s="16" t="s">
        <v>21</v>
      </c>
      <c r="G13" s="50">
        <v>20376620</v>
      </c>
      <c r="H13" s="16" t="s">
        <v>58</v>
      </c>
      <c r="I13" s="50">
        <v>2</v>
      </c>
      <c r="J13" s="51">
        <v>8</v>
      </c>
      <c r="K13" s="51">
        <v>16</v>
      </c>
    </row>
    <row r="14" spans="1:11">
      <c r="D14" s="49">
        <v>46128</v>
      </c>
      <c r="E14" s="16">
        <v>1595345</v>
      </c>
      <c r="F14" s="16" t="s">
        <v>21</v>
      </c>
      <c r="G14" s="50">
        <v>20406253</v>
      </c>
      <c r="H14" s="16" t="s">
        <v>39</v>
      </c>
      <c r="I14" s="50">
        <v>1</v>
      </c>
      <c r="J14" s="51">
        <v>13.5</v>
      </c>
      <c r="K14" s="51">
        <v>13.5</v>
      </c>
    </row>
    <row r="15" spans="1:11">
      <c r="D15" s="49">
        <v>46128</v>
      </c>
      <c r="E15" s="16">
        <v>1595345</v>
      </c>
      <c r="F15" s="16" t="s">
        <v>21</v>
      </c>
      <c r="G15" s="50">
        <v>20313588</v>
      </c>
      <c r="H15" s="16" t="s">
        <v>30</v>
      </c>
      <c r="I15" s="50">
        <v>1</v>
      </c>
      <c r="J15" s="51">
        <v>8</v>
      </c>
      <c r="K15" s="51">
        <v>8</v>
      </c>
    </row>
    <row r="16" spans="1:11">
      <c r="D16" s="49">
        <v>46128</v>
      </c>
      <c r="E16" s="16">
        <v>1595345</v>
      </c>
      <c r="F16" s="16" t="s">
        <v>21</v>
      </c>
      <c r="G16" s="50">
        <v>20396337</v>
      </c>
      <c r="H16" s="16" t="s">
        <v>36</v>
      </c>
      <c r="I16" s="50">
        <v>1</v>
      </c>
      <c r="J16" s="51">
        <v>8</v>
      </c>
      <c r="K16" s="51">
        <v>8</v>
      </c>
    </row>
    <row r="17" spans="4:11">
      <c r="D17" s="49">
        <v>46128</v>
      </c>
      <c r="E17" s="16">
        <v>1595345</v>
      </c>
      <c r="F17" s="16" t="s">
        <v>21</v>
      </c>
      <c r="G17" s="50">
        <v>20376620</v>
      </c>
      <c r="H17" s="16" t="s">
        <v>58</v>
      </c>
      <c r="I17" s="50">
        <v>1</v>
      </c>
      <c r="J17" s="51">
        <v>8</v>
      </c>
      <c r="K17" s="51">
        <v>8</v>
      </c>
    </row>
    <row r="18" spans="4:11">
      <c r="D18" s="49">
        <v>46128</v>
      </c>
      <c r="E18" s="16">
        <v>1595345</v>
      </c>
      <c r="F18" s="16" t="s">
        <v>21</v>
      </c>
      <c r="G18" s="50">
        <v>20377357</v>
      </c>
      <c r="H18" s="16" t="s">
        <v>31</v>
      </c>
      <c r="I18" s="50">
        <v>2</v>
      </c>
      <c r="J18" s="51">
        <v>8</v>
      </c>
      <c r="K18" s="51">
        <v>16</v>
      </c>
    </row>
    <row r="19" spans="4:11">
      <c r="D19" s="49">
        <v>46129</v>
      </c>
      <c r="E19" s="16">
        <v>1595650</v>
      </c>
      <c r="F19" s="16" t="s">
        <v>21</v>
      </c>
      <c r="G19" s="50">
        <v>20406253</v>
      </c>
      <c r="H19" s="16" t="s">
        <v>39</v>
      </c>
      <c r="I19" s="50">
        <v>2</v>
      </c>
      <c r="J19" s="51">
        <v>13.5</v>
      </c>
      <c r="K19" s="51">
        <v>27</v>
      </c>
    </row>
    <row r="20" spans="4:11">
      <c r="D20" s="49">
        <v>46129</v>
      </c>
      <c r="E20" s="16">
        <v>1595650</v>
      </c>
      <c r="F20" s="16" t="s">
        <v>21</v>
      </c>
      <c r="G20" s="50">
        <v>20313588</v>
      </c>
      <c r="H20" s="16" t="s">
        <v>30</v>
      </c>
      <c r="I20" s="50">
        <v>4</v>
      </c>
      <c r="J20" s="51">
        <v>8</v>
      </c>
      <c r="K20" s="51">
        <v>32</v>
      </c>
    </row>
    <row r="21" spans="4:11">
      <c r="D21" s="49">
        <v>46129</v>
      </c>
      <c r="E21" s="16">
        <v>1595650</v>
      </c>
      <c r="F21" s="16" t="s">
        <v>21</v>
      </c>
      <c r="G21" s="50">
        <v>20376620</v>
      </c>
      <c r="H21" s="16" t="s">
        <v>58</v>
      </c>
      <c r="I21" s="50">
        <v>2</v>
      </c>
      <c r="J21" s="51">
        <v>8</v>
      </c>
      <c r="K21" s="51">
        <v>16</v>
      </c>
    </row>
    <row r="22" spans="4:11">
      <c r="D22" s="49">
        <v>46129</v>
      </c>
      <c r="E22" s="16">
        <v>1595786</v>
      </c>
      <c r="F22" s="16" t="s">
        <v>21</v>
      </c>
      <c r="G22" s="50">
        <v>20406253</v>
      </c>
      <c r="H22" s="16" t="s">
        <v>39</v>
      </c>
      <c r="I22" s="50">
        <v>2</v>
      </c>
      <c r="J22" s="51">
        <v>13.5</v>
      </c>
      <c r="K22" s="51">
        <v>27</v>
      </c>
    </row>
    <row r="23" spans="4:11">
      <c r="D23" s="49">
        <v>46129</v>
      </c>
      <c r="E23" s="16">
        <v>1595786</v>
      </c>
      <c r="F23" s="16" t="s">
        <v>21</v>
      </c>
      <c r="G23" s="50">
        <v>20313588</v>
      </c>
      <c r="H23" s="16" t="s">
        <v>30</v>
      </c>
      <c r="I23" s="50">
        <v>1</v>
      </c>
      <c r="J23" s="51">
        <v>8</v>
      </c>
      <c r="K23" s="51">
        <v>8</v>
      </c>
    </row>
    <row r="24" spans="4:11">
      <c r="D24" s="49">
        <v>46129</v>
      </c>
      <c r="E24" s="16">
        <v>1595786</v>
      </c>
      <c r="F24" s="16" t="s">
        <v>21</v>
      </c>
      <c r="G24" s="50">
        <v>20376620</v>
      </c>
      <c r="H24" s="16" t="s">
        <v>58</v>
      </c>
      <c r="I24" s="50">
        <v>2</v>
      </c>
      <c r="J24" s="51">
        <v>8</v>
      </c>
      <c r="K24" s="51">
        <v>16</v>
      </c>
    </row>
    <row r="25" spans="4:11">
      <c r="D25" s="49">
        <v>46130</v>
      </c>
      <c r="E25" s="16">
        <v>1596020</v>
      </c>
      <c r="F25" s="16" t="s">
        <v>21</v>
      </c>
      <c r="G25" s="50">
        <v>20406253</v>
      </c>
      <c r="H25" s="16" t="s">
        <v>39</v>
      </c>
      <c r="I25" s="50">
        <v>2</v>
      </c>
      <c r="J25" s="51">
        <v>13.5</v>
      </c>
      <c r="K25" s="51">
        <v>27</v>
      </c>
    </row>
    <row r="26" spans="4:11">
      <c r="D26" s="49">
        <v>46130</v>
      </c>
      <c r="E26" s="16">
        <v>1596020</v>
      </c>
      <c r="F26" s="16" t="s">
        <v>21</v>
      </c>
      <c r="G26" s="50">
        <v>20313588</v>
      </c>
      <c r="H26" s="16" t="s">
        <v>30</v>
      </c>
      <c r="I26" s="50">
        <v>3</v>
      </c>
      <c r="J26" s="51">
        <v>8</v>
      </c>
      <c r="K26" s="51">
        <v>24</v>
      </c>
    </row>
    <row r="27" spans="4:11">
      <c r="D27" s="49">
        <v>46130</v>
      </c>
      <c r="E27" s="16">
        <v>1596020</v>
      </c>
      <c r="F27" s="16" t="s">
        <v>21</v>
      </c>
      <c r="G27" s="50">
        <v>20376620</v>
      </c>
      <c r="H27" s="16" t="s">
        <v>58</v>
      </c>
      <c r="I27" s="50">
        <v>1</v>
      </c>
      <c r="J27" s="51">
        <v>8</v>
      </c>
      <c r="K27" s="51">
        <v>8</v>
      </c>
    </row>
    <row r="28" spans="4:11">
      <c r="D28" s="49">
        <v>46130</v>
      </c>
      <c r="E28" s="16">
        <v>1596020</v>
      </c>
      <c r="F28" s="16" t="s">
        <v>21</v>
      </c>
      <c r="G28" s="50">
        <v>20377357</v>
      </c>
      <c r="H28" s="16" t="s">
        <v>31</v>
      </c>
      <c r="I28" s="50">
        <v>4</v>
      </c>
      <c r="J28" s="51">
        <v>8</v>
      </c>
      <c r="K28" s="51">
        <v>32</v>
      </c>
    </row>
    <row r="29" spans="4:11">
      <c r="D29" s="49">
        <v>46133</v>
      </c>
      <c r="E29" s="16">
        <v>1596696</v>
      </c>
      <c r="F29" s="16" t="s">
        <v>21</v>
      </c>
      <c r="G29" s="50">
        <v>20406253</v>
      </c>
      <c r="H29" s="16" t="s">
        <v>39</v>
      </c>
      <c r="I29" s="50">
        <v>2</v>
      </c>
      <c r="J29" s="51">
        <v>13.5</v>
      </c>
      <c r="K29" s="51">
        <v>27</v>
      </c>
    </row>
    <row r="30" spans="4:11">
      <c r="D30" s="49">
        <v>46133</v>
      </c>
      <c r="E30" s="16">
        <v>1596696</v>
      </c>
      <c r="F30" s="16" t="s">
        <v>21</v>
      </c>
      <c r="G30" s="50">
        <v>20313588</v>
      </c>
      <c r="H30" s="16" t="s">
        <v>30</v>
      </c>
      <c r="I30" s="50">
        <v>2</v>
      </c>
      <c r="J30" s="51">
        <v>8</v>
      </c>
      <c r="K30" s="51">
        <v>16</v>
      </c>
    </row>
    <row r="31" spans="4:11">
      <c r="D31" s="49">
        <v>46133</v>
      </c>
      <c r="E31" s="16">
        <v>1596696</v>
      </c>
      <c r="F31" s="16" t="s">
        <v>21</v>
      </c>
      <c r="G31" s="50">
        <v>20376620</v>
      </c>
      <c r="H31" s="16" t="s">
        <v>58</v>
      </c>
      <c r="I31" s="50">
        <v>2</v>
      </c>
      <c r="J31" s="51">
        <v>8</v>
      </c>
      <c r="K31" s="51">
        <v>16</v>
      </c>
    </row>
    <row r="32" spans="4:11">
      <c r="D32" s="49">
        <v>46134</v>
      </c>
      <c r="E32" s="16">
        <v>1596965</v>
      </c>
      <c r="F32" s="16" t="s">
        <v>21</v>
      </c>
      <c r="G32" s="50">
        <v>20406253</v>
      </c>
      <c r="H32" s="16" t="s">
        <v>39</v>
      </c>
      <c r="I32" s="50">
        <v>3</v>
      </c>
      <c r="J32" s="51">
        <v>13.5</v>
      </c>
      <c r="K32" s="51">
        <v>40.5</v>
      </c>
    </row>
    <row r="33" spans="4:11">
      <c r="D33" s="49">
        <v>46134</v>
      </c>
      <c r="E33" s="16">
        <v>1596965</v>
      </c>
      <c r="F33" s="16" t="s">
        <v>21</v>
      </c>
      <c r="G33" s="50">
        <v>20313588</v>
      </c>
      <c r="H33" s="16" t="s">
        <v>30</v>
      </c>
      <c r="I33" s="50">
        <v>1</v>
      </c>
      <c r="J33" s="51">
        <v>8</v>
      </c>
      <c r="K33" s="51">
        <v>8</v>
      </c>
    </row>
    <row r="34" spans="4:11">
      <c r="D34" s="49">
        <v>46134</v>
      </c>
      <c r="E34" s="16">
        <v>1596965</v>
      </c>
      <c r="F34" s="16" t="s">
        <v>21</v>
      </c>
      <c r="G34" s="50">
        <v>20376620</v>
      </c>
      <c r="H34" s="16" t="s">
        <v>58</v>
      </c>
      <c r="I34" s="50">
        <v>1</v>
      </c>
      <c r="J34" s="51">
        <v>8</v>
      </c>
      <c r="K34" s="51">
        <v>8</v>
      </c>
    </row>
    <row r="35" spans="4:11">
      <c r="D35" s="49">
        <v>46134</v>
      </c>
      <c r="E35" s="16">
        <v>1597064</v>
      </c>
      <c r="F35" s="16" t="s">
        <v>21</v>
      </c>
      <c r="G35" s="50">
        <v>20406253</v>
      </c>
      <c r="H35" s="16" t="s">
        <v>39</v>
      </c>
      <c r="I35" s="50">
        <v>2</v>
      </c>
      <c r="J35" s="51">
        <v>13.5</v>
      </c>
      <c r="K35" s="51">
        <v>27</v>
      </c>
    </row>
    <row r="36" spans="4:11">
      <c r="D36" s="49">
        <v>46134</v>
      </c>
      <c r="E36" s="16">
        <v>1597064</v>
      </c>
      <c r="F36" s="16" t="s">
        <v>21</v>
      </c>
      <c r="G36" s="50">
        <v>20313588</v>
      </c>
      <c r="H36" s="16" t="s">
        <v>30</v>
      </c>
      <c r="I36" s="50">
        <v>1</v>
      </c>
      <c r="J36" s="51">
        <v>8</v>
      </c>
      <c r="K36" s="51">
        <v>8</v>
      </c>
    </row>
    <row r="37" spans="4:11">
      <c r="D37" s="49">
        <v>46134</v>
      </c>
      <c r="E37" s="16">
        <v>1597064</v>
      </c>
      <c r="F37" s="16" t="s">
        <v>21</v>
      </c>
      <c r="G37" s="50">
        <v>20376620</v>
      </c>
      <c r="H37" s="16" t="s">
        <v>58</v>
      </c>
      <c r="I37" s="50">
        <v>1</v>
      </c>
      <c r="J37" s="51">
        <v>8</v>
      </c>
      <c r="K37" s="51">
        <v>8</v>
      </c>
    </row>
    <row r="38" spans="4:11">
      <c r="D38" s="49">
        <v>46135</v>
      </c>
      <c r="E38" s="16">
        <v>1597336</v>
      </c>
      <c r="F38" s="16" t="s">
        <v>21</v>
      </c>
      <c r="G38" s="50">
        <v>20406253</v>
      </c>
      <c r="H38" s="16" t="s">
        <v>39</v>
      </c>
      <c r="I38" s="50">
        <v>3</v>
      </c>
      <c r="J38" s="51">
        <v>13.5</v>
      </c>
      <c r="K38" s="51">
        <v>40.5</v>
      </c>
    </row>
    <row r="39" spans="4:11">
      <c r="D39" s="49">
        <v>46135</v>
      </c>
      <c r="E39" s="16">
        <v>1597336</v>
      </c>
      <c r="F39" s="16" t="s">
        <v>21</v>
      </c>
      <c r="G39" s="50">
        <v>20313588</v>
      </c>
      <c r="H39" s="16" t="s">
        <v>30</v>
      </c>
      <c r="I39" s="50">
        <v>7</v>
      </c>
      <c r="J39" s="51">
        <v>8</v>
      </c>
      <c r="K39" s="51">
        <v>56</v>
      </c>
    </row>
    <row r="40" spans="4:11">
      <c r="D40" s="49">
        <v>46135</v>
      </c>
      <c r="E40" s="16">
        <v>1597336</v>
      </c>
      <c r="F40" s="16" t="s">
        <v>21</v>
      </c>
      <c r="G40" s="50">
        <v>20376620</v>
      </c>
      <c r="H40" s="16" t="s">
        <v>58</v>
      </c>
      <c r="I40" s="50">
        <v>2</v>
      </c>
      <c r="J40" s="51">
        <v>8</v>
      </c>
      <c r="K40" s="51">
        <v>16</v>
      </c>
    </row>
    <row r="41" spans="4:11">
      <c r="D41" s="49">
        <v>46135</v>
      </c>
      <c r="E41" s="16">
        <v>1597442</v>
      </c>
      <c r="F41" s="16" t="s">
        <v>21</v>
      </c>
      <c r="G41" s="50">
        <v>20406253</v>
      </c>
      <c r="H41" s="16" t="s">
        <v>39</v>
      </c>
      <c r="I41" s="50">
        <v>1</v>
      </c>
      <c r="J41" s="51">
        <v>13.5</v>
      </c>
      <c r="K41" s="51">
        <v>13.5</v>
      </c>
    </row>
    <row r="42" spans="4:11">
      <c r="D42" s="49">
        <v>46135</v>
      </c>
      <c r="E42" s="16">
        <v>1597442</v>
      </c>
      <c r="F42" s="16" t="s">
        <v>21</v>
      </c>
      <c r="G42" s="50">
        <v>20313588</v>
      </c>
      <c r="H42" s="16" t="s">
        <v>30</v>
      </c>
      <c r="I42" s="50">
        <v>3</v>
      </c>
      <c r="J42" s="51">
        <v>8</v>
      </c>
      <c r="K42" s="51">
        <v>24</v>
      </c>
    </row>
    <row r="43" spans="4:11">
      <c r="D43" s="49">
        <v>46135</v>
      </c>
      <c r="E43" s="16">
        <v>1597442</v>
      </c>
      <c r="F43" s="16" t="s">
        <v>21</v>
      </c>
      <c r="G43" s="50">
        <v>20376620</v>
      </c>
      <c r="H43" s="16" t="s">
        <v>58</v>
      </c>
      <c r="I43" s="50">
        <v>1</v>
      </c>
      <c r="J43" s="51">
        <v>8</v>
      </c>
      <c r="K43" s="51">
        <v>8</v>
      </c>
    </row>
    <row r="44" spans="4:11">
      <c r="D44" s="49">
        <v>46136</v>
      </c>
      <c r="E44" s="16">
        <v>1597725</v>
      </c>
      <c r="F44" s="16" t="s">
        <v>21</v>
      </c>
      <c r="G44" s="50">
        <v>20406253</v>
      </c>
      <c r="H44" s="16" t="s">
        <v>39</v>
      </c>
      <c r="I44" s="50">
        <v>1</v>
      </c>
      <c r="J44" s="51">
        <v>13.5</v>
      </c>
      <c r="K44" s="51">
        <v>13.5</v>
      </c>
    </row>
    <row r="45" spans="4:11">
      <c r="D45" s="49">
        <v>46136</v>
      </c>
      <c r="E45" s="16">
        <v>1597725</v>
      </c>
      <c r="F45" s="16" t="s">
        <v>21</v>
      </c>
      <c r="G45" s="50">
        <v>20313588</v>
      </c>
      <c r="H45" s="16" t="s">
        <v>30</v>
      </c>
      <c r="I45" s="50">
        <v>2</v>
      </c>
      <c r="J45" s="51">
        <v>8</v>
      </c>
      <c r="K45" s="51">
        <v>16</v>
      </c>
    </row>
    <row r="46" spans="4:11">
      <c r="D46" s="49">
        <v>46136</v>
      </c>
      <c r="E46" s="16">
        <v>1597725</v>
      </c>
      <c r="F46" s="16" t="s">
        <v>21</v>
      </c>
      <c r="G46" s="50">
        <v>20376620</v>
      </c>
      <c r="H46" s="16" t="s">
        <v>58</v>
      </c>
      <c r="I46" s="50">
        <v>2</v>
      </c>
      <c r="J46" s="51">
        <v>8</v>
      </c>
      <c r="K46" s="51">
        <v>16</v>
      </c>
    </row>
    <row r="47" spans="4:11">
      <c r="D47" s="49">
        <v>46136</v>
      </c>
      <c r="E47" s="16">
        <v>1597843</v>
      </c>
      <c r="F47" s="16" t="s">
        <v>21</v>
      </c>
      <c r="G47" s="50">
        <v>20406253</v>
      </c>
      <c r="H47" s="16" t="s">
        <v>39</v>
      </c>
      <c r="I47" s="50">
        <v>3</v>
      </c>
      <c r="J47" s="51">
        <v>13.5</v>
      </c>
      <c r="K47" s="51">
        <v>40.5</v>
      </c>
    </row>
    <row r="48" spans="4:11">
      <c r="D48" s="49">
        <v>46136</v>
      </c>
      <c r="E48" s="16">
        <v>1597843</v>
      </c>
      <c r="F48" s="16" t="s">
        <v>21</v>
      </c>
      <c r="G48" s="50">
        <v>20313588</v>
      </c>
      <c r="H48" s="16" t="s">
        <v>30</v>
      </c>
      <c r="I48" s="50">
        <v>5</v>
      </c>
      <c r="J48" s="51">
        <v>8</v>
      </c>
      <c r="K48" s="51">
        <v>40</v>
      </c>
    </row>
    <row r="49" spans="4:11">
      <c r="D49" s="49">
        <v>46137</v>
      </c>
      <c r="E49" s="16">
        <v>1598094</v>
      </c>
      <c r="F49" s="16" t="s">
        <v>21</v>
      </c>
      <c r="G49" s="50">
        <v>20406253</v>
      </c>
      <c r="H49" s="16" t="s">
        <v>39</v>
      </c>
      <c r="I49" s="50">
        <v>2</v>
      </c>
      <c r="J49" s="51">
        <v>13.5</v>
      </c>
      <c r="K49" s="51">
        <v>27</v>
      </c>
    </row>
    <row r="50" spans="4:11">
      <c r="D50" s="49">
        <v>46137</v>
      </c>
      <c r="E50" s="16">
        <v>1598094</v>
      </c>
      <c r="F50" s="16" t="s">
        <v>21</v>
      </c>
      <c r="G50" s="50">
        <v>20313588</v>
      </c>
      <c r="H50" s="16" t="s">
        <v>30</v>
      </c>
      <c r="I50" s="50">
        <v>1</v>
      </c>
      <c r="J50" s="51">
        <v>8</v>
      </c>
      <c r="K50" s="51">
        <v>8</v>
      </c>
    </row>
    <row r="51" spans="4:11">
      <c r="D51" s="49">
        <v>46140</v>
      </c>
      <c r="E51" s="16">
        <v>1598755</v>
      </c>
      <c r="F51" s="16" t="s">
        <v>21</v>
      </c>
      <c r="G51" s="50">
        <v>20406253</v>
      </c>
      <c r="H51" s="16" t="s">
        <v>39</v>
      </c>
      <c r="I51" s="50">
        <v>3</v>
      </c>
      <c r="J51" s="51">
        <v>13.5</v>
      </c>
      <c r="K51" s="51">
        <v>40.5</v>
      </c>
    </row>
    <row r="52" spans="4:11">
      <c r="D52" s="49">
        <v>46140</v>
      </c>
      <c r="E52" s="16">
        <v>1598755</v>
      </c>
      <c r="F52" s="16" t="s">
        <v>21</v>
      </c>
      <c r="G52" s="50">
        <v>20313588</v>
      </c>
      <c r="H52" s="16" t="s">
        <v>30</v>
      </c>
      <c r="I52" s="50">
        <v>2</v>
      </c>
      <c r="J52" s="51">
        <v>8</v>
      </c>
      <c r="K52" s="51">
        <v>16</v>
      </c>
    </row>
    <row r="53" spans="4:11">
      <c r="D53" s="49">
        <v>46140</v>
      </c>
      <c r="E53" s="16">
        <v>1598755</v>
      </c>
      <c r="F53" s="16" t="s">
        <v>21</v>
      </c>
      <c r="G53" s="50">
        <v>20376620</v>
      </c>
      <c r="H53" s="16" t="s">
        <v>58</v>
      </c>
      <c r="I53" s="50">
        <v>1</v>
      </c>
      <c r="J53" s="51">
        <v>8</v>
      </c>
      <c r="K53" s="51">
        <v>8</v>
      </c>
    </row>
    <row r="54" spans="4:11">
      <c r="D54" s="49">
        <v>46140</v>
      </c>
      <c r="E54" s="16">
        <v>1598755</v>
      </c>
      <c r="F54" s="16" t="s">
        <v>21</v>
      </c>
      <c r="G54" s="50">
        <v>20377357</v>
      </c>
      <c r="H54" s="16" t="s">
        <v>31</v>
      </c>
      <c r="I54" s="50">
        <v>1</v>
      </c>
      <c r="J54" s="51">
        <v>8</v>
      </c>
      <c r="K54" s="51">
        <v>8</v>
      </c>
    </row>
    <row r="55" spans="4:11">
      <c r="D55" s="49">
        <v>46141</v>
      </c>
      <c r="E55" s="16">
        <v>1599064</v>
      </c>
      <c r="F55" s="16" t="s">
        <v>21</v>
      </c>
      <c r="G55" s="50">
        <v>20406253</v>
      </c>
      <c r="H55" s="16" t="s">
        <v>39</v>
      </c>
      <c r="I55" s="50">
        <v>2</v>
      </c>
      <c r="J55" s="51">
        <v>13.5</v>
      </c>
      <c r="K55" s="51">
        <v>27</v>
      </c>
    </row>
    <row r="56" spans="4:11">
      <c r="D56" s="49">
        <v>46141</v>
      </c>
      <c r="E56" s="16">
        <v>1599064</v>
      </c>
      <c r="F56" s="16" t="s">
        <v>21</v>
      </c>
      <c r="G56" s="50">
        <v>20377357</v>
      </c>
      <c r="H56" s="16" t="s">
        <v>31</v>
      </c>
      <c r="I56" s="50">
        <v>1</v>
      </c>
      <c r="J56" s="51">
        <v>8</v>
      </c>
      <c r="K56" s="51">
        <v>8</v>
      </c>
    </row>
    <row r="57" spans="4:11">
      <c r="D57" s="49">
        <v>46141</v>
      </c>
      <c r="E57" s="16">
        <v>1599162</v>
      </c>
      <c r="F57" s="16" t="s">
        <v>21</v>
      </c>
      <c r="G57" s="50">
        <v>20406253</v>
      </c>
      <c r="H57" s="16" t="s">
        <v>39</v>
      </c>
      <c r="I57" s="50">
        <v>3</v>
      </c>
      <c r="J57" s="51">
        <v>13.5</v>
      </c>
      <c r="K57" s="51">
        <v>40.5</v>
      </c>
    </row>
    <row r="58" spans="4:11">
      <c r="D58" s="49">
        <v>46141</v>
      </c>
      <c r="E58" s="16">
        <v>1599162</v>
      </c>
      <c r="F58" s="16" t="s">
        <v>21</v>
      </c>
      <c r="G58" s="50">
        <v>20313588</v>
      </c>
      <c r="H58" s="16" t="s">
        <v>30</v>
      </c>
      <c r="I58" s="50">
        <v>6</v>
      </c>
      <c r="J58" s="51">
        <v>8</v>
      </c>
      <c r="K58" s="51">
        <v>48</v>
      </c>
    </row>
    <row r="59" spans="4:11">
      <c r="D59" s="49">
        <v>46141</v>
      </c>
      <c r="E59" s="16">
        <v>1599162</v>
      </c>
      <c r="F59" s="16" t="s">
        <v>21</v>
      </c>
      <c r="G59" s="50">
        <v>20377357</v>
      </c>
      <c r="H59" s="16" t="s">
        <v>31</v>
      </c>
      <c r="I59" s="50">
        <v>1</v>
      </c>
      <c r="J59" s="51">
        <v>8</v>
      </c>
      <c r="K59" s="51">
        <v>8</v>
      </c>
    </row>
    <row r="60" spans="4:11">
      <c r="D60" s="49">
        <v>46142</v>
      </c>
      <c r="E60" s="16">
        <v>1599453</v>
      </c>
      <c r="F60" s="16" t="s">
        <v>21</v>
      </c>
      <c r="G60" s="50">
        <v>20406253</v>
      </c>
      <c r="H60" s="16" t="s">
        <v>39</v>
      </c>
      <c r="I60" s="50">
        <v>2</v>
      </c>
      <c r="J60" s="51">
        <v>13.5</v>
      </c>
      <c r="K60" s="51">
        <v>27</v>
      </c>
    </row>
    <row r="61" spans="4:11">
      <c r="D61" s="49">
        <v>46142</v>
      </c>
      <c r="E61" s="16">
        <v>1599453</v>
      </c>
      <c r="F61" s="16" t="s">
        <v>21</v>
      </c>
      <c r="G61" s="50">
        <v>20313588</v>
      </c>
      <c r="H61" s="16" t="s">
        <v>30</v>
      </c>
      <c r="I61" s="50">
        <v>2</v>
      </c>
      <c r="J61" s="51">
        <v>8</v>
      </c>
      <c r="K61" s="51">
        <v>16</v>
      </c>
    </row>
    <row r="62" spans="4:11">
      <c r="D62" s="49">
        <v>46142</v>
      </c>
      <c r="E62" s="16">
        <v>1599453</v>
      </c>
      <c r="F62" s="16" t="s">
        <v>21</v>
      </c>
      <c r="G62" s="50">
        <v>20376620</v>
      </c>
      <c r="H62" s="16" t="s">
        <v>58</v>
      </c>
      <c r="I62" s="50">
        <v>2</v>
      </c>
      <c r="J62" s="51">
        <v>8</v>
      </c>
      <c r="K62" s="51">
        <v>16</v>
      </c>
    </row>
    <row r="63" spans="4:11">
      <c r="D63" s="49">
        <v>46142</v>
      </c>
      <c r="E63" s="16">
        <v>1599620</v>
      </c>
      <c r="F63" s="16" t="s">
        <v>21</v>
      </c>
      <c r="G63" s="50">
        <v>20406253</v>
      </c>
      <c r="H63" s="16" t="s">
        <v>39</v>
      </c>
      <c r="I63" s="50">
        <v>1</v>
      </c>
      <c r="J63" s="51">
        <v>13.5</v>
      </c>
      <c r="K63" s="51">
        <v>13.5</v>
      </c>
    </row>
    <row r="64" spans="4:11">
      <c r="D64" s="49">
        <v>46142</v>
      </c>
      <c r="E64" s="16">
        <v>1599620</v>
      </c>
      <c r="F64" s="16" t="s">
        <v>21</v>
      </c>
      <c r="G64" s="50">
        <v>20313588</v>
      </c>
      <c r="H64" s="16" t="s">
        <v>30</v>
      </c>
      <c r="I64" s="50">
        <v>4</v>
      </c>
      <c r="J64" s="51">
        <v>8</v>
      </c>
      <c r="K64" s="51">
        <v>32</v>
      </c>
    </row>
    <row r="65" spans="4:11">
      <c r="D65" s="49">
        <v>46142</v>
      </c>
      <c r="E65" s="16">
        <v>1599620</v>
      </c>
      <c r="F65" s="16" t="s">
        <v>21</v>
      </c>
      <c r="G65" s="50">
        <v>20376620</v>
      </c>
      <c r="H65" s="16" t="s">
        <v>58</v>
      </c>
      <c r="I65" s="50">
        <v>2</v>
      </c>
      <c r="J65" s="51">
        <v>8</v>
      </c>
      <c r="K65" s="51">
        <v>16</v>
      </c>
    </row>
    <row r="66" spans="4:11">
      <c r="D66" s="49">
        <v>46142</v>
      </c>
      <c r="E66" s="16">
        <v>1599620</v>
      </c>
      <c r="F66" s="16" t="s">
        <v>21</v>
      </c>
      <c r="G66" s="50">
        <v>20377357</v>
      </c>
      <c r="H66" s="16" t="s">
        <v>31</v>
      </c>
      <c r="I66" s="50">
        <v>2</v>
      </c>
      <c r="J66" s="51">
        <v>8</v>
      </c>
      <c r="K66" s="51">
        <v>16</v>
      </c>
    </row>
    <row r="67" spans="4:11">
      <c r="D67" s="49">
        <v>46142</v>
      </c>
      <c r="E67" s="16">
        <v>1599910</v>
      </c>
      <c r="F67" s="16" t="s">
        <v>21</v>
      </c>
      <c r="G67" s="50">
        <v>20376624</v>
      </c>
      <c r="H67" s="16" t="s">
        <v>28</v>
      </c>
      <c r="I67" s="50">
        <v>1</v>
      </c>
      <c r="J67" s="51">
        <v>8</v>
      </c>
      <c r="K67" s="51">
        <v>8</v>
      </c>
    </row>
    <row r="68" spans="4:11">
      <c r="D68" s="49">
        <v>46142</v>
      </c>
      <c r="E68" s="16">
        <v>1599910</v>
      </c>
      <c r="F68" s="16" t="s">
        <v>21</v>
      </c>
      <c r="G68" s="50">
        <v>20406253</v>
      </c>
      <c r="H68" s="16" t="s">
        <v>39</v>
      </c>
      <c r="I68" s="50">
        <v>2</v>
      </c>
      <c r="J68" s="51">
        <v>13.5</v>
      </c>
      <c r="K68" s="51">
        <v>27</v>
      </c>
    </row>
    <row r="69" spans="4:11">
      <c r="D69" s="49">
        <v>46142</v>
      </c>
      <c r="E69" s="16">
        <v>1599910</v>
      </c>
      <c r="F69" s="16" t="s">
        <v>21</v>
      </c>
      <c r="G69" s="50">
        <v>20313588</v>
      </c>
      <c r="H69" s="16" t="s">
        <v>30</v>
      </c>
      <c r="I69" s="50">
        <v>3</v>
      </c>
      <c r="J69" s="51">
        <v>8</v>
      </c>
      <c r="K69" s="51">
        <v>24</v>
      </c>
    </row>
    <row r="70" spans="4:11">
      <c r="D70" s="49">
        <v>46142</v>
      </c>
      <c r="E70" s="16">
        <v>1599910</v>
      </c>
      <c r="F70" s="16" t="s">
        <v>21</v>
      </c>
      <c r="G70" s="50">
        <v>20395495</v>
      </c>
      <c r="H70" s="16" t="s">
        <v>42</v>
      </c>
      <c r="I70" s="50">
        <v>2</v>
      </c>
      <c r="J70" s="51">
        <v>13.5</v>
      </c>
      <c r="K70" s="51">
        <v>27</v>
      </c>
    </row>
    <row r="71" spans="4:11">
      <c r="D71" s="49">
        <v>46142</v>
      </c>
      <c r="E71" s="16">
        <v>1599910</v>
      </c>
      <c r="F71" s="16" t="s">
        <v>21</v>
      </c>
      <c r="G71" s="50">
        <v>20423781</v>
      </c>
      <c r="H71" s="16" t="s">
        <v>49</v>
      </c>
      <c r="I71" s="50">
        <v>1</v>
      </c>
      <c r="J71" s="51">
        <v>8</v>
      </c>
      <c r="K71" s="51">
        <v>8</v>
      </c>
    </row>
    <row r="72" spans="4:11">
      <c r="D72" s="49">
        <v>46142</v>
      </c>
      <c r="E72" s="16">
        <v>1599910</v>
      </c>
      <c r="F72" s="16" t="s">
        <v>21</v>
      </c>
      <c r="G72" s="50">
        <v>20411300</v>
      </c>
      <c r="H72" s="16" t="s">
        <v>48</v>
      </c>
      <c r="I72" s="50">
        <v>1</v>
      </c>
      <c r="J72" s="51">
        <v>13.5</v>
      </c>
      <c r="K72" s="51">
        <v>13.5</v>
      </c>
    </row>
    <row r="73" spans="4:11">
      <c r="D73" s="49">
        <v>46149</v>
      </c>
      <c r="E73" s="16">
        <v>1600763</v>
      </c>
      <c r="F73" s="16" t="s">
        <v>21</v>
      </c>
      <c r="G73" s="50">
        <v>20406253</v>
      </c>
      <c r="H73" s="16" t="s">
        <v>39</v>
      </c>
      <c r="I73" s="50">
        <v>1</v>
      </c>
      <c r="J73" s="51">
        <v>13.5</v>
      </c>
      <c r="K73" s="51">
        <v>13.5</v>
      </c>
    </row>
    <row r="74" spans="4:11">
      <c r="D74" s="49">
        <v>46149</v>
      </c>
      <c r="E74" s="16">
        <v>1600763</v>
      </c>
      <c r="F74" s="16" t="s">
        <v>21</v>
      </c>
      <c r="G74" s="50">
        <v>20313588</v>
      </c>
      <c r="H74" s="16" t="s">
        <v>30</v>
      </c>
      <c r="I74" s="50">
        <v>2</v>
      </c>
      <c r="J74" s="51">
        <v>8</v>
      </c>
      <c r="K74" s="51">
        <v>16</v>
      </c>
    </row>
    <row r="75" spans="4:11">
      <c r="D75" s="49">
        <v>46149</v>
      </c>
      <c r="E75" s="16">
        <v>1600763</v>
      </c>
      <c r="F75" s="16" t="s">
        <v>21</v>
      </c>
      <c r="G75" s="50">
        <v>20376620</v>
      </c>
      <c r="H75" s="16" t="s">
        <v>58</v>
      </c>
      <c r="I75" s="50">
        <v>2</v>
      </c>
      <c r="J75" s="51">
        <v>8</v>
      </c>
      <c r="K75" s="51">
        <v>16</v>
      </c>
    </row>
    <row r="76" spans="4:11">
      <c r="D76" s="49">
        <v>46149</v>
      </c>
      <c r="E76" s="16">
        <v>1600763</v>
      </c>
      <c r="F76" s="16" t="s">
        <v>21</v>
      </c>
      <c r="G76" s="50">
        <v>20377357</v>
      </c>
      <c r="H76" s="16" t="s">
        <v>31</v>
      </c>
      <c r="I76" s="50">
        <v>1</v>
      </c>
      <c r="J76" s="51">
        <v>8</v>
      </c>
      <c r="K76" s="51">
        <v>8</v>
      </c>
    </row>
    <row r="77" spans="4:11">
      <c r="D77" s="49">
        <v>46150</v>
      </c>
      <c r="E77" s="16">
        <v>1601073</v>
      </c>
      <c r="F77" s="16" t="s">
        <v>21</v>
      </c>
      <c r="G77" s="50">
        <v>20406253</v>
      </c>
      <c r="H77" s="16" t="s">
        <v>39</v>
      </c>
      <c r="I77" s="50">
        <v>2</v>
      </c>
      <c r="J77" s="51">
        <v>13.5</v>
      </c>
      <c r="K77" s="51">
        <v>27</v>
      </c>
    </row>
    <row r="78" spans="4:11">
      <c r="D78" s="49">
        <v>46150</v>
      </c>
      <c r="E78" s="16">
        <v>1601073</v>
      </c>
      <c r="F78" s="16" t="s">
        <v>21</v>
      </c>
      <c r="G78" s="50">
        <v>20313588</v>
      </c>
      <c r="H78" s="16" t="s">
        <v>30</v>
      </c>
      <c r="I78" s="50">
        <v>2</v>
      </c>
      <c r="J78" s="51">
        <v>8</v>
      </c>
      <c r="K78" s="51">
        <v>16</v>
      </c>
    </row>
    <row r="79" spans="4:11">
      <c r="D79" s="49">
        <v>46150</v>
      </c>
      <c r="E79" s="16">
        <v>1601073</v>
      </c>
      <c r="F79" s="16" t="s">
        <v>21</v>
      </c>
      <c r="G79" s="50">
        <v>20376620</v>
      </c>
      <c r="H79" s="16" t="s">
        <v>58</v>
      </c>
      <c r="I79" s="50">
        <v>1</v>
      </c>
      <c r="J79" s="51">
        <v>8</v>
      </c>
      <c r="K79" s="51">
        <v>8</v>
      </c>
    </row>
    <row r="80" spans="4:11">
      <c r="D80" s="49">
        <v>46151</v>
      </c>
      <c r="E80" s="16">
        <v>1601504</v>
      </c>
      <c r="F80" s="16" t="s">
        <v>21</v>
      </c>
      <c r="G80" s="50">
        <v>20406253</v>
      </c>
      <c r="H80" s="16" t="s">
        <v>39</v>
      </c>
      <c r="I80" s="50">
        <v>2</v>
      </c>
      <c r="J80" s="51">
        <v>13.5</v>
      </c>
      <c r="K80" s="51">
        <v>27</v>
      </c>
    </row>
    <row r="81" spans="4:11">
      <c r="D81" s="49">
        <v>46151</v>
      </c>
      <c r="E81" s="16">
        <v>1601504</v>
      </c>
      <c r="F81" s="16" t="s">
        <v>21</v>
      </c>
      <c r="G81" s="50">
        <v>20313588</v>
      </c>
      <c r="H81" s="16" t="s">
        <v>30</v>
      </c>
      <c r="I81" s="50">
        <v>4</v>
      </c>
      <c r="J81" s="51">
        <v>8</v>
      </c>
      <c r="K81" s="51">
        <v>32</v>
      </c>
    </row>
    <row r="82" spans="4:11">
      <c r="D82" s="49">
        <v>46151</v>
      </c>
      <c r="E82" s="16">
        <v>1601504</v>
      </c>
      <c r="F82" s="16" t="s">
        <v>21</v>
      </c>
      <c r="G82" s="50">
        <v>20377357</v>
      </c>
      <c r="H82" s="16" t="s">
        <v>31</v>
      </c>
      <c r="I82" s="50">
        <v>4</v>
      </c>
      <c r="J82" s="51">
        <v>8</v>
      </c>
      <c r="K82" s="51">
        <v>32</v>
      </c>
    </row>
    <row r="83" spans="4:11">
      <c r="D83" s="49">
        <v>46151</v>
      </c>
      <c r="E83" s="16">
        <v>1601619</v>
      </c>
      <c r="F83" s="16" t="s">
        <v>21</v>
      </c>
      <c r="G83" s="50">
        <v>20406253</v>
      </c>
      <c r="H83" s="16" t="s">
        <v>39</v>
      </c>
      <c r="I83" s="50">
        <v>3</v>
      </c>
      <c r="J83" s="51">
        <v>13.5</v>
      </c>
      <c r="K83" s="51">
        <v>40.5</v>
      </c>
    </row>
    <row r="84" spans="4:11">
      <c r="D84" s="49">
        <v>46151</v>
      </c>
      <c r="E84" s="16">
        <v>1601619</v>
      </c>
      <c r="F84" s="16" t="s">
        <v>21</v>
      </c>
      <c r="G84" s="50">
        <v>20313588</v>
      </c>
      <c r="H84" s="16" t="s">
        <v>30</v>
      </c>
      <c r="I84" s="50">
        <v>3</v>
      </c>
      <c r="J84" s="51">
        <v>8</v>
      </c>
      <c r="K84" s="51">
        <v>24</v>
      </c>
    </row>
    <row r="85" spans="4:11">
      <c r="D85" s="49">
        <v>46151</v>
      </c>
      <c r="E85" s="16">
        <v>1601619</v>
      </c>
      <c r="F85" s="16" t="s">
        <v>21</v>
      </c>
      <c r="G85" s="50">
        <v>20376620</v>
      </c>
      <c r="H85" s="16" t="s">
        <v>58</v>
      </c>
      <c r="I85" s="50">
        <v>1</v>
      </c>
      <c r="J85" s="51">
        <v>8</v>
      </c>
      <c r="K85" s="51">
        <v>8</v>
      </c>
    </row>
    <row r="86" spans="4:11">
      <c r="D86" s="49">
        <v>46151</v>
      </c>
      <c r="E86" s="16">
        <v>1601802</v>
      </c>
      <c r="F86" s="16" t="s">
        <v>21</v>
      </c>
      <c r="G86" s="50">
        <v>20406253</v>
      </c>
      <c r="H86" s="16" t="s">
        <v>39</v>
      </c>
      <c r="I86" s="50">
        <v>2</v>
      </c>
      <c r="J86" s="51">
        <v>13.5</v>
      </c>
      <c r="K86" s="51">
        <v>27</v>
      </c>
    </row>
    <row r="87" spans="4:11">
      <c r="D87" s="49">
        <v>46151</v>
      </c>
      <c r="E87" s="16">
        <v>1601802</v>
      </c>
      <c r="F87" s="16" t="s">
        <v>21</v>
      </c>
      <c r="G87" s="50">
        <v>20313588</v>
      </c>
      <c r="H87" s="16" t="s">
        <v>30</v>
      </c>
      <c r="I87" s="50">
        <v>1</v>
      </c>
      <c r="J87" s="51">
        <v>8</v>
      </c>
      <c r="K87" s="51">
        <v>8</v>
      </c>
    </row>
    <row r="88" spans="4:11">
      <c r="D88" s="49">
        <v>46151</v>
      </c>
      <c r="E88" s="16">
        <v>1601802</v>
      </c>
      <c r="F88" s="16" t="s">
        <v>21</v>
      </c>
      <c r="G88" s="50">
        <v>20376620</v>
      </c>
      <c r="H88" s="16" t="s">
        <v>58</v>
      </c>
      <c r="I88" s="50">
        <v>1</v>
      </c>
      <c r="J88" s="51">
        <v>8</v>
      </c>
      <c r="K88" s="51">
        <v>8</v>
      </c>
    </row>
    <row r="89" spans="4:11">
      <c r="D89" s="49">
        <v>46154</v>
      </c>
      <c r="E89" s="16">
        <v>1602566</v>
      </c>
      <c r="F89" s="16" t="s">
        <v>21</v>
      </c>
      <c r="G89" s="50">
        <v>20406253</v>
      </c>
      <c r="H89" s="16" t="s">
        <v>39</v>
      </c>
      <c r="I89" s="50">
        <v>3</v>
      </c>
      <c r="J89" s="51">
        <v>13.5</v>
      </c>
      <c r="K89" s="51">
        <v>40.5</v>
      </c>
    </row>
    <row r="90" spans="4:11">
      <c r="D90" s="49">
        <v>46154</v>
      </c>
      <c r="E90" s="16">
        <v>1602566</v>
      </c>
      <c r="F90" s="16" t="s">
        <v>21</v>
      </c>
      <c r="G90" s="50">
        <v>20313588</v>
      </c>
      <c r="H90" s="16" t="s">
        <v>30</v>
      </c>
      <c r="I90" s="50">
        <v>3</v>
      </c>
      <c r="J90" s="51">
        <v>8</v>
      </c>
      <c r="K90" s="51">
        <v>24</v>
      </c>
    </row>
    <row r="91" spans="4:11">
      <c r="D91" s="49">
        <v>46155</v>
      </c>
      <c r="E91" s="16">
        <v>1602684</v>
      </c>
      <c r="F91" s="16" t="s">
        <v>21</v>
      </c>
      <c r="G91" s="50">
        <v>20406253</v>
      </c>
      <c r="H91" s="16" t="s">
        <v>39</v>
      </c>
      <c r="I91" s="50">
        <v>2</v>
      </c>
      <c r="J91" s="51">
        <v>13.5</v>
      </c>
      <c r="K91" s="51">
        <v>27</v>
      </c>
    </row>
    <row r="92" spans="4:11">
      <c r="D92" s="49">
        <v>46155</v>
      </c>
      <c r="E92" s="16">
        <v>1602684</v>
      </c>
      <c r="F92" s="16" t="s">
        <v>21</v>
      </c>
      <c r="G92" s="50">
        <v>20313588</v>
      </c>
      <c r="H92" s="16" t="s">
        <v>30</v>
      </c>
      <c r="I92" s="50">
        <v>2</v>
      </c>
      <c r="J92" s="51">
        <v>8</v>
      </c>
      <c r="K92" s="51">
        <v>16</v>
      </c>
    </row>
    <row r="93" spans="4:11">
      <c r="D93" s="49">
        <v>46155</v>
      </c>
      <c r="E93" s="16">
        <v>1602684</v>
      </c>
      <c r="F93" s="16" t="s">
        <v>21</v>
      </c>
      <c r="G93" s="50">
        <v>20376621</v>
      </c>
      <c r="H93" s="16" t="s">
        <v>58</v>
      </c>
      <c r="I93" s="50">
        <v>2</v>
      </c>
      <c r="J93" s="51">
        <v>8</v>
      </c>
      <c r="K93" s="51">
        <v>16</v>
      </c>
    </row>
    <row r="94" ht="0.05" customHeight="1"/>
  </sheetData>
  <autoFilter xmlns:etc="http://www.wps.cn/officeDocument/2017/etCustomData" ref="A7:K93" etc:filterBottomFollowUsedRange="0">
    <extLst/>
  </autoFilter>
  <mergeCells count="5">
    <mergeCell ref="D8:H8"/>
    <mergeCell ref="C7:C93"/>
    <mergeCell ref="B4:H5"/>
    <mergeCell ref="A7:B9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96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1735</v>
      </c>
      <c r="J8" s="48"/>
      <c r="K8" s="48">
        <v>13880</v>
      </c>
    </row>
    <row r="9" spans="1:11">
      <c r="D9" s="49">
        <v>46127</v>
      </c>
      <c r="E9" s="16">
        <v>1595222</v>
      </c>
      <c r="F9" s="16" t="s">
        <v>21</v>
      </c>
      <c r="G9" s="50">
        <v>20354551</v>
      </c>
      <c r="H9" s="16" t="s">
        <v>77</v>
      </c>
      <c r="I9" s="50">
        <v>79</v>
      </c>
      <c r="J9" s="51">
        <v>8</v>
      </c>
      <c r="K9" s="51">
        <v>632</v>
      </c>
    </row>
    <row r="10" spans="1:11">
      <c r="D10" s="49">
        <v>46128</v>
      </c>
      <c r="E10" s="16">
        <v>1595589</v>
      </c>
      <c r="F10" s="16" t="s">
        <v>21</v>
      </c>
      <c r="G10" s="50">
        <v>20354551</v>
      </c>
      <c r="H10" s="16" t="s">
        <v>77</v>
      </c>
      <c r="I10" s="50">
        <v>81</v>
      </c>
      <c r="J10" s="51">
        <v>8</v>
      </c>
      <c r="K10" s="51">
        <v>648</v>
      </c>
    </row>
    <row r="11" spans="1:11">
      <c r="D11" s="49">
        <v>46130</v>
      </c>
      <c r="E11" s="16">
        <v>1596021</v>
      </c>
      <c r="F11" s="16" t="s">
        <v>21</v>
      </c>
      <c r="G11" s="50">
        <v>20354551</v>
      </c>
      <c r="H11" s="16" t="s">
        <v>77</v>
      </c>
      <c r="I11" s="50">
        <v>55</v>
      </c>
      <c r="J11" s="51">
        <v>8</v>
      </c>
      <c r="K11" s="51">
        <v>440</v>
      </c>
    </row>
    <row r="12" spans="1:11">
      <c r="D12" s="49">
        <v>46130</v>
      </c>
      <c r="E12" s="16">
        <v>1596118</v>
      </c>
      <c r="F12" s="16" t="s">
        <v>21</v>
      </c>
      <c r="G12" s="50">
        <v>20354551</v>
      </c>
      <c r="H12" s="16" t="s">
        <v>77</v>
      </c>
      <c r="I12" s="50">
        <v>37</v>
      </c>
      <c r="J12" s="51">
        <v>8</v>
      </c>
      <c r="K12" s="51">
        <v>296</v>
      </c>
    </row>
    <row r="13" spans="1:11">
      <c r="D13" s="49">
        <v>46132</v>
      </c>
      <c r="E13" s="16">
        <v>1596514</v>
      </c>
      <c r="F13" s="16" t="s">
        <v>21</v>
      </c>
      <c r="G13" s="50">
        <v>20354551</v>
      </c>
      <c r="H13" s="16" t="s">
        <v>77</v>
      </c>
      <c r="I13" s="50">
        <v>93</v>
      </c>
      <c r="J13" s="51">
        <v>8</v>
      </c>
      <c r="K13" s="51">
        <v>744</v>
      </c>
    </row>
    <row r="14" spans="1:11">
      <c r="D14" s="49">
        <v>46134</v>
      </c>
      <c r="E14" s="16">
        <v>1596966</v>
      </c>
      <c r="F14" s="16" t="s">
        <v>21</v>
      </c>
      <c r="G14" s="50">
        <v>20354551</v>
      </c>
      <c r="H14" s="16" t="s">
        <v>77</v>
      </c>
      <c r="I14" s="50">
        <v>66</v>
      </c>
      <c r="J14" s="51">
        <v>8</v>
      </c>
      <c r="K14" s="51">
        <v>528</v>
      </c>
    </row>
    <row r="15" spans="1:11">
      <c r="D15" s="49">
        <v>46134</v>
      </c>
      <c r="E15" s="16">
        <v>1597275</v>
      </c>
      <c r="F15" s="16" t="s">
        <v>21</v>
      </c>
      <c r="G15" s="50">
        <v>20354551</v>
      </c>
      <c r="H15" s="16" t="s">
        <v>77</v>
      </c>
      <c r="I15" s="50">
        <v>83</v>
      </c>
      <c r="J15" s="51">
        <v>8</v>
      </c>
      <c r="K15" s="51">
        <v>664</v>
      </c>
    </row>
    <row r="16" spans="1:11">
      <c r="D16" s="49">
        <v>46136</v>
      </c>
      <c r="E16" s="16">
        <v>1597726</v>
      </c>
      <c r="F16" s="16" t="s">
        <v>21</v>
      </c>
      <c r="G16" s="50">
        <v>20354551</v>
      </c>
      <c r="H16" s="16" t="s">
        <v>77</v>
      </c>
      <c r="I16" s="50">
        <v>82</v>
      </c>
      <c r="J16" s="51">
        <v>8</v>
      </c>
      <c r="K16" s="51">
        <v>656</v>
      </c>
    </row>
    <row r="17" spans="4:11">
      <c r="D17" s="49">
        <v>46137</v>
      </c>
      <c r="E17" s="16">
        <v>1598081</v>
      </c>
      <c r="F17" s="16" t="s">
        <v>21</v>
      </c>
      <c r="G17" s="50">
        <v>20354551</v>
      </c>
      <c r="H17" s="16" t="s">
        <v>77</v>
      </c>
      <c r="I17" s="50">
        <v>85</v>
      </c>
      <c r="J17" s="51">
        <v>8</v>
      </c>
      <c r="K17" s="51">
        <v>680</v>
      </c>
    </row>
    <row r="18" spans="4:11">
      <c r="D18" s="49">
        <v>46137</v>
      </c>
      <c r="E18" s="16">
        <v>1598187</v>
      </c>
      <c r="F18" s="16" t="s">
        <v>21</v>
      </c>
      <c r="G18" s="50">
        <v>20354551</v>
      </c>
      <c r="H18" s="16" t="s">
        <v>77</v>
      </c>
      <c r="I18" s="50">
        <v>25</v>
      </c>
      <c r="J18" s="51">
        <v>8</v>
      </c>
      <c r="K18" s="51">
        <v>200</v>
      </c>
    </row>
    <row r="19" spans="4:11">
      <c r="D19" s="49">
        <v>46140</v>
      </c>
      <c r="E19" s="16">
        <v>1598622</v>
      </c>
      <c r="F19" s="16" t="s">
        <v>21</v>
      </c>
      <c r="G19" s="50">
        <v>20354551</v>
      </c>
      <c r="H19" s="16" t="s">
        <v>77</v>
      </c>
      <c r="I19" s="50">
        <v>79</v>
      </c>
      <c r="J19" s="51">
        <v>8</v>
      </c>
      <c r="K19" s="51">
        <v>632</v>
      </c>
    </row>
    <row r="20" spans="4:11">
      <c r="D20" s="49">
        <v>46141</v>
      </c>
      <c r="E20" s="16">
        <v>1599051</v>
      </c>
      <c r="F20" s="16" t="s">
        <v>21</v>
      </c>
      <c r="G20" s="50">
        <v>20354551</v>
      </c>
      <c r="H20" s="16" t="s">
        <v>77</v>
      </c>
      <c r="I20" s="50">
        <v>84</v>
      </c>
      <c r="J20" s="51">
        <v>8</v>
      </c>
      <c r="K20" s="51">
        <v>672</v>
      </c>
    </row>
    <row r="21" spans="4:11">
      <c r="D21" s="49">
        <v>46142</v>
      </c>
      <c r="E21" s="16">
        <v>1599454</v>
      </c>
      <c r="F21" s="16" t="s">
        <v>21</v>
      </c>
      <c r="G21" s="50">
        <v>20354551</v>
      </c>
      <c r="H21" s="16" t="s">
        <v>77</v>
      </c>
      <c r="I21" s="50">
        <v>90</v>
      </c>
      <c r="J21" s="51">
        <v>8</v>
      </c>
      <c r="K21" s="51">
        <v>720</v>
      </c>
    </row>
    <row r="22" spans="4:11">
      <c r="D22" s="49">
        <v>46142</v>
      </c>
      <c r="E22" s="16">
        <v>1599899</v>
      </c>
      <c r="F22" s="16" t="s">
        <v>21</v>
      </c>
      <c r="G22" s="50">
        <v>20354551</v>
      </c>
      <c r="H22" s="16" t="s">
        <v>77</v>
      </c>
      <c r="I22" s="50">
        <v>73</v>
      </c>
      <c r="J22" s="51">
        <v>8</v>
      </c>
      <c r="K22" s="51">
        <v>584</v>
      </c>
    </row>
    <row r="23" spans="4:11">
      <c r="D23" s="49">
        <v>46143</v>
      </c>
      <c r="E23" s="16">
        <v>1599977</v>
      </c>
      <c r="F23" s="16" t="s">
        <v>21</v>
      </c>
      <c r="G23" s="50">
        <v>20354551</v>
      </c>
      <c r="H23" s="16" t="s">
        <v>77</v>
      </c>
      <c r="I23" s="50">
        <v>31</v>
      </c>
      <c r="J23" s="51">
        <v>8</v>
      </c>
      <c r="K23" s="51">
        <v>248</v>
      </c>
    </row>
    <row r="24" spans="4:11">
      <c r="D24" s="49">
        <v>46147</v>
      </c>
      <c r="E24" s="16">
        <v>1600284</v>
      </c>
      <c r="F24" s="16" t="s">
        <v>21</v>
      </c>
      <c r="G24" s="50">
        <v>20354551</v>
      </c>
      <c r="H24" s="16" t="s">
        <v>77</v>
      </c>
      <c r="I24" s="50">
        <v>76</v>
      </c>
      <c r="J24" s="51">
        <v>8</v>
      </c>
      <c r="K24" s="51">
        <v>608</v>
      </c>
    </row>
    <row r="25" spans="4:11">
      <c r="D25" s="49">
        <v>46148</v>
      </c>
      <c r="E25" s="16">
        <v>1600643</v>
      </c>
      <c r="F25" s="16" t="s">
        <v>21</v>
      </c>
      <c r="G25" s="50">
        <v>20354551</v>
      </c>
      <c r="H25" s="16" t="s">
        <v>77</v>
      </c>
      <c r="I25" s="50">
        <v>35</v>
      </c>
      <c r="J25" s="51">
        <v>8</v>
      </c>
      <c r="K25" s="51">
        <v>280</v>
      </c>
    </row>
    <row r="26" spans="4:11">
      <c r="D26" s="49">
        <v>46150</v>
      </c>
      <c r="E26" s="16">
        <v>1601019</v>
      </c>
      <c r="F26" s="16" t="s">
        <v>21</v>
      </c>
      <c r="G26" s="50">
        <v>20354551</v>
      </c>
      <c r="H26" s="16" t="s">
        <v>77</v>
      </c>
      <c r="I26" s="50">
        <v>97</v>
      </c>
      <c r="J26" s="51">
        <v>8</v>
      </c>
      <c r="K26" s="51">
        <v>776</v>
      </c>
    </row>
    <row r="27" spans="4:11">
      <c r="D27" s="49">
        <v>46151</v>
      </c>
      <c r="E27" s="16">
        <v>1601491</v>
      </c>
      <c r="F27" s="16" t="s">
        <v>21</v>
      </c>
      <c r="G27" s="50">
        <v>20354551</v>
      </c>
      <c r="H27" s="16" t="s">
        <v>77</v>
      </c>
      <c r="I27" s="50">
        <v>86</v>
      </c>
      <c r="J27" s="51">
        <v>8</v>
      </c>
      <c r="K27" s="51">
        <v>688</v>
      </c>
    </row>
    <row r="28" spans="4:11">
      <c r="D28" s="49">
        <v>46151</v>
      </c>
      <c r="E28" s="16">
        <v>1601803</v>
      </c>
      <c r="F28" s="16" t="s">
        <v>21</v>
      </c>
      <c r="G28" s="50">
        <v>20354551</v>
      </c>
      <c r="H28" s="16" t="s">
        <v>77</v>
      </c>
      <c r="I28" s="50">
        <v>89</v>
      </c>
      <c r="J28" s="51">
        <v>8</v>
      </c>
      <c r="K28" s="51">
        <v>712</v>
      </c>
    </row>
    <row r="29" spans="4:11">
      <c r="D29" s="49">
        <v>46153</v>
      </c>
      <c r="E29" s="16">
        <v>1602029</v>
      </c>
      <c r="F29" s="16" t="s">
        <v>21</v>
      </c>
      <c r="G29" s="50">
        <v>20354551</v>
      </c>
      <c r="H29" s="16" t="s">
        <v>77</v>
      </c>
      <c r="I29" s="50">
        <v>22</v>
      </c>
      <c r="J29" s="51">
        <v>8</v>
      </c>
      <c r="K29" s="51">
        <v>176</v>
      </c>
    </row>
    <row r="30" spans="4:11">
      <c r="D30" s="49">
        <v>46153</v>
      </c>
      <c r="E30" s="16">
        <v>1602163</v>
      </c>
      <c r="F30" s="16" t="s">
        <v>21</v>
      </c>
      <c r="G30" s="50">
        <v>20354551</v>
      </c>
      <c r="H30" s="16" t="s">
        <v>77</v>
      </c>
      <c r="I30" s="50">
        <v>59</v>
      </c>
      <c r="J30" s="51">
        <v>8</v>
      </c>
      <c r="K30" s="51">
        <v>472</v>
      </c>
    </row>
    <row r="31" spans="4:11">
      <c r="D31" s="49">
        <v>46154</v>
      </c>
      <c r="E31" s="16">
        <v>1602555</v>
      </c>
      <c r="F31" s="16" t="s">
        <v>21</v>
      </c>
      <c r="G31" s="50">
        <v>20354551</v>
      </c>
      <c r="H31" s="16" t="s">
        <v>77</v>
      </c>
      <c r="I31" s="50">
        <v>91</v>
      </c>
      <c r="J31" s="51">
        <v>8</v>
      </c>
      <c r="K31" s="51">
        <v>728</v>
      </c>
    </row>
    <row r="32" spans="4:11">
      <c r="D32" s="49">
        <v>46156</v>
      </c>
      <c r="E32" s="16">
        <v>1602922</v>
      </c>
      <c r="F32" s="16" t="s">
        <v>21</v>
      </c>
      <c r="G32" s="50">
        <v>20354551</v>
      </c>
      <c r="H32" s="16" t="s">
        <v>77</v>
      </c>
      <c r="I32" s="50">
        <v>79</v>
      </c>
      <c r="J32" s="51">
        <v>8</v>
      </c>
      <c r="K32" s="51">
        <v>632</v>
      </c>
    </row>
    <row r="33" spans="4:11">
      <c r="D33" s="49">
        <v>46156</v>
      </c>
      <c r="E33" s="16">
        <v>1603251</v>
      </c>
      <c r="F33" s="16" t="s">
        <v>21</v>
      </c>
      <c r="G33" s="50">
        <v>20354551</v>
      </c>
      <c r="H33" s="16" t="s">
        <v>77</v>
      </c>
      <c r="I33" s="50">
        <v>58</v>
      </c>
      <c r="J33" s="51">
        <v>8</v>
      </c>
      <c r="K33" s="51">
        <v>464</v>
      </c>
    </row>
  </sheetData>
  <autoFilter xmlns:etc="http://www.wps.cn/officeDocument/2017/etCustomData" ref="A7:K33" etc:filterBottomFollowUsedRange="0">
    <extLst/>
  </autoFilter>
  <mergeCells count="5">
    <mergeCell ref="D8:H8"/>
    <mergeCell ref="C7:C33"/>
    <mergeCell ref="B4:H5"/>
    <mergeCell ref="A7:B3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6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3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97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2608</v>
      </c>
      <c r="J8" s="48"/>
      <c r="K8" s="48">
        <v>27050.5</v>
      </c>
    </row>
    <row r="9" spans="1:11">
      <c r="D9" s="49">
        <v>46127</v>
      </c>
      <c r="E9" s="16">
        <v>1595223</v>
      </c>
      <c r="F9" s="16" t="s">
        <v>19</v>
      </c>
      <c r="G9" s="50">
        <v>20005210</v>
      </c>
      <c r="H9" s="16" t="s">
        <v>98</v>
      </c>
      <c r="I9" s="50">
        <v>5</v>
      </c>
      <c r="J9" s="51">
        <v>49.5</v>
      </c>
      <c r="K9" s="51">
        <v>247.5</v>
      </c>
    </row>
    <row r="10" spans="1:11">
      <c r="D10" s="49">
        <v>46127</v>
      </c>
      <c r="E10" s="16">
        <v>1595223</v>
      </c>
      <c r="F10" s="16" t="s">
        <v>21</v>
      </c>
      <c r="G10" s="50">
        <v>20005207</v>
      </c>
      <c r="H10" s="16" t="s">
        <v>56</v>
      </c>
      <c r="I10" s="50">
        <v>12</v>
      </c>
      <c r="J10" s="51">
        <v>8</v>
      </c>
      <c r="K10" s="51">
        <v>96</v>
      </c>
    </row>
    <row r="11" spans="1:11">
      <c r="D11" s="49">
        <v>46127</v>
      </c>
      <c r="E11" s="16">
        <v>1595223</v>
      </c>
      <c r="F11" s="16" t="s">
        <v>21</v>
      </c>
      <c r="G11" s="50">
        <v>20005208</v>
      </c>
      <c r="H11" s="16" t="s">
        <v>55</v>
      </c>
      <c r="I11" s="50">
        <v>34</v>
      </c>
      <c r="J11" s="51">
        <v>8</v>
      </c>
      <c r="K11" s="51">
        <v>272</v>
      </c>
    </row>
    <row r="12" spans="1:11">
      <c r="D12" s="49">
        <v>46127</v>
      </c>
      <c r="E12" s="16">
        <v>1595223</v>
      </c>
      <c r="F12" s="16" t="s">
        <v>21</v>
      </c>
      <c r="G12" s="50">
        <v>20313590</v>
      </c>
      <c r="H12" s="16" t="s">
        <v>99</v>
      </c>
      <c r="I12" s="50">
        <v>1</v>
      </c>
      <c r="J12" s="51">
        <v>8</v>
      </c>
      <c r="K12" s="51">
        <v>8</v>
      </c>
    </row>
    <row r="13" spans="1:11">
      <c r="D13" s="49">
        <v>46127</v>
      </c>
      <c r="E13" s="16">
        <v>1595223</v>
      </c>
      <c r="F13" s="16" t="s">
        <v>21</v>
      </c>
      <c r="G13" s="50">
        <v>20013630</v>
      </c>
      <c r="H13" s="16" t="s">
        <v>100</v>
      </c>
      <c r="I13" s="50">
        <v>5</v>
      </c>
      <c r="J13" s="51">
        <v>8</v>
      </c>
      <c r="K13" s="51">
        <v>40</v>
      </c>
    </row>
    <row r="14" spans="1:11">
      <c r="D14" s="49">
        <v>46127</v>
      </c>
      <c r="E14" s="16">
        <v>1595223</v>
      </c>
      <c r="F14" s="16" t="s">
        <v>21</v>
      </c>
      <c r="G14" s="50">
        <v>20407295</v>
      </c>
      <c r="H14" s="16" t="s">
        <v>101</v>
      </c>
      <c r="I14" s="50">
        <v>25</v>
      </c>
      <c r="J14" s="51">
        <v>8</v>
      </c>
      <c r="K14" s="51">
        <v>200</v>
      </c>
    </row>
    <row r="15" spans="1:11">
      <c r="D15" s="49">
        <v>46127</v>
      </c>
      <c r="E15" s="16">
        <v>1595223</v>
      </c>
      <c r="F15" s="16" t="s">
        <v>21</v>
      </c>
      <c r="G15" s="50">
        <v>20324084</v>
      </c>
      <c r="H15" s="16" t="s">
        <v>22</v>
      </c>
      <c r="I15" s="50">
        <v>2</v>
      </c>
      <c r="J15" s="51">
        <v>8</v>
      </c>
      <c r="K15" s="51">
        <v>16</v>
      </c>
    </row>
    <row r="16" spans="1:11">
      <c r="D16" s="49">
        <v>46127</v>
      </c>
      <c r="E16" s="16">
        <v>1595223</v>
      </c>
      <c r="F16" s="16" t="s">
        <v>21</v>
      </c>
      <c r="G16" s="50">
        <v>20321305</v>
      </c>
      <c r="H16" s="16" t="s">
        <v>102</v>
      </c>
      <c r="I16" s="50">
        <v>1</v>
      </c>
      <c r="J16" s="51">
        <v>8</v>
      </c>
      <c r="K16" s="51">
        <v>8</v>
      </c>
    </row>
    <row r="17" spans="4:11">
      <c r="D17" s="49">
        <v>46127</v>
      </c>
      <c r="E17" s="16">
        <v>1595223</v>
      </c>
      <c r="F17" s="16" t="s">
        <v>21</v>
      </c>
      <c r="G17" s="50">
        <v>20314990</v>
      </c>
      <c r="H17" s="16" t="s">
        <v>52</v>
      </c>
      <c r="I17" s="50">
        <v>9</v>
      </c>
      <c r="J17" s="51">
        <v>8</v>
      </c>
      <c r="K17" s="51">
        <v>72</v>
      </c>
    </row>
    <row r="18" spans="4:11">
      <c r="D18" s="49">
        <v>46127</v>
      </c>
      <c r="E18" s="16">
        <v>1595223</v>
      </c>
      <c r="F18" s="16" t="s">
        <v>21</v>
      </c>
      <c r="G18" s="50">
        <v>20005849</v>
      </c>
      <c r="H18" s="16" t="s">
        <v>54</v>
      </c>
      <c r="I18" s="50">
        <v>15</v>
      </c>
      <c r="J18" s="51">
        <v>8</v>
      </c>
      <c r="K18" s="51">
        <v>120</v>
      </c>
    </row>
    <row r="19" spans="4:11">
      <c r="D19" s="49">
        <v>46127</v>
      </c>
      <c r="E19" s="16">
        <v>1595223</v>
      </c>
      <c r="F19" s="16" t="s">
        <v>13</v>
      </c>
      <c r="G19" s="50">
        <v>20008026</v>
      </c>
      <c r="H19" s="16" t="s">
        <v>103</v>
      </c>
      <c r="I19" s="50">
        <v>11</v>
      </c>
      <c r="J19" s="51">
        <v>16.5</v>
      </c>
      <c r="K19" s="51">
        <v>181.5</v>
      </c>
    </row>
    <row r="20" spans="4:11">
      <c r="D20" s="49">
        <v>46128</v>
      </c>
      <c r="E20" s="16">
        <v>1595257</v>
      </c>
      <c r="F20" s="16" t="s">
        <v>21</v>
      </c>
      <c r="G20" s="50">
        <v>20005208</v>
      </c>
      <c r="H20" s="16" t="s">
        <v>55</v>
      </c>
      <c r="I20" s="50">
        <v>1</v>
      </c>
      <c r="J20" s="51">
        <v>8</v>
      </c>
      <c r="K20" s="51">
        <v>8</v>
      </c>
    </row>
    <row r="21" spans="4:11">
      <c r="D21" s="49">
        <v>46128</v>
      </c>
      <c r="E21" s="16">
        <v>1595462</v>
      </c>
      <c r="F21" s="16" t="s">
        <v>16</v>
      </c>
      <c r="G21" s="50">
        <v>20302879</v>
      </c>
      <c r="H21" s="16" t="s">
        <v>104</v>
      </c>
      <c r="I21" s="50">
        <v>1</v>
      </c>
      <c r="J21" s="51">
        <v>4</v>
      </c>
      <c r="K21" s="51">
        <v>4</v>
      </c>
    </row>
    <row r="22" spans="4:11">
      <c r="D22" s="49">
        <v>46128</v>
      </c>
      <c r="E22" s="16">
        <v>1595588</v>
      </c>
      <c r="F22" s="16" t="s">
        <v>19</v>
      </c>
      <c r="G22" s="50">
        <v>20005210</v>
      </c>
      <c r="H22" s="16" t="s">
        <v>98</v>
      </c>
      <c r="I22" s="50">
        <v>1</v>
      </c>
      <c r="J22" s="51">
        <v>49.5</v>
      </c>
      <c r="K22" s="51">
        <v>49.5</v>
      </c>
    </row>
    <row r="23" spans="4:11">
      <c r="D23" s="49">
        <v>46128</v>
      </c>
      <c r="E23" s="16">
        <v>1595588</v>
      </c>
      <c r="F23" s="16" t="s">
        <v>21</v>
      </c>
      <c r="G23" s="50">
        <v>20005207</v>
      </c>
      <c r="H23" s="16" t="s">
        <v>56</v>
      </c>
      <c r="I23" s="50">
        <v>10</v>
      </c>
      <c r="J23" s="51">
        <v>8</v>
      </c>
      <c r="K23" s="51">
        <v>80</v>
      </c>
    </row>
    <row r="24" spans="4:11">
      <c r="D24" s="49">
        <v>46128</v>
      </c>
      <c r="E24" s="16">
        <v>1595588</v>
      </c>
      <c r="F24" s="16" t="s">
        <v>21</v>
      </c>
      <c r="G24" s="50">
        <v>20005208</v>
      </c>
      <c r="H24" s="16" t="s">
        <v>55</v>
      </c>
      <c r="I24" s="50">
        <v>25</v>
      </c>
      <c r="J24" s="51">
        <v>8</v>
      </c>
      <c r="K24" s="51">
        <v>200</v>
      </c>
    </row>
    <row r="25" spans="4:11">
      <c r="D25" s="49">
        <v>46128</v>
      </c>
      <c r="E25" s="16">
        <v>1595588</v>
      </c>
      <c r="F25" s="16" t="s">
        <v>21</v>
      </c>
      <c r="G25" s="50">
        <v>20013630</v>
      </c>
      <c r="H25" s="16" t="s">
        <v>100</v>
      </c>
      <c r="I25" s="50">
        <v>2</v>
      </c>
      <c r="J25" s="51">
        <v>8</v>
      </c>
      <c r="K25" s="51">
        <v>16</v>
      </c>
    </row>
    <row r="26" spans="4:11">
      <c r="D26" s="49">
        <v>46128</v>
      </c>
      <c r="E26" s="16">
        <v>1595588</v>
      </c>
      <c r="F26" s="16" t="s">
        <v>21</v>
      </c>
      <c r="G26" s="50">
        <v>20407295</v>
      </c>
      <c r="H26" s="16" t="s">
        <v>101</v>
      </c>
      <c r="I26" s="50">
        <v>22</v>
      </c>
      <c r="J26" s="51">
        <v>8</v>
      </c>
      <c r="K26" s="51">
        <v>176</v>
      </c>
    </row>
    <row r="27" spans="4:11">
      <c r="D27" s="49">
        <v>46128</v>
      </c>
      <c r="E27" s="16">
        <v>1595588</v>
      </c>
      <c r="F27" s="16" t="s">
        <v>21</v>
      </c>
      <c r="G27" s="50">
        <v>20324084</v>
      </c>
      <c r="H27" s="16" t="s">
        <v>22</v>
      </c>
      <c r="I27" s="50">
        <v>1</v>
      </c>
      <c r="J27" s="51">
        <v>8</v>
      </c>
      <c r="K27" s="51">
        <v>8</v>
      </c>
    </row>
    <row r="28" spans="4:11">
      <c r="D28" s="49">
        <v>46128</v>
      </c>
      <c r="E28" s="16">
        <v>1595588</v>
      </c>
      <c r="F28" s="16" t="s">
        <v>21</v>
      </c>
      <c r="G28" s="50">
        <v>20302876</v>
      </c>
      <c r="H28" s="16" t="s">
        <v>105</v>
      </c>
      <c r="I28" s="50">
        <v>1</v>
      </c>
      <c r="J28" s="51">
        <v>16</v>
      </c>
      <c r="K28" s="51">
        <v>16</v>
      </c>
    </row>
    <row r="29" spans="4:11">
      <c r="D29" s="49">
        <v>46128</v>
      </c>
      <c r="E29" s="16">
        <v>1595588</v>
      </c>
      <c r="F29" s="16" t="s">
        <v>21</v>
      </c>
      <c r="G29" s="50">
        <v>20314990</v>
      </c>
      <c r="H29" s="16" t="s">
        <v>52</v>
      </c>
      <c r="I29" s="50">
        <v>6</v>
      </c>
      <c r="J29" s="51">
        <v>8</v>
      </c>
      <c r="K29" s="51">
        <v>48</v>
      </c>
    </row>
    <row r="30" spans="4:11">
      <c r="D30" s="49">
        <v>46128</v>
      </c>
      <c r="E30" s="16">
        <v>1595588</v>
      </c>
      <c r="F30" s="16" t="s">
        <v>21</v>
      </c>
      <c r="G30" s="50">
        <v>20005849</v>
      </c>
      <c r="H30" s="16" t="s">
        <v>54</v>
      </c>
      <c r="I30" s="50">
        <v>6</v>
      </c>
      <c r="J30" s="51">
        <v>8</v>
      </c>
      <c r="K30" s="51">
        <v>48</v>
      </c>
    </row>
    <row r="31" spans="4:11">
      <c r="D31" s="49">
        <v>46128</v>
      </c>
      <c r="E31" s="16">
        <v>1595588</v>
      </c>
      <c r="F31" s="16" t="s">
        <v>13</v>
      </c>
      <c r="G31" s="50">
        <v>20008026</v>
      </c>
      <c r="H31" s="16" t="s">
        <v>103</v>
      </c>
      <c r="I31" s="50">
        <v>7</v>
      </c>
      <c r="J31" s="51">
        <v>16.5</v>
      </c>
      <c r="K31" s="51">
        <v>115.5</v>
      </c>
    </row>
    <row r="32" spans="4:11">
      <c r="D32" s="49">
        <v>46130</v>
      </c>
      <c r="E32" s="16">
        <v>1596022</v>
      </c>
      <c r="F32" s="16" t="s">
        <v>19</v>
      </c>
      <c r="G32" s="50">
        <v>20005210</v>
      </c>
      <c r="H32" s="16" t="s">
        <v>98</v>
      </c>
      <c r="I32" s="50">
        <v>8</v>
      </c>
      <c r="J32" s="51">
        <v>49.5</v>
      </c>
      <c r="K32" s="51">
        <v>396</v>
      </c>
    </row>
    <row r="33" spans="4:11">
      <c r="D33" s="49">
        <v>46130</v>
      </c>
      <c r="E33" s="16">
        <v>1596022</v>
      </c>
      <c r="F33" s="16" t="s">
        <v>21</v>
      </c>
      <c r="G33" s="50">
        <v>20005207</v>
      </c>
      <c r="H33" s="16" t="s">
        <v>56</v>
      </c>
      <c r="I33" s="50">
        <v>19</v>
      </c>
      <c r="J33" s="51">
        <v>8</v>
      </c>
      <c r="K33" s="51">
        <v>152</v>
      </c>
    </row>
    <row r="34" spans="4:11">
      <c r="D34" s="49">
        <v>46130</v>
      </c>
      <c r="E34" s="16">
        <v>1596022</v>
      </c>
      <c r="F34" s="16" t="s">
        <v>21</v>
      </c>
      <c r="G34" s="50">
        <v>20005208</v>
      </c>
      <c r="H34" s="16" t="s">
        <v>55</v>
      </c>
      <c r="I34" s="50">
        <v>39</v>
      </c>
      <c r="J34" s="51">
        <v>8</v>
      </c>
      <c r="K34" s="51">
        <v>312</v>
      </c>
    </row>
    <row r="35" spans="4:11">
      <c r="D35" s="49">
        <v>46130</v>
      </c>
      <c r="E35" s="16">
        <v>1596022</v>
      </c>
      <c r="F35" s="16" t="s">
        <v>21</v>
      </c>
      <c r="G35" s="50">
        <v>20313590</v>
      </c>
      <c r="H35" s="16" t="s">
        <v>99</v>
      </c>
      <c r="I35" s="50">
        <v>4</v>
      </c>
      <c r="J35" s="51">
        <v>8</v>
      </c>
      <c r="K35" s="51">
        <v>32</v>
      </c>
    </row>
    <row r="36" spans="4:11">
      <c r="D36" s="49">
        <v>46130</v>
      </c>
      <c r="E36" s="16">
        <v>1596022</v>
      </c>
      <c r="F36" s="16" t="s">
        <v>21</v>
      </c>
      <c r="G36" s="50">
        <v>20013630</v>
      </c>
      <c r="H36" s="16" t="s">
        <v>100</v>
      </c>
      <c r="I36" s="50">
        <v>3</v>
      </c>
      <c r="J36" s="51">
        <v>8</v>
      </c>
      <c r="K36" s="51">
        <v>24</v>
      </c>
    </row>
    <row r="37" spans="4:11">
      <c r="D37" s="49">
        <v>46130</v>
      </c>
      <c r="E37" s="16">
        <v>1596022</v>
      </c>
      <c r="F37" s="16" t="s">
        <v>21</v>
      </c>
      <c r="G37" s="50">
        <v>20407295</v>
      </c>
      <c r="H37" s="16" t="s">
        <v>101</v>
      </c>
      <c r="I37" s="50">
        <v>22</v>
      </c>
      <c r="J37" s="51">
        <v>8</v>
      </c>
      <c r="K37" s="51">
        <v>176</v>
      </c>
    </row>
    <row r="38" spans="4:11">
      <c r="D38" s="49">
        <v>46130</v>
      </c>
      <c r="E38" s="16">
        <v>1596022</v>
      </c>
      <c r="F38" s="16" t="s">
        <v>21</v>
      </c>
      <c r="G38" s="50">
        <v>20324084</v>
      </c>
      <c r="H38" s="16" t="s">
        <v>22</v>
      </c>
      <c r="I38" s="50">
        <v>2</v>
      </c>
      <c r="J38" s="51">
        <v>8</v>
      </c>
      <c r="K38" s="51">
        <v>16</v>
      </c>
    </row>
    <row r="39" spans="4:11">
      <c r="D39" s="49">
        <v>46130</v>
      </c>
      <c r="E39" s="16">
        <v>1596022</v>
      </c>
      <c r="F39" s="16" t="s">
        <v>21</v>
      </c>
      <c r="G39" s="50">
        <v>20303839</v>
      </c>
      <c r="H39" s="16" t="s">
        <v>79</v>
      </c>
      <c r="I39" s="50">
        <v>100</v>
      </c>
      <c r="J39" s="51">
        <v>8</v>
      </c>
      <c r="K39" s="51">
        <v>800</v>
      </c>
    </row>
    <row r="40" spans="4:11">
      <c r="D40" s="49">
        <v>46130</v>
      </c>
      <c r="E40" s="16">
        <v>1596022</v>
      </c>
      <c r="F40" s="16" t="s">
        <v>21</v>
      </c>
      <c r="G40" s="50">
        <v>20314990</v>
      </c>
      <c r="H40" s="16" t="s">
        <v>52</v>
      </c>
      <c r="I40" s="50">
        <v>10</v>
      </c>
      <c r="J40" s="51">
        <v>8</v>
      </c>
      <c r="K40" s="51">
        <v>80</v>
      </c>
    </row>
    <row r="41" spans="4:11">
      <c r="D41" s="49">
        <v>46130</v>
      </c>
      <c r="E41" s="16">
        <v>1596022</v>
      </c>
      <c r="F41" s="16" t="s">
        <v>21</v>
      </c>
      <c r="G41" s="50">
        <v>20005849</v>
      </c>
      <c r="H41" s="16" t="s">
        <v>54</v>
      </c>
      <c r="I41" s="50">
        <v>17</v>
      </c>
      <c r="J41" s="51">
        <v>8</v>
      </c>
      <c r="K41" s="51">
        <v>136</v>
      </c>
    </row>
    <row r="42" spans="4:11">
      <c r="D42" s="49">
        <v>46130</v>
      </c>
      <c r="E42" s="16">
        <v>1596022</v>
      </c>
      <c r="F42" s="16" t="s">
        <v>13</v>
      </c>
      <c r="G42" s="50">
        <v>20008026</v>
      </c>
      <c r="H42" s="16" t="s">
        <v>103</v>
      </c>
      <c r="I42" s="50">
        <v>16</v>
      </c>
      <c r="J42" s="51">
        <v>16.5</v>
      </c>
      <c r="K42" s="51">
        <v>264</v>
      </c>
    </row>
    <row r="43" spans="4:11">
      <c r="D43" s="49">
        <v>46130</v>
      </c>
      <c r="E43" s="16">
        <v>1596119</v>
      </c>
      <c r="F43" s="16" t="s">
        <v>19</v>
      </c>
      <c r="G43" s="50">
        <v>20005210</v>
      </c>
      <c r="H43" s="16" t="s">
        <v>98</v>
      </c>
      <c r="I43" s="50">
        <v>2</v>
      </c>
      <c r="J43" s="51">
        <v>49.5</v>
      </c>
      <c r="K43" s="51">
        <v>99</v>
      </c>
    </row>
    <row r="44" spans="4:11">
      <c r="D44" s="49">
        <v>46130</v>
      </c>
      <c r="E44" s="16">
        <v>1596119</v>
      </c>
      <c r="F44" s="16" t="s">
        <v>21</v>
      </c>
      <c r="G44" s="50">
        <v>20005207</v>
      </c>
      <c r="H44" s="16" t="s">
        <v>56</v>
      </c>
      <c r="I44" s="50">
        <v>4</v>
      </c>
      <c r="J44" s="51">
        <v>8</v>
      </c>
      <c r="K44" s="51">
        <v>32</v>
      </c>
    </row>
    <row r="45" spans="4:11">
      <c r="D45" s="49">
        <v>46130</v>
      </c>
      <c r="E45" s="16">
        <v>1596119</v>
      </c>
      <c r="F45" s="16" t="s">
        <v>21</v>
      </c>
      <c r="G45" s="50">
        <v>20005208</v>
      </c>
      <c r="H45" s="16" t="s">
        <v>55</v>
      </c>
      <c r="I45" s="50">
        <v>14</v>
      </c>
      <c r="J45" s="51">
        <v>8</v>
      </c>
      <c r="K45" s="51">
        <v>112</v>
      </c>
    </row>
    <row r="46" spans="4:11">
      <c r="D46" s="49">
        <v>46130</v>
      </c>
      <c r="E46" s="16">
        <v>1596119</v>
      </c>
      <c r="F46" s="16" t="s">
        <v>21</v>
      </c>
      <c r="G46" s="50">
        <v>20313590</v>
      </c>
      <c r="H46" s="16" t="s">
        <v>99</v>
      </c>
      <c r="I46" s="50">
        <v>1</v>
      </c>
      <c r="J46" s="51">
        <v>8</v>
      </c>
      <c r="K46" s="51">
        <v>8</v>
      </c>
    </row>
    <row r="47" spans="4:11">
      <c r="D47" s="49">
        <v>46130</v>
      </c>
      <c r="E47" s="16">
        <v>1596119</v>
      </c>
      <c r="F47" s="16" t="s">
        <v>21</v>
      </c>
      <c r="G47" s="50">
        <v>20013630</v>
      </c>
      <c r="H47" s="16" t="s">
        <v>100</v>
      </c>
      <c r="I47" s="50">
        <v>2</v>
      </c>
      <c r="J47" s="51">
        <v>8</v>
      </c>
      <c r="K47" s="51">
        <v>16</v>
      </c>
    </row>
    <row r="48" spans="4:11">
      <c r="D48" s="49">
        <v>46130</v>
      </c>
      <c r="E48" s="16">
        <v>1596119</v>
      </c>
      <c r="F48" s="16" t="s">
        <v>21</v>
      </c>
      <c r="G48" s="50">
        <v>20407295</v>
      </c>
      <c r="H48" s="16" t="s">
        <v>101</v>
      </c>
      <c r="I48" s="50">
        <v>9</v>
      </c>
      <c r="J48" s="51">
        <v>8</v>
      </c>
      <c r="K48" s="51">
        <v>72</v>
      </c>
    </row>
    <row r="49" spans="4:11">
      <c r="D49" s="49">
        <v>46130</v>
      </c>
      <c r="E49" s="16">
        <v>1596119</v>
      </c>
      <c r="F49" s="16" t="s">
        <v>21</v>
      </c>
      <c r="G49" s="50">
        <v>20302876</v>
      </c>
      <c r="H49" s="16" t="s">
        <v>105</v>
      </c>
      <c r="I49" s="50">
        <v>1</v>
      </c>
      <c r="J49" s="51">
        <v>16</v>
      </c>
      <c r="K49" s="51">
        <v>16</v>
      </c>
    </row>
    <row r="50" spans="4:11">
      <c r="D50" s="49">
        <v>46130</v>
      </c>
      <c r="E50" s="16">
        <v>1596119</v>
      </c>
      <c r="F50" s="16" t="s">
        <v>21</v>
      </c>
      <c r="G50" s="50">
        <v>20314990</v>
      </c>
      <c r="H50" s="16" t="s">
        <v>52</v>
      </c>
      <c r="I50" s="50">
        <v>4</v>
      </c>
      <c r="J50" s="51">
        <v>8</v>
      </c>
      <c r="K50" s="51">
        <v>32</v>
      </c>
    </row>
    <row r="51" spans="4:11">
      <c r="D51" s="49">
        <v>46130</v>
      </c>
      <c r="E51" s="16">
        <v>1596119</v>
      </c>
      <c r="F51" s="16" t="s">
        <v>21</v>
      </c>
      <c r="G51" s="50">
        <v>20005849</v>
      </c>
      <c r="H51" s="16" t="s">
        <v>54</v>
      </c>
      <c r="I51" s="50">
        <v>4</v>
      </c>
      <c r="J51" s="51">
        <v>8</v>
      </c>
      <c r="K51" s="51">
        <v>32</v>
      </c>
    </row>
    <row r="52" spans="4:11">
      <c r="D52" s="49">
        <v>46130</v>
      </c>
      <c r="E52" s="16">
        <v>1596119</v>
      </c>
      <c r="F52" s="16" t="s">
        <v>13</v>
      </c>
      <c r="G52" s="50">
        <v>20008026</v>
      </c>
      <c r="H52" s="16" t="s">
        <v>103</v>
      </c>
      <c r="I52" s="50">
        <v>6</v>
      </c>
      <c r="J52" s="51">
        <v>16.5</v>
      </c>
      <c r="K52" s="51">
        <v>99</v>
      </c>
    </row>
    <row r="53" spans="4:11">
      <c r="D53" s="49">
        <v>46132</v>
      </c>
      <c r="E53" s="16">
        <v>1596515</v>
      </c>
      <c r="F53" s="16" t="s">
        <v>21</v>
      </c>
      <c r="G53" s="50">
        <v>20005207</v>
      </c>
      <c r="H53" s="16" t="s">
        <v>56</v>
      </c>
      <c r="I53" s="50">
        <v>8</v>
      </c>
      <c r="J53" s="51">
        <v>8</v>
      </c>
      <c r="K53" s="51">
        <v>64</v>
      </c>
    </row>
    <row r="54" spans="4:11">
      <c r="D54" s="49">
        <v>46132</v>
      </c>
      <c r="E54" s="16">
        <v>1596515</v>
      </c>
      <c r="F54" s="16" t="s">
        <v>21</v>
      </c>
      <c r="G54" s="50">
        <v>20005208</v>
      </c>
      <c r="H54" s="16" t="s">
        <v>55</v>
      </c>
      <c r="I54" s="50">
        <v>24</v>
      </c>
      <c r="J54" s="51">
        <v>8</v>
      </c>
      <c r="K54" s="51">
        <v>192</v>
      </c>
    </row>
    <row r="55" spans="4:11">
      <c r="D55" s="49">
        <v>46132</v>
      </c>
      <c r="E55" s="16">
        <v>1596515</v>
      </c>
      <c r="F55" s="16" t="s">
        <v>21</v>
      </c>
      <c r="G55" s="50">
        <v>20313590</v>
      </c>
      <c r="H55" s="16" t="s">
        <v>99</v>
      </c>
      <c r="I55" s="50">
        <v>2</v>
      </c>
      <c r="J55" s="51">
        <v>8</v>
      </c>
      <c r="K55" s="51">
        <v>16</v>
      </c>
    </row>
    <row r="56" spans="4:11">
      <c r="D56" s="49">
        <v>46132</v>
      </c>
      <c r="E56" s="16">
        <v>1596515</v>
      </c>
      <c r="F56" s="16" t="s">
        <v>21</v>
      </c>
      <c r="G56" s="50">
        <v>20013630</v>
      </c>
      <c r="H56" s="16" t="s">
        <v>100</v>
      </c>
      <c r="I56" s="50">
        <v>8</v>
      </c>
      <c r="J56" s="51">
        <v>8</v>
      </c>
      <c r="K56" s="51">
        <v>64</v>
      </c>
    </row>
    <row r="57" spans="4:11">
      <c r="D57" s="49">
        <v>46132</v>
      </c>
      <c r="E57" s="16">
        <v>1596515</v>
      </c>
      <c r="F57" s="16" t="s">
        <v>21</v>
      </c>
      <c r="G57" s="50">
        <v>20407295</v>
      </c>
      <c r="H57" s="16" t="s">
        <v>101</v>
      </c>
      <c r="I57" s="50">
        <v>18</v>
      </c>
      <c r="J57" s="51">
        <v>8</v>
      </c>
      <c r="K57" s="51">
        <v>144</v>
      </c>
    </row>
    <row r="58" spans="4:11">
      <c r="D58" s="49">
        <v>46132</v>
      </c>
      <c r="E58" s="16">
        <v>1596515</v>
      </c>
      <c r="F58" s="16" t="s">
        <v>21</v>
      </c>
      <c r="G58" s="50">
        <v>20324084</v>
      </c>
      <c r="H58" s="16" t="s">
        <v>22</v>
      </c>
      <c r="I58" s="50">
        <v>1</v>
      </c>
      <c r="J58" s="51">
        <v>8</v>
      </c>
      <c r="K58" s="51">
        <v>8</v>
      </c>
    </row>
    <row r="59" spans="4:11">
      <c r="D59" s="49">
        <v>46132</v>
      </c>
      <c r="E59" s="16">
        <v>1596515</v>
      </c>
      <c r="F59" s="16" t="s">
        <v>21</v>
      </c>
      <c r="G59" s="50">
        <v>20321305</v>
      </c>
      <c r="H59" s="16" t="s">
        <v>102</v>
      </c>
      <c r="I59" s="50">
        <v>4</v>
      </c>
      <c r="J59" s="51">
        <v>8</v>
      </c>
      <c r="K59" s="51">
        <v>32</v>
      </c>
    </row>
    <row r="60" spans="4:11">
      <c r="D60" s="49">
        <v>46132</v>
      </c>
      <c r="E60" s="16">
        <v>1596515</v>
      </c>
      <c r="F60" s="16" t="s">
        <v>21</v>
      </c>
      <c r="G60" s="50">
        <v>20314990</v>
      </c>
      <c r="H60" s="16" t="s">
        <v>52</v>
      </c>
      <c r="I60" s="50">
        <v>5</v>
      </c>
      <c r="J60" s="51">
        <v>8</v>
      </c>
      <c r="K60" s="51">
        <v>40</v>
      </c>
    </row>
    <row r="61" spans="4:11">
      <c r="D61" s="49">
        <v>46132</v>
      </c>
      <c r="E61" s="16">
        <v>1596515</v>
      </c>
      <c r="F61" s="16" t="s">
        <v>21</v>
      </c>
      <c r="G61" s="50">
        <v>20005849</v>
      </c>
      <c r="H61" s="16" t="s">
        <v>54</v>
      </c>
      <c r="I61" s="50">
        <v>7</v>
      </c>
      <c r="J61" s="51">
        <v>8</v>
      </c>
      <c r="K61" s="51">
        <v>56</v>
      </c>
    </row>
    <row r="62" spans="4:11">
      <c r="D62" s="49">
        <v>46132</v>
      </c>
      <c r="E62" s="16">
        <v>1596515</v>
      </c>
      <c r="F62" s="16" t="s">
        <v>16</v>
      </c>
      <c r="G62" s="50">
        <v>20302879</v>
      </c>
      <c r="H62" s="16" t="s">
        <v>104</v>
      </c>
      <c r="I62" s="50">
        <v>1</v>
      </c>
      <c r="J62" s="51">
        <v>4</v>
      </c>
      <c r="K62" s="51">
        <v>4</v>
      </c>
    </row>
    <row r="63" spans="4:11">
      <c r="D63" s="49">
        <v>46133</v>
      </c>
      <c r="E63" s="16">
        <v>1596593</v>
      </c>
      <c r="F63" s="16" t="s">
        <v>13</v>
      </c>
      <c r="G63" s="50">
        <v>20008026</v>
      </c>
      <c r="H63" s="16" t="s">
        <v>103</v>
      </c>
      <c r="I63" s="50">
        <v>12</v>
      </c>
      <c r="J63" s="51">
        <v>16.5</v>
      </c>
      <c r="K63" s="51">
        <v>198</v>
      </c>
    </row>
    <row r="64" spans="4:11">
      <c r="D64" s="49">
        <v>46134</v>
      </c>
      <c r="E64" s="16">
        <v>1596967</v>
      </c>
      <c r="F64" s="16" t="s">
        <v>19</v>
      </c>
      <c r="G64" s="50">
        <v>20005210</v>
      </c>
      <c r="H64" s="16" t="s">
        <v>98</v>
      </c>
      <c r="I64" s="50">
        <v>7</v>
      </c>
      <c r="J64" s="51">
        <v>49.5</v>
      </c>
      <c r="K64" s="51">
        <v>346.5</v>
      </c>
    </row>
    <row r="65" spans="4:11">
      <c r="D65" s="49">
        <v>46134</v>
      </c>
      <c r="E65" s="16">
        <v>1596967</v>
      </c>
      <c r="F65" s="16" t="s">
        <v>21</v>
      </c>
      <c r="G65" s="50">
        <v>20005207</v>
      </c>
      <c r="H65" s="16" t="s">
        <v>56</v>
      </c>
      <c r="I65" s="50">
        <v>7</v>
      </c>
      <c r="J65" s="51">
        <v>8</v>
      </c>
      <c r="K65" s="51">
        <v>56</v>
      </c>
    </row>
    <row r="66" spans="4:11">
      <c r="D66" s="49">
        <v>46134</v>
      </c>
      <c r="E66" s="16">
        <v>1596967</v>
      </c>
      <c r="F66" s="16" t="s">
        <v>21</v>
      </c>
      <c r="G66" s="50">
        <v>20005208</v>
      </c>
      <c r="H66" s="16" t="s">
        <v>55</v>
      </c>
      <c r="I66" s="50">
        <v>43</v>
      </c>
      <c r="J66" s="51">
        <v>8</v>
      </c>
      <c r="K66" s="51">
        <v>344</v>
      </c>
    </row>
    <row r="67" spans="4:11">
      <c r="D67" s="49">
        <v>46134</v>
      </c>
      <c r="E67" s="16">
        <v>1596967</v>
      </c>
      <c r="F67" s="16" t="s">
        <v>21</v>
      </c>
      <c r="G67" s="50">
        <v>20313590</v>
      </c>
      <c r="H67" s="16" t="s">
        <v>99</v>
      </c>
      <c r="I67" s="50">
        <v>3</v>
      </c>
      <c r="J67" s="51">
        <v>8</v>
      </c>
      <c r="K67" s="51">
        <v>24</v>
      </c>
    </row>
    <row r="68" spans="4:11">
      <c r="D68" s="49">
        <v>46134</v>
      </c>
      <c r="E68" s="16">
        <v>1596967</v>
      </c>
      <c r="F68" s="16" t="s">
        <v>21</v>
      </c>
      <c r="G68" s="50">
        <v>20013630</v>
      </c>
      <c r="H68" s="16" t="s">
        <v>100</v>
      </c>
      <c r="I68" s="50">
        <v>6</v>
      </c>
      <c r="J68" s="51">
        <v>8</v>
      </c>
      <c r="K68" s="51">
        <v>48</v>
      </c>
    </row>
    <row r="69" spans="4:11">
      <c r="D69" s="49">
        <v>46134</v>
      </c>
      <c r="E69" s="16">
        <v>1596967</v>
      </c>
      <c r="F69" s="16" t="s">
        <v>21</v>
      </c>
      <c r="G69" s="50">
        <v>20407295</v>
      </c>
      <c r="H69" s="16" t="s">
        <v>101</v>
      </c>
      <c r="I69" s="50">
        <v>23</v>
      </c>
      <c r="J69" s="51">
        <v>8</v>
      </c>
      <c r="K69" s="51">
        <v>184</v>
      </c>
    </row>
    <row r="70" spans="4:11">
      <c r="D70" s="49">
        <v>46134</v>
      </c>
      <c r="E70" s="16">
        <v>1596967</v>
      </c>
      <c r="F70" s="16" t="s">
        <v>21</v>
      </c>
      <c r="G70" s="50">
        <v>20324084</v>
      </c>
      <c r="H70" s="16" t="s">
        <v>22</v>
      </c>
      <c r="I70" s="50">
        <v>2</v>
      </c>
      <c r="J70" s="51">
        <v>8</v>
      </c>
      <c r="K70" s="51">
        <v>16</v>
      </c>
    </row>
    <row r="71" spans="4:11">
      <c r="D71" s="49">
        <v>46134</v>
      </c>
      <c r="E71" s="16">
        <v>1596967</v>
      </c>
      <c r="F71" s="16" t="s">
        <v>21</v>
      </c>
      <c r="G71" s="50">
        <v>20321305</v>
      </c>
      <c r="H71" s="16" t="s">
        <v>102</v>
      </c>
      <c r="I71" s="50">
        <v>3</v>
      </c>
      <c r="J71" s="51">
        <v>8</v>
      </c>
      <c r="K71" s="51">
        <v>24</v>
      </c>
    </row>
    <row r="72" spans="4:11">
      <c r="D72" s="49">
        <v>46134</v>
      </c>
      <c r="E72" s="16">
        <v>1596967</v>
      </c>
      <c r="F72" s="16" t="s">
        <v>21</v>
      </c>
      <c r="G72" s="50">
        <v>20314990</v>
      </c>
      <c r="H72" s="16" t="s">
        <v>52</v>
      </c>
      <c r="I72" s="50">
        <v>7</v>
      </c>
      <c r="J72" s="51">
        <v>8</v>
      </c>
      <c r="K72" s="51">
        <v>56</v>
      </c>
    </row>
    <row r="73" spans="4:11">
      <c r="D73" s="49">
        <v>46134</v>
      </c>
      <c r="E73" s="16">
        <v>1596967</v>
      </c>
      <c r="F73" s="16" t="s">
        <v>21</v>
      </c>
      <c r="G73" s="50">
        <v>20005849</v>
      </c>
      <c r="H73" s="16" t="s">
        <v>54</v>
      </c>
      <c r="I73" s="50">
        <v>19</v>
      </c>
      <c r="J73" s="51">
        <v>8</v>
      </c>
      <c r="K73" s="51">
        <v>152</v>
      </c>
    </row>
    <row r="74" spans="4:11">
      <c r="D74" s="49">
        <v>46134</v>
      </c>
      <c r="E74" s="16">
        <v>1596967</v>
      </c>
      <c r="F74" s="16" t="s">
        <v>13</v>
      </c>
      <c r="G74" s="50">
        <v>20008026</v>
      </c>
      <c r="H74" s="16" t="s">
        <v>103</v>
      </c>
      <c r="I74" s="50">
        <v>18</v>
      </c>
      <c r="J74" s="51">
        <v>16.5</v>
      </c>
      <c r="K74" s="51">
        <v>297</v>
      </c>
    </row>
    <row r="75" spans="4:11">
      <c r="D75" s="49">
        <v>46134</v>
      </c>
      <c r="E75" s="16">
        <v>1597276</v>
      </c>
      <c r="F75" s="16" t="s">
        <v>19</v>
      </c>
      <c r="G75" s="50">
        <v>20005210</v>
      </c>
      <c r="H75" s="16" t="s">
        <v>98</v>
      </c>
      <c r="I75" s="50">
        <v>4</v>
      </c>
      <c r="J75" s="51">
        <v>49.5</v>
      </c>
      <c r="K75" s="51">
        <v>198</v>
      </c>
    </row>
    <row r="76" spans="4:11">
      <c r="D76" s="49">
        <v>46134</v>
      </c>
      <c r="E76" s="16">
        <v>1597276</v>
      </c>
      <c r="F76" s="16" t="s">
        <v>21</v>
      </c>
      <c r="G76" s="50">
        <v>20005207</v>
      </c>
      <c r="H76" s="16" t="s">
        <v>56</v>
      </c>
      <c r="I76" s="50">
        <v>10</v>
      </c>
      <c r="J76" s="51">
        <v>8</v>
      </c>
      <c r="K76" s="51">
        <v>80</v>
      </c>
    </row>
    <row r="77" spans="4:11">
      <c r="D77" s="49">
        <v>46134</v>
      </c>
      <c r="E77" s="16">
        <v>1597276</v>
      </c>
      <c r="F77" s="16" t="s">
        <v>21</v>
      </c>
      <c r="G77" s="50">
        <v>20005208</v>
      </c>
      <c r="H77" s="16" t="s">
        <v>55</v>
      </c>
      <c r="I77" s="50">
        <v>50</v>
      </c>
      <c r="J77" s="51">
        <v>8</v>
      </c>
      <c r="K77" s="51">
        <v>400</v>
      </c>
    </row>
    <row r="78" spans="4:11">
      <c r="D78" s="49">
        <v>46134</v>
      </c>
      <c r="E78" s="16">
        <v>1597276</v>
      </c>
      <c r="F78" s="16" t="s">
        <v>21</v>
      </c>
      <c r="G78" s="50">
        <v>20313590</v>
      </c>
      <c r="H78" s="16" t="s">
        <v>99</v>
      </c>
      <c r="I78" s="50">
        <v>4</v>
      </c>
      <c r="J78" s="51">
        <v>8</v>
      </c>
      <c r="K78" s="51">
        <v>32</v>
      </c>
    </row>
    <row r="79" spans="4:11">
      <c r="D79" s="49">
        <v>46134</v>
      </c>
      <c r="E79" s="16">
        <v>1597276</v>
      </c>
      <c r="F79" s="16" t="s">
        <v>21</v>
      </c>
      <c r="G79" s="50">
        <v>20407295</v>
      </c>
      <c r="H79" s="16" t="s">
        <v>101</v>
      </c>
      <c r="I79" s="50">
        <v>20</v>
      </c>
      <c r="J79" s="51">
        <v>8</v>
      </c>
      <c r="K79" s="51">
        <v>160</v>
      </c>
    </row>
    <row r="80" spans="4:11">
      <c r="D80" s="49">
        <v>46134</v>
      </c>
      <c r="E80" s="16">
        <v>1597276</v>
      </c>
      <c r="F80" s="16" t="s">
        <v>21</v>
      </c>
      <c r="G80" s="50">
        <v>20321305</v>
      </c>
      <c r="H80" s="16" t="s">
        <v>102</v>
      </c>
      <c r="I80" s="50">
        <v>1</v>
      </c>
      <c r="J80" s="51">
        <v>8</v>
      </c>
      <c r="K80" s="51">
        <v>8</v>
      </c>
    </row>
    <row r="81" spans="4:11">
      <c r="D81" s="49">
        <v>46134</v>
      </c>
      <c r="E81" s="16">
        <v>1597276</v>
      </c>
      <c r="F81" s="16" t="s">
        <v>21</v>
      </c>
      <c r="G81" s="50">
        <v>20314990</v>
      </c>
      <c r="H81" s="16" t="s">
        <v>52</v>
      </c>
      <c r="I81" s="50">
        <v>6</v>
      </c>
      <c r="J81" s="51">
        <v>8</v>
      </c>
      <c r="K81" s="51">
        <v>48</v>
      </c>
    </row>
    <row r="82" spans="4:11">
      <c r="D82" s="49">
        <v>46134</v>
      </c>
      <c r="E82" s="16">
        <v>1597276</v>
      </c>
      <c r="F82" s="16" t="s">
        <v>21</v>
      </c>
      <c r="G82" s="50">
        <v>20005849</v>
      </c>
      <c r="H82" s="16" t="s">
        <v>54</v>
      </c>
      <c r="I82" s="50">
        <v>11</v>
      </c>
      <c r="J82" s="51">
        <v>8</v>
      </c>
      <c r="K82" s="51">
        <v>88</v>
      </c>
    </row>
    <row r="83" spans="4:11">
      <c r="D83" s="49">
        <v>46135</v>
      </c>
      <c r="E83" s="16">
        <v>1597324</v>
      </c>
      <c r="F83" s="16" t="s">
        <v>21</v>
      </c>
      <c r="G83" s="50">
        <v>20013630</v>
      </c>
      <c r="H83" s="16" t="s">
        <v>100</v>
      </c>
      <c r="I83" s="50">
        <v>6</v>
      </c>
      <c r="J83" s="51">
        <v>8</v>
      </c>
      <c r="K83" s="51">
        <v>48</v>
      </c>
    </row>
    <row r="84" spans="4:11">
      <c r="D84" s="49">
        <v>46135</v>
      </c>
      <c r="E84" s="16">
        <v>1597324</v>
      </c>
      <c r="F84" s="16" t="s">
        <v>13</v>
      </c>
      <c r="G84" s="50">
        <v>20008026</v>
      </c>
      <c r="H84" s="16" t="s">
        <v>103</v>
      </c>
      <c r="I84" s="50">
        <v>18</v>
      </c>
      <c r="J84" s="51">
        <v>16.5</v>
      </c>
      <c r="K84" s="51">
        <v>297</v>
      </c>
    </row>
    <row r="85" spans="4:11">
      <c r="D85" s="49">
        <v>46135</v>
      </c>
      <c r="E85" s="16">
        <v>1597576</v>
      </c>
      <c r="F85" s="16" t="s">
        <v>16</v>
      </c>
      <c r="G85" s="50">
        <v>20302879</v>
      </c>
      <c r="H85" s="16" t="s">
        <v>104</v>
      </c>
      <c r="I85" s="50">
        <v>1</v>
      </c>
      <c r="J85" s="51">
        <v>4</v>
      </c>
      <c r="K85" s="51">
        <v>4</v>
      </c>
    </row>
    <row r="86" spans="4:11">
      <c r="D86" s="49">
        <v>46136</v>
      </c>
      <c r="E86" s="16">
        <v>1597727</v>
      </c>
      <c r="F86" s="16" t="s">
        <v>19</v>
      </c>
      <c r="G86" s="50">
        <v>20005210</v>
      </c>
      <c r="H86" s="16" t="s">
        <v>98</v>
      </c>
      <c r="I86" s="50">
        <v>5</v>
      </c>
      <c r="J86" s="51">
        <v>49.5</v>
      </c>
      <c r="K86" s="51">
        <v>247.5</v>
      </c>
    </row>
    <row r="87" spans="4:11">
      <c r="D87" s="49">
        <v>46136</v>
      </c>
      <c r="E87" s="16">
        <v>1597727</v>
      </c>
      <c r="F87" s="16" t="s">
        <v>21</v>
      </c>
      <c r="G87" s="50">
        <v>20005207</v>
      </c>
      <c r="H87" s="16" t="s">
        <v>56</v>
      </c>
      <c r="I87" s="50">
        <v>6</v>
      </c>
      <c r="J87" s="51">
        <v>8</v>
      </c>
      <c r="K87" s="51">
        <v>48</v>
      </c>
    </row>
    <row r="88" spans="4:11">
      <c r="D88" s="49">
        <v>46136</v>
      </c>
      <c r="E88" s="16">
        <v>1597727</v>
      </c>
      <c r="F88" s="16" t="s">
        <v>21</v>
      </c>
      <c r="G88" s="50">
        <v>20005208</v>
      </c>
      <c r="H88" s="16" t="s">
        <v>55</v>
      </c>
      <c r="I88" s="50">
        <v>28</v>
      </c>
      <c r="J88" s="51">
        <v>8</v>
      </c>
      <c r="K88" s="51">
        <v>224</v>
      </c>
    </row>
    <row r="89" spans="4:11">
      <c r="D89" s="49">
        <v>46136</v>
      </c>
      <c r="E89" s="16">
        <v>1597727</v>
      </c>
      <c r="F89" s="16" t="s">
        <v>21</v>
      </c>
      <c r="G89" s="50">
        <v>20313590</v>
      </c>
      <c r="H89" s="16" t="s">
        <v>99</v>
      </c>
      <c r="I89" s="50">
        <v>4</v>
      </c>
      <c r="J89" s="51">
        <v>8</v>
      </c>
      <c r="K89" s="51">
        <v>32</v>
      </c>
    </row>
    <row r="90" spans="4:11">
      <c r="D90" s="49">
        <v>46136</v>
      </c>
      <c r="E90" s="16">
        <v>1597727</v>
      </c>
      <c r="F90" s="16" t="s">
        <v>21</v>
      </c>
      <c r="G90" s="50">
        <v>20013630</v>
      </c>
      <c r="H90" s="16" t="s">
        <v>100</v>
      </c>
      <c r="I90" s="50">
        <v>1</v>
      </c>
      <c r="J90" s="51">
        <v>8</v>
      </c>
      <c r="K90" s="51">
        <v>8</v>
      </c>
    </row>
    <row r="91" spans="4:11">
      <c r="D91" s="49">
        <v>46136</v>
      </c>
      <c r="E91" s="16">
        <v>1597727</v>
      </c>
      <c r="F91" s="16" t="s">
        <v>21</v>
      </c>
      <c r="G91" s="50">
        <v>20407295</v>
      </c>
      <c r="H91" s="16" t="s">
        <v>101</v>
      </c>
      <c r="I91" s="50">
        <v>22</v>
      </c>
      <c r="J91" s="51">
        <v>8</v>
      </c>
      <c r="K91" s="51">
        <v>176</v>
      </c>
    </row>
    <row r="92" spans="4:11">
      <c r="D92" s="49">
        <v>46136</v>
      </c>
      <c r="E92" s="16">
        <v>1597727</v>
      </c>
      <c r="F92" s="16" t="s">
        <v>21</v>
      </c>
      <c r="G92" s="50">
        <v>20324084</v>
      </c>
      <c r="H92" s="16" t="s">
        <v>22</v>
      </c>
      <c r="I92" s="50">
        <v>1</v>
      </c>
      <c r="J92" s="51">
        <v>8</v>
      </c>
      <c r="K92" s="51">
        <v>8</v>
      </c>
    </row>
    <row r="93" spans="4:11">
      <c r="D93" s="49">
        <v>46136</v>
      </c>
      <c r="E93" s="16">
        <v>1597727</v>
      </c>
      <c r="F93" s="16" t="s">
        <v>21</v>
      </c>
      <c r="G93" s="50">
        <v>20321305</v>
      </c>
      <c r="H93" s="16" t="s">
        <v>102</v>
      </c>
      <c r="I93" s="50">
        <v>1</v>
      </c>
      <c r="J93" s="51">
        <v>8</v>
      </c>
      <c r="K93" s="51">
        <v>8</v>
      </c>
    </row>
    <row r="94" spans="4:11">
      <c r="D94" s="49">
        <v>46136</v>
      </c>
      <c r="E94" s="16">
        <v>1597727</v>
      </c>
      <c r="F94" s="16" t="s">
        <v>21</v>
      </c>
      <c r="G94" s="50">
        <v>20302876</v>
      </c>
      <c r="H94" s="16" t="s">
        <v>105</v>
      </c>
      <c r="I94" s="50">
        <v>1</v>
      </c>
      <c r="J94" s="51">
        <v>16</v>
      </c>
      <c r="K94" s="51">
        <v>16</v>
      </c>
    </row>
    <row r="95" spans="4:11">
      <c r="D95" s="49">
        <v>46136</v>
      </c>
      <c r="E95" s="16">
        <v>1597727</v>
      </c>
      <c r="F95" s="16" t="s">
        <v>21</v>
      </c>
      <c r="G95" s="50">
        <v>20314990</v>
      </c>
      <c r="H95" s="16" t="s">
        <v>52</v>
      </c>
      <c r="I95" s="50">
        <v>9</v>
      </c>
      <c r="J95" s="51">
        <v>8</v>
      </c>
      <c r="K95" s="51">
        <v>72</v>
      </c>
    </row>
    <row r="96" spans="4:11">
      <c r="D96" s="49">
        <v>46136</v>
      </c>
      <c r="E96" s="16">
        <v>1597727</v>
      </c>
      <c r="F96" s="16" t="s">
        <v>21</v>
      </c>
      <c r="G96" s="50">
        <v>20005849</v>
      </c>
      <c r="H96" s="16" t="s">
        <v>54</v>
      </c>
      <c r="I96" s="50">
        <v>9</v>
      </c>
      <c r="J96" s="51">
        <v>8</v>
      </c>
      <c r="K96" s="51">
        <v>72</v>
      </c>
    </row>
    <row r="97" spans="4:11">
      <c r="D97" s="49">
        <v>46136</v>
      </c>
      <c r="E97" s="16">
        <v>1597727</v>
      </c>
      <c r="F97" s="16" t="s">
        <v>13</v>
      </c>
      <c r="G97" s="50">
        <v>20008026</v>
      </c>
      <c r="H97" s="16" t="s">
        <v>103</v>
      </c>
      <c r="I97" s="50">
        <v>14</v>
      </c>
      <c r="J97" s="51">
        <v>16.5</v>
      </c>
      <c r="K97" s="51">
        <v>231</v>
      </c>
    </row>
    <row r="98" spans="4:11">
      <c r="D98" s="49">
        <v>46137</v>
      </c>
      <c r="E98" s="16">
        <v>1598082</v>
      </c>
      <c r="F98" s="16" t="s">
        <v>19</v>
      </c>
      <c r="G98" s="50">
        <v>20005210</v>
      </c>
      <c r="H98" s="16" t="s">
        <v>98</v>
      </c>
      <c r="I98" s="50">
        <v>5</v>
      </c>
      <c r="J98" s="51">
        <v>49.5</v>
      </c>
      <c r="K98" s="51">
        <v>247.5</v>
      </c>
    </row>
    <row r="99" spans="4:11">
      <c r="D99" s="49">
        <v>46137</v>
      </c>
      <c r="E99" s="16">
        <v>1598082</v>
      </c>
      <c r="F99" s="16" t="s">
        <v>21</v>
      </c>
      <c r="G99" s="50">
        <v>20005207</v>
      </c>
      <c r="H99" s="16" t="s">
        <v>56</v>
      </c>
      <c r="I99" s="50">
        <v>5</v>
      </c>
      <c r="J99" s="51">
        <v>8</v>
      </c>
      <c r="K99" s="51">
        <v>40</v>
      </c>
    </row>
    <row r="100" spans="4:11">
      <c r="D100" s="49">
        <v>46137</v>
      </c>
      <c r="E100" s="16">
        <v>1598082</v>
      </c>
      <c r="F100" s="16" t="s">
        <v>21</v>
      </c>
      <c r="G100" s="50">
        <v>20005208</v>
      </c>
      <c r="H100" s="16" t="s">
        <v>55</v>
      </c>
      <c r="I100" s="50">
        <v>25</v>
      </c>
      <c r="J100" s="51">
        <v>8</v>
      </c>
      <c r="K100" s="51">
        <v>200</v>
      </c>
    </row>
    <row r="101" spans="4:11">
      <c r="D101" s="49">
        <v>46137</v>
      </c>
      <c r="E101" s="16">
        <v>1598082</v>
      </c>
      <c r="F101" s="16" t="s">
        <v>21</v>
      </c>
      <c r="G101" s="50">
        <v>20313590</v>
      </c>
      <c r="H101" s="16" t="s">
        <v>99</v>
      </c>
      <c r="I101" s="50">
        <v>1</v>
      </c>
      <c r="J101" s="51">
        <v>8</v>
      </c>
      <c r="K101" s="51">
        <v>8</v>
      </c>
    </row>
    <row r="102" spans="4:11">
      <c r="D102" s="49">
        <v>46137</v>
      </c>
      <c r="E102" s="16">
        <v>1598082</v>
      </c>
      <c r="F102" s="16" t="s">
        <v>21</v>
      </c>
      <c r="G102" s="50">
        <v>20013630</v>
      </c>
      <c r="H102" s="16" t="s">
        <v>100</v>
      </c>
      <c r="I102" s="50">
        <v>4</v>
      </c>
      <c r="J102" s="51">
        <v>8</v>
      </c>
      <c r="K102" s="51">
        <v>32</v>
      </c>
    </row>
    <row r="103" spans="4:11">
      <c r="D103" s="49">
        <v>46137</v>
      </c>
      <c r="E103" s="16">
        <v>1598082</v>
      </c>
      <c r="F103" s="16" t="s">
        <v>21</v>
      </c>
      <c r="G103" s="50">
        <v>20407295</v>
      </c>
      <c r="H103" s="16" t="s">
        <v>101</v>
      </c>
      <c r="I103" s="50">
        <v>24</v>
      </c>
      <c r="J103" s="51">
        <v>8</v>
      </c>
      <c r="K103" s="51">
        <v>192</v>
      </c>
    </row>
    <row r="104" spans="4:11">
      <c r="D104" s="49">
        <v>46137</v>
      </c>
      <c r="E104" s="16">
        <v>1598082</v>
      </c>
      <c r="F104" s="16" t="s">
        <v>21</v>
      </c>
      <c r="G104" s="50">
        <v>20321305</v>
      </c>
      <c r="H104" s="16" t="s">
        <v>102</v>
      </c>
      <c r="I104" s="50">
        <v>3</v>
      </c>
      <c r="J104" s="51">
        <v>8</v>
      </c>
      <c r="K104" s="51">
        <v>24</v>
      </c>
    </row>
    <row r="105" spans="4:11">
      <c r="D105" s="49">
        <v>46137</v>
      </c>
      <c r="E105" s="16">
        <v>1598082</v>
      </c>
      <c r="F105" s="16" t="s">
        <v>21</v>
      </c>
      <c r="G105" s="50">
        <v>20314990</v>
      </c>
      <c r="H105" s="16" t="s">
        <v>52</v>
      </c>
      <c r="I105" s="50">
        <v>11</v>
      </c>
      <c r="J105" s="51">
        <v>8</v>
      </c>
      <c r="K105" s="51">
        <v>88</v>
      </c>
    </row>
    <row r="106" spans="4:11">
      <c r="D106" s="49">
        <v>46137</v>
      </c>
      <c r="E106" s="16">
        <v>1598082</v>
      </c>
      <c r="F106" s="16" t="s">
        <v>21</v>
      </c>
      <c r="G106" s="50">
        <v>20005849</v>
      </c>
      <c r="H106" s="16" t="s">
        <v>54</v>
      </c>
      <c r="I106" s="50">
        <v>10</v>
      </c>
      <c r="J106" s="51">
        <v>8</v>
      </c>
      <c r="K106" s="51">
        <v>80</v>
      </c>
    </row>
    <row r="107" spans="4:11">
      <c r="D107" s="49">
        <v>46137</v>
      </c>
      <c r="E107" s="16">
        <v>1598082</v>
      </c>
      <c r="F107" s="16" t="s">
        <v>13</v>
      </c>
      <c r="G107" s="50">
        <v>20008026</v>
      </c>
      <c r="H107" s="16" t="s">
        <v>103</v>
      </c>
      <c r="I107" s="50">
        <v>10</v>
      </c>
      <c r="J107" s="51">
        <v>16.5</v>
      </c>
      <c r="K107" s="51">
        <v>165</v>
      </c>
    </row>
    <row r="108" spans="4:11">
      <c r="D108" s="49">
        <v>46137</v>
      </c>
      <c r="E108" s="16">
        <v>1598188</v>
      </c>
      <c r="F108" s="16" t="s">
        <v>21</v>
      </c>
      <c r="G108" s="50">
        <v>20005207</v>
      </c>
      <c r="H108" s="16" t="s">
        <v>56</v>
      </c>
      <c r="I108" s="50">
        <v>2</v>
      </c>
      <c r="J108" s="51">
        <v>8</v>
      </c>
      <c r="K108" s="51">
        <v>16</v>
      </c>
    </row>
    <row r="109" spans="4:11">
      <c r="D109" s="49">
        <v>46137</v>
      </c>
      <c r="E109" s="16">
        <v>1598188</v>
      </c>
      <c r="F109" s="16" t="s">
        <v>21</v>
      </c>
      <c r="G109" s="50">
        <v>20005208</v>
      </c>
      <c r="H109" s="16" t="s">
        <v>55</v>
      </c>
      <c r="I109" s="50">
        <v>9</v>
      </c>
      <c r="J109" s="51">
        <v>8</v>
      </c>
      <c r="K109" s="51">
        <v>72</v>
      </c>
    </row>
    <row r="110" spans="4:11">
      <c r="D110" s="49">
        <v>46137</v>
      </c>
      <c r="E110" s="16">
        <v>1598188</v>
      </c>
      <c r="F110" s="16" t="s">
        <v>21</v>
      </c>
      <c r="G110" s="50">
        <v>20313590</v>
      </c>
      <c r="H110" s="16" t="s">
        <v>99</v>
      </c>
      <c r="I110" s="50">
        <v>3</v>
      </c>
      <c r="J110" s="51">
        <v>8</v>
      </c>
      <c r="K110" s="51">
        <v>24</v>
      </c>
    </row>
    <row r="111" spans="4:11">
      <c r="D111" s="49">
        <v>46137</v>
      </c>
      <c r="E111" s="16">
        <v>1598188</v>
      </c>
      <c r="F111" s="16" t="s">
        <v>21</v>
      </c>
      <c r="G111" s="50">
        <v>20013630</v>
      </c>
      <c r="H111" s="16" t="s">
        <v>100</v>
      </c>
      <c r="I111" s="50">
        <v>1</v>
      </c>
      <c r="J111" s="51">
        <v>8</v>
      </c>
      <c r="K111" s="51">
        <v>8</v>
      </c>
    </row>
    <row r="112" spans="4:11">
      <c r="D112" s="49">
        <v>46137</v>
      </c>
      <c r="E112" s="16">
        <v>1598188</v>
      </c>
      <c r="F112" s="16" t="s">
        <v>21</v>
      </c>
      <c r="G112" s="50">
        <v>20407295</v>
      </c>
      <c r="H112" s="16" t="s">
        <v>101</v>
      </c>
      <c r="I112" s="50">
        <v>5</v>
      </c>
      <c r="J112" s="51">
        <v>8</v>
      </c>
      <c r="K112" s="51">
        <v>40</v>
      </c>
    </row>
    <row r="113" spans="4:11">
      <c r="D113" s="49">
        <v>46137</v>
      </c>
      <c r="E113" s="16">
        <v>1598188</v>
      </c>
      <c r="F113" s="16" t="s">
        <v>21</v>
      </c>
      <c r="G113" s="50">
        <v>20302876</v>
      </c>
      <c r="H113" s="16" t="s">
        <v>105</v>
      </c>
      <c r="I113" s="50">
        <v>1</v>
      </c>
      <c r="J113" s="51">
        <v>16</v>
      </c>
      <c r="K113" s="51">
        <v>16</v>
      </c>
    </row>
    <row r="114" spans="4:11">
      <c r="D114" s="49">
        <v>46137</v>
      </c>
      <c r="E114" s="16">
        <v>1598188</v>
      </c>
      <c r="F114" s="16" t="s">
        <v>21</v>
      </c>
      <c r="G114" s="50">
        <v>20314990</v>
      </c>
      <c r="H114" s="16" t="s">
        <v>52</v>
      </c>
      <c r="I114" s="50">
        <v>2</v>
      </c>
      <c r="J114" s="51">
        <v>8</v>
      </c>
      <c r="K114" s="51">
        <v>16</v>
      </c>
    </row>
    <row r="115" spans="4:11">
      <c r="D115" s="49">
        <v>46137</v>
      </c>
      <c r="E115" s="16">
        <v>1598188</v>
      </c>
      <c r="F115" s="16" t="s">
        <v>21</v>
      </c>
      <c r="G115" s="50">
        <v>20005849</v>
      </c>
      <c r="H115" s="16" t="s">
        <v>54</v>
      </c>
      <c r="I115" s="50">
        <v>3</v>
      </c>
      <c r="J115" s="51">
        <v>8</v>
      </c>
      <c r="K115" s="51">
        <v>24</v>
      </c>
    </row>
    <row r="116" spans="4:11">
      <c r="D116" s="49">
        <v>46137</v>
      </c>
      <c r="E116" s="16">
        <v>1598188</v>
      </c>
      <c r="F116" s="16" t="s">
        <v>13</v>
      </c>
      <c r="G116" s="50">
        <v>20008026</v>
      </c>
      <c r="H116" s="16" t="s">
        <v>103</v>
      </c>
      <c r="I116" s="50">
        <v>5</v>
      </c>
      <c r="J116" s="51">
        <v>16.5</v>
      </c>
      <c r="K116" s="51">
        <v>82.5</v>
      </c>
    </row>
    <row r="117" spans="4:11">
      <c r="D117" s="49">
        <v>46140</v>
      </c>
      <c r="E117" s="16">
        <v>1598623</v>
      </c>
      <c r="F117" s="16" t="s">
        <v>19</v>
      </c>
      <c r="G117" s="50">
        <v>20005210</v>
      </c>
      <c r="H117" s="16" t="s">
        <v>98</v>
      </c>
      <c r="I117" s="50">
        <v>1</v>
      </c>
      <c r="J117" s="51">
        <v>49.5</v>
      </c>
      <c r="K117" s="51">
        <v>49.5</v>
      </c>
    </row>
    <row r="118" spans="4:11">
      <c r="D118" s="49">
        <v>46140</v>
      </c>
      <c r="E118" s="16">
        <v>1598623</v>
      </c>
      <c r="F118" s="16" t="s">
        <v>21</v>
      </c>
      <c r="G118" s="50">
        <v>20005207</v>
      </c>
      <c r="H118" s="16" t="s">
        <v>56</v>
      </c>
      <c r="I118" s="50">
        <v>5</v>
      </c>
      <c r="J118" s="51">
        <v>8</v>
      </c>
      <c r="K118" s="51">
        <v>40</v>
      </c>
    </row>
    <row r="119" spans="4:11">
      <c r="D119" s="49">
        <v>46140</v>
      </c>
      <c r="E119" s="16">
        <v>1598623</v>
      </c>
      <c r="F119" s="16" t="s">
        <v>21</v>
      </c>
      <c r="G119" s="50">
        <v>20005208</v>
      </c>
      <c r="H119" s="16" t="s">
        <v>55</v>
      </c>
      <c r="I119" s="50">
        <v>27</v>
      </c>
      <c r="J119" s="51">
        <v>8</v>
      </c>
      <c r="K119" s="51">
        <v>216</v>
      </c>
    </row>
    <row r="120" spans="4:11">
      <c r="D120" s="49">
        <v>46140</v>
      </c>
      <c r="E120" s="16">
        <v>1598623</v>
      </c>
      <c r="F120" s="16" t="s">
        <v>21</v>
      </c>
      <c r="G120" s="50">
        <v>20313590</v>
      </c>
      <c r="H120" s="16" t="s">
        <v>99</v>
      </c>
      <c r="I120" s="50">
        <v>4</v>
      </c>
      <c r="J120" s="51">
        <v>8</v>
      </c>
      <c r="K120" s="51">
        <v>32</v>
      </c>
    </row>
    <row r="121" spans="4:11">
      <c r="D121" s="49">
        <v>46140</v>
      </c>
      <c r="E121" s="16">
        <v>1598623</v>
      </c>
      <c r="F121" s="16" t="s">
        <v>21</v>
      </c>
      <c r="G121" s="50">
        <v>20013630</v>
      </c>
      <c r="H121" s="16" t="s">
        <v>100</v>
      </c>
      <c r="I121" s="50">
        <v>7</v>
      </c>
      <c r="J121" s="51">
        <v>8</v>
      </c>
      <c r="K121" s="51">
        <v>56</v>
      </c>
    </row>
    <row r="122" spans="4:11">
      <c r="D122" s="49">
        <v>46140</v>
      </c>
      <c r="E122" s="16">
        <v>1598623</v>
      </c>
      <c r="F122" s="16" t="s">
        <v>21</v>
      </c>
      <c r="G122" s="50">
        <v>20407295</v>
      </c>
      <c r="H122" s="16" t="s">
        <v>101</v>
      </c>
      <c r="I122" s="50">
        <v>9</v>
      </c>
      <c r="J122" s="51">
        <v>8</v>
      </c>
      <c r="K122" s="51">
        <v>72</v>
      </c>
    </row>
    <row r="123" spans="4:11">
      <c r="D123" s="49">
        <v>46140</v>
      </c>
      <c r="E123" s="16">
        <v>1598623</v>
      </c>
      <c r="F123" s="16" t="s">
        <v>21</v>
      </c>
      <c r="G123" s="50">
        <v>20314990</v>
      </c>
      <c r="H123" s="16" t="s">
        <v>52</v>
      </c>
      <c r="I123" s="50">
        <v>4</v>
      </c>
      <c r="J123" s="51">
        <v>8</v>
      </c>
      <c r="K123" s="51">
        <v>32</v>
      </c>
    </row>
    <row r="124" spans="4:11">
      <c r="D124" s="49">
        <v>46140</v>
      </c>
      <c r="E124" s="16">
        <v>1598623</v>
      </c>
      <c r="F124" s="16" t="s">
        <v>21</v>
      </c>
      <c r="G124" s="50">
        <v>20005849</v>
      </c>
      <c r="H124" s="16" t="s">
        <v>54</v>
      </c>
      <c r="I124" s="50">
        <v>4</v>
      </c>
      <c r="J124" s="51">
        <v>8</v>
      </c>
      <c r="K124" s="51">
        <v>32</v>
      </c>
    </row>
    <row r="125" spans="4:11">
      <c r="D125" s="49">
        <v>46140</v>
      </c>
      <c r="E125" s="16">
        <v>1598623</v>
      </c>
      <c r="F125" s="16" t="s">
        <v>13</v>
      </c>
      <c r="G125" s="50">
        <v>20008026</v>
      </c>
      <c r="H125" s="16" t="s">
        <v>103</v>
      </c>
      <c r="I125" s="50">
        <v>14</v>
      </c>
      <c r="J125" s="51">
        <v>16.5</v>
      </c>
      <c r="K125" s="51">
        <v>231</v>
      </c>
    </row>
    <row r="126" spans="4:11">
      <c r="D126" s="49">
        <v>46140</v>
      </c>
      <c r="E126" s="16">
        <v>1598623</v>
      </c>
      <c r="F126" s="16" t="s">
        <v>16</v>
      </c>
      <c r="G126" s="50">
        <v>20302879</v>
      </c>
      <c r="H126" s="16" t="s">
        <v>104</v>
      </c>
      <c r="I126" s="50">
        <v>1</v>
      </c>
      <c r="J126" s="51">
        <v>4</v>
      </c>
      <c r="K126" s="51">
        <v>4</v>
      </c>
    </row>
    <row r="127" spans="4:11">
      <c r="D127" s="49">
        <v>46141</v>
      </c>
      <c r="E127" s="16">
        <v>1599052</v>
      </c>
      <c r="F127" s="16" t="s">
        <v>19</v>
      </c>
      <c r="G127" s="50">
        <v>20005210</v>
      </c>
      <c r="H127" s="16" t="s">
        <v>98</v>
      </c>
      <c r="I127" s="50">
        <v>1</v>
      </c>
      <c r="J127" s="51">
        <v>49.5</v>
      </c>
      <c r="K127" s="51">
        <v>49.5</v>
      </c>
    </row>
    <row r="128" spans="4:11">
      <c r="D128" s="49">
        <v>46141</v>
      </c>
      <c r="E128" s="16">
        <v>1599052</v>
      </c>
      <c r="F128" s="16" t="s">
        <v>21</v>
      </c>
      <c r="G128" s="50">
        <v>20005207</v>
      </c>
      <c r="H128" s="16" t="s">
        <v>56</v>
      </c>
      <c r="I128" s="50">
        <v>14</v>
      </c>
      <c r="J128" s="51">
        <v>8</v>
      </c>
      <c r="K128" s="51">
        <v>112</v>
      </c>
    </row>
    <row r="129" spans="4:11">
      <c r="D129" s="49">
        <v>46141</v>
      </c>
      <c r="E129" s="16">
        <v>1599052</v>
      </c>
      <c r="F129" s="16" t="s">
        <v>21</v>
      </c>
      <c r="G129" s="50">
        <v>20005208</v>
      </c>
      <c r="H129" s="16" t="s">
        <v>55</v>
      </c>
      <c r="I129" s="50">
        <v>35</v>
      </c>
      <c r="J129" s="51">
        <v>8</v>
      </c>
      <c r="K129" s="51">
        <v>280</v>
      </c>
    </row>
    <row r="130" spans="4:11">
      <c r="D130" s="49">
        <v>46141</v>
      </c>
      <c r="E130" s="16">
        <v>1599052</v>
      </c>
      <c r="F130" s="16" t="s">
        <v>21</v>
      </c>
      <c r="G130" s="50">
        <v>20313590</v>
      </c>
      <c r="H130" s="16" t="s">
        <v>99</v>
      </c>
      <c r="I130" s="50">
        <v>1</v>
      </c>
      <c r="J130" s="51">
        <v>8</v>
      </c>
      <c r="K130" s="51">
        <v>8</v>
      </c>
    </row>
    <row r="131" spans="4:11">
      <c r="D131" s="49">
        <v>46141</v>
      </c>
      <c r="E131" s="16">
        <v>1599052</v>
      </c>
      <c r="F131" s="16" t="s">
        <v>21</v>
      </c>
      <c r="G131" s="50">
        <v>20013630</v>
      </c>
      <c r="H131" s="16" t="s">
        <v>100</v>
      </c>
      <c r="I131" s="50">
        <v>4</v>
      </c>
      <c r="J131" s="51">
        <v>8</v>
      </c>
      <c r="K131" s="51">
        <v>32</v>
      </c>
    </row>
    <row r="132" spans="4:11">
      <c r="D132" s="49">
        <v>46141</v>
      </c>
      <c r="E132" s="16">
        <v>1599052</v>
      </c>
      <c r="F132" s="16" t="s">
        <v>21</v>
      </c>
      <c r="G132" s="50">
        <v>20407295</v>
      </c>
      <c r="H132" s="16" t="s">
        <v>101</v>
      </c>
      <c r="I132" s="50">
        <v>23</v>
      </c>
      <c r="J132" s="51">
        <v>8</v>
      </c>
      <c r="K132" s="51">
        <v>184</v>
      </c>
    </row>
    <row r="133" spans="4:11">
      <c r="D133" s="49">
        <v>46141</v>
      </c>
      <c r="E133" s="16">
        <v>1599052</v>
      </c>
      <c r="F133" s="16" t="s">
        <v>21</v>
      </c>
      <c r="G133" s="50">
        <v>20324084</v>
      </c>
      <c r="H133" s="16" t="s">
        <v>22</v>
      </c>
      <c r="I133" s="50">
        <v>1</v>
      </c>
      <c r="J133" s="51">
        <v>8</v>
      </c>
      <c r="K133" s="51">
        <v>8</v>
      </c>
    </row>
    <row r="134" spans="4:11">
      <c r="D134" s="49">
        <v>46141</v>
      </c>
      <c r="E134" s="16">
        <v>1599052</v>
      </c>
      <c r="F134" s="16" t="s">
        <v>21</v>
      </c>
      <c r="G134" s="50">
        <v>20314990</v>
      </c>
      <c r="H134" s="16" t="s">
        <v>52</v>
      </c>
      <c r="I134" s="50">
        <v>14</v>
      </c>
      <c r="J134" s="51">
        <v>8</v>
      </c>
      <c r="K134" s="51">
        <v>112</v>
      </c>
    </row>
    <row r="135" spans="4:11">
      <c r="D135" s="49">
        <v>46141</v>
      </c>
      <c r="E135" s="16">
        <v>1599052</v>
      </c>
      <c r="F135" s="16" t="s">
        <v>21</v>
      </c>
      <c r="G135" s="50">
        <v>20005849</v>
      </c>
      <c r="H135" s="16" t="s">
        <v>54</v>
      </c>
      <c r="I135" s="50">
        <v>12</v>
      </c>
      <c r="J135" s="51">
        <v>8</v>
      </c>
      <c r="K135" s="51">
        <v>96</v>
      </c>
    </row>
    <row r="136" spans="4:11">
      <c r="D136" s="49">
        <v>46141</v>
      </c>
      <c r="E136" s="16">
        <v>1599052</v>
      </c>
      <c r="F136" s="16" t="s">
        <v>13</v>
      </c>
      <c r="G136" s="50">
        <v>20008026</v>
      </c>
      <c r="H136" s="16" t="s">
        <v>103</v>
      </c>
      <c r="I136" s="50">
        <v>10</v>
      </c>
      <c r="J136" s="51">
        <v>16.5</v>
      </c>
      <c r="K136" s="51">
        <v>165</v>
      </c>
    </row>
    <row r="137" spans="4:11">
      <c r="D137" s="49">
        <v>46142</v>
      </c>
      <c r="E137" s="16">
        <v>1599455</v>
      </c>
      <c r="F137" s="16" t="s">
        <v>19</v>
      </c>
      <c r="G137" s="50">
        <v>20005210</v>
      </c>
      <c r="H137" s="16" t="s">
        <v>98</v>
      </c>
      <c r="I137" s="50">
        <v>6</v>
      </c>
      <c r="J137" s="51">
        <v>49.5</v>
      </c>
      <c r="K137" s="51">
        <v>297</v>
      </c>
    </row>
    <row r="138" spans="4:11">
      <c r="D138" s="49">
        <v>46142</v>
      </c>
      <c r="E138" s="16">
        <v>1599455</v>
      </c>
      <c r="F138" s="16" t="s">
        <v>21</v>
      </c>
      <c r="G138" s="50">
        <v>20005207</v>
      </c>
      <c r="H138" s="16" t="s">
        <v>56</v>
      </c>
      <c r="I138" s="50">
        <v>9</v>
      </c>
      <c r="J138" s="51">
        <v>8</v>
      </c>
      <c r="K138" s="51">
        <v>72</v>
      </c>
    </row>
    <row r="139" spans="4:11">
      <c r="D139" s="49">
        <v>46142</v>
      </c>
      <c r="E139" s="16">
        <v>1599455</v>
      </c>
      <c r="F139" s="16" t="s">
        <v>21</v>
      </c>
      <c r="G139" s="50">
        <v>20005208</v>
      </c>
      <c r="H139" s="16" t="s">
        <v>55</v>
      </c>
      <c r="I139" s="50">
        <v>24</v>
      </c>
      <c r="J139" s="51">
        <v>8</v>
      </c>
      <c r="K139" s="51">
        <v>192</v>
      </c>
    </row>
    <row r="140" spans="4:11">
      <c r="D140" s="49">
        <v>46142</v>
      </c>
      <c r="E140" s="16">
        <v>1599455</v>
      </c>
      <c r="F140" s="16" t="s">
        <v>21</v>
      </c>
      <c r="G140" s="50">
        <v>20013630</v>
      </c>
      <c r="H140" s="16" t="s">
        <v>100</v>
      </c>
      <c r="I140" s="50">
        <v>7</v>
      </c>
      <c r="J140" s="51">
        <v>8</v>
      </c>
      <c r="K140" s="51">
        <v>56</v>
      </c>
    </row>
    <row r="141" spans="4:11">
      <c r="D141" s="49">
        <v>46142</v>
      </c>
      <c r="E141" s="16">
        <v>1599455</v>
      </c>
      <c r="F141" s="16" t="s">
        <v>21</v>
      </c>
      <c r="G141" s="50">
        <v>20407295</v>
      </c>
      <c r="H141" s="16" t="s">
        <v>101</v>
      </c>
      <c r="I141" s="50">
        <v>27</v>
      </c>
      <c r="J141" s="51">
        <v>8</v>
      </c>
      <c r="K141" s="51">
        <v>216</v>
      </c>
    </row>
    <row r="142" spans="4:11">
      <c r="D142" s="49">
        <v>46142</v>
      </c>
      <c r="E142" s="16">
        <v>1599455</v>
      </c>
      <c r="F142" s="16" t="s">
        <v>21</v>
      </c>
      <c r="G142" s="50">
        <v>20314990</v>
      </c>
      <c r="H142" s="16" t="s">
        <v>52</v>
      </c>
      <c r="I142" s="50">
        <v>9</v>
      </c>
      <c r="J142" s="51">
        <v>8</v>
      </c>
      <c r="K142" s="51">
        <v>72</v>
      </c>
    </row>
    <row r="143" spans="4:11">
      <c r="D143" s="49">
        <v>46142</v>
      </c>
      <c r="E143" s="16">
        <v>1599455</v>
      </c>
      <c r="F143" s="16" t="s">
        <v>21</v>
      </c>
      <c r="G143" s="50">
        <v>20005849</v>
      </c>
      <c r="H143" s="16" t="s">
        <v>54</v>
      </c>
      <c r="I143" s="50">
        <v>13</v>
      </c>
      <c r="J143" s="51">
        <v>8</v>
      </c>
      <c r="K143" s="51">
        <v>104</v>
      </c>
    </row>
    <row r="144" spans="4:11">
      <c r="D144" s="49">
        <v>46142</v>
      </c>
      <c r="E144" s="16">
        <v>1599455</v>
      </c>
      <c r="F144" s="16" t="s">
        <v>13</v>
      </c>
      <c r="G144" s="50">
        <v>20008026</v>
      </c>
      <c r="H144" s="16" t="s">
        <v>103</v>
      </c>
      <c r="I144" s="50">
        <v>10</v>
      </c>
      <c r="J144" s="51">
        <v>16.5</v>
      </c>
      <c r="K144" s="51">
        <v>165</v>
      </c>
    </row>
    <row r="145" spans="4:11">
      <c r="D145" s="49">
        <v>46142</v>
      </c>
      <c r="E145" s="16">
        <v>1599826</v>
      </c>
      <c r="F145" s="16" t="s">
        <v>19</v>
      </c>
      <c r="G145" s="50">
        <v>20005210</v>
      </c>
      <c r="H145" s="16" t="s">
        <v>98</v>
      </c>
      <c r="I145" s="50">
        <v>3</v>
      </c>
      <c r="J145" s="51">
        <v>49.5</v>
      </c>
      <c r="K145" s="51">
        <v>148.5</v>
      </c>
    </row>
    <row r="146" spans="4:11">
      <c r="D146" s="49">
        <v>46142</v>
      </c>
      <c r="E146" s="16">
        <v>1599826</v>
      </c>
      <c r="F146" s="16" t="s">
        <v>21</v>
      </c>
      <c r="G146" s="50">
        <v>20005207</v>
      </c>
      <c r="H146" s="16" t="s">
        <v>56</v>
      </c>
      <c r="I146" s="50">
        <v>8</v>
      </c>
      <c r="J146" s="51">
        <v>8</v>
      </c>
      <c r="K146" s="51">
        <v>64</v>
      </c>
    </row>
    <row r="147" spans="4:11">
      <c r="D147" s="49">
        <v>46142</v>
      </c>
      <c r="E147" s="16">
        <v>1599826</v>
      </c>
      <c r="F147" s="16" t="s">
        <v>21</v>
      </c>
      <c r="G147" s="50">
        <v>20005208</v>
      </c>
      <c r="H147" s="16" t="s">
        <v>55</v>
      </c>
      <c r="I147" s="50">
        <v>35</v>
      </c>
      <c r="J147" s="51">
        <v>8</v>
      </c>
      <c r="K147" s="51">
        <v>280</v>
      </c>
    </row>
    <row r="148" spans="4:11">
      <c r="D148" s="49">
        <v>46142</v>
      </c>
      <c r="E148" s="16">
        <v>1599826</v>
      </c>
      <c r="F148" s="16" t="s">
        <v>21</v>
      </c>
      <c r="G148" s="50">
        <v>20313590</v>
      </c>
      <c r="H148" s="16" t="s">
        <v>99</v>
      </c>
      <c r="I148" s="50">
        <v>6</v>
      </c>
      <c r="J148" s="51">
        <v>8</v>
      </c>
      <c r="K148" s="51">
        <v>48</v>
      </c>
    </row>
    <row r="149" spans="4:11">
      <c r="D149" s="49">
        <v>46142</v>
      </c>
      <c r="E149" s="16">
        <v>1599826</v>
      </c>
      <c r="F149" s="16" t="s">
        <v>21</v>
      </c>
      <c r="G149" s="50">
        <v>20013630</v>
      </c>
      <c r="H149" s="16" t="s">
        <v>100</v>
      </c>
      <c r="I149" s="50">
        <v>4</v>
      </c>
      <c r="J149" s="51">
        <v>8</v>
      </c>
      <c r="K149" s="51">
        <v>32</v>
      </c>
    </row>
    <row r="150" spans="4:11">
      <c r="D150" s="49">
        <v>46142</v>
      </c>
      <c r="E150" s="16">
        <v>1599826</v>
      </c>
      <c r="F150" s="16" t="s">
        <v>21</v>
      </c>
      <c r="G150" s="50">
        <v>20324084</v>
      </c>
      <c r="H150" s="16" t="s">
        <v>22</v>
      </c>
      <c r="I150" s="50">
        <v>2</v>
      </c>
      <c r="J150" s="51">
        <v>8</v>
      </c>
      <c r="K150" s="51">
        <v>16</v>
      </c>
    </row>
    <row r="151" spans="4:11">
      <c r="D151" s="49">
        <v>46142</v>
      </c>
      <c r="E151" s="16">
        <v>1599826</v>
      </c>
      <c r="F151" s="16" t="s">
        <v>21</v>
      </c>
      <c r="G151" s="50">
        <v>20302876</v>
      </c>
      <c r="H151" s="16" t="s">
        <v>105</v>
      </c>
      <c r="I151" s="50">
        <v>1</v>
      </c>
      <c r="J151" s="51">
        <v>16</v>
      </c>
      <c r="K151" s="51">
        <v>16</v>
      </c>
    </row>
    <row r="152" spans="4:11">
      <c r="D152" s="49">
        <v>46142</v>
      </c>
      <c r="E152" s="16">
        <v>1599826</v>
      </c>
      <c r="F152" s="16" t="s">
        <v>21</v>
      </c>
      <c r="G152" s="50">
        <v>20005849</v>
      </c>
      <c r="H152" s="16" t="s">
        <v>54</v>
      </c>
      <c r="I152" s="50">
        <v>12</v>
      </c>
      <c r="J152" s="51">
        <v>8</v>
      </c>
      <c r="K152" s="51">
        <v>96</v>
      </c>
    </row>
    <row r="153" spans="4:11">
      <c r="D153" s="49">
        <v>46142</v>
      </c>
      <c r="E153" s="16">
        <v>1599826</v>
      </c>
      <c r="F153" s="16" t="s">
        <v>13</v>
      </c>
      <c r="G153" s="50">
        <v>20008026</v>
      </c>
      <c r="H153" s="16" t="s">
        <v>103</v>
      </c>
      <c r="I153" s="50">
        <v>19</v>
      </c>
      <c r="J153" s="51">
        <v>16.5</v>
      </c>
      <c r="K153" s="51">
        <v>313.5</v>
      </c>
    </row>
    <row r="154" spans="4:11">
      <c r="D154" s="49">
        <v>46142</v>
      </c>
      <c r="E154" s="16">
        <v>1599826</v>
      </c>
      <c r="F154" s="16" t="s">
        <v>16</v>
      </c>
      <c r="G154" s="50">
        <v>20302879</v>
      </c>
      <c r="H154" s="16" t="s">
        <v>104</v>
      </c>
      <c r="I154" s="50">
        <v>1</v>
      </c>
      <c r="J154" s="51">
        <v>4</v>
      </c>
      <c r="K154" s="51">
        <v>4</v>
      </c>
    </row>
    <row r="155" spans="4:11">
      <c r="D155" s="49">
        <v>46142</v>
      </c>
      <c r="E155" s="16">
        <v>1599898</v>
      </c>
      <c r="F155" s="16" t="s">
        <v>21</v>
      </c>
      <c r="G155" s="50">
        <v>20407295</v>
      </c>
      <c r="H155" s="16" t="s">
        <v>101</v>
      </c>
      <c r="I155" s="50">
        <v>22</v>
      </c>
      <c r="J155" s="51">
        <v>8</v>
      </c>
      <c r="K155" s="51">
        <v>176</v>
      </c>
    </row>
    <row r="156" spans="4:11">
      <c r="D156" s="49">
        <v>46142</v>
      </c>
      <c r="E156" s="16">
        <v>1599898</v>
      </c>
      <c r="F156" s="16" t="s">
        <v>21</v>
      </c>
      <c r="G156" s="50">
        <v>20314990</v>
      </c>
      <c r="H156" s="16" t="s">
        <v>52</v>
      </c>
      <c r="I156" s="50">
        <v>13</v>
      </c>
      <c r="J156" s="51">
        <v>8</v>
      </c>
      <c r="K156" s="51">
        <v>104</v>
      </c>
    </row>
    <row r="157" spans="4:11">
      <c r="D157" s="49">
        <v>46143</v>
      </c>
      <c r="E157" s="16">
        <v>1599978</v>
      </c>
      <c r="F157" s="16" t="s">
        <v>19</v>
      </c>
      <c r="G157" s="50">
        <v>20005210</v>
      </c>
      <c r="H157" s="16" t="s">
        <v>98</v>
      </c>
      <c r="I157" s="50">
        <v>4</v>
      </c>
      <c r="J157" s="51">
        <v>49.5</v>
      </c>
      <c r="K157" s="51">
        <v>198</v>
      </c>
    </row>
    <row r="158" spans="4:11">
      <c r="D158" s="49">
        <v>46143</v>
      </c>
      <c r="E158" s="16">
        <v>1599978</v>
      </c>
      <c r="F158" s="16" t="s">
        <v>21</v>
      </c>
      <c r="G158" s="50">
        <v>20005207</v>
      </c>
      <c r="H158" s="16" t="s">
        <v>56</v>
      </c>
      <c r="I158" s="50">
        <v>4</v>
      </c>
      <c r="J158" s="51">
        <v>8</v>
      </c>
      <c r="K158" s="51">
        <v>32</v>
      </c>
    </row>
    <row r="159" spans="4:11">
      <c r="D159" s="49">
        <v>46143</v>
      </c>
      <c r="E159" s="16">
        <v>1599978</v>
      </c>
      <c r="F159" s="16" t="s">
        <v>21</v>
      </c>
      <c r="G159" s="50">
        <v>20005208</v>
      </c>
      <c r="H159" s="16" t="s">
        <v>55</v>
      </c>
      <c r="I159" s="50">
        <v>9</v>
      </c>
      <c r="J159" s="51">
        <v>8</v>
      </c>
      <c r="K159" s="51">
        <v>72</v>
      </c>
    </row>
    <row r="160" spans="4:11">
      <c r="D160" s="49">
        <v>46143</v>
      </c>
      <c r="E160" s="16">
        <v>1599978</v>
      </c>
      <c r="F160" s="16" t="s">
        <v>21</v>
      </c>
      <c r="G160" s="50">
        <v>20313590</v>
      </c>
      <c r="H160" s="16" t="s">
        <v>99</v>
      </c>
      <c r="I160" s="50">
        <v>1</v>
      </c>
      <c r="J160" s="51">
        <v>8</v>
      </c>
      <c r="K160" s="51">
        <v>8</v>
      </c>
    </row>
    <row r="161" spans="4:11">
      <c r="D161" s="49">
        <v>46143</v>
      </c>
      <c r="E161" s="16">
        <v>1599978</v>
      </c>
      <c r="F161" s="16" t="s">
        <v>21</v>
      </c>
      <c r="G161" s="50">
        <v>20013630</v>
      </c>
      <c r="H161" s="16" t="s">
        <v>100</v>
      </c>
      <c r="I161" s="50">
        <v>4</v>
      </c>
      <c r="J161" s="51">
        <v>8</v>
      </c>
      <c r="K161" s="51">
        <v>32</v>
      </c>
    </row>
    <row r="162" spans="4:11">
      <c r="D162" s="49">
        <v>46143</v>
      </c>
      <c r="E162" s="16">
        <v>1599978</v>
      </c>
      <c r="F162" s="16" t="s">
        <v>21</v>
      </c>
      <c r="G162" s="50">
        <v>20407295</v>
      </c>
      <c r="H162" s="16" t="s">
        <v>101</v>
      </c>
      <c r="I162" s="50">
        <v>5</v>
      </c>
      <c r="J162" s="51">
        <v>8</v>
      </c>
      <c r="K162" s="51">
        <v>40</v>
      </c>
    </row>
    <row r="163" spans="4:11">
      <c r="D163" s="49">
        <v>46143</v>
      </c>
      <c r="E163" s="16">
        <v>1599978</v>
      </c>
      <c r="F163" s="16" t="s">
        <v>21</v>
      </c>
      <c r="G163" s="50">
        <v>20321305</v>
      </c>
      <c r="H163" s="16" t="s">
        <v>102</v>
      </c>
      <c r="I163" s="50">
        <v>2</v>
      </c>
      <c r="J163" s="51">
        <v>8</v>
      </c>
      <c r="K163" s="51">
        <v>16</v>
      </c>
    </row>
    <row r="164" spans="4:11">
      <c r="D164" s="49">
        <v>46143</v>
      </c>
      <c r="E164" s="16">
        <v>1599978</v>
      </c>
      <c r="F164" s="16" t="s">
        <v>21</v>
      </c>
      <c r="G164" s="50">
        <v>20314990</v>
      </c>
      <c r="H164" s="16" t="s">
        <v>52</v>
      </c>
      <c r="I164" s="50">
        <v>6</v>
      </c>
      <c r="J164" s="51">
        <v>8</v>
      </c>
      <c r="K164" s="51">
        <v>48</v>
      </c>
    </row>
    <row r="165" spans="4:11">
      <c r="D165" s="49">
        <v>46143</v>
      </c>
      <c r="E165" s="16">
        <v>1599978</v>
      </c>
      <c r="F165" s="16" t="s">
        <v>21</v>
      </c>
      <c r="G165" s="50">
        <v>20005849</v>
      </c>
      <c r="H165" s="16" t="s">
        <v>54</v>
      </c>
      <c r="I165" s="50">
        <v>7</v>
      </c>
      <c r="J165" s="51">
        <v>8</v>
      </c>
      <c r="K165" s="51">
        <v>56</v>
      </c>
    </row>
    <row r="166" spans="4:11">
      <c r="D166" s="49">
        <v>46143</v>
      </c>
      <c r="E166" s="16">
        <v>1599978</v>
      </c>
      <c r="F166" s="16" t="s">
        <v>13</v>
      </c>
      <c r="G166" s="50">
        <v>20008026</v>
      </c>
      <c r="H166" s="16" t="s">
        <v>103</v>
      </c>
      <c r="I166" s="50">
        <v>6</v>
      </c>
      <c r="J166" s="51">
        <v>16.5</v>
      </c>
      <c r="K166" s="51">
        <v>99</v>
      </c>
    </row>
    <row r="167" spans="4:11">
      <c r="D167" s="49">
        <v>46147</v>
      </c>
      <c r="E167" s="16">
        <v>1600285</v>
      </c>
      <c r="F167" s="16" t="s">
        <v>19</v>
      </c>
      <c r="G167" s="50">
        <v>20005210</v>
      </c>
      <c r="H167" s="16" t="s">
        <v>98</v>
      </c>
      <c r="I167" s="50">
        <v>3</v>
      </c>
      <c r="J167" s="51">
        <v>49.5</v>
      </c>
      <c r="K167" s="51">
        <v>148.5</v>
      </c>
    </row>
    <row r="168" spans="4:11">
      <c r="D168" s="49">
        <v>46147</v>
      </c>
      <c r="E168" s="16">
        <v>1600285</v>
      </c>
      <c r="F168" s="16" t="s">
        <v>21</v>
      </c>
      <c r="G168" s="50">
        <v>20005207</v>
      </c>
      <c r="H168" s="16" t="s">
        <v>56</v>
      </c>
      <c r="I168" s="50">
        <v>3</v>
      </c>
      <c r="J168" s="51">
        <v>8</v>
      </c>
      <c r="K168" s="51">
        <v>24</v>
      </c>
    </row>
    <row r="169" spans="4:11">
      <c r="D169" s="49">
        <v>46147</v>
      </c>
      <c r="E169" s="16">
        <v>1600285</v>
      </c>
      <c r="F169" s="16" t="s">
        <v>21</v>
      </c>
      <c r="G169" s="50">
        <v>20005208</v>
      </c>
      <c r="H169" s="16" t="s">
        <v>55</v>
      </c>
      <c r="I169" s="50">
        <v>26</v>
      </c>
      <c r="J169" s="51">
        <v>8</v>
      </c>
      <c r="K169" s="51">
        <v>208</v>
      </c>
    </row>
    <row r="170" spans="4:11">
      <c r="D170" s="49">
        <v>46147</v>
      </c>
      <c r="E170" s="16">
        <v>1600285</v>
      </c>
      <c r="F170" s="16" t="s">
        <v>21</v>
      </c>
      <c r="G170" s="50">
        <v>20013630</v>
      </c>
      <c r="H170" s="16" t="s">
        <v>100</v>
      </c>
      <c r="I170" s="50">
        <v>2</v>
      </c>
      <c r="J170" s="51">
        <v>8</v>
      </c>
      <c r="K170" s="51">
        <v>16</v>
      </c>
    </row>
    <row r="171" spans="4:11">
      <c r="D171" s="49">
        <v>46147</v>
      </c>
      <c r="E171" s="16">
        <v>1600285</v>
      </c>
      <c r="F171" s="16" t="s">
        <v>21</v>
      </c>
      <c r="G171" s="50">
        <v>20407295</v>
      </c>
      <c r="H171" s="16" t="s">
        <v>101</v>
      </c>
      <c r="I171" s="50">
        <v>12</v>
      </c>
      <c r="J171" s="51">
        <v>8</v>
      </c>
      <c r="K171" s="51">
        <v>96</v>
      </c>
    </row>
    <row r="172" spans="4:11">
      <c r="D172" s="49">
        <v>46147</v>
      </c>
      <c r="E172" s="16">
        <v>1600285</v>
      </c>
      <c r="F172" s="16" t="s">
        <v>21</v>
      </c>
      <c r="G172" s="50">
        <v>20005929</v>
      </c>
      <c r="H172" s="16" t="s">
        <v>106</v>
      </c>
      <c r="I172" s="50">
        <v>9</v>
      </c>
      <c r="J172" s="51">
        <v>8</v>
      </c>
      <c r="K172" s="51">
        <v>72</v>
      </c>
    </row>
    <row r="173" spans="4:11">
      <c r="D173" s="49">
        <v>46147</v>
      </c>
      <c r="E173" s="16">
        <v>1600285</v>
      </c>
      <c r="F173" s="16" t="s">
        <v>21</v>
      </c>
      <c r="G173" s="50">
        <v>20314990</v>
      </c>
      <c r="H173" s="16" t="s">
        <v>52</v>
      </c>
      <c r="I173" s="50">
        <v>12</v>
      </c>
      <c r="J173" s="51">
        <v>8</v>
      </c>
      <c r="K173" s="51">
        <v>96</v>
      </c>
    </row>
    <row r="174" spans="4:11">
      <c r="D174" s="49">
        <v>46147</v>
      </c>
      <c r="E174" s="16">
        <v>1600285</v>
      </c>
      <c r="F174" s="16" t="s">
        <v>21</v>
      </c>
      <c r="G174" s="50">
        <v>20005849</v>
      </c>
      <c r="H174" s="16" t="s">
        <v>54</v>
      </c>
      <c r="I174" s="50">
        <v>13</v>
      </c>
      <c r="J174" s="51">
        <v>8</v>
      </c>
      <c r="K174" s="51">
        <v>104</v>
      </c>
    </row>
    <row r="175" spans="4:11">
      <c r="D175" s="49">
        <v>46147</v>
      </c>
      <c r="E175" s="16">
        <v>1600285</v>
      </c>
      <c r="F175" s="16" t="s">
        <v>13</v>
      </c>
      <c r="G175" s="50">
        <v>20008026</v>
      </c>
      <c r="H175" s="16" t="s">
        <v>103</v>
      </c>
      <c r="I175" s="50">
        <v>11</v>
      </c>
      <c r="J175" s="51">
        <v>16.5</v>
      </c>
      <c r="K175" s="51">
        <v>181.5</v>
      </c>
    </row>
    <row r="176" spans="4:11">
      <c r="D176" s="49">
        <v>46148</v>
      </c>
      <c r="E176" s="16">
        <v>1600644</v>
      </c>
      <c r="F176" s="16" t="s">
        <v>19</v>
      </c>
      <c r="G176" s="50">
        <v>20005210</v>
      </c>
      <c r="H176" s="16" t="s">
        <v>98</v>
      </c>
      <c r="I176" s="50">
        <v>1</v>
      </c>
      <c r="J176" s="51">
        <v>49.5</v>
      </c>
      <c r="K176" s="51">
        <v>49.5</v>
      </c>
    </row>
    <row r="177" spans="4:11">
      <c r="D177" s="49">
        <v>46148</v>
      </c>
      <c r="E177" s="16">
        <v>1600644</v>
      </c>
      <c r="F177" s="16" t="s">
        <v>21</v>
      </c>
      <c r="G177" s="50">
        <v>20005207</v>
      </c>
      <c r="H177" s="16" t="s">
        <v>56</v>
      </c>
      <c r="I177" s="50">
        <v>6</v>
      </c>
      <c r="J177" s="51">
        <v>8</v>
      </c>
      <c r="K177" s="51">
        <v>48</v>
      </c>
    </row>
    <row r="178" spans="4:11">
      <c r="D178" s="49">
        <v>46148</v>
      </c>
      <c r="E178" s="16">
        <v>1600644</v>
      </c>
      <c r="F178" s="16" t="s">
        <v>21</v>
      </c>
      <c r="G178" s="50">
        <v>20005208</v>
      </c>
      <c r="H178" s="16" t="s">
        <v>55</v>
      </c>
      <c r="I178" s="50">
        <v>24</v>
      </c>
      <c r="J178" s="51">
        <v>8</v>
      </c>
      <c r="K178" s="51">
        <v>192</v>
      </c>
    </row>
    <row r="179" spans="4:11">
      <c r="D179" s="49">
        <v>46148</v>
      </c>
      <c r="E179" s="16">
        <v>1600644</v>
      </c>
      <c r="F179" s="16" t="s">
        <v>21</v>
      </c>
      <c r="G179" s="50">
        <v>20313590</v>
      </c>
      <c r="H179" s="16" t="s">
        <v>99</v>
      </c>
      <c r="I179" s="50">
        <v>2</v>
      </c>
      <c r="J179" s="51">
        <v>8</v>
      </c>
      <c r="K179" s="51">
        <v>16</v>
      </c>
    </row>
    <row r="180" spans="4:11">
      <c r="D180" s="49">
        <v>46148</v>
      </c>
      <c r="E180" s="16">
        <v>1600644</v>
      </c>
      <c r="F180" s="16" t="s">
        <v>21</v>
      </c>
      <c r="G180" s="50">
        <v>20013630</v>
      </c>
      <c r="H180" s="16" t="s">
        <v>100</v>
      </c>
      <c r="I180" s="50">
        <v>7</v>
      </c>
      <c r="J180" s="51">
        <v>8</v>
      </c>
      <c r="K180" s="51">
        <v>56</v>
      </c>
    </row>
    <row r="181" spans="4:11">
      <c r="D181" s="49">
        <v>46148</v>
      </c>
      <c r="E181" s="16">
        <v>1600644</v>
      </c>
      <c r="F181" s="16" t="s">
        <v>21</v>
      </c>
      <c r="G181" s="50">
        <v>20407295</v>
      </c>
      <c r="H181" s="16" t="s">
        <v>101</v>
      </c>
      <c r="I181" s="50">
        <v>6</v>
      </c>
      <c r="J181" s="51">
        <v>8</v>
      </c>
      <c r="K181" s="51">
        <v>48</v>
      </c>
    </row>
    <row r="182" spans="4:11">
      <c r="D182" s="49">
        <v>46148</v>
      </c>
      <c r="E182" s="16">
        <v>1600644</v>
      </c>
      <c r="F182" s="16" t="s">
        <v>21</v>
      </c>
      <c r="G182" s="50">
        <v>20324084</v>
      </c>
      <c r="H182" s="16" t="s">
        <v>22</v>
      </c>
      <c r="I182" s="50">
        <v>1</v>
      </c>
      <c r="J182" s="51">
        <v>8</v>
      </c>
      <c r="K182" s="51">
        <v>8</v>
      </c>
    </row>
    <row r="183" spans="4:11">
      <c r="D183" s="49">
        <v>46148</v>
      </c>
      <c r="E183" s="16">
        <v>1600644</v>
      </c>
      <c r="F183" s="16" t="s">
        <v>21</v>
      </c>
      <c r="G183" s="50">
        <v>20321305</v>
      </c>
      <c r="H183" s="16" t="s">
        <v>102</v>
      </c>
      <c r="I183" s="50">
        <v>1</v>
      </c>
      <c r="J183" s="51">
        <v>8</v>
      </c>
      <c r="K183" s="51">
        <v>8</v>
      </c>
    </row>
    <row r="184" spans="4:11">
      <c r="D184" s="49">
        <v>46148</v>
      </c>
      <c r="E184" s="16">
        <v>1600644</v>
      </c>
      <c r="F184" s="16" t="s">
        <v>21</v>
      </c>
      <c r="G184" s="50">
        <v>20314990</v>
      </c>
      <c r="H184" s="16" t="s">
        <v>52</v>
      </c>
      <c r="I184" s="50">
        <v>5</v>
      </c>
      <c r="J184" s="51">
        <v>8</v>
      </c>
      <c r="K184" s="51">
        <v>40</v>
      </c>
    </row>
    <row r="185" spans="4:11">
      <c r="D185" s="49">
        <v>46148</v>
      </c>
      <c r="E185" s="16">
        <v>1600644</v>
      </c>
      <c r="F185" s="16" t="s">
        <v>21</v>
      </c>
      <c r="G185" s="50">
        <v>20005849</v>
      </c>
      <c r="H185" s="16" t="s">
        <v>54</v>
      </c>
      <c r="I185" s="50">
        <v>6</v>
      </c>
      <c r="J185" s="51">
        <v>8</v>
      </c>
      <c r="K185" s="51">
        <v>48</v>
      </c>
    </row>
    <row r="186" spans="4:11">
      <c r="D186" s="49">
        <v>46148</v>
      </c>
      <c r="E186" s="16">
        <v>1600644</v>
      </c>
      <c r="F186" s="16" t="s">
        <v>13</v>
      </c>
      <c r="G186" s="50">
        <v>20008026</v>
      </c>
      <c r="H186" s="16" t="s">
        <v>103</v>
      </c>
      <c r="I186" s="50">
        <v>8</v>
      </c>
      <c r="J186" s="51">
        <v>16.5</v>
      </c>
      <c r="K186" s="51">
        <v>132</v>
      </c>
    </row>
    <row r="187" spans="4:11">
      <c r="D187" s="49">
        <v>46150</v>
      </c>
      <c r="E187" s="16">
        <v>1601018</v>
      </c>
      <c r="F187" s="16" t="s">
        <v>19</v>
      </c>
      <c r="G187" s="50">
        <v>20005210</v>
      </c>
      <c r="H187" s="16" t="s">
        <v>98</v>
      </c>
      <c r="I187" s="50">
        <v>5</v>
      </c>
      <c r="J187" s="51">
        <v>49.5</v>
      </c>
      <c r="K187" s="51">
        <v>247.5</v>
      </c>
    </row>
    <row r="188" spans="4:11">
      <c r="D188" s="49">
        <v>46150</v>
      </c>
      <c r="E188" s="16">
        <v>1601018</v>
      </c>
      <c r="F188" s="16" t="s">
        <v>21</v>
      </c>
      <c r="G188" s="50">
        <v>20005207</v>
      </c>
      <c r="H188" s="16" t="s">
        <v>56</v>
      </c>
      <c r="I188" s="50">
        <v>9</v>
      </c>
      <c r="J188" s="51">
        <v>8</v>
      </c>
      <c r="K188" s="51">
        <v>72</v>
      </c>
    </row>
    <row r="189" spans="4:11">
      <c r="D189" s="49">
        <v>46150</v>
      </c>
      <c r="E189" s="16">
        <v>1601018</v>
      </c>
      <c r="F189" s="16" t="s">
        <v>21</v>
      </c>
      <c r="G189" s="50">
        <v>20005208</v>
      </c>
      <c r="H189" s="16" t="s">
        <v>55</v>
      </c>
      <c r="I189" s="50">
        <v>36</v>
      </c>
      <c r="J189" s="51">
        <v>8</v>
      </c>
      <c r="K189" s="51">
        <v>288</v>
      </c>
    </row>
    <row r="190" spans="4:11">
      <c r="D190" s="49">
        <v>46150</v>
      </c>
      <c r="E190" s="16">
        <v>1601018</v>
      </c>
      <c r="F190" s="16" t="s">
        <v>21</v>
      </c>
      <c r="G190" s="50">
        <v>20313590</v>
      </c>
      <c r="H190" s="16" t="s">
        <v>99</v>
      </c>
      <c r="I190" s="50">
        <v>3</v>
      </c>
      <c r="J190" s="51">
        <v>8</v>
      </c>
      <c r="K190" s="51">
        <v>24</v>
      </c>
    </row>
    <row r="191" spans="4:11">
      <c r="D191" s="49">
        <v>46150</v>
      </c>
      <c r="E191" s="16">
        <v>1601018</v>
      </c>
      <c r="F191" s="16" t="s">
        <v>21</v>
      </c>
      <c r="G191" s="50">
        <v>20013630</v>
      </c>
      <c r="H191" s="16" t="s">
        <v>100</v>
      </c>
      <c r="I191" s="50">
        <v>4</v>
      </c>
      <c r="J191" s="51">
        <v>8</v>
      </c>
      <c r="K191" s="51">
        <v>32</v>
      </c>
    </row>
    <row r="192" spans="4:11">
      <c r="D192" s="49">
        <v>46150</v>
      </c>
      <c r="E192" s="16">
        <v>1601018</v>
      </c>
      <c r="F192" s="16" t="s">
        <v>21</v>
      </c>
      <c r="G192" s="50">
        <v>20407295</v>
      </c>
      <c r="H192" s="16" t="s">
        <v>101</v>
      </c>
      <c r="I192" s="50">
        <v>27</v>
      </c>
      <c r="J192" s="51">
        <v>8</v>
      </c>
      <c r="K192" s="51">
        <v>216</v>
      </c>
    </row>
    <row r="193" spans="4:11">
      <c r="D193" s="49">
        <v>46150</v>
      </c>
      <c r="E193" s="16">
        <v>1601018</v>
      </c>
      <c r="F193" s="16" t="s">
        <v>21</v>
      </c>
      <c r="G193" s="50">
        <v>20321305</v>
      </c>
      <c r="H193" s="16" t="s">
        <v>102</v>
      </c>
      <c r="I193" s="50">
        <v>2</v>
      </c>
      <c r="J193" s="51">
        <v>8</v>
      </c>
      <c r="K193" s="51">
        <v>16</v>
      </c>
    </row>
    <row r="194" spans="4:11">
      <c r="D194" s="49">
        <v>46150</v>
      </c>
      <c r="E194" s="16">
        <v>1601018</v>
      </c>
      <c r="F194" s="16" t="s">
        <v>21</v>
      </c>
      <c r="G194" s="50">
        <v>20314990</v>
      </c>
      <c r="H194" s="16" t="s">
        <v>52</v>
      </c>
      <c r="I194" s="50">
        <v>9</v>
      </c>
      <c r="J194" s="51">
        <v>8</v>
      </c>
      <c r="K194" s="51">
        <v>72</v>
      </c>
    </row>
    <row r="195" spans="4:11">
      <c r="D195" s="49">
        <v>46150</v>
      </c>
      <c r="E195" s="16">
        <v>1601018</v>
      </c>
      <c r="F195" s="16" t="s">
        <v>21</v>
      </c>
      <c r="G195" s="50">
        <v>20005849</v>
      </c>
      <c r="H195" s="16" t="s">
        <v>54</v>
      </c>
      <c r="I195" s="50">
        <v>11</v>
      </c>
      <c r="J195" s="51">
        <v>8</v>
      </c>
      <c r="K195" s="51">
        <v>88</v>
      </c>
    </row>
    <row r="196" spans="4:11">
      <c r="D196" s="49">
        <v>46150</v>
      </c>
      <c r="E196" s="16">
        <v>1601018</v>
      </c>
      <c r="F196" s="16" t="s">
        <v>13</v>
      </c>
      <c r="G196" s="50">
        <v>20008026</v>
      </c>
      <c r="H196" s="16" t="s">
        <v>103</v>
      </c>
      <c r="I196" s="50">
        <v>12</v>
      </c>
      <c r="J196" s="51">
        <v>16.5</v>
      </c>
      <c r="K196" s="51">
        <v>198</v>
      </c>
    </row>
    <row r="197" spans="4:11">
      <c r="D197" s="49">
        <v>46151</v>
      </c>
      <c r="E197" s="16">
        <v>1601490</v>
      </c>
      <c r="F197" s="16" t="s">
        <v>19</v>
      </c>
      <c r="G197" s="50">
        <v>20005210</v>
      </c>
      <c r="H197" s="16" t="s">
        <v>98</v>
      </c>
      <c r="I197" s="50">
        <v>4</v>
      </c>
      <c r="J197" s="51">
        <v>49.5</v>
      </c>
      <c r="K197" s="51">
        <v>198</v>
      </c>
    </row>
    <row r="198" spans="4:11">
      <c r="D198" s="49">
        <v>46151</v>
      </c>
      <c r="E198" s="16">
        <v>1601490</v>
      </c>
      <c r="F198" s="16" t="s">
        <v>21</v>
      </c>
      <c r="G198" s="50">
        <v>20005207</v>
      </c>
      <c r="H198" s="16" t="s">
        <v>56</v>
      </c>
      <c r="I198" s="50">
        <v>3</v>
      </c>
      <c r="J198" s="51">
        <v>8</v>
      </c>
      <c r="K198" s="51">
        <v>24</v>
      </c>
    </row>
    <row r="199" spans="4:11">
      <c r="D199" s="49">
        <v>46151</v>
      </c>
      <c r="E199" s="16">
        <v>1601490</v>
      </c>
      <c r="F199" s="16" t="s">
        <v>21</v>
      </c>
      <c r="G199" s="50">
        <v>20005208</v>
      </c>
      <c r="H199" s="16" t="s">
        <v>55</v>
      </c>
      <c r="I199" s="50">
        <v>25</v>
      </c>
      <c r="J199" s="51">
        <v>8</v>
      </c>
      <c r="K199" s="51">
        <v>200</v>
      </c>
    </row>
    <row r="200" spans="4:11">
      <c r="D200" s="49">
        <v>46151</v>
      </c>
      <c r="E200" s="16">
        <v>1601490</v>
      </c>
      <c r="F200" s="16" t="s">
        <v>21</v>
      </c>
      <c r="G200" s="50">
        <v>20313590</v>
      </c>
      <c r="H200" s="16" t="s">
        <v>99</v>
      </c>
      <c r="I200" s="50">
        <v>1</v>
      </c>
      <c r="J200" s="51">
        <v>8</v>
      </c>
      <c r="K200" s="51">
        <v>8</v>
      </c>
    </row>
    <row r="201" spans="4:11">
      <c r="D201" s="49">
        <v>46151</v>
      </c>
      <c r="E201" s="16">
        <v>1601490</v>
      </c>
      <c r="F201" s="16" t="s">
        <v>21</v>
      </c>
      <c r="G201" s="50">
        <v>20013630</v>
      </c>
      <c r="H201" s="16" t="s">
        <v>100</v>
      </c>
      <c r="I201" s="50">
        <v>7</v>
      </c>
      <c r="J201" s="51">
        <v>8</v>
      </c>
      <c r="K201" s="51">
        <v>56</v>
      </c>
    </row>
    <row r="202" spans="4:11">
      <c r="D202" s="49">
        <v>46151</v>
      </c>
      <c r="E202" s="16">
        <v>1601490</v>
      </c>
      <c r="F202" s="16" t="s">
        <v>21</v>
      </c>
      <c r="G202" s="50">
        <v>20407295</v>
      </c>
      <c r="H202" s="16" t="s">
        <v>101</v>
      </c>
      <c r="I202" s="50">
        <v>31</v>
      </c>
      <c r="J202" s="51">
        <v>8</v>
      </c>
      <c r="K202" s="51">
        <v>248</v>
      </c>
    </row>
    <row r="203" spans="4:11">
      <c r="D203" s="49">
        <v>46151</v>
      </c>
      <c r="E203" s="16">
        <v>1601490</v>
      </c>
      <c r="F203" s="16" t="s">
        <v>21</v>
      </c>
      <c r="G203" s="50">
        <v>20324084</v>
      </c>
      <c r="H203" s="16" t="s">
        <v>22</v>
      </c>
      <c r="I203" s="50">
        <v>1</v>
      </c>
      <c r="J203" s="51">
        <v>8</v>
      </c>
      <c r="K203" s="51">
        <v>8</v>
      </c>
    </row>
    <row r="204" spans="4:11">
      <c r="D204" s="49">
        <v>46151</v>
      </c>
      <c r="E204" s="16">
        <v>1601490</v>
      </c>
      <c r="F204" s="16" t="s">
        <v>21</v>
      </c>
      <c r="G204" s="50">
        <v>20314990</v>
      </c>
      <c r="H204" s="16" t="s">
        <v>52</v>
      </c>
      <c r="I204" s="50">
        <v>12</v>
      </c>
      <c r="J204" s="51">
        <v>8</v>
      </c>
      <c r="K204" s="51">
        <v>96</v>
      </c>
    </row>
    <row r="205" spans="4:11">
      <c r="D205" s="49">
        <v>46151</v>
      </c>
      <c r="E205" s="16">
        <v>1601490</v>
      </c>
      <c r="F205" s="16" t="s">
        <v>21</v>
      </c>
      <c r="G205" s="50">
        <v>20005849</v>
      </c>
      <c r="H205" s="16" t="s">
        <v>54</v>
      </c>
      <c r="I205" s="50">
        <v>12</v>
      </c>
      <c r="J205" s="51">
        <v>8</v>
      </c>
      <c r="K205" s="51">
        <v>96</v>
      </c>
    </row>
    <row r="206" spans="4:11">
      <c r="D206" s="49">
        <v>46151</v>
      </c>
      <c r="E206" s="16">
        <v>1601490</v>
      </c>
      <c r="F206" s="16" t="s">
        <v>13</v>
      </c>
      <c r="G206" s="50">
        <v>20008026</v>
      </c>
      <c r="H206" s="16" t="s">
        <v>103</v>
      </c>
      <c r="I206" s="50">
        <v>9</v>
      </c>
      <c r="J206" s="51">
        <v>16.5</v>
      </c>
      <c r="K206" s="51">
        <v>148.5</v>
      </c>
    </row>
    <row r="207" spans="4:11">
      <c r="D207" s="49">
        <v>46151</v>
      </c>
      <c r="E207" s="16">
        <v>1601804</v>
      </c>
      <c r="F207" s="16" t="s">
        <v>19</v>
      </c>
      <c r="G207" s="50">
        <v>20005210</v>
      </c>
      <c r="H207" s="16" t="s">
        <v>98</v>
      </c>
      <c r="I207" s="50">
        <v>4</v>
      </c>
      <c r="J207" s="51">
        <v>49.5</v>
      </c>
      <c r="K207" s="51">
        <v>198</v>
      </c>
    </row>
    <row r="208" spans="4:11">
      <c r="D208" s="49">
        <v>46151</v>
      </c>
      <c r="E208" s="16">
        <v>1601804</v>
      </c>
      <c r="F208" s="16" t="s">
        <v>21</v>
      </c>
      <c r="G208" s="50">
        <v>20005207</v>
      </c>
      <c r="H208" s="16" t="s">
        <v>56</v>
      </c>
      <c r="I208" s="50">
        <v>14</v>
      </c>
      <c r="J208" s="51">
        <v>8</v>
      </c>
      <c r="K208" s="51">
        <v>112</v>
      </c>
    </row>
    <row r="209" spans="4:11">
      <c r="D209" s="49">
        <v>46151</v>
      </c>
      <c r="E209" s="16">
        <v>1601804</v>
      </c>
      <c r="F209" s="16" t="s">
        <v>21</v>
      </c>
      <c r="G209" s="50">
        <v>20005208</v>
      </c>
      <c r="H209" s="16" t="s">
        <v>55</v>
      </c>
      <c r="I209" s="50">
        <v>29</v>
      </c>
      <c r="J209" s="51">
        <v>8</v>
      </c>
      <c r="K209" s="51">
        <v>232</v>
      </c>
    </row>
    <row r="210" spans="4:11">
      <c r="D210" s="49">
        <v>46151</v>
      </c>
      <c r="E210" s="16">
        <v>1601804</v>
      </c>
      <c r="F210" s="16" t="s">
        <v>21</v>
      </c>
      <c r="G210" s="50">
        <v>20313590</v>
      </c>
      <c r="H210" s="16" t="s">
        <v>99</v>
      </c>
      <c r="I210" s="50">
        <v>2</v>
      </c>
      <c r="J210" s="51">
        <v>8</v>
      </c>
      <c r="K210" s="51">
        <v>16</v>
      </c>
    </row>
    <row r="211" spans="4:11">
      <c r="D211" s="49">
        <v>46151</v>
      </c>
      <c r="E211" s="16">
        <v>1601804</v>
      </c>
      <c r="F211" s="16" t="s">
        <v>21</v>
      </c>
      <c r="G211" s="50">
        <v>20013630</v>
      </c>
      <c r="H211" s="16" t="s">
        <v>100</v>
      </c>
      <c r="I211" s="50">
        <v>3</v>
      </c>
      <c r="J211" s="51">
        <v>8</v>
      </c>
      <c r="K211" s="51">
        <v>24</v>
      </c>
    </row>
    <row r="212" spans="4:11">
      <c r="D212" s="49">
        <v>46151</v>
      </c>
      <c r="E212" s="16">
        <v>1601804</v>
      </c>
      <c r="F212" s="16" t="s">
        <v>21</v>
      </c>
      <c r="G212" s="50">
        <v>20407295</v>
      </c>
      <c r="H212" s="16" t="s">
        <v>101</v>
      </c>
      <c r="I212" s="50">
        <v>21</v>
      </c>
      <c r="J212" s="51">
        <v>8</v>
      </c>
      <c r="K212" s="51">
        <v>168</v>
      </c>
    </row>
    <row r="213" spans="4:11">
      <c r="D213" s="49">
        <v>46151</v>
      </c>
      <c r="E213" s="16">
        <v>1601804</v>
      </c>
      <c r="F213" s="16" t="s">
        <v>21</v>
      </c>
      <c r="G213" s="50">
        <v>20321305</v>
      </c>
      <c r="H213" s="16" t="s">
        <v>102</v>
      </c>
      <c r="I213" s="50">
        <v>1</v>
      </c>
      <c r="J213" s="51">
        <v>8</v>
      </c>
      <c r="K213" s="51">
        <v>8</v>
      </c>
    </row>
    <row r="214" spans="4:11">
      <c r="D214" s="49">
        <v>46151</v>
      </c>
      <c r="E214" s="16">
        <v>1601804</v>
      </c>
      <c r="F214" s="16" t="s">
        <v>21</v>
      </c>
      <c r="G214" s="50">
        <v>20302876</v>
      </c>
      <c r="H214" s="16" t="s">
        <v>105</v>
      </c>
      <c r="I214" s="50">
        <v>1</v>
      </c>
      <c r="J214" s="51">
        <v>16</v>
      </c>
      <c r="K214" s="51">
        <v>16</v>
      </c>
    </row>
    <row r="215" spans="4:11">
      <c r="D215" s="49">
        <v>46151</v>
      </c>
      <c r="E215" s="16">
        <v>1601804</v>
      </c>
      <c r="F215" s="16" t="s">
        <v>21</v>
      </c>
      <c r="G215" s="50">
        <v>20303839</v>
      </c>
      <c r="H215" s="16" t="s">
        <v>79</v>
      </c>
      <c r="I215" s="50">
        <v>100</v>
      </c>
      <c r="J215" s="51">
        <v>8</v>
      </c>
      <c r="K215" s="51">
        <v>800</v>
      </c>
    </row>
    <row r="216" spans="4:11">
      <c r="D216" s="49">
        <v>46151</v>
      </c>
      <c r="E216" s="16">
        <v>1601804</v>
      </c>
      <c r="F216" s="16" t="s">
        <v>21</v>
      </c>
      <c r="G216" s="50">
        <v>20314990</v>
      </c>
      <c r="H216" s="16" t="s">
        <v>52</v>
      </c>
      <c r="I216" s="50">
        <v>9</v>
      </c>
      <c r="J216" s="51">
        <v>8</v>
      </c>
      <c r="K216" s="51">
        <v>72</v>
      </c>
    </row>
    <row r="217" spans="4:11">
      <c r="D217" s="49">
        <v>46151</v>
      </c>
      <c r="E217" s="16">
        <v>1601804</v>
      </c>
      <c r="F217" s="16" t="s">
        <v>21</v>
      </c>
      <c r="G217" s="50">
        <v>20005849</v>
      </c>
      <c r="H217" s="16" t="s">
        <v>54</v>
      </c>
      <c r="I217" s="50">
        <v>16</v>
      </c>
      <c r="J217" s="51">
        <v>8</v>
      </c>
      <c r="K217" s="51">
        <v>128</v>
      </c>
    </row>
    <row r="218" spans="4:11">
      <c r="D218" s="49">
        <v>46151</v>
      </c>
      <c r="E218" s="16">
        <v>1601804</v>
      </c>
      <c r="F218" s="16" t="s">
        <v>13</v>
      </c>
      <c r="G218" s="50">
        <v>20008026</v>
      </c>
      <c r="H218" s="16" t="s">
        <v>103</v>
      </c>
      <c r="I218" s="50">
        <v>10</v>
      </c>
      <c r="J218" s="51">
        <v>16.5</v>
      </c>
      <c r="K218" s="51">
        <v>165</v>
      </c>
    </row>
    <row r="219" spans="4:11">
      <c r="D219" s="49">
        <v>46151</v>
      </c>
      <c r="E219" s="16">
        <v>1601804</v>
      </c>
      <c r="F219" s="16" t="s">
        <v>16</v>
      </c>
      <c r="G219" s="50">
        <v>20302879</v>
      </c>
      <c r="H219" s="16" t="s">
        <v>104</v>
      </c>
      <c r="I219" s="50">
        <v>1</v>
      </c>
      <c r="J219" s="51">
        <v>4</v>
      </c>
      <c r="K219" s="51">
        <v>4</v>
      </c>
    </row>
    <row r="220" spans="4:11">
      <c r="D220" s="49">
        <v>46153</v>
      </c>
      <c r="E220" s="16">
        <v>1602030</v>
      </c>
      <c r="F220" s="16" t="s">
        <v>19</v>
      </c>
      <c r="G220" s="50">
        <v>20005210</v>
      </c>
      <c r="H220" s="16" t="s">
        <v>98</v>
      </c>
      <c r="I220" s="50">
        <v>5</v>
      </c>
      <c r="J220" s="51">
        <v>49.5</v>
      </c>
      <c r="K220" s="51">
        <v>247.5</v>
      </c>
    </row>
    <row r="221" spans="4:11">
      <c r="D221" s="49">
        <v>46153</v>
      </c>
      <c r="E221" s="16">
        <v>1602030</v>
      </c>
      <c r="F221" s="16" t="s">
        <v>21</v>
      </c>
      <c r="G221" s="50">
        <v>20005207</v>
      </c>
      <c r="H221" s="16" t="s">
        <v>56</v>
      </c>
      <c r="I221" s="50">
        <v>3</v>
      </c>
      <c r="J221" s="51">
        <v>8</v>
      </c>
      <c r="K221" s="51">
        <v>24</v>
      </c>
    </row>
    <row r="222" spans="4:11">
      <c r="D222" s="49">
        <v>46153</v>
      </c>
      <c r="E222" s="16">
        <v>1602030</v>
      </c>
      <c r="F222" s="16" t="s">
        <v>21</v>
      </c>
      <c r="G222" s="50">
        <v>20005208</v>
      </c>
      <c r="H222" s="16" t="s">
        <v>55</v>
      </c>
      <c r="I222" s="50">
        <v>10</v>
      </c>
      <c r="J222" s="51">
        <v>8</v>
      </c>
      <c r="K222" s="51">
        <v>80</v>
      </c>
    </row>
    <row r="223" spans="4:11">
      <c r="D223" s="49">
        <v>46153</v>
      </c>
      <c r="E223" s="16">
        <v>1602030</v>
      </c>
      <c r="F223" s="16" t="s">
        <v>21</v>
      </c>
      <c r="G223" s="50">
        <v>20013630</v>
      </c>
      <c r="H223" s="16" t="s">
        <v>100</v>
      </c>
      <c r="I223" s="50">
        <v>3</v>
      </c>
      <c r="J223" s="51">
        <v>8</v>
      </c>
      <c r="K223" s="51">
        <v>24</v>
      </c>
    </row>
    <row r="224" spans="4:11">
      <c r="D224" s="49">
        <v>46153</v>
      </c>
      <c r="E224" s="16">
        <v>1602030</v>
      </c>
      <c r="F224" s="16" t="s">
        <v>21</v>
      </c>
      <c r="G224" s="50">
        <v>20407295</v>
      </c>
      <c r="H224" s="16" t="s">
        <v>101</v>
      </c>
      <c r="I224" s="50">
        <v>11</v>
      </c>
      <c r="J224" s="51">
        <v>8</v>
      </c>
      <c r="K224" s="51">
        <v>88</v>
      </c>
    </row>
    <row r="225" spans="4:11">
      <c r="D225" s="49">
        <v>46153</v>
      </c>
      <c r="E225" s="16">
        <v>1602030</v>
      </c>
      <c r="F225" s="16" t="s">
        <v>21</v>
      </c>
      <c r="G225" s="50">
        <v>20324084</v>
      </c>
      <c r="H225" s="16" t="s">
        <v>22</v>
      </c>
      <c r="I225" s="50">
        <v>1</v>
      </c>
      <c r="J225" s="51">
        <v>8</v>
      </c>
      <c r="K225" s="51">
        <v>8</v>
      </c>
    </row>
    <row r="226" spans="4:11">
      <c r="D226" s="49">
        <v>46153</v>
      </c>
      <c r="E226" s="16">
        <v>1602030</v>
      </c>
      <c r="F226" s="16" t="s">
        <v>21</v>
      </c>
      <c r="G226" s="50">
        <v>20314990</v>
      </c>
      <c r="H226" s="16" t="s">
        <v>52</v>
      </c>
      <c r="I226" s="50">
        <v>3</v>
      </c>
      <c r="J226" s="51">
        <v>8</v>
      </c>
      <c r="K226" s="51">
        <v>24</v>
      </c>
    </row>
    <row r="227" spans="4:11">
      <c r="D227" s="49">
        <v>46153</v>
      </c>
      <c r="E227" s="16">
        <v>1602030</v>
      </c>
      <c r="F227" s="16" t="s">
        <v>21</v>
      </c>
      <c r="G227" s="50">
        <v>20005849</v>
      </c>
      <c r="H227" s="16" t="s">
        <v>54</v>
      </c>
      <c r="I227" s="50">
        <v>2</v>
      </c>
      <c r="J227" s="51">
        <v>8</v>
      </c>
      <c r="K227" s="51">
        <v>16</v>
      </c>
    </row>
    <row r="228" spans="4:11">
      <c r="D228" s="49">
        <v>46153</v>
      </c>
      <c r="E228" s="16">
        <v>1602030</v>
      </c>
      <c r="F228" s="16" t="s">
        <v>13</v>
      </c>
      <c r="G228" s="50">
        <v>20008026</v>
      </c>
      <c r="H228" s="16" t="s">
        <v>103</v>
      </c>
      <c r="I228" s="50">
        <v>4</v>
      </c>
      <c r="J228" s="51">
        <v>16.5</v>
      </c>
      <c r="K228" s="51">
        <v>66</v>
      </c>
    </row>
    <row r="229" spans="4:11">
      <c r="D229" s="49">
        <v>46153</v>
      </c>
      <c r="E229" s="16">
        <v>1602164</v>
      </c>
      <c r="F229" s="16" t="s">
        <v>21</v>
      </c>
      <c r="G229" s="50">
        <v>20005207</v>
      </c>
      <c r="H229" s="16" t="s">
        <v>56</v>
      </c>
      <c r="I229" s="50">
        <v>7</v>
      </c>
      <c r="J229" s="51">
        <v>8</v>
      </c>
      <c r="K229" s="51">
        <v>56</v>
      </c>
    </row>
    <row r="230" spans="4:11">
      <c r="D230" s="49">
        <v>46153</v>
      </c>
      <c r="E230" s="16">
        <v>1602164</v>
      </c>
      <c r="F230" s="16" t="s">
        <v>21</v>
      </c>
      <c r="G230" s="50">
        <v>20005208</v>
      </c>
      <c r="H230" s="16" t="s">
        <v>55</v>
      </c>
      <c r="I230" s="50">
        <v>37</v>
      </c>
      <c r="J230" s="51">
        <v>8</v>
      </c>
      <c r="K230" s="51">
        <v>296</v>
      </c>
    </row>
    <row r="231" spans="4:11">
      <c r="D231" s="49">
        <v>46153</v>
      </c>
      <c r="E231" s="16">
        <v>1602164</v>
      </c>
      <c r="F231" s="16" t="s">
        <v>21</v>
      </c>
      <c r="G231" s="50">
        <v>20313590</v>
      </c>
      <c r="H231" s="16" t="s">
        <v>99</v>
      </c>
      <c r="I231" s="50">
        <v>5</v>
      </c>
      <c r="J231" s="51">
        <v>8</v>
      </c>
      <c r="K231" s="51">
        <v>40</v>
      </c>
    </row>
    <row r="232" spans="4:11">
      <c r="D232" s="49">
        <v>46153</v>
      </c>
      <c r="E232" s="16">
        <v>1602164</v>
      </c>
      <c r="F232" s="16" t="s">
        <v>21</v>
      </c>
      <c r="G232" s="50">
        <v>20013630</v>
      </c>
      <c r="H232" s="16" t="s">
        <v>100</v>
      </c>
      <c r="I232" s="50">
        <v>3</v>
      </c>
      <c r="J232" s="51">
        <v>8</v>
      </c>
      <c r="K232" s="51">
        <v>24</v>
      </c>
    </row>
    <row r="233" spans="4:11">
      <c r="D233" s="49">
        <v>46153</v>
      </c>
      <c r="E233" s="16">
        <v>1602164</v>
      </c>
      <c r="F233" s="16" t="s">
        <v>21</v>
      </c>
      <c r="G233" s="50">
        <v>20407295</v>
      </c>
      <c r="H233" s="16" t="s">
        <v>101</v>
      </c>
      <c r="I233" s="50">
        <v>7</v>
      </c>
      <c r="J233" s="51">
        <v>8</v>
      </c>
      <c r="K233" s="51">
        <v>56</v>
      </c>
    </row>
    <row r="234" spans="4:11">
      <c r="D234" s="49">
        <v>46153</v>
      </c>
      <c r="E234" s="16">
        <v>1602164</v>
      </c>
      <c r="F234" s="16" t="s">
        <v>21</v>
      </c>
      <c r="G234" s="50">
        <v>20321305</v>
      </c>
      <c r="H234" s="16" t="s">
        <v>102</v>
      </c>
      <c r="I234" s="50">
        <v>3</v>
      </c>
      <c r="J234" s="51">
        <v>8</v>
      </c>
      <c r="K234" s="51">
        <v>24</v>
      </c>
    </row>
    <row r="235" spans="4:11">
      <c r="D235" s="49">
        <v>46153</v>
      </c>
      <c r="E235" s="16">
        <v>1602164</v>
      </c>
      <c r="F235" s="16" t="s">
        <v>21</v>
      </c>
      <c r="G235" s="50">
        <v>20314990</v>
      </c>
      <c r="H235" s="16" t="s">
        <v>52</v>
      </c>
      <c r="I235" s="50">
        <v>3</v>
      </c>
      <c r="J235" s="51">
        <v>8</v>
      </c>
      <c r="K235" s="51">
        <v>24</v>
      </c>
    </row>
    <row r="236" spans="4:11">
      <c r="D236" s="49">
        <v>46153</v>
      </c>
      <c r="E236" s="16">
        <v>1602164</v>
      </c>
      <c r="F236" s="16" t="s">
        <v>21</v>
      </c>
      <c r="G236" s="50">
        <v>20005849</v>
      </c>
      <c r="H236" s="16" t="s">
        <v>54</v>
      </c>
      <c r="I236" s="50">
        <v>8</v>
      </c>
      <c r="J236" s="51">
        <v>8</v>
      </c>
      <c r="K236" s="51">
        <v>64</v>
      </c>
    </row>
    <row r="237" spans="4:11">
      <c r="D237" s="49">
        <v>46153</v>
      </c>
      <c r="E237" s="16">
        <v>1602164</v>
      </c>
      <c r="F237" s="16" t="s">
        <v>13</v>
      </c>
      <c r="G237" s="50">
        <v>20008026</v>
      </c>
      <c r="H237" s="16" t="s">
        <v>103</v>
      </c>
      <c r="I237" s="50">
        <v>15</v>
      </c>
      <c r="J237" s="51">
        <v>16.5</v>
      </c>
      <c r="K237" s="51">
        <v>247.5</v>
      </c>
    </row>
    <row r="238" spans="4:11">
      <c r="D238" s="49">
        <v>46154</v>
      </c>
      <c r="E238" s="16">
        <v>1602554</v>
      </c>
      <c r="F238" s="16" t="s">
        <v>19</v>
      </c>
      <c r="G238" s="50">
        <v>20005210</v>
      </c>
      <c r="H238" s="16" t="s">
        <v>98</v>
      </c>
      <c r="I238" s="50">
        <v>5</v>
      </c>
      <c r="J238" s="51">
        <v>49.5</v>
      </c>
      <c r="K238" s="51">
        <v>247.5</v>
      </c>
    </row>
    <row r="239" spans="4:11">
      <c r="D239" s="49">
        <v>46154</v>
      </c>
      <c r="E239" s="16">
        <v>1602554</v>
      </c>
      <c r="F239" s="16" t="s">
        <v>21</v>
      </c>
      <c r="G239" s="50">
        <v>20005207</v>
      </c>
      <c r="H239" s="16" t="s">
        <v>56</v>
      </c>
      <c r="I239" s="50">
        <v>9</v>
      </c>
      <c r="J239" s="51">
        <v>8</v>
      </c>
      <c r="K239" s="51">
        <v>72</v>
      </c>
    </row>
    <row r="240" spans="4:11">
      <c r="D240" s="49">
        <v>46154</v>
      </c>
      <c r="E240" s="16">
        <v>1602554</v>
      </c>
      <c r="F240" s="16" t="s">
        <v>21</v>
      </c>
      <c r="G240" s="50">
        <v>20005208</v>
      </c>
      <c r="H240" s="16" t="s">
        <v>55</v>
      </c>
      <c r="I240" s="50">
        <v>46</v>
      </c>
      <c r="J240" s="51">
        <v>8</v>
      </c>
      <c r="K240" s="51">
        <v>368</v>
      </c>
    </row>
    <row r="241" spans="4:11">
      <c r="D241" s="49">
        <v>46154</v>
      </c>
      <c r="E241" s="16">
        <v>1602554</v>
      </c>
      <c r="F241" s="16" t="s">
        <v>21</v>
      </c>
      <c r="G241" s="50">
        <v>20313590</v>
      </c>
      <c r="H241" s="16" t="s">
        <v>99</v>
      </c>
      <c r="I241" s="50">
        <v>3</v>
      </c>
      <c r="J241" s="51">
        <v>8</v>
      </c>
      <c r="K241" s="51">
        <v>24</v>
      </c>
    </row>
    <row r="242" spans="4:11">
      <c r="D242" s="49">
        <v>46154</v>
      </c>
      <c r="E242" s="16">
        <v>1602554</v>
      </c>
      <c r="F242" s="16" t="s">
        <v>21</v>
      </c>
      <c r="G242" s="50">
        <v>20013630</v>
      </c>
      <c r="H242" s="16" t="s">
        <v>100</v>
      </c>
      <c r="I242" s="50">
        <v>6</v>
      </c>
      <c r="J242" s="51">
        <v>8</v>
      </c>
      <c r="K242" s="51">
        <v>48</v>
      </c>
    </row>
    <row r="243" spans="4:11">
      <c r="D243" s="49">
        <v>46154</v>
      </c>
      <c r="E243" s="16">
        <v>1602554</v>
      </c>
      <c r="F243" s="16" t="s">
        <v>21</v>
      </c>
      <c r="G243" s="50">
        <v>20321305</v>
      </c>
      <c r="H243" s="16" t="s">
        <v>102</v>
      </c>
      <c r="I243" s="50">
        <v>1</v>
      </c>
      <c r="J243" s="51">
        <v>8</v>
      </c>
      <c r="K243" s="51">
        <v>8</v>
      </c>
    </row>
    <row r="244" spans="4:11">
      <c r="D244" s="49">
        <v>46154</v>
      </c>
      <c r="E244" s="16">
        <v>1602554</v>
      </c>
      <c r="F244" s="16" t="s">
        <v>21</v>
      </c>
      <c r="G244" s="50">
        <v>20314990</v>
      </c>
      <c r="H244" s="16" t="s">
        <v>52</v>
      </c>
      <c r="I244" s="50">
        <v>2</v>
      </c>
      <c r="J244" s="51">
        <v>8</v>
      </c>
      <c r="K244" s="51">
        <v>16</v>
      </c>
    </row>
    <row r="245" spans="4:11">
      <c r="D245" s="49">
        <v>46154</v>
      </c>
      <c r="E245" s="16">
        <v>1602554</v>
      </c>
      <c r="F245" s="16" t="s">
        <v>21</v>
      </c>
      <c r="G245" s="50">
        <v>20005849</v>
      </c>
      <c r="H245" s="16" t="s">
        <v>54</v>
      </c>
      <c r="I245" s="50">
        <v>23</v>
      </c>
      <c r="J245" s="51">
        <v>8</v>
      </c>
      <c r="K245" s="51">
        <v>184</v>
      </c>
    </row>
    <row r="246" spans="4:11">
      <c r="D246" s="49">
        <v>46154</v>
      </c>
      <c r="E246" s="16">
        <v>1602554</v>
      </c>
      <c r="F246" s="16" t="s">
        <v>13</v>
      </c>
      <c r="G246" s="50">
        <v>20008026</v>
      </c>
      <c r="H246" s="16" t="s">
        <v>103</v>
      </c>
      <c r="I246" s="50">
        <v>15</v>
      </c>
      <c r="J246" s="51">
        <v>16.5</v>
      </c>
      <c r="K246" s="51">
        <v>247.5</v>
      </c>
    </row>
    <row r="247" spans="4:11">
      <c r="D247" s="49">
        <v>46155</v>
      </c>
      <c r="E247" s="16">
        <v>1602588</v>
      </c>
      <c r="F247" s="16" t="s">
        <v>21</v>
      </c>
      <c r="G247" s="50">
        <v>20407295</v>
      </c>
      <c r="H247" s="16" t="s">
        <v>101</v>
      </c>
      <c r="I247" s="50">
        <v>20</v>
      </c>
      <c r="J247" s="51">
        <v>8</v>
      </c>
      <c r="K247" s="51">
        <v>160</v>
      </c>
    </row>
    <row r="248" spans="4:11">
      <c r="D248" s="49">
        <v>46156</v>
      </c>
      <c r="E248" s="16">
        <v>1602923</v>
      </c>
      <c r="F248" s="16" t="s">
        <v>19</v>
      </c>
      <c r="G248" s="50">
        <v>20005210</v>
      </c>
      <c r="H248" s="16" t="s">
        <v>98</v>
      </c>
      <c r="I248" s="50">
        <v>5</v>
      </c>
      <c r="J248" s="51">
        <v>49.5</v>
      </c>
      <c r="K248" s="51">
        <v>247.5</v>
      </c>
    </row>
    <row r="249" spans="4:11">
      <c r="D249" s="49">
        <v>46156</v>
      </c>
      <c r="E249" s="16">
        <v>1602923</v>
      </c>
      <c r="F249" s="16" t="s">
        <v>21</v>
      </c>
      <c r="G249" s="50">
        <v>20005207</v>
      </c>
      <c r="H249" s="16" t="s">
        <v>56</v>
      </c>
      <c r="I249" s="50">
        <v>11</v>
      </c>
      <c r="J249" s="51">
        <v>8</v>
      </c>
      <c r="K249" s="51">
        <v>88</v>
      </c>
    </row>
    <row r="250" spans="4:11">
      <c r="D250" s="49">
        <v>46156</v>
      </c>
      <c r="E250" s="16">
        <v>1602923</v>
      </c>
      <c r="F250" s="16" t="s">
        <v>21</v>
      </c>
      <c r="G250" s="50">
        <v>20005208</v>
      </c>
      <c r="H250" s="16" t="s">
        <v>55</v>
      </c>
      <c r="I250" s="50">
        <v>31</v>
      </c>
      <c r="J250" s="51">
        <v>8</v>
      </c>
      <c r="K250" s="51">
        <v>248</v>
      </c>
    </row>
    <row r="251" spans="4:11">
      <c r="D251" s="49">
        <v>46156</v>
      </c>
      <c r="E251" s="16">
        <v>1602923</v>
      </c>
      <c r="F251" s="16" t="s">
        <v>21</v>
      </c>
      <c r="G251" s="50">
        <v>20313590</v>
      </c>
      <c r="H251" s="16" t="s">
        <v>99</v>
      </c>
      <c r="I251" s="50">
        <v>3</v>
      </c>
      <c r="J251" s="51">
        <v>8</v>
      </c>
      <c r="K251" s="51">
        <v>24</v>
      </c>
    </row>
    <row r="252" spans="4:11">
      <c r="D252" s="49">
        <v>46156</v>
      </c>
      <c r="E252" s="16">
        <v>1602923</v>
      </c>
      <c r="F252" s="16" t="s">
        <v>21</v>
      </c>
      <c r="G252" s="50">
        <v>20013630</v>
      </c>
      <c r="H252" s="16" t="s">
        <v>100</v>
      </c>
      <c r="I252" s="50">
        <v>6</v>
      </c>
      <c r="J252" s="51">
        <v>8</v>
      </c>
      <c r="K252" s="51">
        <v>48</v>
      </c>
    </row>
    <row r="253" spans="4:11">
      <c r="D253" s="49">
        <v>46156</v>
      </c>
      <c r="E253" s="16">
        <v>1602923</v>
      </c>
      <c r="F253" s="16" t="s">
        <v>21</v>
      </c>
      <c r="G253" s="50">
        <v>20407295</v>
      </c>
      <c r="H253" s="16" t="s">
        <v>101</v>
      </c>
      <c r="I253" s="50">
        <v>24</v>
      </c>
      <c r="J253" s="51">
        <v>8</v>
      </c>
      <c r="K253" s="51">
        <v>192</v>
      </c>
    </row>
    <row r="254" spans="4:11">
      <c r="D254" s="49">
        <v>46156</v>
      </c>
      <c r="E254" s="16">
        <v>1602923</v>
      </c>
      <c r="F254" s="16" t="s">
        <v>21</v>
      </c>
      <c r="G254" s="50">
        <v>20321305</v>
      </c>
      <c r="H254" s="16" t="s">
        <v>102</v>
      </c>
      <c r="I254" s="50">
        <v>2</v>
      </c>
      <c r="J254" s="51">
        <v>8</v>
      </c>
      <c r="K254" s="51">
        <v>16</v>
      </c>
    </row>
    <row r="255" spans="4:11">
      <c r="D255" s="49">
        <v>46156</v>
      </c>
      <c r="E255" s="16">
        <v>1602923</v>
      </c>
      <c r="F255" s="16" t="s">
        <v>21</v>
      </c>
      <c r="G255" s="50">
        <v>20314990</v>
      </c>
      <c r="H255" s="16" t="s">
        <v>52</v>
      </c>
      <c r="I255" s="50">
        <v>2</v>
      </c>
      <c r="J255" s="51">
        <v>8</v>
      </c>
      <c r="K255" s="51">
        <v>16</v>
      </c>
    </row>
    <row r="256" spans="4:11">
      <c r="D256" s="49">
        <v>46156</v>
      </c>
      <c r="E256" s="16">
        <v>1602923</v>
      </c>
      <c r="F256" s="16" t="s">
        <v>21</v>
      </c>
      <c r="G256" s="50">
        <v>20005849</v>
      </c>
      <c r="H256" s="16" t="s">
        <v>54</v>
      </c>
      <c r="I256" s="50">
        <v>13</v>
      </c>
      <c r="J256" s="51">
        <v>8</v>
      </c>
      <c r="K256" s="51">
        <v>104</v>
      </c>
    </row>
    <row r="257" spans="4:11">
      <c r="D257" s="49">
        <v>46156</v>
      </c>
      <c r="E257" s="16">
        <v>1602923</v>
      </c>
      <c r="F257" s="16" t="s">
        <v>13</v>
      </c>
      <c r="G257" s="50">
        <v>20008026</v>
      </c>
      <c r="H257" s="16" t="s">
        <v>103</v>
      </c>
      <c r="I257" s="50">
        <v>19</v>
      </c>
      <c r="J257" s="51">
        <v>16.5</v>
      </c>
      <c r="K257" s="51">
        <v>313.5</v>
      </c>
    </row>
    <row r="258" spans="4:11">
      <c r="D258" s="49">
        <v>46156</v>
      </c>
      <c r="E258" s="16">
        <v>1602959</v>
      </c>
      <c r="F258" s="16" t="s">
        <v>21</v>
      </c>
      <c r="G258" s="50">
        <v>20005208</v>
      </c>
      <c r="H258" s="16" t="s">
        <v>55</v>
      </c>
      <c r="I258" s="50">
        <v>1</v>
      </c>
      <c r="J258" s="51">
        <v>8</v>
      </c>
      <c r="K258" s="51">
        <v>8</v>
      </c>
    </row>
    <row r="259" spans="4:11">
      <c r="D259" s="49">
        <v>46156</v>
      </c>
      <c r="E259" s="16">
        <v>1602959</v>
      </c>
      <c r="F259" s="16" t="s">
        <v>21</v>
      </c>
      <c r="G259" s="50">
        <v>20314990</v>
      </c>
      <c r="H259" s="16" t="s">
        <v>52</v>
      </c>
      <c r="I259" s="50">
        <v>1</v>
      </c>
      <c r="J259" s="51">
        <v>8</v>
      </c>
      <c r="K259" s="51">
        <v>8</v>
      </c>
    </row>
    <row r="260" spans="4:11">
      <c r="D260" s="49">
        <v>46156</v>
      </c>
      <c r="E260" s="16">
        <v>1603252</v>
      </c>
      <c r="F260" s="16" t="s">
        <v>19</v>
      </c>
      <c r="G260" s="50">
        <v>20005210</v>
      </c>
      <c r="H260" s="16" t="s">
        <v>98</v>
      </c>
      <c r="I260" s="50">
        <v>6</v>
      </c>
      <c r="J260" s="51">
        <v>49.5</v>
      </c>
      <c r="K260" s="51">
        <v>297</v>
      </c>
    </row>
    <row r="261" spans="4:11">
      <c r="D261" s="49">
        <v>46156</v>
      </c>
      <c r="E261" s="16">
        <v>1603252</v>
      </c>
      <c r="F261" s="16" t="s">
        <v>21</v>
      </c>
      <c r="G261" s="50">
        <v>20005207</v>
      </c>
      <c r="H261" s="16" t="s">
        <v>56</v>
      </c>
      <c r="I261" s="50">
        <v>8</v>
      </c>
      <c r="J261" s="51">
        <v>8</v>
      </c>
      <c r="K261" s="51">
        <v>64</v>
      </c>
    </row>
    <row r="262" spans="4:11">
      <c r="D262" s="49">
        <v>46156</v>
      </c>
      <c r="E262" s="16">
        <v>1603252</v>
      </c>
      <c r="F262" s="16" t="s">
        <v>21</v>
      </c>
      <c r="G262" s="50">
        <v>20005208</v>
      </c>
      <c r="H262" s="16" t="s">
        <v>55</v>
      </c>
      <c r="I262" s="50">
        <v>22</v>
      </c>
      <c r="J262" s="51">
        <v>8</v>
      </c>
      <c r="K262" s="51">
        <v>176</v>
      </c>
    </row>
    <row r="263" spans="4:11">
      <c r="D263" s="49">
        <v>46156</v>
      </c>
      <c r="E263" s="16">
        <v>1603252</v>
      </c>
      <c r="F263" s="16" t="s">
        <v>21</v>
      </c>
      <c r="G263" s="50">
        <v>20013630</v>
      </c>
      <c r="H263" s="16" t="s">
        <v>100</v>
      </c>
      <c r="I263" s="50">
        <v>1</v>
      </c>
      <c r="J263" s="51">
        <v>8</v>
      </c>
      <c r="K263" s="51">
        <v>8</v>
      </c>
    </row>
    <row r="264" spans="4:11">
      <c r="D264" s="49">
        <v>46156</v>
      </c>
      <c r="E264" s="16">
        <v>1603252</v>
      </c>
      <c r="F264" s="16" t="s">
        <v>21</v>
      </c>
      <c r="G264" s="50">
        <v>20407295</v>
      </c>
      <c r="H264" s="16" t="s">
        <v>101</v>
      </c>
      <c r="I264" s="50">
        <v>18</v>
      </c>
      <c r="J264" s="51">
        <v>8</v>
      </c>
      <c r="K264" s="51">
        <v>144</v>
      </c>
    </row>
    <row r="265" spans="4:11">
      <c r="D265" s="49">
        <v>46156</v>
      </c>
      <c r="E265" s="16">
        <v>1603252</v>
      </c>
      <c r="F265" s="16" t="s">
        <v>21</v>
      </c>
      <c r="G265" s="50">
        <v>20401469</v>
      </c>
      <c r="H265" s="16" t="s">
        <v>63</v>
      </c>
      <c r="I265" s="50">
        <v>1</v>
      </c>
      <c r="J265" s="51">
        <v>13</v>
      </c>
      <c r="K265" s="51">
        <v>13</v>
      </c>
    </row>
    <row r="266" spans="4:11">
      <c r="D266" s="49">
        <v>46156</v>
      </c>
      <c r="E266" s="16">
        <v>1603252</v>
      </c>
      <c r="F266" s="16" t="s">
        <v>21</v>
      </c>
      <c r="G266" s="50">
        <v>20314990</v>
      </c>
      <c r="H266" s="16" t="s">
        <v>52</v>
      </c>
      <c r="I266" s="50">
        <v>10</v>
      </c>
      <c r="J266" s="51">
        <v>8</v>
      </c>
      <c r="K266" s="51">
        <v>80</v>
      </c>
    </row>
    <row r="267" spans="4:11">
      <c r="D267" s="49">
        <v>46156</v>
      </c>
      <c r="E267" s="16">
        <v>1603252</v>
      </c>
      <c r="F267" s="16" t="s">
        <v>21</v>
      </c>
      <c r="G267" s="50">
        <v>20005849</v>
      </c>
      <c r="H267" s="16" t="s">
        <v>54</v>
      </c>
      <c r="I267" s="50">
        <v>17</v>
      </c>
      <c r="J267" s="51">
        <v>8</v>
      </c>
      <c r="K267" s="51">
        <v>136</v>
      </c>
    </row>
    <row r="268" spans="4:11">
      <c r="D268" s="49">
        <v>46156</v>
      </c>
      <c r="E268" s="16">
        <v>1603253</v>
      </c>
      <c r="F268" s="16" t="s">
        <v>13</v>
      </c>
      <c r="G268" s="50">
        <v>20008026</v>
      </c>
      <c r="H268" s="16" t="s">
        <v>103</v>
      </c>
      <c r="I268" s="50">
        <v>2</v>
      </c>
      <c r="J268" s="51">
        <v>16.5</v>
      </c>
      <c r="K268" s="51">
        <v>33</v>
      </c>
    </row>
    <row r="269" spans="4:11">
      <c r="D269" s="49">
        <v>46156</v>
      </c>
      <c r="E269" s="16">
        <v>1603254</v>
      </c>
      <c r="F269" s="16" t="s">
        <v>13</v>
      </c>
      <c r="G269" s="50">
        <v>20008026</v>
      </c>
      <c r="H269" s="16" t="s">
        <v>103</v>
      </c>
      <c r="I269" s="50">
        <v>4</v>
      </c>
      <c r="J269" s="51">
        <v>16.5</v>
      </c>
      <c r="K269" s="51">
        <v>66</v>
      </c>
    </row>
  </sheetData>
  <autoFilter xmlns:etc="http://www.wps.cn/officeDocument/2017/etCustomData" ref="A7:K269" etc:filterBottomFollowUsedRange="0">
    <extLst/>
  </autoFilter>
  <mergeCells count="5">
    <mergeCell ref="D8:H8"/>
    <mergeCell ref="C7:C269"/>
    <mergeCell ref="B4:H5"/>
    <mergeCell ref="A7:B26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showGridLines="0" view="pageBreakPreview" zoomScaleNormal="100" workbookViewId="0">
      <pane ySplit="6" topLeftCell="A7" activePane="bottomLeft" state="frozen"/>
      <selection/>
      <selection pane="bottomLeft" activeCell="K38" sqref="K9:K3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107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31</v>
      </c>
      <c r="J8" s="48"/>
      <c r="K8" s="48">
        <v>928</v>
      </c>
    </row>
    <row r="9" spans="1:11">
      <c r="D9" s="49">
        <v>46128</v>
      </c>
      <c r="E9" s="16">
        <v>1595346</v>
      </c>
      <c r="F9" s="16" t="s">
        <v>21</v>
      </c>
      <c r="G9" s="50">
        <v>20394788</v>
      </c>
      <c r="H9" s="16" t="s">
        <v>108</v>
      </c>
      <c r="I9" s="50">
        <v>2</v>
      </c>
      <c r="J9" s="51">
        <v>8</v>
      </c>
      <c r="K9" s="51">
        <v>16</v>
      </c>
    </row>
    <row r="10" spans="1:11">
      <c r="D10" s="49">
        <v>46128</v>
      </c>
      <c r="E10" s="16">
        <v>1595346</v>
      </c>
      <c r="F10" s="16" t="s">
        <v>21</v>
      </c>
      <c r="G10" s="50">
        <v>20394764</v>
      </c>
      <c r="H10" s="16" t="s">
        <v>109</v>
      </c>
      <c r="I10" s="50">
        <v>1</v>
      </c>
      <c r="J10" s="51">
        <v>8</v>
      </c>
      <c r="K10" s="51">
        <v>8</v>
      </c>
    </row>
    <row r="11" spans="1:11">
      <c r="D11" s="49">
        <v>46128</v>
      </c>
      <c r="E11" s="16">
        <v>1595346</v>
      </c>
      <c r="F11" s="16" t="s">
        <v>110</v>
      </c>
      <c r="G11" s="50">
        <v>20394771</v>
      </c>
      <c r="H11" s="16" t="s">
        <v>111</v>
      </c>
      <c r="I11" s="50">
        <v>1</v>
      </c>
      <c r="J11" s="51">
        <v>88</v>
      </c>
      <c r="K11" s="51">
        <v>88</v>
      </c>
    </row>
    <row r="12" spans="1:11">
      <c r="D12" s="49">
        <v>46128</v>
      </c>
      <c r="E12" s="16">
        <v>1595346</v>
      </c>
      <c r="F12" s="16" t="s">
        <v>13</v>
      </c>
      <c r="G12" s="50">
        <v>20402571</v>
      </c>
      <c r="H12" s="16" t="s">
        <v>112</v>
      </c>
      <c r="I12" s="50">
        <v>1</v>
      </c>
      <c r="J12" s="51">
        <v>38.5</v>
      </c>
      <c r="K12" s="51">
        <v>38.5</v>
      </c>
    </row>
    <row r="13" spans="1:11">
      <c r="D13" s="49">
        <v>46130</v>
      </c>
      <c r="E13" s="16">
        <v>1596120</v>
      </c>
      <c r="F13" s="16" t="s">
        <v>113</v>
      </c>
      <c r="G13" s="50">
        <v>20394765</v>
      </c>
      <c r="H13" s="16" t="s">
        <v>114</v>
      </c>
      <c r="I13" s="50">
        <v>1</v>
      </c>
      <c r="J13" s="51">
        <v>38.5</v>
      </c>
      <c r="K13" s="51">
        <v>38.5</v>
      </c>
    </row>
    <row r="14" spans="1:11">
      <c r="D14" s="49">
        <v>46130</v>
      </c>
      <c r="E14" s="16">
        <v>1596120</v>
      </c>
      <c r="F14" s="16" t="s">
        <v>21</v>
      </c>
      <c r="G14" s="50">
        <v>20404922</v>
      </c>
      <c r="H14" s="16" t="s">
        <v>115</v>
      </c>
      <c r="I14" s="50">
        <v>1</v>
      </c>
      <c r="J14" s="51">
        <v>8</v>
      </c>
      <c r="K14" s="51">
        <v>8</v>
      </c>
    </row>
    <row r="15" spans="1:11">
      <c r="D15" s="49">
        <v>46130</v>
      </c>
      <c r="E15" s="16">
        <v>1596120</v>
      </c>
      <c r="F15" s="16" t="s">
        <v>21</v>
      </c>
      <c r="G15" s="50">
        <v>20394768</v>
      </c>
      <c r="H15" s="16" t="s">
        <v>116</v>
      </c>
      <c r="I15" s="50">
        <v>1</v>
      </c>
      <c r="J15" s="51">
        <v>8</v>
      </c>
      <c r="K15" s="51">
        <v>8</v>
      </c>
    </row>
    <row r="16" spans="1:11">
      <c r="D16" s="49">
        <v>46130</v>
      </c>
      <c r="E16" s="16">
        <v>1596120</v>
      </c>
      <c r="F16" s="16" t="s">
        <v>21</v>
      </c>
      <c r="G16" s="50">
        <v>20398274</v>
      </c>
      <c r="H16" s="16" t="s">
        <v>117</v>
      </c>
      <c r="I16" s="50">
        <v>1</v>
      </c>
      <c r="J16" s="51">
        <v>8</v>
      </c>
      <c r="K16" s="51">
        <v>8</v>
      </c>
    </row>
    <row r="17" spans="4:11">
      <c r="D17" s="49">
        <v>46130</v>
      </c>
      <c r="E17" s="16">
        <v>1596120</v>
      </c>
      <c r="F17" s="16" t="s">
        <v>21</v>
      </c>
      <c r="G17" s="50">
        <v>20394788</v>
      </c>
      <c r="H17" s="16" t="s">
        <v>108</v>
      </c>
      <c r="I17" s="50">
        <v>1</v>
      </c>
      <c r="J17" s="51">
        <v>8</v>
      </c>
      <c r="K17" s="51">
        <v>8</v>
      </c>
    </row>
    <row r="18" spans="4:11">
      <c r="D18" s="49">
        <v>46130</v>
      </c>
      <c r="E18" s="16">
        <v>1596120</v>
      </c>
      <c r="F18" s="16" t="s">
        <v>21</v>
      </c>
      <c r="G18" s="50">
        <v>20394764</v>
      </c>
      <c r="H18" s="16" t="s">
        <v>109</v>
      </c>
      <c r="I18" s="50">
        <v>1</v>
      </c>
      <c r="J18" s="51">
        <v>8</v>
      </c>
      <c r="K18" s="51">
        <v>8</v>
      </c>
    </row>
    <row r="19" spans="4:11">
      <c r="D19" s="49">
        <v>46130</v>
      </c>
      <c r="E19" s="16">
        <v>1596120</v>
      </c>
      <c r="F19" s="16" t="s">
        <v>110</v>
      </c>
      <c r="G19" s="50">
        <v>20394771</v>
      </c>
      <c r="H19" s="16" t="s">
        <v>111</v>
      </c>
      <c r="I19" s="50">
        <v>1</v>
      </c>
      <c r="J19" s="51">
        <v>88</v>
      </c>
      <c r="K19" s="51">
        <v>88</v>
      </c>
    </row>
    <row r="20" spans="4:11">
      <c r="D20" s="49">
        <v>46135</v>
      </c>
      <c r="E20" s="16">
        <v>1597443</v>
      </c>
      <c r="F20" s="16" t="s">
        <v>113</v>
      </c>
      <c r="G20" s="50">
        <v>20394765</v>
      </c>
      <c r="H20" s="16" t="s">
        <v>114</v>
      </c>
      <c r="I20" s="50">
        <v>1</v>
      </c>
      <c r="J20" s="51">
        <v>38.5</v>
      </c>
      <c r="K20" s="51">
        <v>38.5</v>
      </c>
    </row>
    <row r="21" spans="4:11">
      <c r="D21" s="49">
        <v>46135</v>
      </c>
      <c r="E21" s="16">
        <v>1597443</v>
      </c>
      <c r="F21" s="16" t="s">
        <v>21</v>
      </c>
      <c r="G21" s="50">
        <v>20394788</v>
      </c>
      <c r="H21" s="16" t="s">
        <v>108</v>
      </c>
      <c r="I21" s="50">
        <v>1</v>
      </c>
      <c r="J21" s="51">
        <v>8</v>
      </c>
      <c r="K21" s="51">
        <v>8</v>
      </c>
    </row>
    <row r="22" spans="4:11">
      <c r="D22" s="49">
        <v>46135</v>
      </c>
      <c r="E22" s="16">
        <v>1597443</v>
      </c>
      <c r="F22" s="16" t="s">
        <v>21</v>
      </c>
      <c r="G22" s="50">
        <v>20394764</v>
      </c>
      <c r="H22" s="16" t="s">
        <v>109</v>
      </c>
      <c r="I22" s="50">
        <v>1</v>
      </c>
      <c r="J22" s="51">
        <v>8</v>
      </c>
      <c r="K22" s="51">
        <v>8</v>
      </c>
    </row>
    <row r="23" spans="4:11">
      <c r="D23" s="49">
        <v>46135</v>
      </c>
      <c r="E23" s="16">
        <v>1597443</v>
      </c>
      <c r="F23" s="16" t="s">
        <v>110</v>
      </c>
      <c r="G23" s="50">
        <v>20394771</v>
      </c>
      <c r="H23" s="16" t="s">
        <v>111</v>
      </c>
      <c r="I23" s="50">
        <v>1</v>
      </c>
      <c r="J23" s="51">
        <v>88</v>
      </c>
      <c r="K23" s="51">
        <v>88</v>
      </c>
    </row>
    <row r="24" spans="4:11">
      <c r="D24" s="49">
        <v>46137</v>
      </c>
      <c r="E24" s="16">
        <v>1598189</v>
      </c>
      <c r="F24" s="16" t="s">
        <v>21</v>
      </c>
      <c r="G24" s="50">
        <v>20394788</v>
      </c>
      <c r="H24" s="16" t="s">
        <v>108</v>
      </c>
      <c r="I24" s="50">
        <v>1</v>
      </c>
      <c r="J24" s="51">
        <v>8</v>
      </c>
      <c r="K24" s="51">
        <v>8</v>
      </c>
    </row>
    <row r="25" spans="4:11">
      <c r="D25" s="49">
        <v>46137</v>
      </c>
      <c r="E25" s="16">
        <v>1598189</v>
      </c>
      <c r="F25" s="16" t="s">
        <v>21</v>
      </c>
      <c r="G25" s="50">
        <v>20377357</v>
      </c>
      <c r="H25" s="16" t="s">
        <v>31</v>
      </c>
      <c r="I25" s="50">
        <v>1</v>
      </c>
      <c r="J25" s="51">
        <v>8</v>
      </c>
      <c r="K25" s="51">
        <v>8</v>
      </c>
    </row>
    <row r="26" spans="4:11">
      <c r="D26" s="49">
        <v>46137</v>
      </c>
      <c r="E26" s="16">
        <v>1598189</v>
      </c>
      <c r="F26" s="16" t="s">
        <v>110</v>
      </c>
      <c r="G26" s="50">
        <v>20394771</v>
      </c>
      <c r="H26" s="16" t="s">
        <v>111</v>
      </c>
      <c r="I26" s="50">
        <v>1</v>
      </c>
      <c r="J26" s="51">
        <v>88</v>
      </c>
      <c r="K26" s="51">
        <v>88</v>
      </c>
    </row>
    <row r="27" spans="4:11">
      <c r="D27" s="49">
        <v>46137</v>
      </c>
      <c r="E27" s="16">
        <v>1598189</v>
      </c>
      <c r="F27" s="16" t="s">
        <v>13</v>
      </c>
      <c r="G27" s="50">
        <v>20402571</v>
      </c>
      <c r="H27" s="16" t="s">
        <v>112</v>
      </c>
      <c r="I27" s="50">
        <v>1</v>
      </c>
      <c r="J27" s="51">
        <v>38.5</v>
      </c>
      <c r="K27" s="51">
        <v>38.5</v>
      </c>
    </row>
    <row r="28" spans="4:11">
      <c r="D28" s="49">
        <v>46142</v>
      </c>
      <c r="E28" s="16">
        <v>1599621</v>
      </c>
      <c r="F28" s="16" t="s">
        <v>113</v>
      </c>
      <c r="G28" s="50">
        <v>20394765</v>
      </c>
      <c r="H28" s="16" t="s">
        <v>114</v>
      </c>
      <c r="I28" s="50">
        <v>1</v>
      </c>
      <c r="J28" s="51">
        <v>38.5</v>
      </c>
      <c r="K28" s="51">
        <v>38.5</v>
      </c>
    </row>
    <row r="29" spans="4:11">
      <c r="D29" s="49">
        <v>46142</v>
      </c>
      <c r="E29" s="16">
        <v>1599621</v>
      </c>
      <c r="F29" s="16" t="s">
        <v>21</v>
      </c>
      <c r="G29" s="50">
        <v>20404922</v>
      </c>
      <c r="H29" s="16" t="s">
        <v>115</v>
      </c>
      <c r="I29" s="50">
        <v>1</v>
      </c>
      <c r="J29" s="51">
        <v>8</v>
      </c>
      <c r="K29" s="51">
        <v>8</v>
      </c>
    </row>
    <row r="30" spans="4:11">
      <c r="D30" s="49">
        <v>46142</v>
      </c>
      <c r="E30" s="16">
        <v>1599621</v>
      </c>
      <c r="F30" s="16" t="s">
        <v>21</v>
      </c>
      <c r="G30" s="50">
        <v>20394788</v>
      </c>
      <c r="H30" s="16" t="s">
        <v>108</v>
      </c>
      <c r="I30" s="50">
        <v>1</v>
      </c>
      <c r="J30" s="51">
        <v>8</v>
      </c>
      <c r="K30" s="51">
        <v>8</v>
      </c>
    </row>
    <row r="31" spans="4:11">
      <c r="D31" s="49">
        <v>46142</v>
      </c>
      <c r="E31" s="16">
        <v>1599621</v>
      </c>
      <c r="F31" s="16" t="s">
        <v>21</v>
      </c>
      <c r="G31" s="50">
        <v>20394764</v>
      </c>
      <c r="H31" s="16" t="s">
        <v>109</v>
      </c>
      <c r="I31" s="50">
        <v>1</v>
      </c>
      <c r="J31" s="51">
        <v>8</v>
      </c>
      <c r="K31" s="51">
        <v>8</v>
      </c>
    </row>
    <row r="32" spans="4:11">
      <c r="D32" s="49">
        <v>46142</v>
      </c>
      <c r="E32" s="16">
        <v>1599621</v>
      </c>
      <c r="F32" s="16" t="s">
        <v>110</v>
      </c>
      <c r="G32" s="50">
        <v>20394771</v>
      </c>
      <c r="H32" s="16" t="s">
        <v>111</v>
      </c>
      <c r="I32" s="50">
        <v>1</v>
      </c>
      <c r="J32" s="51">
        <v>88</v>
      </c>
      <c r="K32" s="51">
        <v>88</v>
      </c>
    </row>
    <row r="33" spans="4:11">
      <c r="D33" s="49">
        <v>46151</v>
      </c>
      <c r="E33" s="16">
        <v>1601620</v>
      </c>
      <c r="F33" s="16" t="s">
        <v>21</v>
      </c>
      <c r="G33" s="50">
        <v>20394788</v>
      </c>
      <c r="H33" s="16" t="s">
        <v>108</v>
      </c>
      <c r="I33" s="50">
        <v>1</v>
      </c>
      <c r="J33" s="51">
        <v>8</v>
      </c>
      <c r="K33" s="51">
        <v>8</v>
      </c>
    </row>
    <row r="34" spans="4:11">
      <c r="D34" s="49">
        <v>46151</v>
      </c>
      <c r="E34" s="16">
        <v>1601620</v>
      </c>
      <c r="F34" s="16" t="s">
        <v>21</v>
      </c>
      <c r="G34" s="50">
        <v>20394764</v>
      </c>
      <c r="H34" s="16" t="s">
        <v>109</v>
      </c>
      <c r="I34" s="50">
        <v>1</v>
      </c>
      <c r="J34" s="51">
        <v>8</v>
      </c>
      <c r="K34" s="51">
        <v>8</v>
      </c>
    </row>
    <row r="35" spans="4:11">
      <c r="D35" s="49">
        <v>46151</v>
      </c>
      <c r="E35" s="16">
        <v>1601620</v>
      </c>
      <c r="F35" s="16" t="s">
        <v>110</v>
      </c>
      <c r="G35" s="50">
        <v>20394771</v>
      </c>
      <c r="H35" s="16" t="s">
        <v>111</v>
      </c>
      <c r="I35" s="50">
        <v>1</v>
      </c>
      <c r="J35" s="51">
        <v>88</v>
      </c>
      <c r="K35" s="51">
        <v>88</v>
      </c>
    </row>
    <row r="36" spans="4:11">
      <c r="D36" s="49">
        <v>46151</v>
      </c>
      <c r="E36" s="16">
        <v>1601620</v>
      </c>
      <c r="F36" s="16" t="s">
        <v>13</v>
      </c>
      <c r="G36" s="50">
        <v>20402571</v>
      </c>
      <c r="H36" s="16" t="s">
        <v>112</v>
      </c>
      <c r="I36" s="50">
        <v>1</v>
      </c>
      <c r="J36" s="51">
        <v>38.5</v>
      </c>
      <c r="K36" s="51">
        <v>38.5</v>
      </c>
    </row>
    <row r="37" spans="4:11">
      <c r="D37" s="49">
        <v>46151</v>
      </c>
      <c r="E37" s="16">
        <v>1601620</v>
      </c>
      <c r="F37" s="16" t="s">
        <v>13</v>
      </c>
      <c r="G37" s="50">
        <v>20005838</v>
      </c>
      <c r="H37" s="16" t="s">
        <v>91</v>
      </c>
      <c r="I37" s="50">
        <v>1</v>
      </c>
      <c r="J37" s="51">
        <v>16.5</v>
      </c>
      <c r="K37" s="51">
        <v>16.5</v>
      </c>
    </row>
    <row r="38" spans="4:11">
      <c r="D38" s="49">
        <v>46151</v>
      </c>
      <c r="E38" s="16">
        <v>1601620</v>
      </c>
      <c r="F38" s="16" t="s">
        <v>13</v>
      </c>
      <c r="G38" s="50">
        <v>20394766</v>
      </c>
      <c r="H38" s="16" t="s">
        <v>118</v>
      </c>
      <c r="I38" s="50">
        <v>1</v>
      </c>
      <c r="J38" s="51">
        <v>16.5</v>
      </c>
      <c r="K38" s="51">
        <v>16.5</v>
      </c>
    </row>
    <row r="39" ht="0.05" customHeight="1"/>
  </sheetData>
  <autoFilter xmlns:etc="http://www.wps.cn/officeDocument/2017/etCustomData" ref="A7:K38" etc:filterBottomFollowUsedRange="0">
    <extLst/>
  </autoFilter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4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119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163</v>
      </c>
      <c r="J8" s="48"/>
      <c r="K8" s="48">
        <v>10188</v>
      </c>
    </row>
    <row r="9" spans="1:11">
      <c r="D9" s="49">
        <v>46128</v>
      </c>
      <c r="E9" s="16">
        <v>1595463</v>
      </c>
      <c r="F9" s="16" t="s">
        <v>19</v>
      </c>
      <c r="G9" s="50">
        <v>20005227</v>
      </c>
      <c r="H9" s="16" t="s">
        <v>120</v>
      </c>
      <c r="I9" s="50">
        <v>1</v>
      </c>
      <c r="J9" s="51">
        <v>82.5</v>
      </c>
      <c r="K9" s="51">
        <v>82.5</v>
      </c>
    </row>
    <row r="10" spans="1:11">
      <c r="D10" s="49">
        <v>46128</v>
      </c>
      <c r="E10" s="16">
        <v>1595463</v>
      </c>
      <c r="F10" s="16" t="s">
        <v>21</v>
      </c>
      <c r="G10" s="50">
        <v>20005842</v>
      </c>
      <c r="H10" s="16" t="s">
        <v>121</v>
      </c>
      <c r="I10" s="50">
        <v>1</v>
      </c>
      <c r="J10" s="51">
        <v>16.5</v>
      </c>
      <c r="K10" s="51">
        <v>16.5</v>
      </c>
    </row>
    <row r="11" spans="1:11">
      <c r="D11" s="49">
        <v>46129</v>
      </c>
      <c r="E11" s="16">
        <v>1595789</v>
      </c>
      <c r="F11" s="16" t="s">
        <v>122</v>
      </c>
      <c r="G11" s="50">
        <v>20392603</v>
      </c>
      <c r="H11" s="16" t="s">
        <v>123</v>
      </c>
      <c r="I11" s="50">
        <v>1</v>
      </c>
      <c r="J11" s="51">
        <v>388</v>
      </c>
      <c r="K11" s="51">
        <v>388</v>
      </c>
    </row>
    <row r="12" spans="1:11">
      <c r="D12" s="49">
        <v>46129</v>
      </c>
      <c r="E12" s="16">
        <v>1595789</v>
      </c>
      <c r="F12" s="16" t="s">
        <v>124</v>
      </c>
      <c r="G12" s="50">
        <v>20392576</v>
      </c>
      <c r="H12" s="16" t="s">
        <v>125</v>
      </c>
      <c r="I12" s="50">
        <v>1</v>
      </c>
      <c r="J12" s="51">
        <v>28</v>
      </c>
      <c r="K12" s="51">
        <v>28</v>
      </c>
    </row>
    <row r="13" spans="1:11">
      <c r="D13" s="49">
        <v>46129</v>
      </c>
      <c r="E13" s="16">
        <v>1595874</v>
      </c>
      <c r="F13" s="16" t="s">
        <v>19</v>
      </c>
      <c r="G13" s="50">
        <v>20388031</v>
      </c>
      <c r="H13" s="16" t="s">
        <v>126</v>
      </c>
      <c r="I13" s="50">
        <v>1</v>
      </c>
      <c r="J13" s="51">
        <v>176</v>
      </c>
      <c r="K13" s="51">
        <v>176</v>
      </c>
    </row>
    <row r="14" spans="1:11">
      <c r="D14" s="49">
        <v>46129</v>
      </c>
      <c r="E14" s="16">
        <v>1595874</v>
      </c>
      <c r="F14" s="16" t="s">
        <v>21</v>
      </c>
      <c r="G14" s="50">
        <v>20005842</v>
      </c>
      <c r="H14" s="16" t="s">
        <v>121</v>
      </c>
      <c r="I14" s="50">
        <v>1</v>
      </c>
      <c r="J14" s="51">
        <v>16.5</v>
      </c>
      <c r="K14" s="51">
        <v>16.5</v>
      </c>
    </row>
    <row r="15" spans="1:11">
      <c r="D15" s="49">
        <v>46129</v>
      </c>
      <c r="E15" s="16">
        <v>1595874</v>
      </c>
      <c r="F15" s="16" t="s">
        <v>16</v>
      </c>
      <c r="G15" s="50">
        <v>20417496</v>
      </c>
      <c r="H15" s="16" t="s">
        <v>127</v>
      </c>
      <c r="I15" s="50">
        <v>1</v>
      </c>
      <c r="J15" s="51">
        <v>4</v>
      </c>
      <c r="K15" s="51">
        <v>4</v>
      </c>
    </row>
    <row r="16" spans="1:11">
      <c r="D16" s="49">
        <v>46132</v>
      </c>
      <c r="E16" s="16">
        <v>1596402</v>
      </c>
      <c r="F16" s="16" t="s">
        <v>19</v>
      </c>
      <c r="G16" s="50">
        <v>20005230</v>
      </c>
      <c r="H16" s="16" t="s">
        <v>128</v>
      </c>
      <c r="I16" s="50">
        <v>1</v>
      </c>
      <c r="J16" s="51">
        <v>313.5</v>
      </c>
      <c r="K16" s="51">
        <v>313.5</v>
      </c>
    </row>
    <row r="17" spans="4:11">
      <c r="D17" s="49">
        <v>46132</v>
      </c>
      <c r="E17" s="16">
        <v>1596402</v>
      </c>
      <c r="F17" s="16" t="s">
        <v>16</v>
      </c>
      <c r="G17" s="50">
        <v>20006044</v>
      </c>
      <c r="H17" s="16" t="s">
        <v>129</v>
      </c>
      <c r="I17" s="50">
        <v>1</v>
      </c>
      <c r="J17" s="51">
        <v>2.5</v>
      </c>
      <c r="K17" s="51">
        <v>2.5</v>
      </c>
    </row>
    <row r="18" spans="4:11">
      <c r="D18" s="49">
        <v>46133</v>
      </c>
      <c r="E18" s="16">
        <v>1596541</v>
      </c>
      <c r="F18" s="16" t="s">
        <v>21</v>
      </c>
      <c r="G18" s="50">
        <v>20005842</v>
      </c>
      <c r="H18" s="16" t="s">
        <v>121</v>
      </c>
      <c r="I18" s="50">
        <v>2</v>
      </c>
      <c r="J18" s="51">
        <v>16.5</v>
      </c>
      <c r="K18" s="51">
        <v>33</v>
      </c>
    </row>
    <row r="19" spans="4:11">
      <c r="D19" s="49">
        <v>46133</v>
      </c>
      <c r="E19" s="16">
        <v>1596541</v>
      </c>
      <c r="F19" s="16" t="s">
        <v>13</v>
      </c>
      <c r="G19" s="50">
        <v>20005222</v>
      </c>
      <c r="H19" s="16" t="s">
        <v>130</v>
      </c>
      <c r="I19" s="50">
        <v>1</v>
      </c>
      <c r="J19" s="51">
        <v>16.5</v>
      </c>
      <c r="K19" s="51">
        <v>16.5</v>
      </c>
    </row>
    <row r="20" spans="4:11">
      <c r="D20" s="49">
        <v>46133</v>
      </c>
      <c r="E20" s="16">
        <v>1596541</v>
      </c>
      <c r="F20" s="16" t="s">
        <v>13</v>
      </c>
      <c r="G20" s="50">
        <v>20005226</v>
      </c>
      <c r="H20" s="16" t="s">
        <v>131</v>
      </c>
      <c r="I20" s="50">
        <v>1</v>
      </c>
      <c r="J20" s="51">
        <v>27.5</v>
      </c>
      <c r="K20" s="51">
        <v>27.5</v>
      </c>
    </row>
    <row r="21" spans="4:11">
      <c r="D21" s="49">
        <v>46135</v>
      </c>
      <c r="E21" s="16">
        <v>1597577</v>
      </c>
      <c r="F21" s="16" t="s">
        <v>19</v>
      </c>
      <c r="G21" s="50">
        <v>20005227</v>
      </c>
      <c r="H21" s="16" t="s">
        <v>120</v>
      </c>
      <c r="I21" s="50">
        <v>3</v>
      </c>
      <c r="J21" s="51">
        <v>82.5</v>
      </c>
      <c r="K21" s="51">
        <v>247.5</v>
      </c>
    </row>
    <row r="22" spans="4:11">
      <c r="D22" s="49">
        <v>46135</v>
      </c>
      <c r="E22" s="16">
        <v>1597577</v>
      </c>
      <c r="F22" s="16" t="s">
        <v>19</v>
      </c>
      <c r="G22" s="50">
        <v>20005228</v>
      </c>
      <c r="H22" s="16" t="s">
        <v>132</v>
      </c>
      <c r="I22" s="50">
        <v>4</v>
      </c>
      <c r="J22" s="51">
        <v>99</v>
      </c>
      <c r="K22" s="51">
        <v>396</v>
      </c>
    </row>
    <row r="23" spans="4:11">
      <c r="D23" s="49">
        <v>46135</v>
      </c>
      <c r="E23" s="16">
        <v>1597577</v>
      </c>
      <c r="F23" s="16" t="s">
        <v>21</v>
      </c>
      <c r="G23" s="50">
        <v>20005842</v>
      </c>
      <c r="H23" s="16" t="s">
        <v>121</v>
      </c>
      <c r="I23" s="50">
        <v>2</v>
      </c>
      <c r="J23" s="51">
        <v>16.5</v>
      </c>
      <c r="K23" s="51">
        <v>33</v>
      </c>
    </row>
    <row r="24" spans="4:11">
      <c r="D24" s="49">
        <v>46135</v>
      </c>
      <c r="E24" s="16">
        <v>1597577</v>
      </c>
      <c r="F24" s="16" t="s">
        <v>21</v>
      </c>
      <c r="G24" s="50">
        <v>20312293</v>
      </c>
      <c r="H24" s="16" t="s">
        <v>133</v>
      </c>
      <c r="I24" s="50">
        <v>1</v>
      </c>
      <c r="J24" s="51">
        <v>13</v>
      </c>
      <c r="K24" s="51">
        <v>13</v>
      </c>
    </row>
    <row r="25" spans="4:11">
      <c r="D25" s="49">
        <v>46135</v>
      </c>
      <c r="E25" s="16">
        <v>1597577</v>
      </c>
      <c r="F25" s="16" t="s">
        <v>13</v>
      </c>
      <c r="G25" s="50">
        <v>20005225</v>
      </c>
      <c r="H25" s="16" t="s">
        <v>134</v>
      </c>
      <c r="I25" s="50">
        <v>1</v>
      </c>
      <c r="J25" s="51">
        <v>22</v>
      </c>
      <c r="K25" s="51">
        <v>22</v>
      </c>
    </row>
    <row r="26" spans="4:11">
      <c r="D26" s="49">
        <v>46135</v>
      </c>
      <c r="E26" s="16">
        <v>1597577</v>
      </c>
      <c r="F26" s="16" t="s">
        <v>13</v>
      </c>
      <c r="G26" s="50">
        <v>20422774</v>
      </c>
      <c r="H26" s="16" t="s">
        <v>135</v>
      </c>
      <c r="I26" s="50">
        <v>2</v>
      </c>
      <c r="J26" s="51">
        <v>38.5</v>
      </c>
      <c r="K26" s="51">
        <v>77</v>
      </c>
    </row>
    <row r="27" spans="4:11">
      <c r="D27" s="49">
        <v>46135</v>
      </c>
      <c r="E27" s="16">
        <v>1597577</v>
      </c>
      <c r="F27" s="16" t="s">
        <v>13</v>
      </c>
      <c r="G27" s="50">
        <v>20005206</v>
      </c>
      <c r="H27" s="16" t="s">
        <v>136</v>
      </c>
      <c r="I27" s="50">
        <v>1</v>
      </c>
      <c r="J27" s="51">
        <v>44</v>
      </c>
      <c r="K27" s="51">
        <v>44</v>
      </c>
    </row>
    <row r="28" spans="4:11">
      <c r="D28" s="49">
        <v>46136</v>
      </c>
      <c r="E28" s="16">
        <v>1597728</v>
      </c>
      <c r="F28" s="16" t="s">
        <v>21</v>
      </c>
      <c r="G28" s="50">
        <v>20005842</v>
      </c>
      <c r="H28" s="16" t="s">
        <v>121</v>
      </c>
      <c r="I28" s="50">
        <v>1</v>
      </c>
      <c r="J28" s="51">
        <v>16.5</v>
      </c>
      <c r="K28" s="51">
        <v>16.5</v>
      </c>
    </row>
    <row r="29" spans="4:11">
      <c r="D29" s="49">
        <v>46136</v>
      </c>
      <c r="E29" s="16">
        <v>1597728</v>
      </c>
      <c r="F29" s="16" t="s">
        <v>21</v>
      </c>
      <c r="G29" s="50">
        <v>20006047</v>
      </c>
      <c r="H29" s="16" t="s">
        <v>137</v>
      </c>
      <c r="I29" s="50">
        <v>1</v>
      </c>
      <c r="J29" s="51">
        <v>8</v>
      </c>
      <c r="K29" s="51">
        <v>8</v>
      </c>
    </row>
    <row r="30" spans="4:11">
      <c r="D30" s="49">
        <v>46137</v>
      </c>
      <c r="E30" s="16">
        <v>1598083</v>
      </c>
      <c r="F30" s="16" t="s">
        <v>19</v>
      </c>
      <c r="G30" s="50">
        <v>20005228</v>
      </c>
      <c r="H30" s="16" t="s">
        <v>132</v>
      </c>
      <c r="I30" s="50">
        <v>1</v>
      </c>
      <c r="J30" s="51">
        <v>99</v>
      </c>
      <c r="K30" s="51">
        <v>99</v>
      </c>
    </row>
    <row r="31" spans="4:11">
      <c r="D31" s="49">
        <v>46137</v>
      </c>
      <c r="E31" s="16">
        <v>1598083</v>
      </c>
      <c r="F31" s="16" t="s">
        <v>19</v>
      </c>
      <c r="G31" s="50">
        <v>20005230</v>
      </c>
      <c r="H31" s="16" t="s">
        <v>128</v>
      </c>
      <c r="I31" s="50">
        <v>1</v>
      </c>
      <c r="J31" s="51">
        <v>313.5</v>
      </c>
      <c r="K31" s="51">
        <v>313.5</v>
      </c>
    </row>
    <row r="32" spans="4:11">
      <c r="D32" s="49">
        <v>46137</v>
      </c>
      <c r="E32" s="16">
        <v>1598083</v>
      </c>
      <c r="F32" s="16" t="s">
        <v>21</v>
      </c>
      <c r="G32" s="50">
        <v>20005842</v>
      </c>
      <c r="H32" s="16" t="s">
        <v>121</v>
      </c>
      <c r="I32" s="50">
        <v>1</v>
      </c>
      <c r="J32" s="51">
        <v>16.5</v>
      </c>
      <c r="K32" s="51">
        <v>16.5</v>
      </c>
    </row>
    <row r="33" spans="4:11">
      <c r="D33" s="49">
        <v>46137</v>
      </c>
      <c r="E33" s="16">
        <v>1598083</v>
      </c>
      <c r="F33" s="16" t="s">
        <v>21</v>
      </c>
      <c r="G33" s="50">
        <v>20006047</v>
      </c>
      <c r="H33" s="16" t="s">
        <v>137</v>
      </c>
      <c r="I33" s="50">
        <v>1</v>
      </c>
      <c r="J33" s="51">
        <v>8</v>
      </c>
      <c r="K33" s="51">
        <v>8</v>
      </c>
    </row>
    <row r="34" spans="4:11">
      <c r="D34" s="49">
        <v>46137</v>
      </c>
      <c r="E34" s="16">
        <v>1598083</v>
      </c>
      <c r="F34" s="16" t="s">
        <v>21</v>
      </c>
      <c r="G34" s="50">
        <v>20378125</v>
      </c>
      <c r="H34" s="16" t="s">
        <v>138</v>
      </c>
      <c r="I34" s="50">
        <v>2</v>
      </c>
      <c r="J34" s="51">
        <v>13</v>
      </c>
      <c r="K34" s="51">
        <v>26</v>
      </c>
    </row>
    <row r="35" ht="24.75" spans="4:11">
      <c r="D35" s="49">
        <v>46137</v>
      </c>
      <c r="E35" s="16">
        <v>1598083</v>
      </c>
      <c r="F35" s="16" t="s">
        <v>139</v>
      </c>
      <c r="G35" s="50">
        <v>20422966</v>
      </c>
      <c r="H35" s="16" t="s">
        <v>140</v>
      </c>
      <c r="I35" s="50">
        <v>1</v>
      </c>
      <c r="J35" s="51">
        <v>357.5</v>
      </c>
      <c r="K35" s="51">
        <v>357.5</v>
      </c>
    </row>
    <row r="36" spans="4:11">
      <c r="D36" s="49">
        <v>46137</v>
      </c>
      <c r="E36" s="16">
        <v>1598083</v>
      </c>
      <c r="F36" s="16" t="s">
        <v>13</v>
      </c>
      <c r="G36" s="50">
        <v>20366612</v>
      </c>
      <c r="H36" s="16" t="s">
        <v>141</v>
      </c>
      <c r="I36" s="50">
        <v>1</v>
      </c>
      <c r="J36" s="51">
        <v>33</v>
      </c>
      <c r="K36" s="51">
        <v>33</v>
      </c>
    </row>
    <row r="37" spans="4:11">
      <c r="D37" s="49">
        <v>46138</v>
      </c>
      <c r="E37" s="16">
        <v>1598239</v>
      </c>
      <c r="F37" s="16" t="s">
        <v>122</v>
      </c>
      <c r="G37" s="50">
        <v>20392610</v>
      </c>
      <c r="H37" s="52" t="s">
        <v>142</v>
      </c>
      <c r="I37" s="50">
        <v>1</v>
      </c>
      <c r="J37" s="53">
        <v>165</v>
      </c>
      <c r="K37" s="53">
        <f>J37*I37</f>
        <v>165</v>
      </c>
    </row>
    <row r="38" spans="4:11">
      <c r="D38" s="49">
        <v>46138</v>
      </c>
      <c r="E38" s="16">
        <v>1598239</v>
      </c>
      <c r="F38" s="16" t="s">
        <v>124</v>
      </c>
      <c r="G38" s="50">
        <v>20392576</v>
      </c>
      <c r="H38" s="16" t="s">
        <v>125</v>
      </c>
      <c r="I38" s="50">
        <v>1</v>
      </c>
      <c r="J38" s="51">
        <v>28</v>
      </c>
      <c r="K38" s="51">
        <v>28</v>
      </c>
    </row>
    <row r="39" spans="4:11">
      <c r="D39" s="49">
        <v>46139</v>
      </c>
      <c r="E39" s="16">
        <v>1598455</v>
      </c>
      <c r="F39" s="16" t="s">
        <v>19</v>
      </c>
      <c r="G39" s="50">
        <v>20005330</v>
      </c>
      <c r="H39" s="16" t="s">
        <v>143</v>
      </c>
      <c r="I39" s="50">
        <v>1</v>
      </c>
      <c r="J39" s="51">
        <v>170.5</v>
      </c>
      <c r="K39" s="51">
        <v>170.5</v>
      </c>
    </row>
    <row r="40" spans="4:11">
      <c r="D40" s="49">
        <v>46139</v>
      </c>
      <c r="E40" s="16">
        <v>1598455</v>
      </c>
      <c r="F40" s="16" t="s">
        <v>21</v>
      </c>
      <c r="G40" s="50">
        <v>20005842</v>
      </c>
      <c r="H40" s="16" t="s">
        <v>121</v>
      </c>
      <c r="I40" s="50">
        <v>1</v>
      </c>
      <c r="J40" s="51">
        <v>16.5</v>
      </c>
      <c r="K40" s="51">
        <v>16.5</v>
      </c>
    </row>
    <row r="41" spans="4:11">
      <c r="D41" s="49">
        <v>46139</v>
      </c>
      <c r="E41" s="16">
        <v>1598455</v>
      </c>
      <c r="F41" s="16" t="s">
        <v>13</v>
      </c>
      <c r="G41" s="50">
        <v>20005839</v>
      </c>
      <c r="H41" s="16" t="s">
        <v>144</v>
      </c>
      <c r="I41" s="50">
        <v>1</v>
      </c>
      <c r="J41" s="51">
        <v>16.5</v>
      </c>
      <c r="K41" s="51">
        <v>16.5</v>
      </c>
    </row>
    <row r="42" spans="4:11">
      <c r="D42" s="49">
        <v>46139</v>
      </c>
      <c r="E42" s="16">
        <v>1598455</v>
      </c>
      <c r="F42" s="16" t="s">
        <v>13</v>
      </c>
      <c r="G42" s="50">
        <v>20005222</v>
      </c>
      <c r="H42" s="16" t="s">
        <v>130</v>
      </c>
      <c r="I42" s="50">
        <v>1</v>
      </c>
      <c r="J42" s="51">
        <v>16.5</v>
      </c>
      <c r="K42" s="51">
        <v>16.5</v>
      </c>
    </row>
    <row r="43" spans="4:11">
      <c r="D43" s="49">
        <v>46139</v>
      </c>
      <c r="E43" s="16">
        <v>1598455</v>
      </c>
      <c r="F43" s="16" t="s">
        <v>13</v>
      </c>
      <c r="G43" s="50">
        <v>20320898</v>
      </c>
      <c r="H43" s="16" t="s">
        <v>145</v>
      </c>
      <c r="I43" s="50">
        <v>1</v>
      </c>
      <c r="J43" s="51">
        <v>33</v>
      </c>
      <c r="K43" s="51">
        <v>33</v>
      </c>
    </row>
    <row r="44" spans="4:11">
      <c r="D44" s="49">
        <v>46139</v>
      </c>
      <c r="E44" s="16">
        <v>1598455</v>
      </c>
      <c r="F44" s="16" t="s">
        <v>13</v>
      </c>
      <c r="G44" s="50">
        <v>20005226</v>
      </c>
      <c r="H44" s="16" t="s">
        <v>131</v>
      </c>
      <c r="I44" s="50">
        <v>1</v>
      </c>
      <c r="J44" s="51">
        <v>27.5</v>
      </c>
      <c r="K44" s="51">
        <v>27.5</v>
      </c>
    </row>
    <row r="45" spans="4:11">
      <c r="D45" s="49">
        <v>46140</v>
      </c>
      <c r="E45" s="16">
        <v>1598624</v>
      </c>
      <c r="F45" s="16" t="s">
        <v>19</v>
      </c>
      <c r="G45" s="50">
        <v>20388031</v>
      </c>
      <c r="H45" s="16" t="s">
        <v>126</v>
      </c>
      <c r="I45" s="50">
        <v>1</v>
      </c>
      <c r="J45" s="51">
        <v>176</v>
      </c>
      <c r="K45" s="51">
        <v>176</v>
      </c>
    </row>
    <row r="46" spans="4:11">
      <c r="D46" s="49">
        <v>46140</v>
      </c>
      <c r="E46" s="16">
        <v>1598624</v>
      </c>
      <c r="F46" s="16" t="s">
        <v>16</v>
      </c>
      <c r="G46" s="50">
        <v>20006043</v>
      </c>
      <c r="H46" s="16" t="s">
        <v>146</v>
      </c>
      <c r="I46" s="50">
        <v>1</v>
      </c>
      <c r="J46" s="51">
        <v>4</v>
      </c>
      <c r="K46" s="51">
        <v>4</v>
      </c>
    </row>
    <row r="47" spans="4:11">
      <c r="D47" s="49">
        <v>46140</v>
      </c>
      <c r="E47" s="16">
        <v>1598624</v>
      </c>
      <c r="F47" s="16" t="s">
        <v>16</v>
      </c>
      <c r="G47" s="50">
        <v>20006044</v>
      </c>
      <c r="H47" s="16" t="s">
        <v>129</v>
      </c>
      <c r="I47" s="50">
        <v>1</v>
      </c>
      <c r="J47" s="51">
        <v>2.5</v>
      </c>
      <c r="K47" s="51">
        <v>2.5</v>
      </c>
    </row>
    <row r="48" spans="4:11">
      <c r="D48" s="49">
        <v>46140</v>
      </c>
      <c r="E48" s="16">
        <v>1598866</v>
      </c>
      <c r="F48" s="16" t="s">
        <v>19</v>
      </c>
      <c r="G48" s="50">
        <v>20005228</v>
      </c>
      <c r="H48" s="16" t="s">
        <v>132</v>
      </c>
      <c r="I48" s="50">
        <v>2</v>
      </c>
      <c r="J48" s="51">
        <v>99</v>
      </c>
      <c r="K48" s="51">
        <v>198</v>
      </c>
    </row>
    <row r="49" spans="4:11">
      <c r="D49" s="49">
        <v>46140</v>
      </c>
      <c r="E49" s="16">
        <v>1598866</v>
      </c>
      <c r="F49" s="16" t="s">
        <v>19</v>
      </c>
      <c r="G49" s="50">
        <v>20005230</v>
      </c>
      <c r="H49" s="16" t="s">
        <v>128</v>
      </c>
      <c r="I49" s="50">
        <v>2</v>
      </c>
      <c r="J49" s="51">
        <v>313.5</v>
      </c>
      <c r="K49" s="51">
        <v>627</v>
      </c>
    </row>
    <row r="50" spans="4:11">
      <c r="D50" s="49">
        <v>46140</v>
      </c>
      <c r="E50" s="16">
        <v>1598866</v>
      </c>
      <c r="F50" s="16" t="s">
        <v>21</v>
      </c>
      <c r="G50" s="50">
        <v>20005842</v>
      </c>
      <c r="H50" s="16" t="s">
        <v>121</v>
      </c>
      <c r="I50" s="50">
        <v>2</v>
      </c>
      <c r="J50" s="51">
        <v>16.5</v>
      </c>
      <c r="K50" s="51">
        <v>33</v>
      </c>
    </row>
    <row r="51" spans="4:11">
      <c r="D51" s="49">
        <v>46140</v>
      </c>
      <c r="E51" s="16">
        <v>1598866</v>
      </c>
      <c r="F51" s="16" t="s">
        <v>21</v>
      </c>
      <c r="G51" s="50">
        <v>20006047</v>
      </c>
      <c r="H51" s="16" t="s">
        <v>137</v>
      </c>
      <c r="I51" s="50">
        <v>1</v>
      </c>
      <c r="J51" s="51">
        <v>8</v>
      </c>
      <c r="K51" s="51">
        <v>8</v>
      </c>
    </row>
    <row r="52" spans="4:11">
      <c r="D52" s="49">
        <v>46140</v>
      </c>
      <c r="E52" s="16">
        <v>1598866</v>
      </c>
      <c r="F52" s="16" t="s">
        <v>21</v>
      </c>
      <c r="G52" s="50">
        <v>20008561</v>
      </c>
      <c r="H52" s="16" t="s">
        <v>147</v>
      </c>
      <c r="I52" s="50">
        <v>1</v>
      </c>
      <c r="J52" s="51">
        <v>8</v>
      </c>
      <c r="K52" s="51">
        <v>8</v>
      </c>
    </row>
    <row r="53" spans="4:11">
      <c r="D53" s="49">
        <v>46140</v>
      </c>
      <c r="E53" s="16">
        <v>1598866</v>
      </c>
      <c r="F53" s="16" t="s">
        <v>13</v>
      </c>
      <c r="G53" s="50">
        <v>20005224</v>
      </c>
      <c r="H53" s="16" t="s">
        <v>148</v>
      </c>
      <c r="I53" s="50">
        <v>1</v>
      </c>
      <c r="J53" s="51">
        <v>16.5</v>
      </c>
      <c r="K53" s="51">
        <v>16.5</v>
      </c>
    </row>
    <row r="54" spans="4:11">
      <c r="D54" s="49">
        <v>46140</v>
      </c>
      <c r="E54" s="16">
        <v>1598866</v>
      </c>
      <c r="F54" s="16" t="s">
        <v>13</v>
      </c>
      <c r="G54" s="50">
        <v>20005838</v>
      </c>
      <c r="H54" s="16" t="s">
        <v>91</v>
      </c>
      <c r="I54" s="50">
        <v>1</v>
      </c>
      <c r="J54" s="51">
        <v>16.5</v>
      </c>
      <c r="K54" s="51">
        <v>16.5</v>
      </c>
    </row>
    <row r="55" spans="4:11">
      <c r="D55" s="49">
        <v>46140</v>
      </c>
      <c r="E55" s="16">
        <v>1598866</v>
      </c>
      <c r="F55" s="16" t="s">
        <v>13</v>
      </c>
      <c r="G55" s="50">
        <v>20005222</v>
      </c>
      <c r="H55" s="16" t="s">
        <v>130</v>
      </c>
      <c r="I55" s="50">
        <v>2</v>
      </c>
      <c r="J55" s="51">
        <v>16.5</v>
      </c>
      <c r="K55" s="51">
        <v>33</v>
      </c>
    </row>
    <row r="56" spans="4:11">
      <c r="D56" s="49">
        <v>46140</v>
      </c>
      <c r="E56" s="16">
        <v>1598866</v>
      </c>
      <c r="F56" s="16" t="s">
        <v>13</v>
      </c>
      <c r="G56" s="50">
        <v>20005226</v>
      </c>
      <c r="H56" s="16" t="s">
        <v>131</v>
      </c>
      <c r="I56" s="50">
        <v>2</v>
      </c>
      <c r="J56" s="51">
        <v>27.5</v>
      </c>
      <c r="K56" s="51">
        <v>55</v>
      </c>
    </row>
    <row r="57" spans="4:11">
      <c r="D57" s="49">
        <v>46140</v>
      </c>
      <c r="E57" s="16">
        <v>1598866</v>
      </c>
      <c r="F57" s="16" t="s">
        <v>13</v>
      </c>
      <c r="G57" s="50">
        <v>20009083</v>
      </c>
      <c r="H57" s="16" t="s">
        <v>149</v>
      </c>
      <c r="I57" s="50">
        <v>1</v>
      </c>
      <c r="J57" s="51">
        <v>16.5</v>
      </c>
      <c r="K57" s="51">
        <v>16.5</v>
      </c>
    </row>
    <row r="58" spans="4:11">
      <c r="D58" s="49">
        <v>46140</v>
      </c>
      <c r="E58" s="16">
        <v>1598866</v>
      </c>
      <c r="F58" s="16" t="s">
        <v>13</v>
      </c>
      <c r="G58" s="50">
        <v>20005211</v>
      </c>
      <c r="H58" s="16" t="s">
        <v>150</v>
      </c>
      <c r="I58" s="50">
        <v>1</v>
      </c>
      <c r="J58" s="51">
        <v>44</v>
      </c>
      <c r="K58" s="51">
        <v>44</v>
      </c>
    </row>
    <row r="59" spans="4:11">
      <c r="D59" s="49">
        <v>46140</v>
      </c>
      <c r="E59" s="16">
        <v>1598866</v>
      </c>
      <c r="F59" s="16" t="s">
        <v>16</v>
      </c>
      <c r="G59" s="50">
        <v>20006043</v>
      </c>
      <c r="H59" s="16" t="s">
        <v>146</v>
      </c>
      <c r="I59" s="50">
        <v>1</v>
      </c>
      <c r="J59" s="51">
        <v>4</v>
      </c>
      <c r="K59" s="51">
        <v>4</v>
      </c>
    </row>
    <row r="60" spans="4:11">
      <c r="D60" s="49">
        <v>46140</v>
      </c>
      <c r="E60" s="16">
        <v>1598866</v>
      </c>
      <c r="F60" s="16" t="s">
        <v>16</v>
      </c>
      <c r="G60" s="50">
        <v>20006044</v>
      </c>
      <c r="H60" s="16" t="s">
        <v>129</v>
      </c>
      <c r="I60" s="50">
        <v>1</v>
      </c>
      <c r="J60" s="51">
        <v>2.5</v>
      </c>
      <c r="K60" s="51">
        <v>2.5</v>
      </c>
    </row>
    <row r="61" spans="4:11">
      <c r="D61" s="49">
        <v>46140</v>
      </c>
      <c r="E61" s="16">
        <v>1598944</v>
      </c>
      <c r="F61" s="16" t="s">
        <v>151</v>
      </c>
      <c r="G61" s="50">
        <v>20336882</v>
      </c>
      <c r="H61" s="16" t="s">
        <v>152</v>
      </c>
      <c r="I61" s="50">
        <v>1</v>
      </c>
      <c r="J61" s="51">
        <v>28</v>
      </c>
      <c r="K61" s="51">
        <v>28</v>
      </c>
    </row>
    <row r="62" spans="4:11">
      <c r="D62" s="49">
        <v>46140</v>
      </c>
      <c r="E62" s="16">
        <v>1598944</v>
      </c>
      <c r="F62" s="16" t="s">
        <v>151</v>
      </c>
      <c r="G62" s="50">
        <v>20336881</v>
      </c>
      <c r="H62" s="16" t="s">
        <v>153</v>
      </c>
      <c r="I62" s="50">
        <v>3</v>
      </c>
      <c r="J62" s="51">
        <v>28</v>
      </c>
      <c r="K62" s="51">
        <v>84</v>
      </c>
    </row>
    <row r="63" spans="4:11">
      <c r="D63" s="49">
        <v>46141</v>
      </c>
      <c r="E63" s="16">
        <v>1599300</v>
      </c>
      <c r="F63" s="16" t="s">
        <v>19</v>
      </c>
      <c r="G63" s="50">
        <v>20005404</v>
      </c>
      <c r="H63" s="16" t="s">
        <v>154</v>
      </c>
      <c r="I63" s="50">
        <v>1</v>
      </c>
      <c r="J63" s="51">
        <v>308</v>
      </c>
      <c r="K63" s="51">
        <v>308</v>
      </c>
    </row>
    <row r="64" spans="4:11">
      <c r="D64" s="49">
        <v>46141</v>
      </c>
      <c r="E64" s="16">
        <v>1599300</v>
      </c>
      <c r="F64" s="16" t="s">
        <v>19</v>
      </c>
      <c r="G64" s="50">
        <v>20005228</v>
      </c>
      <c r="H64" s="16" t="s">
        <v>132</v>
      </c>
      <c r="I64" s="50">
        <v>1</v>
      </c>
      <c r="J64" s="51">
        <v>99</v>
      </c>
      <c r="K64" s="51">
        <v>99</v>
      </c>
    </row>
    <row r="65" spans="4:11">
      <c r="D65" s="49">
        <v>46141</v>
      </c>
      <c r="E65" s="16">
        <v>1599300</v>
      </c>
      <c r="F65" s="16" t="s">
        <v>19</v>
      </c>
      <c r="G65" s="50">
        <v>20013418</v>
      </c>
      <c r="H65" s="16" t="s">
        <v>155</v>
      </c>
      <c r="I65" s="50">
        <v>1</v>
      </c>
      <c r="J65" s="51">
        <v>104.5</v>
      </c>
      <c r="K65" s="51">
        <v>104.5</v>
      </c>
    </row>
    <row r="66" spans="4:11">
      <c r="D66" s="49">
        <v>46141</v>
      </c>
      <c r="E66" s="16">
        <v>1599300</v>
      </c>
      <c r="F66" s="16" t="s">
        <v>21</v>
      </c>
      <c r="G66" s="50">
        <v>20005842</v>
      </c>
      <c r="H66" s="16" t="s">
        <v>121</v>
      </c>
      <c r="I66" s="50">
        <v>1</v>
      </c>
      <c r="J66" s="51">
        <v>16.5</v>
      </c>
      <c r="K66" s="51">
        <v>16.5</v>
      </c>
    </row>
    <row r="67" spans="4:11">
      <c r="D67" s="49">
        <v>46141</v>
      </c>
      <c r="E67" s="16">
        <v>1599300</v>
      </c>
      <c r="F67" s="16" t="s">
        <v>21</v>
      </c>
      <c r="G67" s="50">
        <v>20328068</v>
      </c>
      <c r="H67" s="16" t="s">
        <v>156</v>
      </c>
      <c r="I67" s="50">
        <v>1</v>
      </c>
      <c r="J67" s="51">
        <v>8</v>
      </c>
      <c r="K67" s="51">
        <v>8</v>
      </c>
    </row>
    <row r="68" spans="4:11">
      <c r="D68" s="49">
        <v>46141</v>
      </c>
      <c r="E68" s="16">
        <v>1599300</v>
      </c>
      <c r="F68" s="16" t="s">
        <v>21</v>
      </c>
      <c r="G68" s="50">
        <v>20378125</v>
      </c>
      <c r="H68" s="16" t="s">
        <v>138</v>
      </c>
      <c r="I68" s="50">
        <v>1</v>
      </c>
      <c r="J68" s="51">
        <v>13</v>
      </c>
      <c r="K68" s="51">
        <v>13</v>
      </c>
    </row>
    <row r="69" spans="4:11">
      <c r="D69" s="49">
        <v>46141</v>
      </c>
      <c r="E69" s="16">
        <v>1599300</v>
      </c>
      <c r="F69" s="16" t="s">
        <v>21</v>
      </c>
      <c r="G69" s="50">
        <v>20355873</v>
      </c>
      <c r="H69" s="16" t="s">
        <v>157</v>
      </c>
      <c r="I69" s="50">
        <v>1</v>
      </c>
      <c r="J69" s="51">
        <v>8</v>
      </c>
      <c r="K69" s="51">
        <v>8</v>
      </c>
    </row>
    <row r="70" spans="4:11">
      <c r="D70" s="49">
        <v>46141</v>
      </c>
      <c r="E70" s="16">
        <v>1599300</v>
      </c>
      <c r="F70" s="16" t="s">
        <v>21</v>
      </c>
      <c r="G70" s="50">
        <v>20013949</v>
      </c>
      <c r="H70" s="16" t="s">
        <v>158</v>
      </c>
      <c r="I70" s="50">
        <v>2</v>
      </c>
      <c r="J70" s="51">
        <v>16.5</v>
      </c>
      <c r="K70" s="51">
        <v>33</v>
      </c>
    </row>
    <row r="71" spans="4:11">
      <c r="D71" s="49">
        <v>46142</v>
      </c>
      <c r="E71" s="16">
        <v>1599456</v>
      </c>
      <c r="F71" s="16" t="s">
        <v>21</v>
      </c>
      <c r="G71" s="50">
        <v>20008048</v>
      </c>
      <c r="H71" s="16" t="s">
        <v>159</v>
      </c>
      <c r="I71" s="50">
        <v>1</v>
      </c>
      <c r="J71" s="51">
        <v>16.5</v>
      </c>
      <c r="K71" s="51">
        <v>16.5</v>
      </c>
    </row>
    <row r="72" spans="4:11">
      <c r="D72" s="49">
        <v>46142</v>
      </c>
      <c r="E72" s="16">
        <v>1599456</v>
      </c>
      <c r="F72" s="16" t="s">
        <v>21</v>
      </c>
      <c r="G72" s="50">
        <v>20324084</v>
      </c>
      <c r="H72" s="16" t="s">
        <v>22</v>
      </c>
      <c r="I72" s="50">
        <v>1</v>
      </c>
      <c r="J72" s="51">
        <v>8</v>
      </c>
      <c r="K72" s="51">
        <v>8</v>
      </c>
    </row>
    <row r="73" spans="4:11">
      <c r="D73" s="49">
        <v>46142</v>
      </c>
      <c r="E73" s="16">
        <v>1599456</v>
      </c>
      <c r="F73" s="16" t="s">
        <v>21</v>
      </c>
      <c r="G73" s="50">
        <v>20008560</v>
      </c>
      <c r="H73" s="16" t="s">
        <v>160</v>
      </c>
      <c r="I73" s="50">
        <v>1</v>
      </c>
      <c r="J73" s="51">
        <v>8</v>
      </c>
      <c r="K73" s="51">
        <v>8</v>
      </c>
    </row>
    <row r="74" spans="4:11">
      <c r="D74" s="49">
        <v>46142</v>
      </c>
      <c r="E74" s="16">
        <v>1599456</v>
      </c>
      <c r="F74" s="16" t="s">
        <v>21</v>
      </c>
      <c r="G74" s="50">
        <v>20012809</v>
      </c>
      <c r="H74" s="16" t="s">
        <v>161</v>
      </c>
      <c r="I74" s="50">
        <v>4</v>
      </c>
      <c r="J74" s="51">
        <v>13.5</v>
      </c>
      <c r="K74" s="51">
        <v>54</v>
      </c>
    </row>
    <row r="75" spans="4:11">
      <c r="D75" s="49">
        <v>46142</v>
      </c>
      <c r="E75" s="16">
        <v>1599456</v>
      </c>
      <c r="F75" s="16" t="s">
        <v>21</v>
      </c>
      <c r="G75" s="50">
        <v>20378125</v>
      </c>
      <c r="H75" s="16" t="s">
        <v>138</v>
      </c>
      <c r="I75" s="50">
        <v>1</v>
      </c>
      <c r="J75" s="51">
        <v>13</v>
      </c>
      <c r="K75" s="51">
        <v>13</v>
      </c>
    </row>
    <row r="76" spans="4:11">
      <c r="D76" s="49">
        <v>46142</v>
      </c>
      <c r="E76" s="16">
        <v>1599456</v>
      </c>
      <c r="F76" s="16" t="s">
        <v>21</v>
      </c>
      <c r="G76" s="50">
        <v>20005931</v>
      </c>
      <c r="H76" s="16" t="s">
        <v>162</v>
      </c>
      <c r="I76" s="50">
        <v>1</v>
      </c>
      <c r="J76" s="51">
        <v>8</v>
      </c>
      <c r="K76" s="51">
        <v>8</v>
      </c>
    </row>
    <row r="77" spans="4:11">
      <c r="D77" s="49">
        <v>46142</v>
      </c>
      <c r="E77" s="16">
        <v>1599456</v>
      </c>
      <c r="F77" s="16" t="s">
        <v>13</v>
      </c>
      <c r="G77" s="50">
        <v>20005318</v>
      </c>
      <c r="H77" s="16" t="s">
        <v>163</v>
      </c>
      <c r="I77" s="50">
        <v>1</v>
      </c>
      <c r="J77" s="51">
        <v>16.5</v>
      </c>
      <c r="K77" s="51">
        <v>16.5</v>
      </c>
    </row>
    <row r="78" spans="4:11">
      <c r="D78" s="49">
        <v>46142</v>
      </c>
      <c r="E78" s="16">
        <v>1599456</v>
      </c>
      <c r="F78" s="16" t="s">
        <v>13</v>
      </c>
      <c r="G78" s="50">
        <v>20005838</v>
      </c>
      <c r="H78" s="16" t="s">
        <v>91</v>
      </c>
      <c r="I78" s="50">
        <v>1</v>
      </c>
      <c r="J78" s="51">
        <v>16.5</v>
      </c>
      <c r="K78" s="51">
        <v>16.5</v>
      </c>
    </row>
    <row r="79" spans="4:11">
      <c r="D79" s="49">
        <v>46142</v>
      </c>
      <c r="E79" s="16">
        <v>1599456</v>
      </c>
      <c r="F79" s="16" t="s">
        <v>13</v>
      </c>
      <c r="G79" s="50">
        <v>20009274</v>
      </c>
      <c r="H79" s="16" t="s">
        <v>164</v>
      </c>
      <c r="I79" s="50">
        <v>1</v>
      </c>
      <c r="J79" s="51">
        <v>77</v>
      </c>
      <c r="K79" s="51">
        <v>77</v>
      </c>
    </row>
    <row r="80" spans="4:11">
      <c r="D80" s="49">
        <v>46142</v>
      </c>
      <c r="E80" s="16">
        <v>1599456</v>
      </c>
      <c r="F80" s="16" t="s">
        <v>13</v>
      </c>
      <c r="G80" s="50">
        <v>20363038</v>
      </c>
      <c r="H80" s="16" t="s">
        <v>165</v>
      </c>
      <c r="I80" s="50">
        <v>1</v>
      </c>
      <c r="J80" s="51">
        <v>44</v>
      </c>
      <c r="K80" s="51">
        <v>44</v>
      </c>
    </row>
    <row r="81" spans="4:11">
      <c r="D81" s="49">
        <v>46142</v>
      </c>
      <c r="E81" s="16">
        <v>1599456</v>
      </c>
      <c r="F81" s="16" t="s">
        <v>13</v>
      </c>
      <c r="G81" s="50">
        <v>20007903</v>
      </c>
      <c r="H81" s="16" t="s">
        <v>166</v>
      </c>
      <c r="I81" s="50">
        <v>1</v>
      </c>
      <c r="J81" s="51">
        <v>22</v>
      </c>
      <c r="K81" s="51">
        <v>22</v>
      </c>
    </row>
    <row r="82" spans="4:11">
      <c r="D82" s="49">
        <v>46142</v>
      </c>
      <c r="E82" s="16">
        <v>1599456</v>
      </c>
      <c r="F82" s="16" t="s">
        <v>13</v>
      </c>
      <c r="G82" s="50">
        <v>20009083</v>
      </c>
      <c r="H82" s="16" t="s">
        <v>149</v>
      </c>
      <c r="I82" s="50">
        <v>1</v>
      </c>
      <c r="J82" s="51">
        <v>16.5</v>
      </c>
      <c r="K82" s="51">
        <v>16.5</v>
      </c>
    </row>
    <row r="83" spans="4:11">
      <c r="D83" s="49">
        <v>46142</v>
      </c>
      <c r="E83" s="16">
        <v>1599456</v>
      </c>
      <c r="F83" s="16" t="s">
        <v>13</v>
      </c>
      <c r="G83" s="50">
        <v>20007919</v>
      </c>
      <c r="H83" s="16" t="s">
        <v>167</v>
      </c>
      <c r="I83" s="50">
        <v>1</v>
      </c>
      <c r="J83" s="51">
        <v>16.5</v>
      </c>
      <c r="K83" s="51">
        <v>16.5</v>
      </c>
    </row>
    <row r="84" spans="4:11">
      <c r="D84" s="49">
        <v>46142</v>
      </c>
      <c r="E84" s="16">
        <v>1599456</v>
      </c>
      <c r="F84" s="16" t="s">
        <v>13</v>
      </c>
      <c r="G84" s="50">
        <v>20005837</v>
      </c>
      <c r="H84" s="16" t="s">
        <v>168</v>
      </c>
      <c r="I84" s="50">
        <v>1</v>
      </c>
      <c r="J84" s="51">
        <v>16.5</v>
      </c>
      <c r="K84" s="51">
        <v>16.5</v>
      </c>
    </row>
    <row r="85" spans="4:11">
      <c r="D85" s="49">
        <v>46142</v>
      </c>
      <c r="E85" s="16">
        <v>1599731</v>
      </c>
      <c r="F85" s="16" t="s">
        <v>19</v>
      </c>
      <c r="G85" s="50">
        <v>20005227</v>
      </c>
      <c r="H85" s="16" t="s">
        <v>120</v>
      </c>
      <c r="I85" s="50">
        <v>1</v>
      </c>
      <c r="J85" s="51">
        <v>82.5</v>
      </c>
      <c r="K85" s="51">
        <v>82.5</v>
      </c>
    </row>
    <row r="86" spans="4:11">
      <c r="D86" s="49">
        <v>46142</v>
      </c>
      <c r="E86" s="16">
        <v>1599731</v>
      </c>
      <c r="F86" s="16" t="s">
        <v>21</v>
      </c>
      <c r="G86" s="50">
        <v>20005842</v>
      </c>
      <c r="H86" s="16" t="s">
        <v>121</v>
      </c>
      <c r="I86" s="50">
        <v>1</v>
      </c>
      <c r="J86" s="51">
        <v>16.5</v>
      </c>
      <c r="K86" s="51">
        <v>16.5</v>
      </c>
    </row>
    <row r="87" spans="4:11">
      <c r="D87" s="49">
        <v>46142</v>
      </c>
      <c r="E87" s="16">
        <v>1599731</v>
      </c>
      <c r="F87" s="16" t="s">
        <v>21</v>
      </c>
      <c r="G87" s="50">
        <v>20423771</v>
      </c>
      <c r="H87" s="16" t="s">
        <v>169</v>
      </c>
      <c r="I87" s="50">
        <v>1</v>
      </c>
      <c r="J87" s="51">
        <v>8</v>
      </c>
      <c r="K87" s="51">
        <v>8</v>
      </c>
    </row>
    <row r="88" spans="4:11">
      <c r="D88" s="49">
        <v>46142</v>
      </c>
      <c r="E88" s="16">
        <v>1599731</v>
      </c>
      <c r="F88" s="16" t="s">
        <v>21</v>
      </c>
      <c r="G88" s="50">
        <v>20008560</v>
      </c>
      <c r="H88" s="16" t="s">
        <v>160</v>
      </c>
      <c r="I88" s="50">
        <v>2</v>
      </c>
      <c r="J88" s="51">
        <v>8</v>
      </c>
      <c r="K88" s="51">
        <v>16</v>
      </c>
    </row>
    <row r="89" spans="4:11">
      <c r="D89" s="49">
        <v>46142</v>
      </c>
      <c r="E89" s="16">
        <v>1599731</v>
      </c>
      <c r="F89" s="16" t="s">
        <v>13</v>
      </c>
      <c r="G89" s="50">
        <v>20005318</v>
      </c>
      <c r="H89" s="16" t="s">
        <v>163</v>
      </c>
      <c r="I89" s="50">
        <v>1</v>
      </c>
      <c r="J89" s="51">
        <v>16.5</v>
      </c>
      <c r="K89" s="51">
        <v>16.5</v>
      </c>
    </row>
    <row r="90" spans="4:11">
      <c r="D90" s="49">
        <v>46142</v>
      </c>
      <c r="E90" s="16">
        <v>1599731</v>
      </c>
      <c r="F90" s="16" t="s">
        <v>13</v>
      </c>
      <c r="G90" s="50">
        <v>20007911</v>
      </c>
      <c r="H90" s="16" t="s">
        <v>170</v>
      </c>
      <c r="I90" s="50">
        <v>1</v>
      </c>
      <c r="J90" s="51">
        <v>38.5</v>
      </c>
      <c r="K90" s="51">
        <v>38.5</v>
      </c>
    </row>
    <row r="91" spans="4:11">
      <c r="D91" s="49">
        <v>46142</v>
      </c>
      <c r="E91" s="16">
        <v>1599731</v>
      </c>
      <c r="F91" s="16" t="s">
        <v>13</v>
      </c>
      <c r="G91" s="50">
        <v>20005206</v>
      </c>
      <c r="H91" s="16" t="s">
        <v>136</v>
      </c>
      <c r="I91" s="50">
        <v>1</v>
      </c>
      <c r="J91" s="51">
        <v>44</v>
      </c>
      <c r="K91" s="51">
        <v>44</v>
      </c>
    </row>
    <row r="92" spans="4:11">
      <c r="D92" s="49">
        <v>46142</v>
      </c>
      <c r="E92" s="16">
        <v>1599731</v>
      </c>
      <c r="F92" s="16" t="s">
        <v>13</v>
      </c>
      <c r="G92" s="50">
        <v>20007914</v>
      </c>
      <c r="H92" s="16" t="s">
        <v>171</v>
      </c>
      <c r="I92" s="50">
        <v>1</v>
      </c>
      <c r="J92" s="51">
        <v>99</v>
      </c>
      <c r="K92" s="51">
        <v>99</v>
      </c>
    </row>
    <row r="93" spans="4:11">
      <c r="D93" s="49">
        <v>46148</v>
      </c>
      <c r="E93" s="16">
        <v>1600483</v>
      </c>
      <c r="F93" s="16" t="s">
        <v>21</v>
      </c>
      <c r="G93" s="50">
        <v>20005842</v>
      </c>
      <c r="H93" s="16" t="s">
        <v>121</v>
      </c>
      <c r="I93" s="50">
        <v>2</v>
      </c>
      <c r="J93" s="51">
        <v>16.5</v>
      </c>
      <c r="K93" s="51">
        <v>33</v>
      </c>
    </row>
    <row r="94" spans="4:11">
      <c r="D94" s="49">
        <v>46148</v>
      </c>
      <c r="E94" s="16">
        <v>1600483</v>
      </c>
      <c r="F94" s="16" t="s">
        <v>16</v>
      </c>
      <c r="G94" s="50">
        <v>20417496</v>
      </c>
      <c r="H94" s="16" t="s">
        <v>127</v>
      </c>
      <c r="I94" s="50">
        <v>1</v>
      </c>
      <c r="J94" s="51">
        <v>4</v>
      </c>
      <c r="K94" s="51">
        <v>4</v>
      </c>
    </row>
    <row r="95" spans="4:11">
      <c r="D95" s="49">
        <v>46148</v>
      </c>
      <c r="E95" s="16">
        <v>1600500</v>
      </c>
      <c r="F95" s="16" t="s">
        <v>19</v>
      </c>
      <c r="G95" s="50">
        <v>20005227</v>
      </c>
      <c r="H95" s="16" t="s">
        <v>120</v>
      </c>
      <c r="I95" s="50">
        <v>1</v>
      </c>
      <c r="J95" s="51">
        <v>82.5</v>
      </c>
      <c r="K95" s="51">
        <v>82.5</v>
      </c>
    </row>
    <row r="96" spans="4:11">
      <c r="D96" s="49">
        <v>46148</v>
      </c>
      <c r="E96" s="16">
        <v>1600500</v>
      </c>
      <c r="F96" s="16" t="s">
        <v>19</v>
      </c>
      <c r="G96" s="50">
        <v>20388031</v>
      </c>
      <c r="H96" s="16" t="s">
        <v>126</v>
      </c>
      <c r="I96" s="50">
        <v>1</v>
      </c>
      <c r="J96" s="51">
        <v>176</v>
      </c>
      <c r="K96" s="51">
        <v>176</v>
      </c>
    </row>
    <row r="97" spans="4:11">
      <c r="D97" s="49">
        <v>46148</v>
      </c>
      <c r="E97" s="16">
        <v>1600615</v>
      </c>
      <c r="F97" s="16" t="s">
        <v>19</v>
      </c>
      <c r="G97" s="50">
        <v>20005227</v>
      </c>
      <c r="H97" s="16" t="s">
        <v>120</v>
      </c>
      <c r="I97" s="50">
        <v>1</v>
      </c>
      <c r="J97" s="51">
        <v>82.5</v>
      </c>
      <c r="K97" s="51">
        <v>82.5</v>
      </c>
    </row>
    <row r="98" spans="4:11">
      <c r="D98" s="49">
        <v>46148</v>
      </c>
      <c r="E98" s="16">
        <v>1600615</v>
      </c>
      <c r="F98" s="16" t="s">
        <v>19</v>
      </c>
      <c r="G98" s="50">
        <v>20388031</v>
      </c>
      <c r="H98" s="16" t="s">
        <v>126</v>
      </c>
      <c r="I98" s="50">
        <v>1</v>
      </c>
      <c r="J98" s="51">
        <v>176</v>
      </c>
      <c r="K98" s="51">
        <v>176</v>
      </c>
    </row>
    <row r="99" spans="4:11">
      <c r="D99" s="49">
        <v>46148</v>
      </c>
      <c r="E99" s="16">
        <v>1600615</v>
      </c>
      <c r="F99" s="16" t="s">
        <v>21</v>
      </c>
      <c r="G99" s="50">
        <v>20005842</v>
      </c>
      <c r="H99" s="16" t="s">
        <v>121</v>
      </c>
      <c r="I99" s="50">
        <v>1</v>
      </c>
      <c r="J99" s="51">
        <v>16.5</v>
      </c>
      <c r="K99" s="51">
        <v>16.5</v>
      </c>
    </row>
    <row r="100" spans="4:11">
      <c r="D100" s="49">
        <v>46148</v>
      </c>
      <c r="E100" s="16">
        <v>1600615</v>
      </c>
      <c r="F100" s="16" t="s">
        <v>16</v>
      </c>
      <c r="G100" s="50">
        <v>20417496</v>
      </c>
      <c r="H100" s="16" t="s">
        <v>127</v>
      </c>
      <c r="I100" s="50">
        <v>1</v>
      </c>
      <c r="J100" s="51">
        <v>4</v>
      </c>
      <c r="K100" s="51">
        <v>4</v>
      </c>
    </row>
    <row r="101" spans="4:11">
      <c r="D101" s="49">
        <v>46149</v>
      </c>
      <c r="E101" s="16">
        <v>1600680</v>
      </c>
      <c r="F101" s="16" t="s">
        <v>151</v>
      </c>
      <c r="G101" s="50">
        <v>20424163</v>
      </c>
      <c r="H101" s="16" t="s">
        <v>172</v>
      </c>
      <c r="I101" s="50">
        <v>1</v>
      </c>
      <c r="J101" s="51">
        <v>44</v>
      </c>
      <c r="K101" s="51">
        <v>44</v>
      </c>
    </row>
    <row r="102" spans="4:11">
      <c r="D102" s="49">
        <v>46149</v>
      </c>
      <c r="E102" s="16">
        <v>1600680</v>
      </c>
      <c r="F102" s="16" t="s">
        <v>151</v>
      </c>
      <c r="G102" s="50">
        <v>20417853</v>
      </c>
      <c r="H102" s="16" t="s">
        <v>173</v>
      </c>
      <c r="I102" s="50">
        <v>1</v>
      </c>
      <c r="J102" s="51">
        <v>44</v>
      </c>
      <c r="K102" s="51">
        <v>44</v>
      </c>
    </row>
    <row r="103" spans="4:11">
      <c r="D103" s="49">
        <v>46149</v>
      </c>
      <c r="E103" s="16">
        <v>1600680</v>
      </c>
      <c r="F103" s="16" t="s">
        <v>151</v>
      </c>
      <c r="G103" s="50">
        <v>20424162</v>
      </c>
      <c r="H103" s="16" t="s">
        <v>174</v>
      </c>
      <c r="I103" s="50">
        <v>1</v>
      </c>
      <c r="J103" s="51">
        <v>22</v>
      </c>
      <c r="K103" s="51">
        <v>22</v>
      </c>
    </row>
    <row r="104" spans="4:11">
      <c r="D104" s="49">
        <v>46149</v>
      </c>
      <c r="E104" s="16">
        <v>1600680</v>
      </c>
      <c r="F104" s="16" t="s">
        <v>151</v>
      </c>
      <c r="G104" s="50">
        <v>20395651</v>
      </c>
      <c r="H104" s="16" t="s">
        <v>175</v>
      </c>
      <c r="I104" s="50">
        <v>1</v>
      </c>
      <c r="J104" s="51">
        <v>25</v>
      </c>
      <c r="K104" s="51">
        <v>25</v>
      </c>
    </row>
    <row r="105" spans="4:11">
      <c r="D105" s="49">
        <v>46149</v>
      </c>
      <c r="E105" s="16">
        <v>1600680</v>
      </c>
      <c r="F105" s="16" t="s">
        <v>122</v>
      </c>
      <c r="G105" s="50">
        <v>20395750</v>
      </c>
      <c r="H105" s="16" t="s">
        <v>176</v>
      </c>
      <c r="I105" s="50">
        <v>1</v>
      </c>
      <c r="J105" s="51">
        <v>88</v>
      </c>
      <c r="K105" s="51">
        <v>88</v>
      </c>
    </row>
    <row r="106" spans="4:11">
      <c r="D106" s="49">
        <v>46149</v>
      </c>
      <c r="E106" s="16">
        <v>1600680</v>
      </c>
      <c r="F106" s="16" t="s">
        <v>122</v>
      </c>
      <c r="G106" s="50">
        <v>20392630</v>
      </c>
      <c r="H106" s="16" t="s">
        <v>177</v>
      </c>
      <c r="I106" s="50">
        <v>1</v>
      </c>
      <c r="J106" s="53">
        <v>300</v>
      </c>
      <c r="K106" s="53">
        <f>J106*I106</f>
        <v>300</v>
      </c>
    </row>
    <row r="107" spans="4:11">
      <c r="D107" s="49">
        <v>46149</v>
      </c>
      <c r="E107" s="16">
        <v>1600680</v>
      </c>
      <c r="F107" s="16" t="s">
        <v>124</v>
      </c>
      <c r="G107" s="50">
        <v>20392576</v>
      </c>
      <c r="H107" s="16" t="s">
        <v>125</v>
      </c>
      <c r="I107" s="50">
        <v>1</v>
      </c>
      <c r="J107" s="51">
        <v>28</v>
      </c>
      <c r="K107" s="51">
        <v>28</v>
      </c>
    </row>
    <row r="108" spans="4:11">
      <c r="D108" s="49">
        <v>46150</v>
      </c>
      <c r="E108" s="16">
        <v>1601338</v>
      </c>
      <c r="F108" s="16" t="s">
        <v>19</v>
      </c>
      <c r="G108" s="50">
        <v>20005228</v>
      </c>
      <c r="H108" s="16" t="s">
        <v>132</v>
      </c>
      <c r="I108" s="50">
        <v>2</v>
      </c>
      <c r="J108" s="51">
        <v>99</v>
      </c>
      <c r="K108" s="51">
        <v>198</v>
      </c>
    </row>
    <row r="109" spans="4:11">
      <c r="D109" s="49">
        <v>46150</v>
      </c>
      <c r="E109" s="16">
        <v>1601338</v>
      </c>
      <c r="F109" s="16" t="s">
        <v>19</v>
      </c>
      <c r="G109" s="50">
        <v>20005230</v>
      </c>
      <c r="H109" s="16" t="s">
        <v>128</v>
      </c>
      <c r="I109" s="50">
        <v>1</v>
      </c>
      <c r="J109" s="51">
        <v>313.5</v>
      </c>
      <c r="K109" s="51">
        <v>313.5</v>
      </c>
    </row>
    <row r="110" spans="4:11">
      <c r="D110" s="49">
        <v>46150</v>
      </c>
      <c r="E110" s="16">
        <v>1601338</v>
      </c>
      <c r="F110" s="16" t="s">
        <v>21</v>
      </c>
      <c r="G110" s="50">
        <v>20005842</v>
      </c>
      <c r="H110" s="16" t="s">
        <v>121</v>
      </c>
      <c r="I110" s="50">
        <v>2</v>
      </c>
      <c r="J110" s="51">
        <v>16.5</v>
      </c>
      <c r="K110" s="51">
        <v>33</v>
      </c>
    </row>
    <row r="111" spans="4:11">
      <c r="D111" s="49">
        <v>46150</v>
      </c>
      <c r="E111" s="16">
        <v>1601338</v>
      </c>
      <c r="F111" s="16" t="s">
        <v>21</v>
      </c>
      <c r="G111" s="50">
        <v>20008940</v>
      </c>
      <c r="H111" s="16" t="s">
        <v>178</v>
      </c>
      <c r="I111" s="50">
        <v>1</v>
      </c>
      <c r="J111" s="51">
        <v>8</v>
      </c>
      <c r="K111" s="51">
        <v>8</v>
      </c>
    </row>
    <row r="112" spans="4:11">
      <c r="D112" s="49">
        <v>46150</v>
      </c>
      <c r="E112" s="16">
        <v>1601338</v>
      </c>
      <c r="F112" s="16" t="s">
        <v>13</v>
      </c>
      <c r="G112" s="50">
        <v>20005226</v>
      </c>
      <c r="H112" s="16" t="s">
        <v>131</v>
      </c>
      <c r="I112" s="50">
        <v>1</v>
      </c>
      <c r="J112" s="51">
        <v>27.5</v>
      </c>
      <c r="K112" s="51">
        <v>27.5</v>
      </c>
    </row>
    <row r="113" spans="4:11">
      <c r="D113" s="49">
        <v>46151</v>
      </c>
      <c r="E113" s="16">
        <v>1601489</v>
      </c>
      <c r="F113" s="16" t="s">
        <v>19</v>
      </c>
      <c r="G113" s="50">
        <v>20005227</v>
      </c>
      <c r="H113" s="16" t="s">
        <v>120</v>
      </c>
      <c r="I113" s="50">
        <v>1</v>
      </c>
      <c r="J113" s="51">
        <v>82.5</v>
      </c>
      <c r="K113" s="51">
        <v>82.5</v>
      </c>
    </row>
    <row r="114" spans="4:11">
      <c r="D114" s="49">
        <v>46151</v>
      </c>
      <c r="E114" s="16">
        <v>1601489</v>
      </c>
      <c r="F114" s="16" t="s">
        <v>19</v>
      </c>
      <c r="G114" s="50">
        <v>20005228</v>
      </c>
      <c r="H114" s="16" t="s">
        <v>132</v>
      </c>
      <c r="I114" s="50">
        <v>2</v>
      </c>
      <c r="J114" s="51">
        <v>99</v>
      </c>
      <c r="K114" s="51">
        <v>198</v>
      </c>
    </row>
    <row r="115" spans="4:11">
      <c r="D115" s="49">
        <v>46151</v>
      </c>
      <c r="E115" s="16">
        <v>1601489</v>
      </c>
      <c r="F115" s="16" t="s">
        <v>21</v>
      </c>
      <c r="G115" s="50">
        <v>20006047</v>
      </c>
      <c r="H115" s="16" t="s">
        <v>137</v>
      </c>
      <c r="I115" s="50">
        <v>2</v>
      </c>
      <c r="J115" s="51">
        <v>8</v>
      </c>
      <c r="K115" s="51">
        <v>16</v>
      </c>
    </row>
    <row r="116" spans="4:11">
      <c r="D116" s="49">
        <v>46151</v>
      </c>
      <c r="E116" s="16">
        <v>1601489</v>
      </c>
      <c r="F116" s="16" t="s">
        <v>13</v>
      </c>
      <c r="G116" s="50">
        <v>20320898</v>
      </c>
      <c r="H116" s="16" t="s">
        <v>145</v>
      </c>
      <c r="I116" s="50">
        <v>1</v>
      </c>
      <c r="J116" s="51">
        <v>33</v>
      </c>
      <c r="K116" s="51">
        <v>33</v>
      </c>
    </row>
    <row r="117" spans="4:11">
      <c r="D117" s="49">
        <v>46151</v>
      </c>
      <c r="E117" s="16">
        <v>1601805</v>
      </c>
      <c r="F117" s="16" t="s">
        <v>19</v>
      </c>
      <c r="G117" s="50">
        <v>20005230</v>
      </c>
      <c r="H117" s="16" t="s">
        <v>128</v>
      </c>
      <c r="I117" s="50">
        <v>2</v>
      </c>
      <c r="J117" s="51">
        <v>313.5</v>
      </c>
      <c r="K117" s="51">
        <v>627</v>
      </c>
    </row>
    <row r="118" spans="4:11">
      <c r="D118" s="49">
        <v>46151</v>
      </c>
      <c r="E118" s="16">
        <v>1601805</v>
      </c>
      <c r="F118" s="16" t="s">
        <v>21</v>
      </c>
      <c r="G118" s="50">
        <v>20005842</v>
      </c>
      <c r="H118" s="16" t="s">
        <v>121</v>
      </c>
      <c r="I118" s="50">
        <v>2</v>
      </c>
      <c r="J118" s="51">
        <v>16.5</v>
      </c>
      <c r="K118" s="51">
        <v>33</v>
      </c>
    </row>
    <row r="119" spans="4:11">
      <c r="D119" s="49">
        <v>46151</v>
      </c>
      <c r="E119" s="16">
        <v>1601805</v>
      </c>
      <c r="F119" s="16" t="s">
        <v>21</v>
      </c>
      <c r="G119" s="50">
        <v>20006047</v>
      </c>
      <c r="H119" s="16" t="s">
        <v>137</v>
      </c>
      <c r="I119" s="50">
        <v>1</v>
      </c>
      <c r="J119" s="51">
        <v>8</v>
      </c>
      <c r="K119" s="51">
        <v>8</v>
      </c>
    </row>
    <row r="120" spans="4:11">
      <c r="D120" s="49">
        <v>46151</v>
      </c>
      <c r="E120" s="16">
        <v>1601805</v>
      </c>
      <c r="F120" s="16" t="s">
        <v>21</v>
      </c>
      <c r="G120" s="50">
        <v>20326126</v>
      </c>
      <c r="H120" s="16" t="s">
        <v>179</v>
      </c>
      <c r="I120" s="50">
        <v>1</v>
      </c>
      <c r="J120" s="51">
        <v>16.5</v>
      </c>
      <c r="K120" s="51">
        <v>16.5</v>
      </c>
    </row>
    <row r="121" spans="4:11">
      <c r="D121" s="49">
        <v>46151</v>
      </c>
      <c r="E121" s="16">
        <v>1601805</v>
      </c>
      <c r="F121" s="16" t="s">
        <v>13</v>
      </c>
      <c r="G121" s="50">
        <v>20005222</v>
      </c>
      <c r="H121" s="16" t="s">
        <v>130</v>
      </c>
      <c r="I121" s="50">
        <v>1</v>
      </c>
      <c r="J121" s="51">
        <v>16.5</v>
      </c>
      <c r="K121" s="51">
        <v>16.5</v>
      </c>
    </row>
    <row r="122" spans="4:11">
      <c r="D122" s="49">
        <v>46151</v>
      </c>
      <c r="E122" s="16">
        <v>1601805</v>
      </c>
      <c r="F122" s="16" t="s">
        <v>13</v>
      </c>
      <c r="G122" s="50">
        <v>20346748</v>
      </c>
      <c r="H122" s="16" t="s">
        <v>180</v>
      </c>
      <c r="I122" s="50">
        <v>1</v>
      </c>
      <c r="J122" s="51">
        <v>22</v>
      </c>
      <c r="K122" s="51">
        <v>22</v>
      </c>
    </row>
    <row r="123" spans="4:11">
      <c r="D123" s="49">
        <v>46151</v>
      </c>
      <c r="E123" s="16">
        <v>1601805</v>
      </c>
      <c r="F123" s="16" t="s">
        <v>13</v>
      </c>
      <c r="G123" s="50">
        <v>20005226</v>
      </c>
      <c r="H123" s="16" t="s">
        <v>131</v>
      </c>
      <c r="I123" s="50">
        <v>2</v>
      </c>
      <c r="J123" s="51">
        <v>27.5</v>
      </c>
      <c r="K123" s="51">
        <v>55</v>
      </c>
    </row>
    <row r="124" spans="4:11">
      <c r="D124" s="49">
        <v>46151</v>
      </c>
      <c r="E124" s="16">
        <v>1601805</v>
      </c>
      <c r="F124" s="16" t="s">
        <v>13</v>
      </c>
      <c r="G124" s="50">
        <v>20005837</v>
      </c>
      <c r="H124" s="16" t="s">
        <v>168</v>
      </c>
      <c r="I124" s="50">
        <v>1</v>
      </c>
      <c r="J124" s="51">
        <v>16.5</v>
      </c>
      <c r="K124" s="51">
        <v>16.5</v>
      </c>
    </row>
    <row r="125" spans="4:11">
      <c r="D125" s="49">
        <v>46155</v>
      </c>
      <c r="E125" s="16">
        <v>1602766</v>
      </c>
      <c r="F125" s="16" t="s">
        <v>19</v>
      </c>
      <c r="G125" s="50">
        <v>20005227</v>
      </c>
      <c r="H125" s="16" t="s">
        <v>120</v>
      </c>
      <c r="I125" s="50">
        <v>2</v>
      </c>
      <c r="J125" s="51">
        <v>82.5</v>
      </c>
      <c r="K125" s="51">
        <v>165</v>
      </c>
    </row>
    <row r="126" spans="4:11">
      <c r="D126" s="49">
        <v>46155</v>
      </c>
      <c r="E126" s="16">
        <v>1602766</v>
      </c>
      <c r="F126" s="16" t="s">
        <v>19</v>
      </c>
      <c r="G126" s="50">
        <v>20005228</v>
      </c>
      <c r="H126" s="16" t="s">
        <v>132</v>
      </c>
      <c r="I126" s="50">
        <v>1</v>
      </c>
      <c r="J126" s="51">
        <v>99</v>
      </c>
      <c r="K126" s="51">
        <v>99</v>
      </c>
    </row>
    <row r="127" spans="4:11">
      <c r="D127" s="49">
        <v>46155</v>
      </c>
      <c r="E127" s="16">
        <v>1602766</v>
      </c>
      <c r="F127" s="16" t="s">
        <v>19</v>
      </c>
      <c r="G127" s="50">
        <v>20005230</v>
      </c>
      <c r="H127" s="16" t="s">
        <v>128</v>
      </c>
      <c r="I127" s="50">
        <v>1</v>
      </c>
      <c r="J127" s="51">
        <v>313.5</v>
      </c>
      <c r="K127" s="51">
        <v>313.5</v>
      </c>
    </row>
    <row r="128" spans="4:11">
      <c r="D128" s="49">
        <v>46155</v>
      </c>
      <c r="E128" s="16">
        <v>1602766</v>
      </c>
      <c r="F128" s="16" t="s">
        <v>19</v>
      </c>
      <c r="G128" s="50">
        <v>20013418</v>
      </c>
      <c r="H128" s="16" t="s">
        <v>155</v>
      </c>
      <c r="I128" s="50">
        <v>1</v>
      </c>
      <c r="J128" s="51">
        <v>104.5</v>
      </c>
      <c r="K128" s="51">
        <v>104.5</v>
      </c>
    </row>
    <row r="129" spans="4:11">
      <c r="D129" s="49">
        <v>46155</v>
      </c>
      <c r="E129" s="16">
        <v>1602766</v>
      </c>
      <c r="F129" s="16" t="s">
        <v>19</v>
      </c>
      <c r="G129" s="50">
        <v>20013360</v>
      </c>
      <c r="H129" s="16" t="s">
        <v>181</v>
      </c>
      <c r="I129" s="50">
        <v>1</v>
      </c>
      <c r="J129" s="51">
        <v>418</v>
      </c>
      <c r="K129" s="51">
        <v>418</v>
      </c>
    </row>
    <row r="130" spans="4:11">
      <c r="D130" s="49">
        <v>46155</v>
      </c>
      <c r="E130" s="16">
        <v>1602766</v>
      </c>
      <c r="F130" s="16" t="s">
        <v>21</v>
      </c>
      <c r="G130" s="50">
        <v>20005842</v>
      </c>
      <c r="H130" s="16" t="s">
        <v>121</v>
      </c>
      <c r="I130" s="50">
        <v>2</v>
      </c>
      <c r="J130" s="51">
        <v>16.5</v>
      </c>
      <c r="K130" s="51">
        <v>33</v>
      </c>
    </row>
    <row r="131" spans="4:11">
      <c r="D131" s="49">
        <v>46155</v>
      </c>
      <c r="E131" s="16">
        <v>1602766</v>
      </c>
      <c r="F131" s="16" t="s">
        <v>21</v>
      </c>
      <c r="G131" s="50">
        <v>20006047</v>
      </c>
      <c r="H131" s="16" t="s">
        <v>137</v>
      </c>
      <c r="I131" s="50">
        <v>1</v>
      </c>
      <c r="J131" s="51">
        <v>8</v>
      </c>
      <c r="K131" s="51">
        <v>8</v>
      </c>
    </row>
    <row r="132" spans="4:11">
      <c r="D132" s="49">
        <v>46155</v>
      </c>
      <c r="E132" s="16">
        <v>1602766</v>
      </c>
      <c r="F132" s="16" t="s">
        <v>21</v>
      </c>
      <c r="G132" s="50">
        <v>20326126</v>
      </c>
      <c r="H132" s="16" t="s">
        <v>179</v>
      </c>
      <c r="I132" s="50">
        <v>1</v>
      </c>
      <c r="J132" s="51">
        <v>16.5</v>
      </c>
      <c r="K132" s="51">
        <v>16.5</v>
      </c>
    </row>
    <row r="133" spans="4:11">
      <c r="D133" s="49">
        <v>46155</v>
      </c>
      <c r="E133" s="16">
        <v>1602766</v>
      </c>
      <c r="F133" s="16" t="s">
        <v>13</v>
      </c>
      <c r="G133" s="50">
        <v>20005222</v>
      </c>
      <c r="H133" s="16" t="s">
        <v>130</v>
      </c>
      <c r="I133" s="50">
        <v>1</v>
      </c>
      <c r="J133" s="51">
        <v>16.5</v>
      </c>
      <c r="K133" s="51">
        <v>16.5</v>
      </c>
    </row>
    <row r="134" spans="4:11">
      <c r="D134" s="49">
        <v>46155</v>
      </c>
      <c r="E134" s="16">
        <v>1602766</v>
      </c>
      <c r="F134" s="16" t="s">
        <v>16</v>
      </c>
      <c r="G134" s="50">
        <v>20417496</v>
      </c>
      <c r="H134" s="16" t="s">
        <v>127</v>
      </c>
      <c r="I134" s="50">
        <v>1</v>
      </c>
      <c r="J134" s="51">
        <v>4</v>
      </c>
      <c r="K134" s="51">
        <v>4</v>
      </c>
    </row>
    <row r="135" spans="4:11">
      <c r="D135" s="49">
        <v>46156</v>
      </c>
      <c r="E135" s="16">
        <v>1602924</v>
      </c>
      <c r="F135" s="16" t="s">
        <v>21</v>
      </c>
      <c r="G135" s="50">
        <v>20005842</v>
      </c>
      <c r="H135" s="16" t="s">
        <v>121</v>
      </c>
      <c r="I135" s="50">
        <v>1</v>
      </c>
      <c r="J135" s="51">
        <v>16.5</v>
      </c>
      <c r="K135" s="51">
        <v>16.5</v>
      </c>
    </row>
    <row r="136" spans="4:11">
      <c r="D136" s="49">
        <v>46156</v>
      </c>
      <c r="E136" s="16">
        <v>1602924</v>
      </c>
      <c r="F136" s="16" t="s">
        <v>13</v>
      </c>
      <c r="G136" s="50">
        <v>20005226</v>
      </c>
      <c r="H136" s="16" t="s">
        <v>131</v>
      </c>
      <c r="I136" s="50">
        <v>1</v>
      </c>
      <c r="J136" s="51">
        <v>27.5</v>
      </c>
      <c r="K136" s="51">
        <v>27.5</v>
      </c>
    </row>
    <row r="137" spans="4:11">
      <c r="D137" s="49">
        <v>46156</v>
      </c>
      <c r="E137" s="16">
        <v>1603134</v>
      </c>
      <c r="F137" s="16" t="s">
        <v>19</v>
      </c>
      <c r="G137" s="50">
        <v>20005228</v>
      </c>
      <c r="H137" s="16" t="s">
        <v>132</v>
      </c>
      <c r="I137" s="50">
        <v>2</v>
      </c>
      <c r="J137" s="51">
        <v>99</v>
      </c>
      <c r="K137" s="51">
        <v>198</v>
      </c>
    </row>
    <row r="138" spans="4:11">
      <c r="D138" s="49">
        <v>46156</v>
      </c>
      <c r="E138" s="16">
        <v>1603134</v>
      </c>
      <c r="F138" s="16" t="s">
        <v>21</v>
      </c>
      <c r="G138" s="50">
        <v>20005842</v>
      </c>
      <c r="H138" s="16" t="s">
        <v>121</v>
      </c>
      <c r="I138" s="50">
        <v>1</v>
      </c>
      <c r="J138" s="51">
        <v>16.5</v>
      </c>
      <c r="K138" s="51">
        <v>16.5</v>
      </c>
    </row>
    <row r="139" spans="4:11">
      <c r="D139" s="49">
        <v>46156</v>
      </c>
      <c r="E139" s="16">
        <v>1603134</v>
      </c>
      <c r="F139" s="16" t="s">
        <v>13</v>
      </c>
      <c r="G139" s="50">
        <v>20320898</v>
      </c>
      <c r="H139" s="16" t="s">
        <v>145</v>
      </c>
      <c r="I139" s="50">
        <v>1</v>
      </c>
      <c r="J139" s="51">
        <v>33</v>
      </c>
      <c r="K139" s="51">
        <v>33</v>
      </c>
    </row>
  </sheetData>
  <autoFilter xmlns:etc="http://www.wps.cn/officeDocument/2017/etCustomData" ref="A7:K139" etc:filterBottomFollowUsedRange="0">
    <extLst/>
  </autoFilter>
  <mergeCells count="5">
    <mergeCell ref="D8:H8"/>
    <mergeCell ref="C7:C139"/>
    <mergeCell ref="B4:H5"/>
    <mergeCell ref="C1:H2"/>
    <mergeCell ref="A7:B139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182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66</v>
      </c>
      <c r="J8" s="48"/>
      <c r="K8" s="48">
        <v>1012.5</v>
      </c>
    </row>
    <row r="9" spans="1:11">
      <c r="D9" s="49">
        <v>46128</v>
      </c>
      <c r="E9" s="16">
        <v>1595464</v>
      </c>
      <c r="F9" s="16" t="s">
        <v>21</v>
      </c>
      <c r="G9" s="50">
        <v>20324084</v>
      </c>
      <c r="H9" s="16" t="s">
        <v>22</v>
      </c>
      <c r="I9" s="50">
        <v>2</v>
      </c>
      <c r="J9" s="51">
        <v>8</v>
      </c>
      <c r="K9" s="51">
        <v>16</v>
      </c>
    </row>
    <row r="10" spans="1:11">
      <c r="D10" s="49">
        <v>46128</v>
      </c>
      <c r="E10" s="16">
        <v>1595464</v>
      </c>
      <c r="F10" s="16" t="s">
        <v>13</v>
      </c>
      <c r="G10" s="50">
        <v>20014275</v>
      </c>
      <c r="H10" s="16" t="s">
        <v>183</v>
      </c>
      <c r="I10" s="50">
        <v>2</v>
      </c>
      <c r="J10" s="51">
        <v>33</v>
      </c>
      <c r="K10" s="51">
        <v>66</v>
      </c>
    </row>
    <row r="11" spans="1:11">
      <c r="D11" s="49">
        <v>46132</v>
      </c>
      <c r="E11" s="16">
        <v>1596403</v>
      </c>
      <c r="F11" s="16" t="s">
        <v>21</v>
      </c>
      <c r="G11" s="50">
        <v>20324084</v>
      </c>
      <c r="H11" s="16" t="s">
        <v>22</v>
      </c>
      <c r="I11" s="50">
        <v>2</v>
      </c>
      <c r="J11" s="51">
        <v>8</v>
      </c>
      <c r="K11" s="51">
        <v>16</v>
      </c>
    </row>
    <row r="12" spans="1:11">
      <c r="D12" s="49">
        <v>46132</v>
      </c>
      <c r="E12" s="16">
        <v>1596403</v>
      </c>
      <c r="F12" s="16" t="s">
        <v>16</v>
      </c>
      <c r="G12" s="50">
        <v>20320746</v>
      </c>
      <c r="H12" s="16" t="s">
        <v>184</v>
      </c>
      <c r="I12" s="50">
        <v>13</v>
      </c>
      <c r="J12" s="51">
        <v>4</v>
      </c>
      <c r="K12" s="51">
        <v>52</v>
      </c>
    </row>
    <row r="13" spans="1:11">
      <c r="D13" s="49">
        <v>46135</v>
      </c>
      <c r="E13" s="16">
        <v>1597578</v>
      </c>
      <c r="F13" s="16" t="s">
        <v>21</v>
      </c>
      <c r="G13" s="50">
        <v>20324084</v>
      </c>
      <c r="H13" s="16" t="s">
        <v>22</v>
      </c>
      <c r="I13" s="50">
        <v>3</v>
      </c>
      <c r="J13" s="51">
        <v>8</v>
      </c>
      <c r="K13" s="51">
        <v>24</v>
      </c>
    </row>
    <row r="14" spans="1:11">
      <c r="D14" s="49">
        <v>46135</v>
      </c>
      <c r="E14" s="16">
        <v>1597578</v>
      </c>
      <c r="F14" s="16" t="s">
        <v>21</v>
      </c>
      <c r="G14" s="50">
        <v>20313751</v>
      </c>
      <c r="H14" s="16" t="s">
        <v>185</v>
      </c>
      <c r="I14" s="50">
        <v>1</v>
      </c>
      <c r="J14" s="51">
        <v>11</v>
      </c>
      <c r="K14" s="51">
        <v>11</v>
      </c>
    </row>
    <row r="15" spans="1:11">
      <c r="D15" s="49">
        <v>46135</v>
      </c>
      <c r="E15" s="16">
        <v>1597578</v>
      </c>
      <c r="F15" s="16" t="s">
        <v>13</v>
      </c>
      <c r="G15" s="50">
        <v>20014275</v>
      </c>
      <c r="H15" s="16" t="s">
        <v>183</v>
      </c>
      <c r="I15" s="50">
        <v>2</v>
      </c>
      <c r="J15" s="51">
        <v>33</v>
      </c>
      <c r="K15" s="51">
        <v>66</v>
      </c>
    </row>
    <row r="16" spans="1:11">
      <c r="D16" s="49">
        <v>46139</v>
      </c>
      <c r="E16" s="16">
        <v>1598456</v>
      </c>
      <c r="F16" s="16" t="s">
        <v>21</v>
      </c>
      <c r="G16" s="50">
        <v>20324084</v>
      </c>
      <c r="H16" s="16" t="s">
        <v>22</v>
      </c>
      <c r="I16" s="50">
        <v>4</v>
      </c>
      <c r="J16" s="51">
        <v>8</v>
      </c>
      <c r="K16" s="51">
        <v>32</v>
      </c>
    </row>
    <row r="17" spans="4:11">
      <c r="D17" s="49">
        <v>46139</v>
      </c>
      <c r="E17" s="16">
        <v>1598456</v>
      </c>
      <c r="F17" s="16" t="s">
        <v>13</v>
      </c>
      <c r="G17" s="50">
        <v>20014275</v>
      </c>
      <c r="H17" s="16" t="s">
        <v>183</v>
      </c>
      <c r="I17" s="50">
        <v>4</v>
      </c>
      <c r="J17" s="51">
        <v>33</v>
      </c>
      <c r="K17" s="51">
        <v>132</v>
      </c>
    </row>
    <row r="18" spans="4:11">
      <c r="D18" s="49">
        <v>46142</v>
      </c>
      <c r="E18" s="16">
        <v>1599732</v>
      </c>
      <c r="F18" s="16" t="s">
        <v>21</v>
      </c>
      <c r="G18" s="50">
        <v>20324084</v>
      </c>
      <c r="H18" s="16" t="s">
        <v>22</v>
      </c>
      <c r="I18" s="50">
        <v>1</v>
      </c>
      <c r="J18" s="51">
        <v>8</v>
      </c>
      <c r="K18" s="51">
        <v>8</v>
      </c>
    </row>
    <row r="19" spans="4:11">
      <c r="D19" s="49">
        <v>46147</v>
      </c>
      <c r="E19" s="16">
        <v>1600286</v>
      </c>
      <c r="F19" s="16" t="s">
        <v>21</v>
      </c>
      <c r="G19" s="50">
        <v>20324084</v>
      </c>
      <c r="H19" s="16" t="s">
        <v>22</v>
      </c>
      <c r="I19" s="50">
        <v>2</v>
      </c>
      <c r="J19" s="51">
        <v>8</v>
      </c>
      <c r="K19" s="51">
        <v>16</v>
      </c>
    </row>
    <row r="20" spans="4:11">
      <c r="D20" s="49">
        <v>46150</v>
      </c>
      <c r="E20" s="16">
        <v>1601339</v>
      </c>
      <c r="F20" s="16" t="s">
        <v>21</v>
      </c>
      <c r="G20" s="50">
        <v>20013081</v>
      </c>
      <c r="H20" s="16" t="s">
        <v>186</v>
      </c>
      <c r="I20" s="50">
        <v>3</v>
      </c>
      <c r="J20" s="51">
        <v>16.5</v>
      </c>
      <c r="K20" s="51">
        <v>49.5</v>
      </c>
    </row>
    <row r="21" spans="4:11">
      <c r="D21" s="49">
        <v>46150</v>
      </c>
      <c r="E21" s="16">
        <v>1601339</v>
      </c>
      <c r="F21" s="16" t="s">
        <v>13</v>
      </c>
      <c r="G21" s="50">
        <v>20007899</v>
      </c>
      <c r="H21" s="16" t="s">
        <v>187</v>
      </c>
      <c r="I21" s="50">
        <v>1</v>
      </c>
      <c r="J21" s="51">
        <v>132</v>
      </c>
      <c r="K21" s="51">
        <v>132</v>
      </c>
    </row>
    <row r="22" spans="4:11">
      <c r="D22" s="49">
        <v>46153</v>
      </c>
      <c r="E22" s="16">
        <v>1602031</v>
      </c>
      <c r="F22" s="16" t="s">
        <v>21</v>
      </c>
      <c r="G22" s="50">
        <v>20324084</v>
      </c>
      <c r="H22" s="16" t="s">
        <v>22</v>
      </c>
      <c r="I22" s="50">
        <v>2</v>
      </c>
      <c r="J22" s="51">
        <v>8</v>
      </c>
      <c r="K22" s="51">
        <v>16</v>
      </c>
    </row>
    <row r="23" spans="4:11">
      <c r="D23" s="49">
        <v>46153</v>
      </c>
      <c r="E23" s="16">
        <v>1602031</v>
      </c>
      <c r="F23" s="16" t="s">
        <v>13</v>
      </c>
      <c r="G23" s="50">
        <v>20014275</v>
      </c>
      <c r="H23" s="16" t="s">
        <v>183</v>
      </c>
      <c r="I23" s="50">
        <v>3</v>
      </c>
      <c r="J23" s="51">
        <v>33</v>
      </c>
      <c r="K23" s="51">
        <v>99</v>
      </c>
    </row>
    <row r="24" spans="4:11">
      <c r="D24" s="49">
        <v>46156</v>
      </c>
      <c r="E24" s="16">
        <v>1603135</v>
      </c>
      <c r="F24" s="16" t="s">
        <v>21</v>
      </c>
      <c r="G24" s="50">
        <v>20313971</v>
      </c>
      <c r="H24" s="16" t="s">
        <v>188</v>
      </c>
      <c r="I24" s="50">
        <v>1</v>
      </c>
      <c r="J24" s="51">
        <v>8</v>
      </c>
      <c r="K24" s="51">
        <v>8</v>
      </c>
    </row>
    <row r="25" spans="4:11">
      <c r="D25" s="49">
        <v>46156</v>
      </c>
      <c r="E25" s="16">
        <v>1603135</v>
      </c>
      <c r="F25" s="16" t="s">
        <v>21</v>
      </c>
      <c r="G25" s="50">
        <v>20011346</v>
      </c>
      <c r="H25" s="16" t="s">
        <v>189</v>
      </c>
      <c r="I25" s="50">
        <v>4</v>
      </c>
      <c r="J25" s="51">
        <v>16.5</v>
      </c>
      <c r="K25" s="51">
        <v>66</v>
      </c>
    </row>
    <row r="26" spans="4:11">
      <c r="D26" s="49">
        <v>46156</v>
      </c>
      <c r="E26" s="16">
        <v>1603135</v>
      </c>
      <c r="F26" s="16" t="s">
        <v>21</v>
      </c>
      <c r="G26" s="50">
        <v>20324084</v>
      </c>
      <c r="H26" s="16" t="s">
        <v>22</v>
      </c>
      <c r="I26" s="50">
        <v>4</v>
      </c>
      <c r="J26" s="51">
        <v>8</v>
      </c>
      <c r="K26" s="51">
        <v>32</v>
      </c>
    </row>
    <row r="27" spans="4:11">
      <c r="D27" s="49">
        <v>46156</v>
      </c>
      <c r="E27" s="16">
        <v>1603135</v>
      </c>
      <c r="F27" s="16" t="s">
        <v>21</v>
      </c>
      <c r="G27" s="50">
        <v>20011345</v>
      </c>
      <c r="H27" s="16" t="s">
        <v>190</v>
      </c>
      <c r="I27" s="50">
        <v>7</v>
      </c>
      <c r="J27" s="51">
        <v>8</v>
      </c>
      <c r="K27" s="51">
        <v>56</v>
      </c>
    </row>
    <row r="28" spans="4:11">
      <c r="D28" s="49">
        <v>46156</v>
      </c>
      <c r="E28" s="16">
        <v>1603135</v>
      </c>
      <c r="F28" s="16" t="s">
        <v>21</v>
      </c>
      <c r="G28" s="50">
        <v>20011349</v>
      </c>
      <c r="H28" s="16" t="s">
        <v>191</v>
      </c>
      <c r="I28" s="50">
        <v>1</v>
      </c>
      <c r="J28" s="51">
        <v>8</v>
      </c>
      <c r="K28" s="51">
        <v>8</v>
      </c>
    </row>
    <row r="29" spans="4:11">
      <c r="D29" s="49">
        <v>46156</v>
      </c>
      <c r="E29" s="16">
        <v>1603135</v>
      </c>
      <c r="F29" s="16" t="s">
        <v>21</v>
      </c>
      <c r="G29" s="50">
        <v>20011347</v>
      </c>
      <c r="H29" s="16" t="s">
        <v>192</v>
      </c>
      <c r="I29" s="50">
        <v>1</v>
      </c>
      <c r="J29" s="51">
        <v>8</v>
      </c>
      <c r="K29" s="51">
        <v>8</v>
      </c>
    </row>
    <row r="30" spans="4:11">
      <c r="D30" s="49">
        <v>46156</v>
      </c>
      <c r="E30" s="16">
        <v>1603135</v>
      </c>
      <c r="F30" s="16" t="s">
        <v>13</v>
      </c>
      <c r="G30" s="50">
        <v>20014275</v>
      </c>
      <c r="H30" s="16" t="s">
        <v>183</v>
      </c>
      <c r="I30" s="50">
        <v>3</v>
      </c>
      <c r="J30" s="51">
        <v>33</v>
      </c>
      <c r="K30" s="51">
        <v>99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8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193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480</v>
      </c>
      <c r="J8" s="48"/>
      <c r="K8" s="48">
        <v>4478.5</v>
      </c>
    </row>
    <row r="9" spans="1:11">
      <c r="D9" s="49">
        <v>46127</v>
      </c>
      <c r="E9" s="16">
        <v>1594864</v>
      </c>
      <c r="F9" s="16" t="s">
        <v>21</v>
      </c>
      <c r="G9" s="50">
        <v>20338181</v>
      </c>
      <c r="H9" s="16" t="s">
        <v>194</v>
      </c>
      <c r="I9" s="50">
        <v>17</v>
      </c>
      <c r="J9" s="51">
        <v>8</v>
      </c>
      <c r="K9" s="51">
        <v>136</v>
      </c>
    </row>
    <row r="10" spans="1:11">
      <c r="D10" s="49">
        <v>46127</v>
      </c>
      <c r="E10" s="16">
        <v>1595071</v>
      </c>
      <c r="F10" s="16" t="s">
        <v>21</v>
      </c>
      <c r="G10" s="50">
        <v>20375845</v>
      </c>
      <c r="H10" s="16" t="s">
        <v>195</v>
      </c>
      <c r="I10" s="50">
        <v>3</v>
      </c>
      <c r="J10" s="51">
        <v>13.5</v>
      </c>
      <c r="K10" s="51">
        <v>40.5</v>
      </c>
    </row>
    <row r="11" spans="1:11">
      <c r="D11" s="49">
        <v>46127</v>
      </c>
      <c r="E11" s="16">
        <v>1595071</v>
      </c>
      <c r="F11" s="16" t="s">
        <v>21</v>
      </c>
      <c r="G11" s="50">
        <v>20338181</v>
      </c>
      <c r="H11" s="16" t="s">
        <v>194</v>
      </c>
      <c r="I11" s="50">
        <v>16</v>
      </c>
      <c r="J11" s="51">
        <v>8</v>
      </c>
      <c r="K11" s="51">
        <v>128</v>
      </c>
    </row>
    <row r="12" spans="1:11">
      <c r="D12" s="49">
        <v>46127</v>
      </c>
      <c r="E12" s="16">
        <v>1595071</v>
      </c>
      <c r="F12" s="16" t="s">
        <v>21</v>
      </c>
      <c r="G12" s="50">
        <v>20324290</v>
      </c>
      <c r="H12" s="16" t="s">
        <v>196</v>
      </c>
      <c r="I12" s="50">
        <v>2</v>
      </c>
      <c r="J12" s="51">
        <v>13.5</v>
      </c>
      <c r="K12" s="51">
        <v>27</v>
      </c>
    </row>
    <row r="13" spans="1:11">
      <c r="D13" s="49">
        <v>46127</v>
      </c>
      <c r="E13" s="16">
        <v>1595071</v>
      </c>
      <c r="F13" s="16" t="s">
        <v>21</v>
      </c>
      <c r="G13" s="50">
        <v>20005930</v>
      </c>
      <c r="H13" s="16" t="s">
        <v>23</v>
      </c>
      <c r="I13" s="50">
        <v>1</v>
      </c>
      <c r="J13" s="51">
        <v>8</v>
      </c>
      <c r="K13" s="51">
        <v>8</v>
      </c>
    </row>
    <row r="14" spans="1:11">
      <c r="D14" s="49">
        <v>46128</v>
      </c>
      <c r="E14" s="16">
        <v>1595465</v>
      </c>
      <c r="F14" s="16" t="s">
        <v>21</v>
      </c>
      <c r="G14" s="50">
        <v>20375845</v>
      </c>
      <c r="H14" s="16" t="s">
        <v>195</v>
      </c>
      <c r="I14" s="50">
        <v>4</v>
      </c>
      <c r="J14" s="51">
        <v>13.5</v>
      </c>
      <c r="K14" s="51">
        <v>54</v>
      </c>
    </row>
    <row r="15" spans="1:11">
      <c r="D15" s="49">
        <v>46128</v>
      </c>
      <c r="E15" s="16">
        <v>1595465</v>
      </c>
      <c r="F15" s="16" t="s">
        <v>21</v>
      </c>
      <c r="G15" s="50">
        <v>20338181</v>
      </c>
      <c r="H15" s="16" t="s">
        <v>194</v>
      </c>
      <c r="I15" s="50">
        <v>21</v>
      </c>
      <c r="J15" s="51">
        <v>8</v>
      </c>
      <c r="K15" s="51">
        <v>168</v>
      </c>
    </row>
    <row r="16" spans="1:11">
      <c r="D16" s="49">
        <v>46128</v>
      </c>
      <c r="E16" s="16">
        <v>1595465</v>
      </c>
      <c r="F16" s="16" t="s">
        <v>21</v>
      </c>
      <c r="G16" s="50">
        <v>20324290</v>
      </c>
      <c r="H16" s="16" t="s">
        <v>196</v>
      </c>
      <c r="I16" s="50">
        <v>1</v>
      </c>
      <c r="J16" s="51">
        <v>13.5</v>
      </c>
      <c r="K16" s="51">
        <v>13.5</v>
      </c>
    </row>
    <row r="17" spans="4:11">
      <c r="D17" s="49">
        <v>46129</v>
      </c>
      <c r="E17" s="16">
        <v>1595875</v>
      </c>
      <c r="F17" s="16" t="s">
        <v>21</v>
      </c>
      <c r="G17" s="50">
        <v>20375845</v>
      </c>
      <c r="H17" s="16" t="s">
        <v>195</v>
      </c>
      <c r="I17" s="50">
        <v>4</v>
      </c>
      <c r="J17" s="51">
        <v>13.5</v>
      </c>
      <c r="K17" s="51">
        <v>54</v>
      </c>
    </row>
    <row r="18" spans="4:11">
      <c r="D18" s="49">
        <v>46129</v>
      </c>
      <c r="E18" s="16">
        <v>1595875</v>
      </c>
      <c r="F18" s="16" t="s">
        <v>21</v>
      </c>
      <c r="G18" s="50">
        <v>20338181</v>
      </c>
      <c r="H18" s="16" t="s">
        <v>194</v>
      </c>
      <c r="I18" s="50">
        <v>17</v>
      </c>
      <c r="J18" s="51">
        <v>8</v>
      </c>
      <c r="K18" s="51">
        <v>136</v>
      </c>
    </row>
    <row r="19" spans="4:11">
      <c r="D19" s="49">
        <v>46129</v>
      </c>
      <c r="E19" s="16">
        <v>1595875</v>
      </c>
      <c r="F19" s="16" t="s">
        <v>21</v>
      </c>
      <c r="G19" s="50">
        <v>20400179</v>
      </c>
      <c r="H19" s="16" t="s">
        <v>197</v>
      </c>
      <c r="I19" s="50">
        <v>2</v>
      </c>
      <c r="J19" s="51">
        <v>8</v>
      </c>
      <c r="K19" s="51">
        <v>16</v>
      </c>
    </row>
    <row r="20" spans="4:11">
      <c r="D20" s="49">
        <v>46132</v>
      </c>
      <c r="E20" s="16">
        <v>1596404</v>
      </c>
      <c r="F20" s="16" t="s">
        <v>21</v>
      </c>
      <c r="G20" s="50">
        <v>20375845</v>
      </c>
      <c r="H20" s="16" t="s">
        <v>195</v>
      </c>
      <c r="I20" s="50">
        <v>7</v>
      </c>
      <c r="J20" s="51">
        <v>13.5</v>
      </c>
      <c r="K20" s="51">
        <v>94.5</v>
      </c>
    </row>
    <row r="21" spans="4:11">
      <c r="D21" s="49">
        <v>46132</v>
      </c>
      <c r="E21" s="16">
        <v>1596404</v>
      </c>
      <c r="F21" s="16" t="s">
        <v>21</v>
      </c>
      <c r="G21" s="50">
        <v>20338181</v>
      </c>
      <c r="H21" s="16" t="s">
        <v>194</v>
      </c>
      <c r="I21" s="50">
        <v>24</v>
      </c>
      <c r="J21" s="51">
        <v>8</v>
      </c>
      <c r="K21" s="51">
        <v>192</v>
      </c>
    </row>
    <row r="22" spans="4:11">
      <c r="D22" s="49">
        <v>46132</v>
      </c>
      <c r="E22" s="16">
        <v>1596404</v>
      </c>
      <c r="F22" s="16" t="s">
        <v>21</v>
      </c>
      <c r="G22" s="50">
        <v>20324290</v>
      </c>
      <c r="H22" s="16" t="s">
        <v>196</v>
      </c>
      <c r="I22" s="50">
        <v>3</v>
      </c>
      <c r="J22" s="51">
        <v>13.5</v>
      </c>
      <c r="K22" s="51">
        <v>40.5</v>
      </c>
    </row>
    <row r="23" spans="4:11">
      <c r="D23" s="49">
        <v>46133</v>
      </c>
      <c r="E23" s="16">
        <v>1596793</v>
      </c>
      <c r="F23" s="16" t="s">
        <v>21</v>
      </c>
      <c r="G23" s="50">
        <v>20375845</v>
      </c>
      <c r="H23" s="16" t="s">
        <v>195</v>
      </c>
      <c r="I23" s="50">
        <v>4</v>
      </c>
      <c r="J23" s="51">
        <v>13.5</v>
      </c>
      <c r="K23" s="51">
        <v>54</v>
      </c>
    </row>
    <row r="24" spans="4:11">
      <c r="D24" s="49">
        <v>46133</v>
      </c>
      <c r="E24" s="16">
        <v>1596793</v>
      </c>
      <c r="F24" s="16" t="s">
        <v>21</v>
      </c>
      <c r="G24" s="50">
        <v>20338181</v>
      </c>
      <c r="H24" s="16" t="s">
        <v>194</v>
      </c>
      <c r="I24" s="50">
        <v>17</v>
      </c>
      <c r="J24" s="51">
        <v>8</v>
      </c>
      <c r="K24" s="51">
        <v>136</v>
      </c>
    </row>
    <row r="25" spans="4:11">
      <c r="D25" s="49">
        <v>46133</v>
      </c>
      <c r="E25" s="16">
        <v>1596793</v>
      </c>
      <c r="F25" s="16" t="s">
        <v>21</v>
      </c>
      <c r="G25" s="50">
        <v>20345588</v>
      </c>
      <c r="H25" s="16" t="s">
        <v>198</v>
      </c>
      <c r="I25" s="50">
        <v>1</v>
      </c>
      <c r="J25" s="51">
        <v>8</v>
      </c>
      <c r="K25" s="51">
        <v>8</v>
      </c>
    </row>
    <row r="26" spans="4:11">
      <c r="D26" s="49">
        <v>46133</v>
      </c>
      <c r="E26" s="16">
        <v>1596793</v>
      </c>
      <c r="F26" s="16" t="s">
        <v>21</v>
      </c>
      <c r="G26" s="50">
        <v>20324290</v>
      </c>
      <c r="H26" s="16" t="s">
        <v>196</v>
      </c>
      <c r="I26" s="50">
        <v>1</v>
      </c>
      <c r="J26" s="51">
        <v>13.5</v>
      </c>
      <c r="K26" s="51">
        <v>13.5</v>
      </c>
    </row>
    <row r="27" spans="4:11">
      <c r="D27" s="49">
        <v>46134</v>
      </c>
      <c r="E27" s="16">
        <v>1597190</v>
      </c>
      <c r="F27" s="16" t="s">
        <v>21</v>
      </c>
      <c r="G27" s="50">
        <v>20375845</v>
      </c>
      <c r="H27" s="16" t="s">
        <v>195</v>
      </c>
      <c r="I27" s="50">
        <v>4</v>
      </c>
      <c r="J27" s="51">
        <v>13.5</v>
      </c>
      <c r="K27" s="51">
        <v>54</v>
      </c>
    </row>
    <row r="28" spans="4:11">
      <c r="D28" s="49">
        <v>46134</v>
      </c>
      <c r="E28" s="16">
        <v>1597190</v>
      </c>
      <c r="F28" s="16" t="s">
        <v>21</v>
      </c>
      <c r="G28" s="50">
        <v>20338181</v>
      </c>
      <c r="H28" s="16" t="s">
        <v>194</v>
      </c>
      <c r="I28" s="50">
        <v>6</v>
      </c>
      <c r="J28" s="51">
        <v>8</v>
      </c>
      <c r="K28" s="51">
        <v>48</v>
      </c>
    </row>
    <row r="29" spans="4:11">
      <c r="D29" s="49">
        <v>46135</v>
      </c>
      <c r="E29" s="16">
        <v>1597579</v>
      </c>
      <c r="F29" s="16" t="s">
        <v>21</v>
      </c>
      <c r="G29" s="50">
        <v>20375845</v>
      </c>
      <c r="H29" s="16" t="s">
        <v>195</v>
      </c>
      <c r="I29" s="50">
        <v>4</v>
      </c>
      <c r="J29" s="51">
        <v>13.5</v>
      </c>
      <c r="K29" s="51">
        <v>54</v>
      </c>
    </row>
    <row r="30" spans="4:11">
      <c r="D30" s="49">
        <v>46135</v>
      </c>
      <c r="E30" s="16">
        <v>1597579</v>
      </c>
      <c r="F30" s="16" t="s">
        <v>21</v>
      </c>
      <c r="G30" s="50">
        <v>20338181</v>
      </c>
      <c r="H30" s="16" t="s">
        <v>194</v>
      </c>
      <c r="I30" s="50">
        <v>12</v>
      </c>
      <c r="J30" s="51">
        <v>8</v>
      </c>
      <c r="K30" s="51">
        <v>96</v>
      </c>
    </row>
    <row r="31" spans="4:11">
      <c r="D31" s="49">
        <v>46135</v>
      </c>
      <c r="E31" s="16">
        <v>1597579</v>
      </c>
      <c r="F31" s="16" t="s">
        <v>21</v>
      </c>
      <c r="G31" s="50">
        <v>20345588</v>
      </c>
      <c r="H31" s="16" t="s">
        <v>198</v>
      </c>
      <c r="I31" s="50">
        <v>2</v>
      </c>
      <c r="J31" s="51">
        <v>8</v>
      </c>
      <c r="K31" s="51">
        <v>16</v>
      </c>
    </row>
    <row r="32" spans="4:11">
      <c r="D32" s="49">
        <v>46135</v>
      </c>
      <c r="E32" s="16">
        <v>1597579</v>
      </c>
      <c r="F32" s="16" t="s">
        <v>21</v>
      </c>
      <c r="G32" s="50">
        <v>20324290</v>
      </c>
      <c r="H32" s="16" t="s">
        <v>196</v>
      </c>
      <c r="I32" s="50">
        <v>2</v>
      </c>
      <c r="J32" s="51">
        <v>13.5</v>
      </c>
      <c r="K32" s="51">
        <v>27</v>
      </c>
    </row>
    <row r="33" spans="4:11">
      <c r="D33" s="49">
        <v>46136</v>
      </c>
      <c r="E33" s="16">
        <v>1597902</v>
      </c>
      <c r="F33" s="16" t="s">
        <v>21</v>
      </c>
      <c r="G33" s="50">
        <v>20375845</v>
      </c>
      <c r="H33" s="16" t="s">
        <v>195</v>
      </c>
      <c r="I33" s="50">
        <v>2</v>
      </c>
      <c r="J33" s="51">
        <v>13.5</v>
      </c>
      <c r="K33" s="51">
        <v>27</v>
      </c>
    </row>
    <row r="34" spans="4:11">
      <c r="D34" s="49">
        <v>46136</v>
      </c>
      <c r="E34" s="16">
        <v>1597902</v>
      </c>
      <c r="F34" s="16" t="s">
        <v>21</v>
      </c>
      <c r="G34" s="50">
        <v>20338181</v>
      </c>
      <c r="H34" s="16" t="s">
        <v>194</v>
      </c>
      <c r="I34" s="50">
        <v>18</v>
      </c>
      <c r="J34" s="51">
        <v>8</v>
      </c>
      <c r="K34" s="51">
        <v>144</v>
      </c>
    </row>
    <row r="35" spans="4:11">
      <c r="D35" s="49">
        <v>46136</v>
      </c>
      <c r="E35" s="16">
        <v>1597902</v>
      </c>
      <c r="F35" s="16" t="s">
        <v>21</v>
      </c>
      <c r="G35" s="50">
        <v>20345588</v>
      </c>
      <c r="H35" s="16" t="s">
        <v>198</v>
      </c>
      <c r="I35" s="50">
        <v>1</v>
      </c>
      <c r="J35" s="51">
        <v>8</v>
      </c>
      <c r="K35" s="51">
        <v>8</v>
      </c>
    </row>
    <row r="36" spans="4:11">
      <c r="D36" s="49">
        <v>46136</v>
      </c>
      <c r="E36" s="16">
        <v>1597902</v>
      </c>
      <c r="F36" s="16" t="s">
        <v>21</v>
      </c>
      <c r="G36" s="50">
        <v>20324290</v>
      </c>
      <c r="H36" s="16" t="s">
        <v>196</v>
      </c>
      <c r="I36" s="50">
        <v>1</v>
      </c>
      <c r="J36" s="51">
        <v>13.5</v>
      </c>
      <c r="K36" s="51">
        <v>13.5</v>
      </c>
    </row>
    <row r="37" spans="4:11">
      <c r="D37" s="49">
        <v>46139</v>
      </c>
      <c r="E37" s="16">
        <v>1598457</v>
      </c>
      <c r="F37" s="16" t="s">
        <v>21</v>
      </c>
      <c r="G37" s="50">
        <v>20375845</v>
      </c>
      <c r="H37" s="16" t="s">
        <v>195</v>
      </c>
      <c r="I37" s="50">
        <v>5</v>
      </c>
      <c r="J37" s="51">
        <v>13.5</v>
      </c>
      <c r="K37" s="51">
        <v>67.5</v>
      </c>
    </row>
    <row r="38" spans="4:11">
      <c r="D38" s="49">
        <v>46139</v>
      </c>
      <c r="E38" s="16">
        <v>1598457</v>
      </c>
      <c r="F38" s="16" t="s">
        <v>21</v>
      </c>
      <c r="G38" s="50">
        <v>20394409</v>
      </c>
      <c r="H38" s="16" t="s">
        <v>199</v>
      </c>
      <c r="I38" s="50">
        <v>1</v>
      </c>
      <c r="J38" s="51">
        <v>11</v>
      </c>
      <c r="K38" s="51">
        <v>11</v>
      </c>
    </row>
    <row r="39" spans="4:11">
      <c r="D39" s="49">
        <v>46139</v>
      </c>
      <c r="E39" s="16">
        <v>1598457</v>
      </c>
      <c r="F39" s="16" t="s">
        <v>21</v>
      </c>
      <c r="G39" s="50">
        <v>20338181</v>
      </c>
      <c r="H39" s="16" t="s">
        <v>194</v>
      </c>
      <c r="I39" s="50">
        <v>24</v>
      </c>
      <c r="J39" s="51">
        <v>8</v>
      </c>
      <c r="K39" s="51">
        <v>192</v>
      </c>
    </row>
    <row r="40" spans="4:11">
      <c r="D40" s="49">
        <v>46139</v>
      </c>
      <c r="E40" s="16">
        <v>1598457</v>
      </c>
      <c r="F40" s="16" t="s">
        <v>21</v>
      </c>
      <c r="G40" s="50">
        <v>20345588</v>
      </c>
      <c r="H40" s="16" t="s">
        <v>198</v>
      </c>
      <c r="I40" s="50">
        <v>1</v>
      </c>
      <c r="J40" s="51">
        <v>8</v>
      </c>
      <c r="K40" s="51">
        <v>8</v>
      </c>
    </row>
    <row r="41" spans="4:11">
      <c r="D41" s="49">
        <v>46139</v>
      </c>
      <c r="E41" s="16">
        <v>1598457</v>
      </c>
      <c r="F41" s="16" t="s">
        <v>21</v>
      </c>
      <c r="G41" s="50">
        <v>20324290</v>
      </c>
      <c r="H41" s="16" t="s">
        <v>196</v>
      </c>
      <c r="I41" s="50">
        <v>3</v>
      </c>
      <c r="J41" s="51">
        <v>13.5</v>
      </c>
      <c r="K41" s="51">
        <v>40.5</v>
      </c>
    </row>
    <row r="42" spans="4:11">
      <c r="D42" s="49">
        <v>46140</v>
      </c>
      <c r="E42" s="16">
        <v>1598867</v>
      </c>
      <c r="F42" s="16" t="s">
        <v>21</v>
      </c>
      <c r="G42" s="50">
        <v>20375845</v>
      </c>
      <c r="H42" s="16" t="s">
        <v>195</v>
      </c>
      <c r="I42" s="50">
        <v>3</v>
      </c>
      <c r="J42" s="51">
        <v>13.5</v>
      </c>
      <c r="K42" s="51">
        <v>40.5</v>
      </c>
    </row>
    <row r="43" spans="4:11">
      <c r="D43" s="49">
        <v>46140</v>
      </c>
      <c r="E43" s="16">
        <v>1598867</v>
      </c>
      <c r="F43" s="16" t="s">
        <v>21</v>
      </c>
      <c r="G43" s="50">
        <v>20338181</v>
      </c>
      <c r="H43" s="16" t="s">
        <v>194</v>
      </c>
      <c r="I43" s="50">
        <v>12</v>
      </c>
      <c r="J43" s="51">
        <v>8</v>
      </c>
      <c r="K43" s="51">
        <v>96</v>
      </c>
    </row>
    <row r="44" spans="4:11">
      <c r="D44" s="49">
        <v>46140</v>
      </c>
      <c r="E44" s="16">
        <v>1598867</v>
      </c>
      <c r="F44" s="16" t="s">
        <v>21</v>
      </c>
      <c r="G44" s="50">
        <v>20324290</v>
      </c>
      <c r="H44" s="16" t="s">
        <v>196</v>
      </c>
      <c r="I44" s="50">
        <v>3</v>
      </c>
      <c r="J44" s="51">
        <v>13.5</v>
      </c>
      <c r="K44" s="51">
        <v>40.5</v>
      </c>
    </row>
    <row r="45" spans="4:11">
      <c r="D45" s="49">
        <v>46141</v>
      </c>
      <c r="E45" s="16">
        <v>1599301</v>
      </c>
      <c r="F45" s="16" t="s">
        <v>21</v>
      </c>
      <c r="G45" s="50">
        <v>20375845</v>
      </c>
      <c r="H45" s="16" t="s">
        <v>195</v>
      </c>
      <c r="I45" s="50">
        <v>5</v>
      </c>
      <c r="J45" s="51">
        <v>13.5</v>
      </c>
      <c r="K45" s="51">
        <v>67.5</v>
      </c>
    </row>
    <row r="46" spans="4:11">
      <c r="D46" s="49">
        <v>46141</v>
      </c>
      <c r="E46" s="16">
        <v>1599301</v>
      </c>
      <c r="F46" s="16" t="s">
        <v>21</v>
      </c>
      <c r="G46" s="50">
        <v>20338181</v>
      </c>
      <c r="H46" s="16" t="s">
        <v>194</v>
      </c>
      <c r="I46" s="50">
        <v>16</v>
      </c>
      <c r="J46" s="51">
        <v>8</v>
      </c>
      <c r="K46" s="51">
        <v>128</v>
      </c>
    </row>
    <row r="47" spans="4:11">
      <c r="D47" s="49">
        <v>46141</v>
      </c>
      <c r="E47" s="16">
        <v>1599301</v>
      </c>
      <c r="F47" s="16" t="s">
        <v>21</v>
      </c>
      <c r="G47" s="50">
        <v>20324290</v>
      </c>
      <c r="H47" s="16" t="s">
        <v>196</v>
      </c>
      <c r="I47" s="50">
        <v>2</v>
      </c>
      <c r="J47" s="51">
        <v>13.5</v>
      </c>
      <c r="K47" s="51">
        <v>27</v>
      </c>
    </row>
    <row r="48" spans="4:11">
      <c r="D48" s="49">
        <v>46141</v>
      </c>
      <c r="E48" s="16">
        <v>1599301</v>
      </c>
      <c r="F48" s="16" t="s">
        <v>21</v>
      </c>
      <c r="G48" s="50">
        <v>20005930</v>
      </c>
      <c r="H48" s="16" t="s">
        <v>23</v>
      </c>
      <c r="I48" s="50">
        <v>1</v>
      </c>
      <c r="J48" s="51">
        <v>8</v>
      </c>
      <c r="K48" s="51">
        <v>8</v>
      </c>
    </row>
    <row r="49" spans="4:11">
      <c r="D49" s="49">
        <v>46142</v>
      </c>
      <c r="E49" s="16">
        <v>1599733</v>
      </c>
      <c r="F49" s="16" t="s">
        <v>21</v>
      </c>
      <c r="G49" s="50">
        <v>20375845</v>
      </c>
      <c r="H49" s="16" t="s">
        <v>195</v>
      </c>
      <c r="I49" s="50">
        <v>4</v>
      </c>
      <c r="J49" s="51">
        <v>13.5</v>
      </c>
      <c r="K49" s="51">
        <v>54</v>
      </c>
    </row>
    <row r="50" spans="4:11">
      <c r="D50" s="49">
        <v>46142</v>
      </c>
      <c r="E50" s="16">
        <v>1599733</v>
      </c>
      <c r="F50" s="16" t="s">
        <v>21</v>
      </c>
      <c r="G50" s="50">
        <v>20338181</v>
      </c>
      <c r="H50" s="16" t="s">
        <v>194</v>
      </c>
      <c r="I50" s="50">
        <v>17</v>
      </c>
      <c r="J50" s="51">
        <v>8</v>
      </c>
      <c r="K50" s="51">
        <v>136</v>
      </c>
    </row>
    <row r="51" spans="4:11">
      <c r="D51" s="49">
        <v>46142</v>
      </c>
      <c r="E51" s="16">
        <v>1599733</v>
      </c>
      <c r="F51" s="16" t="s">
        <v>21</v>
      </c>
      <c r="G51" s="50">
        <v>20324290</v>
      </c>
      <c r="H51" s="16" t="s">
        <v>196</v>
      </c>
      <c r="I51" s="50">
        <v>2</v>
      </c>
      <c r="J51" s="51">
        <v>13.5</v>
      </c>
      <c r="K51" s="51">
        <v>27</v>
      </c>
    </row>
    <row r="52" spans="4:11">
      <c r="D52" s="49">
        <v>46143</v>
      </c>
      <c r="E52" s="16">
        <v>1599979</v>
      </c>
      <c r="F52" s="16" t="s">
        <v>21</v>
      </c>
      <c r="G52" s="50">
        <v>20375845</v>
      </c>
      <c r="H52" s="16" t="s">
        <v>195</v>
      </c>
      <c r="I52" s="50">
        <v>4</v>
      </c>
      <c r="J52" s="51">
        <v>13.5</v>
      </c>
      <c r="K52" s="51">
        <v>54</v>
      </c>
    </row>
    <row r="53" spans="4:11">
      <c r="D53" s="49">
        <v>46143</v>
      </c>
      <c r="E53" s="16">
        <v>1599979</v>
      </c>
      <c r="F53" s="16" t="s">
        <v>21</v>
      </c>
      <c r="G53" s="50">
        <v>20394409</v>
      </c>
      <c r="H53" s="16" t="s">
        <v>199</v>
      </c>
      <c r="I53" s="50">
        <v>1</v>
      </c>
      <c r="J53" s="51">
        <v>11</v>
      </c>
      <c r="K53" s="51">
        <v>11</v>
      </c>
    </row>
    <row r="54" spans="4:11">
      <c r="D54" s="49">
        <v>46143</v>
      </c>
      <c r="E54" s="16">
        <v>1599979</v>
      </c>
      <c r="F54" s="16" t="s">
        <v>21</v>
      </c>
      <c r="G54" s="50">
        <v>20338181</v>
      </c>
      <c r="H54" s="16" t="s">
        <v>194</v>
      </c>
      <c r="I54" s="50">
        <v>13</v>
      </c>
      <c r="J54" s="51">
        <v>8</v>
      </c>
      <c r="K54" s="51">
        <v>104</v>
      </c>
    </row>
    <row r="55" spans="4:11">
      <c r="D55" s="49">
        <v>46143</v>
      </c>
      <c r="E55" s="16">
        <v>1599979</v>
      </c>
      <c r="F55" s="16" t="s">
        <v>21</v>
      </c>
      <c r="G55" s="50">
        <v>20324290</v>
      </c>
      <c r="H55" s="16" t="s">
        <v>196</v>
      </c>
      <c r="I55" s="50">
        <v>1</v>
      </c>
      <c r="J55" s="51">
        <v>13.5</v>
      </c>
      <c r="K55" s="51">
        <v>13.5</v>
      </c>
    </row>
    <row r="56" spans="4:11">
      <c r="D56" s="49">
        <v>46143</v>
      </c>
      <c r="E56" s="16">
        <v>1599979</v>
      </c>
      <c r="F56" s="16" t="s">
        <v>21</v>
      </c>
      <c r="G56" s="50">
        <v>20005845</v>
      </c>
      <c r="H56" s="16" t="s">
        <v>200</v>
      </c>
      <c r="I56" s="50">
        <v>1</v>
      </c>
      <c r="J56" s="51">
        <v>8</v>
      </c>
      <c r="K56" s="51">
        <v>8</v>
      </c>
    </row>
    <row r="57" spans="4:11">
      <c r="D57" s="49">
        <v>46148</v>
      </c>
      <c r="E57" s="16">
        <v>1600484</v>
      </c>
      <c r="F57" s="16" t="s">
        <v>21</v>
      </c>
      <c r="G57" s="50">
        <v>20375845</v>
      </c>
      <c r="H57" s="16" t="s">
        <v>195</v>
      </c>
      <c r="I57" s="50">
        <v>5</v>
      </c>
      <c r="J57" s="51">
        <v>13.5</v>
      </c>
      <c r="K57" s="51">
        <v>67.5</v>
      </c>
    </row>
    <row r="58" spans="4:11">
      <c r="D58" s="49">
        <v>46148</v>
      </c>
      <c r="E58" s="16">
        <v>1600484</v>
      </c>
      <c r="F58" s="16" t="s">
        <v>21</v>
      </c>
      <c r="G58" s="50">
        <v>20393410</v>
      </c>
      <c r="H58" s="16" t="s">
        <v>201</v>
      </c>
      <c r="I58" s="50">
        <v>2</v>
      </c>
      <c r="J58" s="51">
        <v>8</v>
      </c>
      <c r="K58" s="51">
        <v>16</v>
      </c>
    </row>
    <row r="59" spans="4:11">
      <c r="D59" s="49">
        <v>46148</v>
      </c>
      <c r="E59" s="16">
        <v>1600484</v>
      </c>
      <c r="F59" s="16" t="s">
        <v>21</v>
      </c>
      <c r="G59" s="50">
        <v>20338181</v>
      </c>
      <c r="H59" s="16" t="s">
        <v>194</v>
      </c>
      <c r="I59" s="50">
        <v>19</v>
      </c>
      <c r="J59" s="51">
        <v>8</v>
      </c>
      <c r="K59" s="51">
        <v>152</v>
      </c>
    </row>
    <row r="60" spans="4:11">
      <c r="D60" s="49">
        <v>46148</v>
      </c>
      <c r="E60" s="16">
        <v>1600484</v>
      </c>
      <c r="F60" s="16" t="s">
        <v>21</v>
      </c>
      <c r="G60" s="50">
        <v>20324290</v>
      </c>
      <c r="H60" s="16" t="s">
        <v>196</v>
      </c>
      <c r="I60" s="50">
        <v>2</v>
      </c>
      <c r="J60" s="51">
        <v>13.5</v>
      </c>
      <c r="K60" s="51">
        <v>27</v>
      </c>
    </row>
    <row r="61" spans="4:11">
      <c r="D61" s="49">
        <v>46148</v>
      </c>
      <c r="E61" s="16">
        <v>1600484</v>
      </c>
      <c r="F61" s="16" t="s">
        <v>21</v>
      </c>
      <c r="G61" s="50">
        <v>20005930</v>
      </c>
      <c r="H61" s="16" t="s">
        <v>23</v>
      </c>
      <c r="I61" s="50">
        <v>1</v>
      </c>
      <c r="J61" s="51">
        <v>8</v>
      </c>
      <c r="K61" s="51">
        <v>8</v>
      </c>
    </row>
    <row r="62" spans="4:11">
      <c r="D62" s="49">
        <v>46150</v>
      </c>
      <c r="E62" s="16">
        <v>1601020</v>
      </c>
      <c r="F62" s="16" t="s">
        <v>21</v>
      </c>
      <c r="G62" s="50">
        <v>20375845</v>
      </c>
      <c r="H62" s="16" t="s">
        <v>195</v>
      </c>
      <c r="I62" s="50">
        <v>2</v>
      </c>
      <c r="J62" s="51">
        <v>13.5</v>
      </c>
      <c r="K62" s="51">
        <v>27</v>
      </c>
    </row>
    <row r="63" spans="4:11">
      <c r="D63" s="49">
        <v>46150</v>
      </c>
      <c r="E63" s="16">
        <v>1601020</v>
      </c>
      <c r="F63" s="16" t="s">
        <v>21</v>
      </c>
      <c r="G63" s="50">
        <v>20338181</v>
      </c>
      <c r="H63" s="16" t="s">
        <v>194</v>
      </c>
      <c r="I63" s="50">
        <v>14</v>
      </c>
      <c r="J63" s="51">
        <v>8</v>
      </c>
      <c r="K63" s="51">
        <v>112</v>
      </c>
    </row>
    <row r="64" spans="4:11">
      <c r="D64" s="49">
        <v>46150</v>
      </c>
      <c r="E64" s="16">
        <v>1601020</v>
      </c>
      <c r="F64" s="16" t="s">
        <v>21</v>
      </c>
      <c r="G64" s="50">
        <v>20324290</v>
      </c>
      <c r="H64" s="16" t="s">
        <v>196</v>
      </c>
      <c r="I64" s="50">
        <v>2</v>
      </c>
      <c r="J64" s="51">
        <v>13.5</v>
      </c>
      <c r="K64" s="51">
        <v>27</v>
      </c>
    </row>
    <row r="65" spans="4:11">
      <c r="D65" s="49">
        <v>46150</v>
      </c>
      <c r="E65" s="16">
        <v>1601340</v>
      </c>
      <c r="F65" s="16" t="s">
        <v>21</v>
      </c>
      <c r="G65" s="50">
        <v>20375845</v>
      </c>
      <c r="H65" s="16" t="s">
        <v>195</v>
      </c>
      <c r="I65" s="50">
        <v>3</v>
      </c>
      <c r="J65" s="51">
        <v>13.5</v>
      </c>
      <c r="K65" s="51">
        <v>40.5</v>
      </c>
    </row>
    <row r="66" spans="4:11">
      <c r="D66" s="49">
        <v>46150</v>
      </c>
      <c r="E66" s="16">
        <v>1601340</v>
      </c>
      <c r="F66" s="16" t="s">
        <v>21</v>
      </c>
      <c r="G66" s="50">
        <v>20338181</v>
      </c>
      <c r="H66" s="16" t="s">
        <v>194</v>
      </c>
      <c r="I66" s="50">
        <v>21</v>
      </c>
      <c r="J66" s="51">
        <v>8</v>
      </c>
      <c r="K66" s="51">
        <v>168</v>
      </c>
    </row>
    <row r="67" spans="4:11">
      <c r="D67" s="49">
        <v>46150</v>
      </c>
      <c r="E67" s="16">
        <v>1601340</v>
      </c>
      <c r="F67" s="16" t="s">
        <v>21</v>
      </c>
      <c r="G67" s="50">
        <v>20324290</v>
      </c>
      <c r="H67" s="16" t="s">
        <v>196</v>
      </c>
      <c r="I67" s="50">
        <v>2</v>
      </c>
      <c r="J67" s="51">
        <v>13.5</v>
      </c>
      <c r="K67" s="51">
        <v>27</v>
      </c>
    </row>
    <row r="68" spans="4:11">
      <c r="D68" s="49">
        <v>46151</v>
      </c>
      <c r="E68" s="16">
        <v>1601806</v>
      </c>
      <c r="F68" s="16" t="s">
        <v>21</v>
      </c>
      <c r="G68" s="50">
        <v>20375845</v>
      </c>
      <c r="H68" s="16" t="s">
        <v>195</v>
      </c>
      <c r="I68" s="50">
        <v>2</v>
      </c>
      <c r="J68" s="51">
        <v>13.5</v>
      </c>
      <c r="K68" s="51">
        <v>27</v>
      </c>
    </row>
    <row r="69" spans="4:11">
      <c r="D69" s="49">
        <v>46151</v>
      </c>
      <c r="E69" s="16">
        <v>1601806</v>
      </c>
      <c r="F69" s="16" t="s">
        <v>21</v>
      </c>
      <c r="G69" s="50">
        <v>20338181</v>
      </c>
      <c r="H69" s="16" t="s">
        <v>194</v>
      </c>
      <c r="I69" s="50">
        <v>15</v>
      </c>
      <c r="J69" s="51">
        <v>8</v>
      </c>
      <c r="K69" s="51">
        <v>120</v>
      </c>
    </row>
    <row r="70" spans="4:11">
      <c r="D70" s="49">
        <v>46151</v>
      </c>
      <c r="E70" s="16">
        <v>1601806</v>
      </c>
      <c r="F70" s="16" t="s">
        <v>21</v>
      </c>
      <c r="G70" s="50">
        <v>20345588</v>
      </c>
      <c r="H70" s="16" t="s">
        <v>198</v>
      </c>
      <c r="I70" s="50">
        <v>1</v>
      </c>
      <c r="J70" s="51">
        <v>8</v>
      </c>
      <c r="K70" s="51">
        <v>8</v>
      </c>
    </row>
    <row r="71" spans="4:11">
      <c r="D71" s="49">
        <v>46151</v>
      </c>
      <c r="E71" s="16">
        <v>1601806</v>
      </c>
      <c r="F71" s="16" t="s">
        <v>21</v>
      </c>
      <c r="G71" s="50">
        <v>20324290</v>
      </c>
      <c r="H71" s="16" t="s">
        <v>196</v>
      </c>
      <c r="I71" s="50">
        <v>2</v>
      </c>
      <c r="J71" s="51">
        <v>13.5</v>
      </c>
      <c r="K71" s="51">
        <v>27</v>
      </c>
    </row>
    <row r="72" spans="4:11">
      <c r="D72" s="49">
        <v>46151</v>
      </c>
      <c r="E72" s="16">
        <v>1601806</v>
      </c>
      <c r="F72" s="16" t="s">
        <v>21</v>
      </c>
      <c r="G72" s="50">
        <v>20005930</v>
      </c>
      <c r="H72" s="16" t="s">
        <v>23</v>
      </c>
      <c r="I72" s="50">
        <v>1</v>
      </c>
      <c r="J72" s="51">
        <v>8</v>
      </c>
      <c r="K72" s="51">
        <v>8</v>
      </c>
    </row>
    <row r="73" spans="4:11">
      <c r="D73" s="49">
        <v>46153</v>
      </c>
      <c r="E73" s="16">
        <v>1602032</v>
      </c>
      <c r="F73" s="16" t="s">
        <v>21</v>
      </c>
      <c r="G73" s="50">
        <v>20375845</v>
      </c>
      <c r="H73" s="16" t="s">
        <v>195</v>
      </c>
      <c r="I73" s="50">
        <v>5</v>
      </c>
      <c r="J73" s="51">
        <v>13.5</v>
      </c>
      <c r="K73" s="51">
        <v>67.5</v>
      </c>
    </row>
    <row r="74" spans="4:11">
      <c r="D74" s="49">
        <v>46153</v>
      </c>
      <c r="E74" s="16">
        <v>1602032</v>
      </c>
      <c r="F74" s="16" t="s">
        <v>21</v>
      </c>
      <c r="G74" s="50">
        <v>20338181</v>
      </c>
      <c r="H74" s="16" t="s">
        <v>194</v>
      </c>
      <c r="I74" s="50">
        <v>8</v>
      </c>
      <c r="J74" s="51">
        <v>8</v>
      </c>
      <c r="K74" s="51">
        <v>64</v>
      </c>
    </row>
    <row r="75" spans="4:11">
      <c r="D75" s="49">
        <v>46153</v>
      </c>
      <c r="E75" s="16">
        <v>1602032</v>
      </c>
      <c r="F75" s="16" t="s">
        <v>21</v>
      </c>
      <c r="G75" s="50">
        <v>20324290</v>
      </c>
      <c r="H75" s="16" t="s">
        <v>196</v>
      </c>
      <c r="I75" s="50">
        <v>3</v>
      </c>
      <c r="J75" s="51">
        <v>13.5</v>
      </c>
      <c r="K75" s="51">
        <v>40.5</v>
      </c>
    </row>
    <row r="76" spans="4:11">
      <c r="D76" s="49">
        <v>46153</v>
      </c>
      <c r="E76" s="16">
        <v>1602032</v>
      </c>
      <c r="F76" s="16" t="s">
        <v>21</v>
      </c>
      <c r="G76" s="50">
        <v>20005845</v>
      </c>
      <c r="H76" s="16" t="s">
        <v>200</v>
      </c>
      <c r="I76" s="50">
        <v>1</v>
      </c>
      <c r="J76" s="51">
        <v>8</v>
      </c>
      <c r="K76" s="51">
        <v>8</v>
      </c>
    </row>
    <row r="77" spans="4:11">
      <c r="D77" s="49">
        <v>46153</v>
      </c>
      <c r="E77" s="16">
        <v>1602032</v>
      </c>
      <c r="F77" s="16" t="s">
        <v>21</v>
      </c>
      <c r="G77" s="50">
        <v>20005930</v>
      </c>
      <c r="H77" s="16" t="s">
        <v>23</v>
      </c>
      <c r="I77" s="50">
        <v>1</v>
      </c>
      <c r="J77" s="51">
        <v>8</v>
      </c>
      <c r="K77" s="51">
        <v>8</v>
      </c>
    </row>
    <row r="78" spans="4:11">
      <c r="D78" s="49">
        <v>46154</v>
      </c>
      <c r="E78" s="16">
        <v>1602398</v>
      </c>
      <c r="F78" s="16" t="s">
        <v>21</v>
      </c>
      <c r="G78" s="50">
        <v>20375845</v>
      </c>
      <c r="H78" s="16" t="s">
        <v>195</v>
      </c>
      <c r="I78" s="50">
        <v>4</v>
      </c>
      <c r="J78" s="51">
        <v>13.5</v>
      </c>
      <c r="K78" s="51">
        <v>54</v>
      </c>
    </row>
    <row r="79" spans="4:11">
      <c r="D79" s="49">
        <v>46154</v>
      </c>
      <c r="E79" s="16">
        <v>1602398</v>
      </c>
      <c r="F79" s="16" t="s">
        <v>21</v>
      </c>
      <c r="G79" s="50">
        <v>20338181</v>
      </c>
      <c r="H79" s="16" t="s">
        <v>194</v>
      </c>
      <c r="I79" s="50">
        <v>8</v>
      </c>
      <c r="J79" s="51">
        <v>8</v>
      </c>
      <c r="K79" s="51">
        <v>64</v>
      </c>
    </row>
    <row r="80" spans="4:11">
      <c r="D80" s="49">
        <v>46154</v>
      </c>
      <c r="E80" s="16">
        <v>1602398</v>
      </c>
      <c r="F80" s="16" t="s">
        <v>21</v>
      </c>
      <c r="G80" s="50">
        <v>20324290</v>
      </c>
      <c r="H80" s="16" t="s">
        <v>196</v>
      </c>
      <c r="I80" s="50">
        <v>2</v>
      </c>
      <c r="J80" s="51">
        <v>13.5</v>
      </c>
      <c r="K80" s="51">
        <v>27</v>
      </c>
    </row>
    <row r="81" spans="4:11">
      <c r="D81" s="49">
        <v>46155</v>
      </c>
      <c r="E81" s="16">
        <v>1602767</v>
      </c>
      <c r="F81" s="16" t="s">
        <v>21</v>
      </c>
      <c r="G81" s="50">
        <v>20375845</v>
      </c>
      <c r="H81" s="16" t="s">
        <v>195</v>
      </c>
      <c r="I81" s="50">
        <v>3</v>
      </c>
      <c r="J81" s="51">
        <v>13.5</v>
      </c>
      <c r="K81" s="51">
        <v>40.5</v>
      </c>
    </row>
    <row r="82" spans="4:11">
      <c r="D82" s="49">
        <v>46155</v>
      </c>
      <c r="E82" s="16">
        <v>1602767</v>
      </c>
      <c r="F82" s="16" t="s">
        <v>21</v>
      </c>
      <c r="G82" s="50">
        <v>20338181</v>
      </c>
      <c r="H82" s="16" t="s">
        <v>194</v>
      </c>
      <c r="I82" s="50">
        <v>16</v>
      </c>
      <c r="J82" s="51">
        <v>8</v>
      </c>
      <c r="K82" s="51">
        <v>128</v>
      </c>
    </row>
    <row r="83" spans="4:11">
      <c r="D83" s="49">
        <v>46155</v>
      </c>
      <c r="E83" s="16">
        <v>1602767</v>
      </c>
      <c r="F83" s="16" t="s">
        <v>21</v>
      </c>
      <c r="G83" s="50">
        <v>20324290</v>
      </c>
      <c r="H83" s="16" t="s">
        <v>196</v>
      </c>
      <c r="I83" s="50">
        <v>2</v>
      </c>
      <c r="J83" s="51">
        <v>13.5</v>
      </c>
      <c r="K83" s="51">
        <v>27</v>
      </c>
    </row>
    <row r="84" spans="4:11">
      <c r="D84" s="49">
        <v>46155</v>
      </c>
      <c r="E84" s="16">
        <v>1602767</v>
      </c>
      <c r="F84" s="16" t="s">
        <v>21</v>
      </c>
      <c r="G84" s="50">
        <v>20005930</v>
      </c>
      <c r="H84" s="16" t="s">
        <v>23</v>
      </c>
      <c r="I84" s="50">
        <v>1</v>
      </c>
      <c r="J84" s="51">
        <v>8</v>
      </c>
      <c r="K84" s="51">
        <v>8</v>
      </c>
    </row>
    <row r="85" spans="4:11">
      <c r="D85" s="49">
        <v>46156</v>
      </c>
      <c r="E85" s="16">
        <v>1603136</v>
      </c>
      <c r="F85" s="16" t="s">
        <v>21</v>
      </c>
      <c r="G85" s="50">
        <v>20375845</v>
      </c>
      <c r="H85" s="16" t="s">
        <v>195</v>
      </c>
      <c r="I85" s="50">
        <v>1</v>
      </c>
      <c r="J85" s="51">
        <v>13.5</v>
      </c>
      <c r="K85" s="51">
        <v>13.5</v>
      </c>
    </row>
    <row r="86" spans="4:11">
      <c r="D86" s="49">
        <v>46156</v>
      </c>
      <c r="E86" s="16">
        <v>1603136</v>
      </c>
      <c r="F86" s="16" t="s">
        <v>21</v>
      </c>
      <c r="G86" s="50">
        <v>20338181</v>
      </c>
      <c r="H86" s="16" t="s">
        <v>194</v>
      </c>
      <c r="I86" s="50">
        <v>14</v>
      </c>
      <c r="J86" s="51">
        <v>8</v>
      </c>
      <c r="K86" s="51">
        <v>112</v>
      </c>
    </row>
    <row r="87" spans="4:11">
      <c r="D87" s="49">
        <v>46156</v>
      </c>
      <c r="E87" s="16">
        <v>1603136</v>
      </c>
      <c r="F87" s="16" t="s">
        <v>21</v>
      </c>
      <c r="G87" s="50">
        <v>20324290</v>
      </c>
      <c r="H87" s="16" t="s">
        <v>196</v>
      </c>
      <c r="I87" s="50">
        <v>1</v>
      </c>
      <c r="J87" s="51">
        <v>13.5</v>
      </c>
      <c r="K87" s="51">
        <v>13.5</v>
      </c>
    </row>
    <row r="88" ht="0.05" customHeight="1"/>
  </sheetData>
  <autoFilter xmlns:etc="http://www.wps.cn/officeDocument/2017/etCustomData" ref="A7:K87" etc:filterBottomFollowUsedRange="0">
    <extLst/>
  </autoFilter>
  <mergeCells count="5">
    <mergeCell ref="D8:H8"/>
    <mergeCell ref="C7:C87"/>
    <mergeCell ref="B4:H5"/>
    <mergeCell ref="A7:B8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2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20" t="s">
        <v>2</v>
      </c>
      <c r="C7" s="43" t="s">
        <v>2</v>
      </c>
      <c r="D7" s="44" t="s">
        <v>4</v>
      </c>
      <c r="E7" s="44" t="s">
        <v>5</v>
      </c>
      <c r="F7" s="44" t="s">
        <v>6</v>
      </c>
      <c r="G7" s="44" t="s">
        <v>7</v>
      </c>
      <c r="H7" s="44" t="s">
        <v>8</v>
      </c>
      <c r="I7" s="44" t="s">
        <v>9</v>
      </c>
      <c r="J7" s="44" t="s">
        <v>10</v>
      </c>
      <c r="K7" s="44" t="s">
        <v>11</v>
      </c>
    </row>
    <row r="8" ht="14.25" spans="1:11">
      <c r="D8" s="45" t="s">
        <v>202</v>
      </c>
      <c r="E8" s="46" t="s">
        <v>2</v>
      </c>
      <c r="F8" s="46" t="s">
        <v>2</v>
      </c>
      <c r="G8" s="46" t="s">
        <v>2</v>
      </c>
      <c r="H8" s="46" t="s">
        <v>2</v>
      </c>
      <c r="I8" s="47">
        <v>97</v>
      </c>
      <c r="J8" s="48"/>
      <c r="K8" s="48">
        <v>1432</v>
      </c>
    </row>
    <row r="9" spans="1:11">
      <c r="D9" s="49">
        <v>46128</v>
      </c>
      <c r="E9" s="16">
        <v>1595466</v>
      </c>
      <c r="F9" s="16" t="s">
        <v>21</v>
      </c>
      <c r="G9" s="50">
        <v>20005255</v>
      </c>
      <c r="H9" s="16" t="s">
        <v>203</v>
      </c>
      <c r="I9" s="50">
        <v>1</v>
      </c>
      <c r="J9" s="51">
        <v>16.5</v>
      </c>
      <c r="K9" s="51">
        <v>16.5</v>
      </c>
    </row>
    <row r="10" spans="1:11">
      <c r="D10" s="49">
        <v>46128</v>
      </c>
      <c r="E10" s="16">
        <v>1595466</v>
      </c>
      <c r="F10" s="16" t="s">
        <v>21</v>
      </c>
      <c r="G10" s="50">
        <v>20324084</v>
      </c>
      <c r="H10" s="16" t="s">
        <v>22</v>
      </c>
      <c r="I10" s="50">
        <v>2</v>
      </c>
      <c r="J10" s="51">
        <v>8</v>
      </c>
      <c r="K10" s="51">
        <v>16</v>
      </c>
    </row>
    <row r="11" spans="1:11">
      <c r="D11" s="49">
        <v>46128</v>
      </c>
      <c r="E11" s="16">
        <v>1595466</v>
      </c>
      <c r="F11" s="16" t="s">
        <v>21</v>
      </c>
      <c r="G11" s="50">
        <v>20314990</v>
      </c>
      <c r="H11" s="16" t="s">
        <v>52</v>
      </c>
      <c r="I11" s="50">
        <v>1</v>
      </c>
      <c r="J11" s="51">
        <v>8</v>
      </c>
      <c r="K11" s="51">
        <v>8</v>
      </c>
    </row>
    <row r="12" spans="1:11">
      <c r="D12" s="49">
        <v>46128</v>
      </c>
      <c r="E12" s="16">
        <v>1595466</v>
      </c>
      <c r="F12" s="16" t="s">
        <v>21</v>
      </c>
      <c r="G12" s="50">
        <v>20005930</v>
      </c>
      <c r="H12" s="16" t="s">
        <v>23</v>
      </c>
      <c r="I12" s="50">
        <v>4</v>
      </c>
      <c r="J12" s="51">
        <v>8</v>
      </c>
      <c r="K12" s="51">
        <v>32</v>
      </c>
    </row>
    <row r="13" spans="1:11">
      <c r="D13" s="49">
        <v>46128</v>
      </c>
      <c r="E13" s="16">
        <v>1595466</v>
      </c>
      <c r="F13" s="16" t="s">
        <v>110</v>
      </c>
      <c r="G13" s="50">
        <v>20381087</v>
      </c>
      <c r="H13" s="16" t="s">
        <v>204</v>
      </c>
      <c r="I13" s="50">
        <v>2</v>
      </c>
      <c r="J13" s="51">
        <v>38.5</v>
      </c>
      <c r="K13" s="51">
        <v>77</v>
      </c>
    </row>
    <row r="14" spans="1:11">
      <c r="D14" s="49">
        <v>46132</v>
      </c>
      <c r="E14" s="16">
        <v>1596405</v>
      </c>
      <c r="F14" s="16" t="s">
        <v>21</v>
      </c>
      <c r="G14" s="50">
        <v>20005255</v>
      </c>
      <c r="H14" s="16" t="s">
        <v>203</v>
      </c>
      <c r="I14" s="50">
        <v>1</v>
      </c>
      <c r="J14" s="51">
        <v>16.5</v>
      </c>
      <c r="K14" s="51">
        <v>16.5</v>
      </c>
    </row>
    <row r="15" spans="1:11">
      <c r="D15" s="49">
        <v>46132</v>
      </c>
      <c r="E15" s="16">
        <v>1596405</v>
      </c>
      <c r="F15" s="16" t="s">
        <v>21</v>
      </c>
      <c r="G15" s="50">
        <v>20314990</v>
      </c>
      <c r="H15" s="16" t="s">
        <v>52</v>
      </c>
      <c r="I15" s="50">
        <v>1</v>
      </c>
      <c r="J15" s="51">
        <v>8</v>
      </c>
      <c r="K15" s="51">
        <v>8</v>
      </c>
    </row>
    <row r="16" spans="1:11">
      <c r="D16" s="49">
        <v>46135</v>
      </c>
      <c r="E16" s="16">
        <v>1597580</v>
      </c>
      <c r="F16" s="16" t="s">
        <v>21</v>
      </c>
      <c r="G16" s="50">
        <v>20324084</v>
      </c>
      <c r="H16" s="16" t="s">
        <v>22</v>
      </c>
      <c r="I16" s="50">
        <v>1</v>
      </c>
      <c r="J16" s="51">
        <v>8</v>
      </c>
      <c r="K16" s="51">
        <v>8</v>
      </c>
    </row>
    <row r="17" spans="4:11">
      <c r="D17" s="49">
        <v>46135</v>
      </c>
      <c r="E17" s="16">
        <v>1597580</v>
      </c>
      <c r="F17" s="16" t="s">
        <v>21</v>
      </c>
      <c r="G17" s="50">
        <v>20381092</v>
      </c>
      <c r="H17" s="16" t="s">
        <v>205</v>
      </c>
      <c r="I17" s="50">
        <v>2</v>
      </c>
      <c r="J17" s="51">
        <v>8</v>
      </c>
      <c r="K17" s="51">
        <v>16</v>
      </c>
    </row>
    <row r="18" spans="4:11">
      <c r="D18" s="49">
        <v>46135</v>
      </c>
      <c r="E18" s="16">
        <v>1597580</v>
      </c>
      <c r="F18" s="16" t="s">
        <v>21</v>
      </c>
      <c r="G18" s="50">
        <v>20005930</v>
      </c>
      <c r="H18" s="16" t="s">
        <v>23</v>
      </c>
      <c r="I18" s="50">
        <v>4</v>
      </c>
      <c r="J18" s="51">
        <v>8</v>
      </c>
      <c r="K18" s="51">
        <v>32</v>
      </c>
    </row>
    <row r="19" spans="4:11">
      <c r="D19" s="49">
        <v>46135</v>
      </c>
      <c r="E19" s="16">
        <v>1597580</v>
      </c>
      <c r="F19" s="16" t="s">
        <v>110</v>
      </c>
      <c r="G19" s="50">
        <v>20381087</v>
      </c>
      <c r="H19" s="16" t="s">
        <v>204</v>
      </c>
      <c r="I19" s="50">
        <v>3</v>
      </c>
      <c r="J19" s="51">
        <v>38.5</v>
      </c>
      <c r="K19" s="51">
        <v>115.5</v>
      </c>
    </row>
    <row r="20" spans="4:11">
      <c r="D20" s="49">
        <v>46139</v>
      </c>
      <c r="E20" s="16">
        <v>1598458</v>
      </c>
      <c r="F20" s="16" t="s">
        <v>21</v>
      </c>
      <c r="G20" s="50">
        <v>20314990</v>
      </c>
      <c r="H20" s="16" t="s">
        <v>52</v>
      </c>
      <c r="I20" s="50">
        <v>3</v>
      </c>
      <c r="J20" s="51">
        <v>8</v>
      </c>
      <c r="K20" s="51">
        <v>24</v>
      </c>
    </row>
    <row r="21" spans="4:11">
      <c r="D21" s="49">
        <v>46139</v>
      </c>
      <c r="E21" s="16">
        <v>1598458</v>
      </c>
      <c r="F21" s="16" t="s">
        <v>21</v>
      </c>
      <c r="G21" s="50">
        <v>20005930</v>
      </c>
      <c r="H21" s="16" t="s">
        <v>23</v>
      </c>
      <c r="I21" s="50">
        <v>3</v>
      </c>
      <c r="J21" s="51">
        <v>8</v>
      </c>
      <c r="K21" s="51">
        <v>24</v>
      </c>
    </row>
    <row r="22" spans="4:11">
      <c r="D22" s="49">
        <v>46141</v>
      </c>
      <c r="E22" s="16">
        <v>1599302</v>
      </c>
      <c r="F22" s="16" t="s">
        <v>21</v>
      </c>
      <c r="G22" s="50">
        <v>20005255</v>
      </c>
      <c r="H22" s="16" t="s">
        <v>203</v>
      </c>
      <c r="I22" s="50">
        <v>2</v>
      </c>
      <c r="J22" s="51">
        <v>16.5</v>
      </c>
      <c r="K22" s="51">
        <v>33</v>
      </c>
    </row>
    <row r="23" spans="4:11">
      <c r="D23" s="49">
        <v>46141</v>
      </c>
      <c r="E23" s="16">
        <v>1599302</v>
      </c>
      <c r="F23" s="16" t="s">
        <v>21</v>
      </c>
      <c r="G23" s="50">
        <v>20324084</v>
      </c>
      <c r="H23" s="16" t="s">
        <v>22</v>
      </c>
      <c r="I23" s="50">
        <v>1</v>
      </c>
      <c r="J23" s="51">
        <v>8</v>
      </c>
      <c r="K23" s="51">
        <v>8</v>
      </c>
    </row>
    <row r="24" spans="4:11">
      <c r="D24" s="49">
        <v>46141</v>
      </c>
      <c r="E24" s="16">
        <v>1599302</v>
      </c>
      <c r="F24" s="16" t="s">
        <v>21</v>
      </c>
      <c r="G24" s="50">
        <v>20005930</v>
      </c>
      <c r="H24" s="16" t="s">
        <v>23</v>
      </c>
      <c r="I24" s="50">
        <v>1</v>
      </c>
      <c r="J24" s="51">
        <v>8</v>
      </c>
      <c r="K24" s="51">
        <v>8</v>
      </c>
    </row>
    <row r="25" spans="4:11">
      <c r="D25" s="49">
        <v>46142</v>
      </c>
      <c r="E25" s="16">
        <v>1599734</v>
      </c>
      <c r="F25" s="16" t="s">
        <v>21</v>
      </c>
      <c r="G25" s="50">
        <v>20314990</v>
      </c>
      <c r="H25" s="16" t="s">
        <v>52</v>
      </c>
      <c r="I25" s="50">
        <v>1</v>
      </c>
      <c r="J25" s="51">
        <v>8</v>
      </c>
      <c r="K25" s="51">
        <v>8</v>
      </c>
    </row>
    <row r="26" spans="4:11">
      <c r="D26" s="49">
        <v>46142</v>
      </c>
      <c r="E26" s="16">
        <v>1599734</v>
      </c>
      <c r="F26" s="16" t="s">
        <v>21</v>
      </c>
      <c r="G26" s="50">
        <v>20005930</v>
      </c>
      <c r="H26" s="16" t="s">
        <v>23</v>
      </c>
      <c r="I26" s="50">
        <v>1</v>
      </c>
      <c r="J26" s="51">
        <v>8</v>
      </c>
      <c r="K26" s="51">
        <v>8</v>
      </c>
    </row>
    <row r="27" spans="4:11">
      <c r="D27" s="49">
        <v>46142</v>
      </c>
      <c r="E27" s="16">
        <v>1599734</v>
      </c>
      <c r="F27" s="16" t="s">
        <v>110</v>
      </c>
      <c r="G27" s="50">
        <v>20381087</v>
      </c>
      <c r="H27" s="16" t="s">
        <v>204</v>
      </c>
      <c r="I27" s="50">
        <v>7</v>
      </c>
      <c r="J27" s="51">
        <v>38.5</v>
      </c>
      <c r="K27" s="51">
        <v>269.5</v>
      </c>
    </row>
    <row r="28" spans="4:11">
      <c r="D28" s="49">
        <v>46148</v>
      </c>
      <c r="E28" s="16">
        <v>1600485</v>
      </c>
      <c r="F28" s="16" t="s">
        <v>21</v>
      </c>
      <c r="G28" s="50">
        <v>20005255</v>
      </c>
      <c r="H28" s="16" t="s">
        <v>203</v>
      </c>
      <c r="I28" s="50">
        <v>1</v>
      </c>
      <c r="J28" s="51">
        <v>16.5</v>
      </c>
      <c r="K28" s="51">
        <v>16.5</v>
      </c>
    </row>
    <row r="29" spans="4:11">
      <c r="D29" s="49">
        <v>46148</v>
      </c>
      <c r="E29" s="16">
        <v>1600485</v>
      </c>
      <c r="F29" s="16" t="s">
        <v>21</v>
      </c>
      <c r="G29" s="50">
        <v>20324084</v>
      </c>
      <c r="H29" s="16" t="s">
        <v>22</v>
      </c>
      <c r="I29" s="50">
        <v>1</v>
      </c>
      <c r="J29" s="51">
        <v>8</v>
      </c>
      <c r="K29" s="51">
        <v>8</v>
      </c>
    </row>
    <row r="30" spans="4:11">
      <c r="D30" s="49">
        <v>46148</v>
      </c>
      <c r="E30" s="16">
        <v>1600485</v>
      </c>
      <c r="F30" s="16" t="s">
        <v>21</v>
      </c>
      <c r="G30" s="50">
        <v>20314990</v>
      </c>
      <c r="H30" s="16" t="s">
        <v>52</v>
      </c>
      <c r="I30" s="50">
        <v>2</v>
      </c>
      <c r="J30" s="51">
        <v>8</v>
      </c>
      <c r="K30" s="51">
        <v>16</v>
      </c>
    </row>
    <row r="31" spans="4:11">
      <c r="D31" s="49">
        <v>46148</v>
      </c>
      <c r="E31" s="16">
        <v>1600485</v>
      </c>
      <c r="F31" s="16" t="s">
        <v>21</v>
      </c>
      <c r="G31" s="50">
        <v>20005930</v>
      </c>
      <c r="H31" s="16" t="s">
        <v>23</v>
      </c>
      <c r="I31" s="50">
        <v>5</v>
      </c>
      <c r="J31" s="51">
        <v>8</v>
      </c>
      <c r="K31" s="51">
        <v>40</v>
      </c>
    </row>
    <row r="32" spans="4:11">
      <c r="D32" s="49">
        <v>46150</v>
      </c>
      <c r="E32" s="16">
        <v>1601341</v>
      </c>
      <c r="F32" s="16" t="s">
        <v>21</v>
      </c>
      <c r="G32" s="50">
        <v>20005255</v>
      </c>
      <c r="H32" s="16" t="s">
        <v>203</v>
      </c>
      <c r="I32" s="50">
        <v>2</v>
      </c>
      <c r="J32" s="51">
        <v>16.5</v>
      </c>
      <c r="K32" s="51">
        <v>33</v>
      </c>
    </row>
    <row r="33" spans="4:11">
      <c r="D33" s="49">
        <v>46150</v>
      </c>
      <c r="E33" s="16">
        <v>1601341</v>
      </c>
      <c r="F33" s="16" t="s">
        <v>21</v>
      </c>
      <c r="G33" s="50">
        <v>20381092</v>
      </c>
      <c r="H33" s="16" t="s">
        <v>205</v>
      </c>
      <c r="I33" s="50">
        <v>3</v>
      </c>
      <c r="J33" s="51">
        <v>8</v>
      </c>
      <c r="K33" s="51">
        <v>24</v>
      </c>
    </row>
    <row r="34" spans="4:11">
      <c r="D34" s="49">
        <v>46150</v>
      </c>
      <c r="E34" s="16">
        <v>1601341</v>
      </c>
      <c r="F34" s="16" t="s">
        <v>21</v>
      </c>
      <c r="G34" s="50">
        <v>20005930</v>
      </c>
      <c r="H34" s="16" t="s">
        <v>23</v>
      </c>
      <c r="I34" s="50">
        <v>3</v>
      </c>
      <c r="J34" s="51">
        <v>8</v>
      </c>
      <c r="K34" s="51">
        <v>24</v>
      </c>
    </row>
    <row r="35" spans="4:11">
      <c r="D35" s="49">
        <v>46150</v>
      </c>
      <c r="E35" s="16">
        <v>1601341</v>
      </c>
      <c r="F35" s="16" t="s">
        <v>110</v>
      </c>
      <c r="G35" s="50">
        <v>20381087</v>
      </c>
      <c r="H35" s="16" t="s">
        <v>204</v>
      </c>
      <c r="I35" s="50">
        <v>2</v>
      </c>
      <c r="J35" s="51">
        <v>38.5</v>
      </c>
      <c r="K35" s="51">
        <v>77</v>
      </c>
    </row>
    <row r="36" spans="4:11">
      <c r="D36" s="49">
        <v>46153</v>
      </c>
      <c r="E36" s="16">
        <v>1602033</v>
      </c>
      <c r="F36" s="16" t="s">
        <v>21</v>
      </c>
      <c r="G36" s="50">
        <v>20005255</v>
      </c>
      <c r="H36" s="16" t="s">
        <v>203</v>
      </c>
      <c r="I36" s="50">
        <v>2</v>
      </c>
      <c r="J36" s="51">
        <v>16.5</v>
      </c>
      <c r="K36" s="51">
        <v>33</v>
      </c>
    </row>
    <row r="37" spans="4:11">
      <c r="D37" s="49">
        <v>46153</v>
      </c>
      <c r="E37" s="16">
        <v>1602033</v>
      </c>
      <c r="F37" s="16" t="s">
        <v>21</v>
      </c>
      <c r="G37" s="50">
        <v>20324084</v>
      </c>
      <c r="H37" s="16" t="s">
        <v>22</v>
      </c>
      <c r="I37" s="50">
        <v>2</v>
      </c>
      <c r="J37" s="51">
        <v>8</v>
      </c>
      <c r="K37" s="51">
        <v>16</v>
      </c>
    </row>
    <row r="38" spans="4:11">
      <c r="D38" s="49">
        <v>46153</v>
      </c>
      <c r="E38" s="16">
        <v>1602033</v>
      </c>
      <c r="F38" s="16" t="s">
        <v>21</v>
      </c>
      <c r="G38" s="50">
        <v>20314990</v>
      </c>
      <c r="H38" s="16" t="s">
        <v>52</v>
      </c>
      <c r="I38" s="50">
        <v>10</v>
      </c>
      <c r="J38" s="51">
        <v>8</v>
      </c>
      <c r="K38" s="51">
        <v>80</v>
      </c>
    </row>
    <row r="39" spans="4:11">
      <c r="D39" s="49">
        <v>46153</v>
      </c>
      <c r="E39" s="16">
        <v>1602033</v>
      </c>
      <c r="F39" s="16" t="s">
        <v>21</v>
      </c>
      <c r="G39" s="50">
        <v>20005930</v>
      </c>
      <c r="H39" s="16" t="s">
        <v>23</v>
      </c>
      <c r="I39" s="50">
        <v>6</v>
      </c>
      <c r="J39" s="51">
        <v>8</v>
      </c>
      <c r="K39" s="51">
        <v>48</v>
      </c>
    </row>
    <row r="40" spans="4:11">
      <c r="D40" s="49">
        <v>46156</v>
      </c>
      <c r="E40" s="16">
        <v>1603137</v>
      </c>
      <c r="F40" s="16" t="s">
        <v>21</v>
      </c>
      <c r="G40" s="50">
        <v>20324084</v>
      </c>
      <c r="H40" s="16" t="s">
        <v>22</v>
      </c>
      <c r="I40" s="50">
        <v>6</v>
      </c>
      <c r="J40" s="51">
        <v>8</v>
      </c>
      <c r="K40" s="51">
        <v>48</v>
      </c>
    </row>
    <row r="41" spans="4:11">
      <c r="D41" s="49">
        <v>46156</v>
      </c>
      <c r="E41" s="16">
        <v>1603137</v>
      </c>
      <c r="F41" s="16" t="s">
        <v>21</v>
      </c>
      <c r="G41" s="50">
        <v>20005930</v>
      </c>
      <c r="H41" s="16" t="s">
        <v>23</v>
      </c>
      <c r="I41" s="50">
        <v>6</v>
      </c>
      <c r="J41" s="51">
        <v>8</v>
      </c>
      <c r="K41" s="51">
        <v>48</v>
      </c>
    </row>
    <row r="42" spans="4:11">
      <c r="D42" s="49">
        <v>46156</v>
      </c>
      <c r="E42" s="16">
        <v>1603137</v>
      </c>
      <c r="F42" s="16" t="s">
        <v>110</v>
      </c>
      <c r="G42" s="50">
        <v>20381087</v>
      </c>
      <c r="H42" s="16" t="s">
        <v>204</v>
      </c>
      <c r="I42" s="50">
        <v>5</v>
      </c>
      <c r="J42" s="51">
        <v>38.5</v>
      </c>
      <c r="K42" s="51">
        <v>192.5</v>
      </c>
    </row>
  </sheetData>
  <autoFilter xmlns:etc="http://www.wps.cn/officeDocument/2017/etCustomData" ref="A7:K42" etc:filterBottomFollowUsedRange="0">
    <extLst/>
  </autoFilter>
  <mergeCells count="5">
    <mergeCell ref="D8:H8"/>
    <mergeCell ref="C7:C42"/>
    <mergeCell ref="B4:H5"/>
    <mergeCell ref="A7:B4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&amp;"-,Regular"2026年5月15日 10:08 
&amp;"-,Bold"&amp;10 黑龙江省铂康医疗灭菌有限公司 &amp;R&amp;"Droid Sans Fallback"&amp;9第&amp;P页，共&amp;N页 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view="pageBreakPreview" zoomScaleNormal="100" workbookViewId="0">
      <selection activeCell="I6" sqref="I6"/>
    </sheetView>
  </sheetViews>
  <sheetFormatPr defaultColWidth="9" defaultRowHeight="13.5"/>
  <cols>
    <col min="1" max="1" width="10" customWidth="1"/>
    <col min="3" max="3" width="15.75" customWidth="1"/>
    <col min="4" max="4" width="14.25" customWidth="1"/>
    <col min="5" max="5" width="27.75" customWidth="1"/>
    <col min="6" max="6" width="7.75" customWidth="1"/>
    <col min="7" max="7" width="8.875" customWidth="1"/>
    <col min="8" max="8" width="11.625" customWidth="1"/>
  </cols>
  <sheetData>
    <row r="1" customFormat="1" ht="40" customHeight="1" spans="1:9">
      <c r="A1" s="33" t="s">
        <v>206</v>
      </c>
      <c r="B1" s="33"/>
      <c r="C1" s="33"/>
      <c r="D1" s="33"/>
      <c r="E1" s="33"/>
      <c r="F1" s="33"/>
      <c r="G1" s="33"/>
      <c r="H1" s="33"/>
    </row>
    <row r="2" customFormat="1" customHeight="1" spans="1:9">
      <c r="A2" s="34" t="s">
        <v>207</v>
      </c>
      <c r="B2" s="34"/>
      <c r="C2" s="34"/>
      <c r="D2" s="34"/>
      <c r="E2" s="34"/>
      <c r="F2" s="34"/>
      <c r="G2" s="34"/>
      <c r="H2" s="34"/>
    </row>
    <row r="3" customFormat="1" customHeight="1" spans="1:9">
      <c r="A3" s="34"/>
      <c r="B3" s="34"/>
      <c r="C3" s="34"/>
      <c r="D3" s="34"/>
      <c r="E3" s="34"/>
      <c r="F3" s="34"/>
      <c r="G3" s="34"/>
      <c r="H3" s="34"/>
    </row>
    <row r="4" customFormat="1" customHeight="1" spans="1:9">
      <c r="A4" s="34"/>
      <c r="B4" s="34"/>
      <c r="C4" s="34"/>
      <c r="D4" s="34"/>
      <c r="E4" s="34"/>
      <c r="F4" s="34"/>
      <c r="G4" s="34"/>
      <c r="H4" s="34"/>
      <c r="I4">
        <f>H7+H19+H27+H36</f>
        <v>1559</v>
      </c>
    </row>
    <row r="5" customFormat="1" customHeight="1" spans="1:9">
      <c r="A5" s="35" t="s">
        <v>4</v>
      </c>
      <c r="B5" s="35" t="s">
        <v>5</v>
      </c>
      <c r="C5" s="35" t="s">
        <v>6</v>
      </c>
      <c r="D5" s="35" t="s">
        <v>7</v>
      </c>
      <c r="E5" s="35" t="s">
        <v>8</v>
      </c>
      <c r="F5" s="35" t="s">
        <v>9</v>
      </c>
      <c r="G5" s="35" t="s">
        <v>10</v>
      </c>
      <c r="H5" s="35" t="s">
        <v>11</v>
      </c>
      <c r="I5">
        <f>1559*1.25</f>
        <v>1948.75</v>
      </c>
    </row>
    <row r="6" customFormat="1" spans="1:9">
      <c r="A6" s="36">
        <v>46128</v>
      </c>
      <c r="B6" s="37">
        <v>1595334</v>
      </c>
      <c r="C6" s="37" t="s">
        <v>151</v>
      </c>
      <c r="D6" s="38">
        <v>20392888</v>
      </c>
      <c r="E6" s="37" t="s">
        <v>208</v>
      </c>
      <c r="F6" s="38">
        <v>1</v>
      </c>
      <c r="G6" s="39">
        <v>36</v>
      </c>
      <c r="H6" s="39">
        <v>36</v>
      </c>
    </row>
    <row r="7" customFormat="1" spans="1:9">
      <c r="A7" s="40" t="s">
        <v>209</v>
      </c>
      <c r="B7" s="40"/>
      <c r="C7" s="40"/>
      <c r="D7" s="40"/>
      <c r="E7" s="40"/>
      <c r="F7" s="40"/>
      <c r="G7" s="40"/>
      <c r="H7" s="39">
        <f>SUM(H6:H6)</f>
        <v>36</v>
      </c>
    </row>
    <row r="9" customFormat="1" spans="1:9">
      <c r="A9" s="34" t="s">
        <v>210</v>
      </c>
      <c r="B9" s="34"/>
      <c r="C9" s="34"/>
      <c r="D9" s="34"/>
      <c r="E9" s="34"/>
      <c r="F9" s="34"/>
      <c r="G9" s="34"/>
      <c r="H9" s="34"/>
    </row>
    <row r="10" customFormat="1" spans="1:9">
      <c r="A10" s="34"/>
      <c r="B10" s="34"/>
      <c r="C10" s="34"/>
      <c r="D10" s="34"/>
      <c r="E10" s="34"/>
      <c r="F10" s="34"/>
      <c r="G10" s="34"/>
      <c r="H10" s="34"/>
    </row>
    <row r="11" customFormat="1" spans="1:9">
      <c r="A11" s="34"/>
      <c r="B11" s="34"/>
      <c r="C11" s="34"/>
      <c r="D11" s="34"/>
      <c r="E11" s="34"/>
      <c r="F11" s="34"/>
      <c r="G11" s="34"/>
      <c r="H11" s="34"/>
    </row>
    <row r="12" customFormat="1" spans="1:9">
      <c r="A12" s="35" t="s">
        <v>4</v>
      </c>
      <c r="B12" s="35" t="s">
        <v>5</v>
      </c>
      <c r="C12" s="35" t="s">
        <v>6</v>
      </c>
      <c r="D12" s="35" t="s">
        <v>7</v>
      </c>
      <c r="E12" s="35" t="s">
        <v>8</v>
      </c>
      <c r="F12" s="35" t="s">
        <v>9</v>
      </c>
      <c r="G12" s="35" t="s">
        <v>10</v>
      </c>
      <c r="H12" s="35" t="s">
        <v>11</v>
      </c>
    </row>
    <row r="13" customFormat="1" spans="1:9">
      <c r="A13" s="36">
        <v>46131</v>
      </c>
      <c r="B13" s="37">
        <v>1596235</v>
      </c>
      <c r="C13" s="37" t="s">
        <v>151</v>
      </c>
      <c r="D13" s="38">
        <v>20422024</v>
      </c>
      <c r="E13" s="37" t="s">
        <v>211</v>
      </c>
      <c r="F13" s="38">
        <v>1</v>
      </c>
      <c r="G13" s="39">
        <v>88</v>
      </c>
      <c r="H13" s="39">
        <v>88</v>
      </c>
    </row>
    <row r="14" customFormat="1" spans="1:9">
      <c r="A14" s="36">
        <v>46131</v>
      </c>
      <c r="B14" s="37">
        <v>1596235</v>
      </c>
      <c r="C14" s="37" t="s">
        <v>151</v>
      </c>
      <c r="D14" s="38">
        <v>20417853</v>
      </c>
      <c r="E14" s="37" t="s">
        <v>173</v>
      </c>
      <c r="F14" s="38">
        <v>2</v>
      </c>
      <c r="G14" s="39">
        <v>44</v>
      </c>
      <c r="H14" s="39">
        <v>88</v>
      </c>
    </row>
    <row r="15" customFormat="1" spans="1:9">
      <c r="A15" s="36">
        <v>46131</v>
      </c>
      <c r="B15" s="37">
        <v>1596235</v>
      </c>
      <c r="C15" s="37" t="s">
        <v>122</v>
      </c>
      <c r="D15" s="38">
        <v>20392603</v>
      </c>
      <c r="E15" s="37" t="s">
        <v>212</v>
      </c>
      <c r="F15" s="38">
        <v>1</v>
      </c>
      <c r="G15" s="41">
        <v>300</v>
      </c>
      <c r="H15" s="41">
        <f>G15*F15</f>
        <v>300</v>
      </c>
    </row>
    <row r="16" customFormat="1" spans="1:9">
      <c r="A16" s="36">
        <v>46131</v>
      </c>
      <c r="B16" s="37">
        <v>1596235</v>
      </c>
      <c r="C16" s="37" t="s">
        <v>122</v>
      </c>
      <c r="D16" s="38">
        <v>20392610</v>
      </c>
      <c r="E16" s="42" t="s">
        <v>142</v>
      </c>
      <c r="F16" s="38">
        <v>1</v>
      </c>
      <c r="G16" s="41">
        <v>165</v>
      </c>
      <c r="H16" s="41">
        <f>G16*F16</f>
        <v>165</v>
      </c>
    </row>
    <row r="17" customFormat="1" spans="1:8">
      <c r="A17" s="36">
        <v>46131</v>
      </c>
      <c r="B17" s="37">
        <v>1596235</v>
      </c>
      <c r="C17" s="37" t="s">
        <v>124</v>
      </c>
      <c r="D17" s="38">
        <v>20392576</v>
      </c>
      <c r="E17" s="37" t="s">
        <v>125</v>
      </c>
      <c r="F17" s="38">
        <v>2</v>
      </c>
      <c r="G17" s="39">
        <v>28</v>
      </c>
      <c r="H17" s="39">
        <v>56</v>
      </c>
    </row>
    <row r="18" customFormat="1" spans="1:8">
      <c r="A18" s="36">
        <v>46131</v>
      </c>
      <c r="B18" s="37">
        <v>1596238</v>
      </c>
      <c r="C18" s="37" t="s">
        <v>19</v>
      </c>
      <c r="D18" s="38">
        <v>20388031</v>
      </c>
      <c r="E18" s="37" t="s">
        <v>126</v>
      </c>
      <c r="F18" s="38">
        <v>2</v>
      </c>
      <c r="G18" s="39">
        <v>176</v>
      </c>
      <c r="H18" s="39">
        <v>352</v>
      </c>
    </row>
    <row r="19" spans="1:8">
      <c r="A19" s="40" t="s">
        <v>209</v>
      </c>
      <c r="B19" s="40"/>
      <c r="C19" s="40"/>
      <c r="D19" s="40"/>
      <c r="E19" s="40"/>
      <c r="F19" s="40"/>
      <c r="G19" s="40"/>
      <c r="H19" s="39">
        <f>SUM(H13:H18)</f>
        <v>1049</v>
      </c>
    </row>
    <row r="21" spans="1:8">
      <c r="A21" s="34" t="s">
        <v>213</v>
      </c>
      <c r="B21" s="34"/>
      <c r="C21" s="34"/>
      <c r="D21" s="34"/>
      <c r="E21" s="34"/>
      <c r="F21" s="34"/>
      <c r="G21" s="34"/>
      <c r="H21" s="34"/>
    </row>
    <row r="22" spans="1:8">
      <c r="A22" s="34"/>
      <c r="B22" s="34"/>
      <c r="C22" s="34"/>
      <c r="D22" s="34"/>
      <c r="E22" s="34"/>
      <c r="F22" s="34"/>
      <c r="G22" s="34"/>
      <c r="H22" s="34"/>
    </row>
    <row r="23" spans="1:8">
      <c r="A23" s="34"/>
      <c r="B23" s="34"/>
      <c r="C23" s="34"/>
      <c r="D23" s="34"/>
      <c r="E23" s="34"/>
      <c r="F23" s="34"/>
      <c r="G23" s="34"/>
      <c r="H23" s="34"/>
    </row>
    <row r="24" spans="1:8">
      <c r="A24" s="35" t="s">
        <v>4</v>
      </c>
      <c r="B24" s="35" t="s">
        <v>5</v>
      </c>
      <c r="C24" s="35" t="s">
        <v>6</v>
      </c>
      <c r="D24" s="35" t="s">
        <v>7</v>
      </c>
      <c r="E24" s="35" t="s">
        <v>8</v>
      </c>
      <c r="F24" s="35" t="s">
        <v>9</v>
      </c>
      <c r="G24" s="35" t="s">
        <v>10</v>
      </c>
      <c r="H24" s="35" t="s">
        <v>11</v>
      </c>
    </row>
    <row r="25" spans="1:8">
      <c r="A25" s="36">
        <v>46148</v>
      </c>
      <c r="B25" s="37">
        <v>1600392</v>
      </c>
      <c r="C25" s="37" t="s">
        <v>122</v>
      </c>
      <c r="D25" s="38">
        <v>20392610</v>
      </c>
      <c r="E25" s="42" t="s">
        <v>142</v>
      </c>
      <c r="F25" s="38">
        <v>1</v>
      </c>
      <c r="G25" s="41">
        <v>165</v>
      </c>
      <c r="H25" s="41">
        <f>G25*F25</f>
        <v>165</v>
      </c>
    </row>
    <row r="26" spans="1:8">
      <c r="A26" s="36">
        <v>46148</v>
      </c>
      <c r="B26" s="37">
        <v>1600392</v>
      </c>
      <c r="C26" s="37" t="s">
        <v>124</v>
      </c>
      <c r="D26" s="38">
        <v>20392576</v>
      </c>
      <c r="E26" s="37" t="s">
        <v>125</v>
      </c>
      <c r="F26" s="38">
        <v>1</v>
      </c>
      <c r="G26" s="39">
        <v>28</v>
      </c>
      <c r="H26" s="39">
        <v>28</v>
      </c>
    </row>
    <row r="27" spans="1:8">
      <c r="A27" s="40" t="s">
        <v>209</v>
      </c>
      <c r="B27" s="40"/>
      <c r="C27" s="40"/>
      <c r="D27" s="40"/>
      <c r="E27" s="40"/>
      <c r="F27" s="40"/>
      <c r="G27" s="40"/>
      <c r="H27" s="39">
        <f>SUM(H25:H26)</f>
        <v>193</v>
      </c>
    </row>
    <row r="29" spans="1:8">
      <c r="A29" s="34" t="s">
        <v>214</v>
      </c>
      <c r="B29" s="34"/>
      <c r="C29" s="34"/>
      <c r="D29" s="34"/>
      <c r="E29" s="34"/>
      <c r="F29" s="34"/>
      <c r="G29" s="34"/>
      <c r="H29" s="34"/>
    </row>
    <row r="30" spans="1:8">
      <c r="A30" s="34"/>
      <c r="B30" s="34"/>
      <c r="C30" s="34"/>
      <c r="D30" s="34"/>
      <c r="E30" s="34"/>
      <c r="F30" s="34"/>
      <c r="G30" s="34"/>
      <c r="H30" s="34"/>
    </row>
    <row r="31" spans="1:8">
      <c r="A31" s="34"/>
      <c r="B31" s="34"/>
      <c r="C31" s="34"/>
      <c r="D31" s="34"/>
      <c r="E31" s="34"/>
      <c r="F31" s="34"/>
      <c r="G31" s="34"/>
      <c r="H31" s="34"/>
    </row>
    <row r="32" spans="1:8">
      <c r="A32" s="35" t="s">
        <v>4</v>
      </c>
      <c r="B32" s="35" t="s">
        <v>5</v>
      </c>
      <c r="C32" s="35" t="s">
        <v>6</v>
      </c>
      <c r="D32" s="35" t="s">
        <v>7</v>
      </c>
      <c r="E32" s="35" t="s">
        <v>8</v>
      </c>
      <c r="F32" s="35" t="s">
        <v>9</v>
      </c>
      <c r="G32" s="35" t="s">
        <v>10</v>
      </c>
      <c r="H32" s="35" t="s">
        <v>11</v>
      </c>
    </row>
    <row r="33" spans="1:8">
      <c r="A33" s="36">
        <v>46155</v>
      </c>
      <c r="B33" s="37">
        <v>1602685</v>
      </c>
      <c r="C33" s="37" t="s">
        <v>122</v>
      </c>
      <c r="D33" s="38">
        <v>20395750</v>
      </c>
      <c r="E33" s="37" t="s">
        <v>176</v>
      </c>
      <c r="F33" s="38">
        <v>1</v>
      </c>
      <c r="G33" s="39">
        <v>88</v>
      </c>
      <c r="H33" s="39">
        <v>88</v>
      </c>
    </row>
    <row r="34" spans="1:8">
      <c r="A34" s="36">
        <v>46155</v>
      </c>
      <c r="B34" s="37">
        <v>1602685</v>
      </c>
      <c r="C34" s="37" t="s">
        <v>122</v>
      </c>
      <c r="D34" s="38">
        <v>20392610</v>
      </c>
      <c r="E34" s="37" t="s">
        <v>142</v>
      </c>
      <c r="F34" s="38">
        <v>1</v>
      </c>
      <c r="G34" s="41">
        <v>165</v>
      </c>
      <c r="H34" s="41">
        <f>G34*F34</f>
        <v>165</v>
      </c>
    </row>
    <row r="35" spans="1:8">
      <c r="A35" s="36">
        <v>46155</v>
      </c>
      <c r="B35" s="37">
        <v>1602685</v>
      </c>
      <c r="C35" s="37" t="s">
        <v>124</v>
      </c>
      <c r="D35" s="38">
        <v>20392576</v>
      </c>
      <c r="E35" s="37" t="s">
        <v>125</v>
      </c>
      <c r="F35" s="38">
        <v>1</v>
      </c>
      <c r="G35" s="39">
        <v>28</v>
      </c>
      <c r="H35" s="39">
        <v>28</v>
      </c>
    </row>
    <row r="36" spans="1:8">
      <c r="A36" s="40" t="s">
        <v>209</v>
      </c>
      <c r="B36" s="40"/>
      <c r="C36" s="40"/>
      <c r="D36" s="40"/>
      <c r="E36" s="40"/>
      <c r="F36" s="40"/>
      <c r="G36" s="40"/>
      <c r="H36" s="39">
        <f>SUM(H33:H35)</f>
        <v>281</v>
      </c>
    </row>
  </sheetData>
  <mergeCells count="9">
    <mergeCell ref="A1:H1"/>
    <mergeCell ref="A7:G7"/>
    <mergeCell ref="A19:G19"/>
    <mergeCell ref="A27:G27"/>
    <mergeCell ref="A36:G36"/>
    <mergeCell ref="A2:H4"/>
    <mergeCell ref="A9:H11"/>
    <mergeCell ref="A21:H23"/>
    <mergeCell ref="A29:H31"/>
  </mergeCells>
  <pageMargins left="0.25" right="0.25" top="0.75" bottom="0.75" header="0.298611111111111" footer="0.298611111111111"/>
  <pageSetup paperSize="9" scale="96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view="pageBreakPreview" zoomScaleNormal="100" workbookViewId="0">
      <selection activeCell="B7" sqref="B7:F7"/>
    </sheetView>
  </sheetViews>
  <sheetFormatPr defaultColWidth="9" defaultRowHeight="13.5" outlineLevelCol="7"/>
  <cols>
    <col min="1" max="1" width="1.09166666666667" customWidth="1"/>
    <col min="2" max="2" width="13.7083333333333" customWidth="1"/>
    <col min="3" max="3" width="17.025" customWidth="1"/>
    <col min="4" max="4" width="6.75" customWidth="1"/>
    <col min="5" max="5" width="15.75" customWidth="1"/>
    <col min="6" max="6" width="11.5" customWidth="1"/>
    <col min="7" max="7" width="15.25" customWidth="1"/>
    <col min="8" max="8" width="15.5" customWidth="1"/>
  </cols>
  <sheetData>
    <row r="1" customFormat="1" ht="25.5" customHeight="1" spans="1:8">
      <c r="A1" s="1" t="s">
        <v>215</v>
      </c>
    </row>
    <row r="2" ht="2" customHeight="1"/>
    <row r="3" customFormat="1" ht="12.75" customHeight="1" spans="1:8">
      <c r="A3" s="2" t="s">
        <v>216</v>
      </c>
    </row>
    <row r="5" ht="2.05" customHeight="1"/>
    <row r="6" customFormat="1" ht="1.95" customHeight="1" spans="1:8">
      <c r="A6" s="20" t="s">
        <v>2</v>
      </c>
      <c r="B6" s="20" t="s">
        <v>2</v>
      </c>
      <c r="C6" s="20" t="s">
        <v>2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2</v>
      </c>
    </row>
    <row r="7" customFormat="1" ht="14.25" spans="1:8">
      <c r="A7" s="5" t="s">
        <v>2</v>
      </c>
      <c r="B7" s="21" t="s">
        <v>3</v>
      </c>
      <c r="C7" s="5" t="s">
        <v>2</v>
      </c>
      <c r="D7" s="5" t="s">
        <v>2</v>
      </c>
      <c r="E7" s="5" t="s">
        <v>2</v>
      </c>
      <c r="F7" s="5" t="s">
        <v>2</v>
      </c>
      <c r="G7" s="22" t="s">
        <v>2</v>
      </c>
      <c r="H7" s="23">
        <v>-8</v>
      </c>
    </row>
    <row r="8" customFormat="1" spans="1:8">
      <c r="B8" s="24" t="s">
        <v>217</v>
      </c>
      <c r="C8" s="24" t="s">
        <v>218</v>
      </c>
      <c r="D8" s="24" t="s">
        <v>219</v>
      </c>
      <c r="E8" s="24" t="s">
        <v>220</v>
      </c>
      <c r="F8" s="24" t="s">
        <v>7</v>
      </c>
      <c r="G8" s="24" t="s">
        <v>221</v>
      </c>
      <c r="H8" s="24" t="s">
        <v>222</v>
      </c>
    </row>
    <row r="9" customFormat="1" ht="14.25" spans="1:8">
      <c r="B9" s="10" t="s">
        <v>71</v>
      </c>
      <c r="C9" s="5" t="s">
        <v>2</v>
      </c>
      <c r="D9" s="5" t="s">
        <v>2</v>
      </c>
      <c r="E9" s="5" t="s">
        <v>2</v>
      </c>
      <c r="F9" s="5" t="s">
        <v>2</v>
      </c>
      <c r="G9" s="24" t="s">
        <v>2</v>
      </c>
      <c r="H9" s="25">
        <v>-8</v>
      </c>
    </row>
    <row r="10" customFormat="1" spans="1:8">
      <c r="B10" s="26" t="s">
        <v>223</v>
      </c>
      <c r="C10" s="5" t="s">
        <v>2</v>
      </c>
      <c r="D10" s="5" t="s">
        <v>2</v>
      </c>
      <c r="E10" s="5" t="s">
        <v>2</v>
      </c>
      <c r="F10" s="5" t="s">
        <v>2</v>
      </c>
      <c r="G10" s="27" t="s">
        <v>2</v>
      </c>
      <c r="H10" s="28">
        <v>-8</v>
      </c>
    </row>
    <row r="11" customFormat="1" spans="1:8">
      <c r="B11" s="15">
        <v>3006159176</v>
      </c>
      <c r="C11" s="29">
        <v>46157.609199919</v>
      </c>
      <c r="D11" s="30" t="s">
        <v>224</v>
      </c>
      <c r="E11" s="31">
        <v>46142.0328648148</v>
      </c>
      <c r="F11" s="16">
        <v>20376621</v>
      </c>
      <c r="G11" s="16" t="s">
        <v>74</v>
      </c>
      <c r="H11" s="32">
        <v>-8</v>
      </c>
    </row>
    <row r="12" customFormat="1" spans="1:8"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</row>
    <row r="13" ht="0.05" customHeight="1"/>
    <row r="14" ht="11.6" customHeight="1"/>
  </sheetData>
  <mergeCells count="6">
    <mergeCell ref="A1:G1"/>
    <mergeCell ref="B7:F7"/>
    <mergeCell ref="B9:F9"/>
    <mergeCell ref="B10:F10"/>
    <mergeCell ref="A8:A11"/>
    <mergeCell ref="A3:C4"/>
  </mergeCells>
  <pageMargins left="0.25" right="0.25" top="0.75" bottom="0.75" header="0.298611111111111" footer="0.298611111111111"/>
  <pageSetup paperSize="9" orientation="portrait"/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view="pageBreakPreview" zoomScaleNormal="100" workbookViewId="0">
      <selection activeCell="F20" sqref="F20"/>
    </sheetView>
  </sheetViews>
  <sheetFormatPr defaultColWidth="9" defaultRowHeight="13.5"/>
  <cols>
    <col min="1" max="1" width="0.625" customWidth="1"/>
    <col min="2" max="2" width="9" customWidth="1"/>
    <col min="3" max="3" width="7.75" customWidth="1"/>
    <col min="4" max="4" width="9.4" customWidth="1"/>
    <col min="5" max="5" width="15.4333333333333" customWidth="1"/>
    <col min="6" max="6" width="8.5" customWidth="1"/>
    <col min="7" max="7" width="15.75" customWidth="1"/>
    <col min="8" max="8" width="7.75" customWidth="1"/>
    <col min="9" max="9" width="8.875" customWidth="1"/>
    <col min="10" max="10" width="9.75" customWidth="1"/>
    <col min="11" max="11" width="11.8416666666667" customWidth="1"/>
  </cols>
  <sheetData>
    <row r="1" customFormat="1" spans="1:11">
      <c r="A1" s="1" t="s">
        <v>225</v>
      </c>
    </row>
    <row r="2" ht="23.05" customHeight="1"/>
    <row r="3" ht="2" customHeight="1"/>
    <row r="4" customFormat="1" ht="15.2" customHeight="1" spans="1:11">
      <c r="A4" s="2" t="s">
        <v>226</v>
      </c>
    </row>
    <row r="5" ht="2.95" customHeight="1"/>
    <row r="6" customFormat="1" spans="1:11">
      <c r="B6" s="3" t="s">
        <v>4</v>
      </c>
      <c r="C6" s="3" t="s">
        <v>5</v>
      </c>
      <c r="D6" s="3" t="s">
        <v>227</v>
      </c>
      <c r="E6" s="3" t="s">
        <v>6</v>
      </c>
      <c r="F6" s="3" t="s">
        <v>228</v>
      </c>
      <c r="G6" s="3" t="s">
        <v>8</v>
      </c>
      <c r="H6" s="4" t="s">
        <v>229</v>
      </c>
      <c r="I6" s="4" t="s">
        <v>230</v>
      </c>
      <c r="J6" s="4" t="s">
        <v>10</v>
      </c>
      <c r="K6" s="4" t="s">
        <v>209</v>
      </c>
    </row>
    <row r="7" customFormat="1" ht="15" spans="1:11">
      <c r="A7" s="5" t="s">
        <v>2</v>
      </c>
      <c r="B7" s="6" t="s">
        <v>231</v>
      </c>
      <c r="C7" s="5" t="s">
        <v>2</v>
      </c>
      <c r="D7" s="5" t="s">
        <v>2</v>
      </c>
      <c r="E7" s="5" t="s">
        <v>2</v>
      </c>
      <c r="F7" s="5" t="s">
        <v>2</v>
      </c>
      <c r="G7" s="6" t="s">
        <v>2</v>
      </c>
      <c r="H7" s="7">
        <v>2</v>
      </c>
      <c r="I7" s="8">
        <v>395</v>
      </c>
      <c r="J7" s="6" t="s">
        <v>2</v>
      </c>
      <c r="K7" s="9">
        <v>486</v>
      </c>
    </row>
    <row r="8" customFormat="1" ht="14.25" spans="1:11">
      <c r="B8" s="10" t="s">
        <v>232</v>
      </c>
      <c r="C8" s="5" t="s">
        <v>2</v>
      </c>
      <c r="D8" s="5" t="s">
        <v>2</v>
      </c>
      <c r="E8" s="5" t="s">
        <v>2</v>
      </c>
      <c r="F8" s="5" t="s">
        <v>2</v>
      </c>
      <c r="G8" s="10" t="s">
        <v>2</v>
      </c>
      <c r="H8" s="11">
        <v>2</v>
      </c>
      <c r="I8" s="12">
        <v>395</v>
      </c>
      <c r="J8" s="10" t="s">
        <v>2</v>
      </c>
      <c r="K8" s="13">
        <v>486</v>
      </c>
    </row>
    <row r="9" customFormat="1" ht="24.75" spans="1:11">
      <c r="B9" s="14">
        <v>46137</v>
      </c>
      <c r="C9" s="15">
        <v>1598116</v>
      </c>
      <c r="D9" s="15" t="s">
        <v>233</v>
      </c>
      <c r="E9" s="16" t="s">
        <v>234</v>
      </c>
      <c r="F9" s="15">
        <v>20422968</v>
      </c>
      <c r="G9" s="16" t="s">
        <v>235</v>
      </c>
      <c r="H9" s="17">
        <v>1</v>
      </c>
      <c r="I9" s="18">
        <v>394</v>
      </c>
      <c r="J9" s="19">
        <v>469.5</v>
      </c>
      <c r="K9" s="19">
        <v>469.5</v>
      </c>
    </row>
    <row r="10" customFormat="1" ht="24.75" spans="1:11">
      <c r="B10" s="14">
        <v>46137</v>
      </c>
      <c r="C10" s="15">
        <v>1598116</v>
      </c>
      <c r="D10" s="15" t="s">
        <v>233</v>
      </c>
      <c r="E10" s="16" t="s">
        <v>139</v>
      </c>
      <c r="F10" s="15">
        <v>20422969</v>
      </c>
      <c r="G10" s="16" t="s">
        <v>236</v>
      </c>
      <c r="H10" s="17">
        <v>1</v>
      </c>
      <c r="I10" s="18">
        <v>1</v>
      </c>
      <c r="J10" s="19">
        <v>16.5</v>
      </c>
      <c r="K10" s="19">
        <v>16.5</v>
      </c>
    </row>
    <row r="11" customFormat="1" spans="1:11">
      <c r="B11" s="3" t="s">
        <v>2</v>
      </c>
      <c r="C11" s="3" t="s">
        <v>2</v>
      </c>
      <c r="D11" s="3" t="s">
        <v>2</v>
      </c>
      <c r="E11" s="3" t="s">
        <v>2</v>
      </c>
      <c r="F11" s="3" t="s">
        <v>2</v>
      </c>
      <c r="G11" s="3" t="s">
        <v>2</v>
      </c>
      <c r="H11" s="3" t="s">
        <v>2</v>
      </c>
      <c r="I11" s="3" t="s">
        <v>2</v>
      </c>
      <c r="J11" s="3" t="s">
        <v>2</v>
      </c>
      <c r="K11" s="3" t="s">
        <v>2</v>
      </c>
    </row>
    <row r="12" customFormat="1" spans="1:11">
      <c r="B12" s="3" t="s">
        <v>2</v>
      </c>
      <c r="C12" s="3" t="s">
        <v>2</v>
      </c>
      <c r="D12" s="3" t="s">
        <v>2</v>
      </c>
      <c r="E12" s="3" t="s">
        <v>2</v>
      </c>
      <c r="F12" s="3" t="s">
        <v>2</v>
      </c>
      <c r="G12" s="3" t="s">
        <v>2</v>
      </c>
      <c r="H12" s="3" t="s">
        <v>2</v>
      </c>
      <c r="I12" s="3" t="s">
        <v>2</v>
      </c>
      <c r="J12" s="3" t="s">
        <v>2</v>
      </c>
      <c r="K12" s="3" t="s">
        <v>2</v>
      </c>
    </row>
  </sheetData>
  <mergeCells count="5">
    <mergeCell ref="A4:G4"/>
    <mergeCell ref="B7:F7"/>
    <mergeCell ref="B8:F8"/>
    <mergeCell ref="A8:A11"/>
    <mergeCell ref="A1:G2"/>
  </mergeCells>
  <pageMargins left="0.25" right="0.25" top="0.75" bottom="0.75" header="0.298611111111111" footer="0.298611111111111"/>
  <pageSetup paperSize="9" scale="9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妇科门诊</vt:lpstr>
      <vt:lpstr>急诊科</vt:lpstr>
      <vt:lpstr>口腔科（4楼韩宗凯）</vt:lpstr>
      <vt:lpstr>口腔科（4楼姜杨杨）</vt:lpstr>
      <vt:lpstr>口腔科（4楼金华）</vt:lpstr>
      <vt:lpstr>口腔科（4楼宋雪婧）</vt:lpstr>
      <vt:lpstr>口腔科（4楼于金彪）</vt:lpstr>
      <vt:lpstr>口腔科（5楼白雪）</vt:lpstr>
      <vt:lpstr>口腔科（5楼刘冰）</vt:lpstr>
      <vt:lpstr>口腔科（5楼刘升臣）</vt:lpstr>
      <vt:lpstr>口腔科（5楼穆美玲）</vt:lpstr>
      <vt:lpstr>口腔科（5楼潘昕霞）</vt:lpstr>
      <vt:lpstr>口腔科（5楼姚金辉）</vt:lpstr>
      <vt:lpstr>口腔科（5楼张冬青）</vt:lpstr>
      <vt:lpstr>口腔科（5楼钟志奇）</vt:lpstr>
      <vt:lpstr>口腔科（5楼朱晓丽）</vt:lpstr>
      <vt:lpstr>口腔科（公共二）</vt:lpstr>
      <vt:lpstr>口腔科（公共一）</vt:lpstr>
      <vt:lpstr>口腔科（种植诊室）</vt:lpstr>
      <vt:lpstr>手术室</vt:lpstr>
      <vt:lpstr>外科病房</vt:lpstr>
      <vt:lpstr>五官科</vt:lpstr>
      <vt:lpstr>中医皮肤</vt:lpstr>
      <vt:lpstr>加急</vt:lpstr>
      <vt:lpstr>费用调整</vt:lpstr>
      <vt:lpstr>外来器械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2026-05-15T02:08:00Z</dcterms:created>
  <dcterms:modified xsi:type="dcterms:W3CDTF">2026-05-18T04:56:57Z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053A46D15021482BA1AEC9C1397D00AD_13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