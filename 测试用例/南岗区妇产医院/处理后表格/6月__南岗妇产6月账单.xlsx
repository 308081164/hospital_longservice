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365" windowHeight="12420" firstSheet="1" activeTab="4"/>
  </bookViews>
  <sheets>
    <sheet name="Sheet1" sheetId="4" r:id="rId1"/>
    <sheet name="妇科手术室" sheetId="1" r:id="rId2"/>
    <sheet name="计划生育" sheetId="2" r:id="rId3"/>
    <sheet name="门诊妇科" sheetId="3" r:id="rId4"/>
    <sheet name="调整" sheetId="5" r:id="rId5"/>
  </sheets>
  <definedNames>
    <definedName name="_xlnm._FilterDatabase" localSheetId="2" hidden="1">计划生育!$A$7:$K$53</definedName>
    <definedName name="_xlnm.Print_Titles" localSheetId="1">妇科手术室!$1:$6</definedName>
    <definedName name="_xlnm.Print_Titles" localSheetId="2">计划生育!$1:$6</definedName>
    <definedName name="_xlnm.Print_Titles" localSheetId="3">门诊妇科!$1:$6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<sst xmlns="http://schemas.openxmlformats.org/spreadsheetml/2006/main" count="262" uniqueCount="58">
  <si>
    <t>哈尔滨市南岗区妇产医院各科室2026年6月灭菌价格汇总</t>
  </si>
  <si>
    <t>科室</t>
  </si>
  <si>
    <t>价格</t>
  </si>
  <si>
    <t>签字</t>
  </si>
  <si>
    <t>分娩室</t>
  </si>
  <si>
    <t>妇科手术室</t>
  </si>
  <si>
    <t>化验室</t>
  </si>
  <si>
    <t>计划生育</t>
  </si>
  <si>
    <t>门诊妇科</t>
  </si>
  <si>
    <t>手术室</t>
  </si>
  <si>
    <t>治疗室（三楼）</t>
  </si>
  <si>
    <t>物流费</t>
  </si>
  <si>
    <t/>
  </si>
  <si>
    <t>合计</t>
  </si>
  <si>
    <t>制表人：　　　　    　      　甲方核算人：　　　　　　甲方主管院长签字：</t>
  </si>
  <si>
    <t>黑龙江省铂康医疗灭菌有限公司
2025年6月30日</t>
  </si>
  <si>
    <t>发货单汇总表-显示包装材料</t>
  </si>
  <si>
    <r>
      <rPr>
        <sz val="9"/>
        <color rgb="FF000000"/>
        <rFont val="Droid Sans Fallback"/>
        <charset val="134"/>
      </rPr>
      <t>从:</t>
    </r>
    <r>
      <rPr>
        <sz val="9"/>
        <color rgb="FF000000"/>
        <rFont val="Droid Sans Fallback"/>
        <charset val="134"/>
      </rPr>
      <t>2026/6/1</t>
    </r>
    <r>
      <rPr>
        <sz val="9"/>
        <color rgb="FF000000"/>
        <rFont val="Droid Sans Fallback"/>
        <charset val="134"/>
      </rPr>
      <t xml:space="preserve"> </t>
    </r>
    <r>
      <rPr>
        <sz val="9"/>
        <color rgb="FF000000"/>
        <rFont val="Droid Sans Fallback"/>
        <charset val="134"/>
      </rPr>
      <t>00:00:00</t>
    </r>
    <r>
      <rPr>
        <sz val="9"/>
        <color rgb="FF000000"/>
        <rFont val="Droid Sans Fallback"/>
        <charset val="134"/>
      </rPr>
      <t xml:space="preserve"> 至: </t>
    </r>
    <r>
      <rPr>
        <sz val="9"/>
        <color rgb="FF000000"/>
        <rFont val="Droid Sans Fallback"/>
        <charset val="134"/>
      </rPr>
      <t>2026/6/30</t>
    </r>
    <r>
      <rPr>
        <sz val="9"/>
        <color rgb="FF000000"/>
        <rFont val="Droid Sans Fallback"/>
        <charset val="134"/>
      </rPr>
      <t xml:space="preserve"> </t>
    </r>
    <r>
      <rPr>
        <sz val="9"/>
        <color rgb="FF000000"/>
        <rFont val="Droid Sans Fallback"/>
        <charset val="134"/>
      </rPr>
      <t>23:59:59.999</t>
    </r>
  </si>
  <si>
    <t>南岗区妇产医院</t>
  </si>
  <si>
    <t>发货日期</t>
  </si>
  <si>
    <t>发货单号</t>
  </si>
  <si>
    <t>类型</t>
  </si>
  <si>
    <t>包类别号</t>
  </si>
  <si>
    <t>包名</t>
  </si>
  <si>
    <t>包数</t>
  </si>
  <si>
    <t>单价</t>
  </si>
  <si>
    <t>总价</t>
  </si>
  <si>
    <t>额外包(纸塑袋)</t>
  </si>
  <si>
    <t>带架方盘（算杯2件）/z3044</t>
  </si>
  <si>
    <t>小治疗盘-1/z3032</t>
  </si>
  <si>
    <t>敷料包(纸塑袋)</t>
  </si>
  <si>
    <t>纱布/Z1526</t>
  </si>
  <si>
    <t>棉球/Z2032</t>
  </si>
  <si>
    <t>扩棒7.5-1/z7526</t>
  </si>
  <si>
    <t>器械包(ZSD)</t>
  </si>
  <si>
    <t>取环包（90布）</t>
  </si>
  <si>
    <t>人流包（90布）</t>
  </si>
  <si>
    <t>扩棒（6.5 7 7.5）-3件z7526</t>
  </si>
  <si>
    <t>扩棒（3.5）-1/z7526</t>
  </si>
  <si>
    <t>止血钳-1/z1029</t>
  </si>
  <si>
    <t>上环包（90布）</t>
  </si>
  <si>
    <t>扩棒（4 4.5 5）-3/z7526</t>
  </si>
  <si>
    <t>取环钩-1（保护）/z7534</t>
  </si>
  <si>
    <t>7号吸头-1/z7534</t>
  </si>
  <si>
    <t>上环叉-1/Z1026</t>
  </si>
  <si>
    <t>大镊子-1/z7534</t>
  </si>
  <si>
    <t>扩棒6.5-1/z7526</t>
  </si>
  <si>
    <t>吸头6号-1/z7534</t>
  </si>
  <si>
    <t>从发票中删除-按客户</t>
  </si>
  <si>
    <r>
      <rPr>
        <sz val="9"/>
        <color rgb="FF000000"/>
        <rFont val="Droid Sans Fallback"/>
        <charset val="134"/>
      </rPr>
      <t>从:</t>
    </r>
    <r>
      <rPr>
        <sz val="9"/>
        <color rgb="FF000000"/>
        <rFont val="Droid Sans Fallback"/>
        <charset val="134"/>
      </rPr>
      <t>2026/7/13</t>
    </r>
    <r>
      <rPr>
        <sz val="9"/>
        <color rgb="FF000000"/>
        <rFont val="Droid Sans Fallback"/>
        <charset val="134"/>
      </rPr>
      <t xml:space="preserve"> 至: </t>
    </r>
    <r>
      <rPr>
        <sz val="9"/>
        <color rgb="FF000000"/>
        <rFont val="Droid Sans Fallback"/>
        <charset val="134"/>
      </rPr>
      <t>2026/7/13</t>
    </r>
  </si>
  <si>
    <t>处理序号</t>
  </si>
  <si>
    <t>发票操作时间</t>
  </si>
  <si>
    <t>原因</t>
  </si>
  <si>
    <t>处理序号完成时间</t>
  </si>
  <si>
    <t>包名称</t>
  </si>
  <si>
    <t>金额</t>
  </si>
  <si>
    <t>器械包</t>
  </si>
  <si>
    <t>调整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</si>
</sst>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0804]0.00"/>
    <numFmt numFmtId="177" formatCode="[$-10804]yyyy/m/d\ h:mm:ss"/>
    <numFmt numFmtId="178" formatCode="[$-10804]0.00;\(0.00\)"/>
    <numFmt numFmtId="179" formatCode="[$-10804]yyyy/m/d"/>
    <numFmt numFmtId="180" formatCode="[DBNum2][$RMB]General;[Red][DBNum2][$RMB]General"/>
  </numFmts>
  <fonts count="34">
    <font>
      <sz val="11"/>
      <name val="宋体"/>
      <charset val="134"/>
      <scheme val="minor"/>
    </font>
    <font>
      <sz val="18"/>
      <color rgb="FF000000"/>
      <name val="Droid Sans Fallback"/>
      <charset val="134"/>
    </font>
    <font>
      <sz val="9"/>
      <color rgb="FF000000"/>
      <name val="Droid Sans Fallback"/>
      <charset val="134"/>
    </font>
    <font>
      <sz val="10"/>
      <color rgb="FF000000"/>
      <name val="Droid Sans Fallback"/>
      <charset val="134"/>
    </font>
    <font>
      <b/>
      <sz val="12"/>
      <color rgb="FFFFFFFF"/>
      <name val="Droid Sans Fallback"/>
      <charset val="134"/>
    </font>
    <font>
      <sz val="11"/>
      <color rgb="FF000000"/>
      <name val="Droid Sans Fallback"/>
      <charset val="134"/>
    </font>
    <font>
      <sz val="10"/>
      <color rgb="FF000000"/>
      <name val="宋体"/>
      <charset val="134"/>
    </font>
    <font>
      <sz val="12"/>
      <color rgb="FFFFFFFF"/>
      <name val="Droid Sans Fallback"/>
      <charset val="134"/>
    </font>
    <font>
      <b/>
      <sz val="18"/>
      <color rgb="FF000000"/>
      <name val="Microsoft YaHei"/>
      <charset val="134"/>
    </font>
    <font>
      <b/>
      <sz val="12"/>
      <color rgb="FF000000"/>
      <name val="Microsoft YaHei"/>
      <charset val="134"/>
    </font>
    <font>
      <sz val="11"/>
      <color rgb="FF000000"/>
      <name val="Microsoft YaHei"/>
      <charset val="134"/>
    </font>
    <font>
      <b/>
      <sz val="11"/>
      <color rgb="FF000000"/>
      <name val="Microsoft YaHei"/>
      <charset val="134"/>
    </font>
    <font>
      <sz val="11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6799AF"/>
        <bgColor rgb="FF6799AF"/>
      </patternFill>
    </fill>
    <fill>
      <patternFill patternType="solid">
        <fgColor rgb="FFBCC3CC"/>
        <bgColor rgb="FFBCC3CC"/>
      </patternFill>
    </fill>
    <fill>
      <patternFill patternType="solid">
        <fgColor rgb="FFDFE3E8"/>
        <bgColor rgb="FFDFE3E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00000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1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4" applyNumberFormat="0" applyAlignment="0" applyProtection="0">
      <alignment vertical="center"/>
    </xf>
    <xf numFmtId="0" fontId="23" fillId="7" borderId="15" applyNumberFormat="0" applyAlignment="0" applyProtection="0">
      <alignment vertical="center"/>
    </xf>
    <xf numFmtId="0" fontId="24" fillId="7" borderId="14" applyNumberFormat="0" applyAlignment="0" applyProtection="0">
      <alignment vertical="center"/>
    </xf>
    <xf numFmtId="0" fontId="25" fillId="8" borderId="16" applyNumberFormat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3" fillId="0" borderId="0"/>
  </cellStyleXfs>
  <cellXfs count="56">
    <xf numFmtId="0" fontId="0" fillId="0" borderId="0" xfId="0" applyFont="1" applyFill="1" applyBorder="1" applyAlignment="1"/>
    <xf numFmtId="0" fontId="0" fillId="0" borderId="0" xfId="49" applyFont="1" applyFill="1" applyBorder="1" applyAlignment="1"/>
    <xf numFmtId="0" fontId="1" fillId="0" borderId="0" xfId="49" applyNumberFormat="1" applyFont="1" applyFill="1" applyBorder="1" applyAlignment="1">
      <alignment horizontal="left" vertical="top" wrapText="1" readingOrder="1"/>
    </xf>
    <xf numFmtId="0" fontId="2" fillId="0" borderId="0" xfId="49" applyNumberFormat="1" applyFont="1" applyFill="1" applyBorder="1" applyAlignment="1">
      <alignment vertical="top" wrapText="1" readingOrder="1"/>
    </xf>
    <xf numFmtId="0" fontId="0" fillId="0" borderId="1" xfId="49" applyNumberFormat="1" applyFont="1" applyFill="1" applyBorder="1" applyAlignment="1">
      <alignment vertical="top" wrapText="1"/>
    </xf>
    <xf numFmtId="0" fontId="3" fillId="2" borderId="2" xfId="49" applyNumberFormat="1" applyFont="1" applyFill="1" applyBorder="1" applyAlignment="1">
      <alignment vertical="top" wrapText="1" readingOrder="1"/>
    </xf>
    <xf numFmtId="0" fontId="0" fillId="0" borderId="2" xfId="49" applyNumberFormat="1" applyFont="1" applyFill="1" applyBorder="1" applyAlignment="1">
      <alignment vertical="top" wrapText="1"/>
    </xf>
    <xf numFmtId="0" fontId="4" fillId="2" borderId="2" xfId="49" applyNumberFormat="1" applyFont="1" applyFill="1" applyBorder="1" applyAlignment="1">
      <alignment vertical="top" wrapText="1" readingOrder="1"/>
    </xf>
    <xf numFmtId="176" fontId="3" fillId="2" borderId="2" xfId="49" applyNumberFormat="1" applyFont="1" applyFill="1" applyBorder="1" applyAlignment="1">
      <alignment vertical="top" wrapText="1" readingOrder="1"/>
    </xf>
    <xf numFmtId="0" fontId="3" fillId="0" borderId="0" xfId="49" applyNumberFormat="1" applyFont="1" applyFill="1" applyBorder="1" applyAlignment="1">
      <alignment vertical="top" wrapText="1" readingOrder="1"/>
    </xf>
    <xf numFmtId="0" fontId="3" fillId="3" borderId="2" xfId="49" applyNumberFormat="1" applyFont="1" applyFill="1" applyBorder="1" applyAlignment="1">
      <alignment vertical="top" wrapText="1" readingOrder="1"/>
    </xf>
    <xf numFmtId="0" fontId="5" fillId="3" borderId="2" xfId="49" applyNumberFormat="1" applyFont="1" applyFill="1" applyBorder="1" applyAlignment="1">
      <alignment vertical="top" wrapText="1" readingOrder="1"/>
    </xf>
    <xf numFmtId="176" fontId="3" fillId="3" borderId="2" xfId="49" applyNumberFormat="1" applyFont="1" applyFill="1" applyBorder="1" applyAlignment="1">
      <alignment vertical="top" wrapText="1" readingOrder="1"/>
    </xf>
    <xf numFmtId="0" fontId="3" fillId="4" borderId="2" xfId="49" applyNumberFormat="1" applyFont="1" applyFill="1" applyBorder="1" applyAlignment="1">
      <alignment horizontal="left" vertical="top" wrapText="1" readingOrder="1"/>
    </xf>
    <xf numFmtId="0" fontId="3" fillId="4" borderId="2" xfId="49" applyNumberFormat="1" applyFont="1" applyFill="1" applyBorder="1" applyAlignment="1">
      <alignment vertical="top" wrapText="1" readingOrder="1"/>
    </xf>
    <xf numFmtId="176" fontId="3" fillId="4" borderId="2" xfId="49" applyNumberFormat="1" applyFont="1" applyFill="1" applyBorder="1" applyAlignment="1">
      <alignment vertical="top" wrapText="1" readingOrder="1"/>
    </xf>
    <xf numFmtId="0" fontId="3" fillId="0" borderId="3" xfId="49" applyNumberFormat="1" applyFont="1" applyFill="1" applyBorder="1" applyAlignment="1">
      <alignment horizontal="left" vertical="top" wrapText="1" readingOrder="1"/>
    </xf>
    <xf numFmtId="177" fontId="3" fillId="0" borderId="3" xfId="49" applyNumberFormat="1" applyFont="1" applyFill="1" applyBorder="1" applyAlignment="1">
      <alignment horizontal="left" vertical="top" wrapText="1" readingOrder="1"/>
    </xf>
    <xf numFmtId="0" fontId="6" fillId="0" borderId="3" xfId="49" applyNumberFormat="1" applyFont="1" applyFill="1" applyBorder="1" applyAlignment="1">
      <alignment vertical="top" wrapText="1" readingOrder="1"/>
    </xf>
    <xf numFmtId="177" fontId="3" fillId="0" borderId="3" xfId="49" applyNumberFormat="1" applyFont="1" applyFill="1" applyBorder="1" applyAlignment="1">
      <alignment vertical="top" wrapText="1" readingOrder="1"/>
    </xf>
    <xf numFmtId="0" fontId="3" fillId="0" borderId="3" xfId="49" applyNumberFormat="1" applyFont="1" applyFill="1" applyBorder="1" applyAlignment="1">
      <alignment vertical="top" wrapText="1" readingOrder="1"/>
    </xf>
    <xf numFmtId="176" fontId="3" fillId="0" borderId="3" xfId="49" applyNumberFormat="1" applyFont="1" applyFill="1" applyBorder="1" applyAlignment="1">
      <alignment vertical="top" wrapText="1" readingOrder="1"/>
    </xf>
    <xf numFmtId="0" fontId="1" fillId="0" borderId="0" xfId="0" applyNumberFormat="1" applyFont="1" applyFill="1" applyBorder="1" applyAlignment="1">
      <alignment horizontal="left" vertical="top" wrapText="1" readingOrder="1"/>
    </xf>
    <xf numFmtId="0" fontId="2" fillId="0" borderId="0" xfId="0" applyNumberFormat="1" applyFont="1" applyFill="1" applyBorder="1" applyAlignment="1">
      <alignment vertical="top" wrapText="1" readingOrder="1"/>
    </xf>
    <xf numFmtId="0" fontId="3" fillId="0" borderId="0" xfId="0" applyNumberFormat="1" applyFont="1" applyFill="1" applyBorder="1" applyAlignment="1">
      <alignment vertical="top" wrapText="1" readingOrder="1"/>
    </xf>
    <xf numFmtId="0" fontId="0" fillId="0" borderId="1" xfId="0" applyNumberFormat="1" applyFont="1" applyFill="1" applyBorder="1" applyAlignment="1">
      <alignment vertical="top" wrapText="1"/>
    </xf>
    <xf numFmtId="0" fontId="3" fillId="0" borderId="1" xfId="0" applyNumberFormat="1" applyFont="1" applyFill="1" applyBorder="1" applyAlignment="1">
      <alignment vertical="top" wrapText="1" readingOrder="1"/>
    </xf>
    <xf numFmtId="0" fontId="3" fillId="0" borderId="4" xfId="0" applyNumberFormat="1" applyFont="1" applyFill="1" applyBorder="1" applyAlignment="1">
      <alignment horizontal="center" vertical="top" wrapText="1" readingOrder="1"/>
    </xf>
    <xf numFmtId="0" fontId="5" fillId="3" borderId="3" xfId="0" applyNumberFormat="1" applyFont="1" applyFill="1" applyBorder="1" applyAlignment="1">
      <alignment vertical="top" wrapText="1" readingOrder="1"/>
    </xf>
    <xf numFmtId="0" fontId="0" fillId="0" borderId="5" xfId="0" applyNumberFormat="1" applyFont="1" applyFill="1" applyBorder="1" applyAlignment="1">
      <alignment vertical="top" wrapText="1"/>
    </xf>
    <xf numFmtId="0" fontId="5" fillId="3" borderId="3" xfId="0" applyNumberFormat="1" applyFont="1" applyFill="1" applyBorder="1" applyAlignment="1">
      <alignment horizontal="center" vertical="top" wrapText="1" readingOrder="1"/>
    </xf>
    <xf numFmtId="178" fontId="5" fillId="3" borderId="3" xfId="0" applyNumberFormat="1" applyFont="1" applyFill="1" applyBorder="1" applyAlignment="1">
      <alignment horizontal="center" vertical="top" wrapText="1" readingOrder="1"/>
    </xf>
    <xf numFmtId="179" fontId="3" fillId="0" borderId="3" xfId="0" applyNumberFormat="1" applyFont="1" applyFill="1" applyBorder="1" applyAlignment="1">
      <alignment vertical="top" wrapText="1" readingOrder="1"/>
    </xf>
    <xf numFmtId="0" fontId="3" fillId="0" borderId="3" xfId="0" applyNumberFormat="1" applyFont="1" applyFill="1" applyBorder="1" applyAlignment="1">
      <alignment vertical="top" wrapText="1" readingOrder="1"/>
    </xf>
    <xf numFmtId="0" fontId="3" fillId="0" borderId="3" xfId="0" applyNumberFormat="1" applyFont="1" applyFill="1" applyBorder="1" applyAlignment="1">
      <alignment horizontal="center" vertical="top" wrapText="1" readingOrder="1"/>
    </xf>
    <xf numFmtId="178" fontId="3" fillId="0" borderId="3" xfId="0" applyNumberFormat="1" applyFont="1" applyFill="1" applyBorder="1" applyAlignment="1">
      <alignment horizontal="center" vertical="top" wrapText="1" readingOrder="1"/>
    </xf>
    <xf numFmtId="0" fontId="7" fillId="2" borderId="3" xfId="0" applyNumberFormat="1" applyFont="1" applyFill="1" applyBorder="1" applyAlignment="1">
      <alignment vertical="top" wrapText="1" readingOrder="1"/>
    </xf>
    <xf numFmtId="0" fontId="7" fillId="2" borderId="3" xfId="0" applyNumberFormat="1" applyFont="1" applyFill="1" applyBorder="1" applyAlignment="1">
      <alignment horizontal="center" vertical="top" wrapText="1" readingOrder="1"/>
    </xf>
    <xf numFmtId="178" fontId="7" fillId="2" borderId="3" xfId="0" applyNumberFormat="1" applyFont="1" applyFill="1" applyBorder="1" applyAlignment="1">
      <alignment horizontal="center" vertical="top" wrapText="1" readingOrder="1"/>
    </xf>
    <xf numFmtId="0" fontId="8" fillId="0" borderId="6" xfId="0" applyNumberFormat="1" applyFont="1" applyFill="1" applyBorder="1" applyAlignment="1">
      <alignment horizontal="center" vertical="center" wrapText="1" readingOrder="1"/>
    </xf>
    <xf numFmtId="0" fontId="8" fillId="0" borderId="7" xfId="0" applyNumberFormat="1" applyFont="1" applyFill="1" applyBorder="1" applyAlignment="1">
      <alignment horizontal="center" vertical="center" wrapText="1" readingOrder="1"/>
    </xf>
    <xf numFmtId="0" fontId="8" fillId="0" borderId="8" xfId="0" applyNumberFormat="1" applyFont="1" applyFill="1" applyBorder="1" applyAlignment="1">
      <alignment horizontal="center" vertical="center" wrapText="1" readingOrder="1"/>
    </xf>
    <xf numFmtId="0" fontId="9" fillId="0" borderId="9" xfId="0" applyNumberFormat="1" applyFont="1" applyFill="1" applyBorder="1" applyAlignment="1">
      <alignment horizontal="center" vertical="center" wrapText="1" readingOrder="1"/>
    </xf>
    <xf numFmtId="0" fontId="10" fillId="0" borderId="10" xfId="0" applyNumberFormat="1" applyFont="1" applyFill="1" applyBorder="1" applyAlignment="1">
      <alignment horizontal="center" vertical="center" wrapText="1" readingOrder="1"/>
    </xf>
    <xf numFmtId="178" fontId="5" fillId="0" borderId="10" xfId="0" applyNumberFormat="1" applyFont="1" applyFill="1" applyBorder="1" applyAlignment="1">
      <alignment horizontal="center" vertical="center" wrapText="1" readingOrder="1"/>
    </xf>
    <xf numFmtId="178" fontId="10" fillId="0" borderId="10" xfId="0" applyNumberFormat="1" applyFont="1" applyFill="1" applyBorder="1" applyAlignment="1">
      <alignment horizontal="center" vertical="center" wrapText="1" readingOrder="1"/>
    </xf>
    <xf numFmtId="0" fontId="0" fillId="0" borderId="10" xfId="0" applyFont="1" applyFill="1" applyBorder="1" applyAlignment="1">
      <alignment vertical="center"/>
    </xf>
    <xf numFmtId="0" fontId="0" fillId="0" borderId="10" xfId="0" applyFont="1" applyFill="1" applyBorder="1" applyAlignment="1"/>
    <xf numFmtId="0" fontId="11" fillId="0" borderId="10" xfId="0" applyNumberFormat="1" applyFont="1" applyFill="1" applyBorder="1" applyAlignment="1">
      <alignment horizontal="center" vertical="center" wrapText="1" readingOrder="1"/>
    </xf>
    <xf numFmtId="180" fontId="10" fillId="0" borderId="10" xfId="0" applyNumberFormat="1" applyFont="1" applyFill="1" applyBorder="1" applyAlignment="1">
      <alignment horizontal="center" vertical="center" wrapText="1" readingOrder="1"/>
    </xf>
    <xf numFmtId="180" fontId="12" fillId="0" borderId="10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horizontal="center" vertical="center" wrapText="1" readingOrder="1"/>
    </xf>
    <xf numFmtId="0" fontId="10" fillId="0" borderId="0" xfId="0" applyNumberFormat="1" applyFont="1" applyFill="1" applyBorder="1" applyAlignment="1">
      <alignment horizontal="center" vertical="center" wrapText="1" readingOrder="1"/>
    </xf>
    <xf numFmtId="0" fontId="12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>
      <alignment horizontal="right" vertical="center" wrapText="1" readingOrder="1"/>
    </xf>
    <xf numFmtId="0" fontId="12" fillId="0" borderId="0" xfId="0" applyFont="1" applyFill="1" applyBorder="1" applyAlignment="1">
      <alignment horizontal="righ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808080"/>
      <rgbColor rgb="006799AF"/>
      <rgbColor rgb="00FFFFFF"/>
      <rgbColor rgb="00BCC3CC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FF000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161290</xdr:colOff>
      <xdr:row>1</xdr:row>
      <xdr:rowOff>38100</xdr:rowOff>
    </xdr:from>
    <xdr:to>
      <xdr:col>10</xdr:col>
      <xdr:colOff>671278</xdr:colOff>
      <xdr:row>4</xdr:row>
      <xdr:rowOff>35560</xdr:rowOff>
    </xdr:to>
    <xdr:pic>
      <xdr:nvPicPr>
        <xdr:cNvPr id="2" name="Picture 1"/>
        <xdr:cNvPicPr/>
      </xdr:nvPicPr>
      <xdr:blipFill>
        <a:blip r:embed="rId1" cstate="print"/>
        <a:stretch>
          <a:fillRect/>
        </a:stretch>
      </xdr:blipFill>
      <xdr:spPr>
        <a:xfrm>
          <a:off x="6784340" y="209550"/>
          <a:ext cx="509905" cy="5086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723265</xdr:colOff>
      <xdr:row>1</xdr:row>
      <xdr:rowOff>57150</xdr:rowOff>
    </xdr:from>
    <xdr:to>
      <xdr:col>10</xdr:col>
      <xdr:colOff>302978</xdr:colOff>
      <xdr:row>4</xdr:row>
      <xdr:rowOff>54610</xdr:rowOff>
    </xdr:to>
    <xdr:pic>
      <xdr:nvPicPr>
        <xdr:cNvPr id="2" name="Picture 1"/>
        <xdr:cNvPicPr/>
      </xdr:nvPicPr>
      <xdr:blipFill>
        <a:blip r:embed="rId1" cstate="print"/>
        <a:stretch>
          <a:fillRect/>
        </a:stretch>
      </xdr:blipFill>
      <xdr:spPr>
        <a:xfrm>
          <a:off x="6751320" y="228600"/>
          <a:ext cx="509905" cy="508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151765</xdr:colOff>
      <xdr:row>1</xdr:row>
      <xdr:rowOff>123825</xdr:rowOff>
    </xdr:from>
    <xdr:to>
      <xdr:col>10</xdr:col>
      <xdr:colOff>710565</xdr:colOff>
      <xdr:row>4</xdr:row>
      <xdr:rowOff>121285</xdr:rowOff>
    </xdr:to>
    <xdr:pic>
      <xdr:nvPicPr>
        <xdr:cNvPr id="2" name="Picture 1"/>
        <xdr:cNvPicPr/>
      </xdr:nvPicPr>
      <xdr:blipFill>
        <a:blip r:embed="rId1" cstate="print"/>
        <a:stretch>
          <a:fillRect/>
        </a:stretch>
      </xdr:blipFill>
      <xdr:spPr>
        <a:xfrm>
          <a:off x="6774815" y="295275"/>
          <a:ext cx="558800" cy="508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295275</xdr:colOff>
      <xdr:row>0</xdr:row>
      <xdr:rowOff>38735</xdr:rowOff>
    </xdr:from>
    <xdr:to>
      <xdr:col>9</xdr:col>
      <xdr:colOff>805263</xdr:colOff>
      <xdr:row>3</xdr:row>
      <xdr:rowOff>29210</xdr:rowOff>
    </xdr:to>
    <xdr:pic>
      <xdr:nvPicPr>
        <xdr:cNvPr id="2" name="Picture 1"/>
        <xdr:cNvPicPr/>
      </xdr:nvPicPr>
      <xdr:blipFill>
        <a:blip r:embed="rId1" cstate="print"/>
        <a:stretch>
          <a:fillRect/>
        </a:stretch>
      </xdr:blipFill>
      <xdr:spPr>
        <a:xfrm>
          <a:off x="7033895" y="38735"/>
          <a:ext cx="509905" cy="501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view="pageBreakPreview" zoomScaleNormal="100" workbookViewId="0">
      <selection activeCell="A10" sqref="A10:F10"/>
    </sheetView>
  </sheetViews>
  <sheetFormatPr defaultColWidth="9" defaultRowHeight="13.5" outlineLevelCol="5"/>
  <cols>
    <col min="1" max="1" width="16.25" customWidth="1"/>
    <col min="2" max="2" width="14.5083333333333" customWidth="1"/>
    <col min="3" max="3" width="18.125" customWidth="1"/>
    <col min="4" max="4" width="16.175" customWidth="1"/>
    <col min="5" max="5" width="13.5083333333333" customWidth="1"/>
    <col min="6" max="6" width="18.75" customWidth="1"/>
  </cols>
  <sheetData>
    <row r="1" customFormat="1" ht="38.75" customHeight="1" spans="1:6">
      <c r="A1" s="39" t="s">
        <v>0</v>
      </c>
      <c r="B1" s="40"/>
      <c r="C1" s="40"/>
      <c r="D1" s="40"/>
      <c r="E1" s="40"/>
      <c r="F1" s="41"/>
    </row>
    <row r="2" customFormat="1" ht="31.25" customHeight="1" spans="1:6">
      <c r="A2" s="42" t="s">
        <v>1</v>
      </c>
      <c r="B2" s="42" t="s">
        <v>2</v>
      </c>
      <c r="C2" s="42" t="s">
        <v>3</v>
      </c>
      <c r="D2" s="42" t="s">
        <v>1</v>
      </c>
      <c r="E2" s="42" t="s">
        <v>2</v>
      </c>
      <c r="F2" s="42" t="s">
        <v>3</v>
      </c>
    </row>
    <row r="3" customFormat="1" ht="30.5" customHeight="1" spans="1:6">
      <c r="A3" s="43" t="s">
        <v>4</v>
      </c>
      <c r="B3" s="44"/>
      <c r="C3" s="45"/>
      <c r="D3" s="43" t="s">
        <v>5</v>
      </c>
      <c r="E3" s="44">
        <v>234.5</v>
      </c>
      <c r="F3" s="45"/>
    </row>
    <row r="4" customFormat="1" ht="30.5" customHeight="1" spans="1:6">
      <c r="A4" s="43" t="s">
        <v>6</v>
      </c>
      <c r="B4" s="45"/>
      <c r="C4" s="45"/>
      <c r="D4" s="43" t="s">
        <v>7</v>
      </c>
      <c r="E4" s="44">
        <f>2593+调整!J7</f>
        <v>2560</v>
      </c>
      <c r="F4" s="45"/>
    </row>
    <row r="5" customFormat="1" ht="30.5" customHeight="1" spans="1:6">
      <c r="A5" s="43" t="s">
        <v>8</v>
      </c>
      <c r="B5" s="44">
        <v>57.5</v>
      </c>
      <c r="C5" s="45"/>
      <c r="D5" s="43" t="s">
        <v>9</v>
      </c>
      <c r="E5" s="44"/>
      <c r="F5" s="45"/>
    </row>
    <row r="6" customFormat="1" ht="30.5" customHeight="1" spans="1:6">
      <c r="A6" s="43" t="s">
        <v>10</v>
      </c>
      <c r="B6" s="44"/>
      <c r="C6" s="45"/>
      <c r="D6" s="46"/>
      <c r="E6" s="46"/>
      <c r="F6" s="43"/>
    </row>
    <row r="7" customFormat="1" ht="30.5" customHeight="1" spans="1:6">
      <c r="A7" s="43" t="s">
        <v>11</v>
      </c>
      <c r="B7" s="45">
        <v>500</v>
      </c>
      <c r="C7" s="45"/>
      <c r="D7" s="47"/>
      <c r="E7" s="43"/>
      <c r="F7" s="43" t="s">
        <v>12</v>
      </c>
    </row>
    <row r="8" customFormat="1" ht="30.5" customHeight="1" spans="1:6">
      <c r="A8" s="48" t="s">
        <v>13</v>
      </c>
      <c r="B8" s="45">
        <f>B5+E3+E4+B7</f>
        <v>3352</v>
      </c>
      <c r="C8" s="45"/>
      <c r="D8" s="49">
        <f>B8</f>
        <v>3352</v>
      </c>
      <c r="E8" s="49"/>
      <c r="F8" s="50"/>
    </row>
    <row r="9" customFormat="1" ht="30.5" customHeight="1" spans="1:6">
      <c r="A9" s="51" t="s">
        <v>12</v>
      </c>
      <c r="B9" s="51" t="s">
        <v>12</v>
      </c>
      <c r="C9" s="51"/>
      <c r="D9" s="51" t="s">
        <v>12</v>
      </c>
      <c r="E9" s="51"/>
      <c r="F9" s="51" t="s">
        <v>12</v>
      </c>
    </row>
    <row r="10" customFormat="1" ht="30.5" customHeight="1" spans="1:6">
      <c r="A10" s="52" t="s">
        <v>14</v>
      </c>
      <c r="B10" s="53"/>
      <c r="C10" s="53"/>
      <c r="D10" s="53"/>
      <c r="E10" s="53"/>
      <c r="F10" s="53"/>
    </row>
    <row r="11" customFormat="1" ht="90" customHeight="1" spans="1:6">
      <c r="A11" s="54" t="s">
        <v>15</v>
      </c>
      <c r="B11" s="55"/>
      <c r="C11" s="55"/>
      <c r="D11" s="55"/>
      <c r="E11" s="55"/>
      <c r="F11" s="55"/>
    </row>
  </sheetData>
  <mergeCells count="4">
    <mergeCell ref="A1:F1"/>
    <mergeCell ref="D8:F8"/>
    <mergeCell ref="A10:F10"/>
    <mergeCell ref="A11:F11"/>
  </mergeCells>
  <pageMargins left="0.25" right="0.25" top="0.75" bottom="0.75" header="0.298611111111111" footer="0.298611111111111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showGridLines="0" view="pageBreakPreview" zoomScaleNormal="100" workbookViewId="0">
      <pane ySplit="6" topLeftCell="A7" activePane="bottomLeft" state="frozen"/>
      <selection/>
      <selection pane="bottomLeft" activeCell="L1" sqref="L$1:L$1048576"/>
    </sheetView>
  </sheetViews>
  <sheetFormatPr defaultColWidth="9" defaultRowHeight="13.5"/>
  <cols>
    <col min="1" max="2" width="0.225" customWidth="1"/>
    <col min="3" max="3" width="0.433333333333333" customWidth="1"/>
    <col min="4" max="4" width="9.28333333333333" customWidth="1"/>
    <col min="5" max="5" width="8.93333333333333" customWidth="1"/>
    <col min="6" max="6" width="14.95" customWidth="1"/>
    <col min="7" max="7" width="9.36666666666667" customWidth="1"/>
    <col min="8" max="8" width="24.8166666666667" customWidth="1"/>
    <col min="9" max="9" width="6.475" customWidth="1"/>
    <col min="10" max="10" width="12.2083333333333" customWidth="1"/>
    <col min="11" max="11" width="10.5" customWidth="1"/>
  </cols>
  <sheetData>
    <row r="1" spans="2:11">
      <c r="C1" s="22" t="s">
        <v>16</v>
      </c>
    </row>
    <row r="2" ht="23.05" customHeight="1"/>
    <row r="3" ht="2" customHeight="1"/>
    <row r="4" ht="15.2" customHeight="1" spans="2:11">
      <c r="B4" s="23" t="s">
        <v>17</v>
      </c>
    </row>
    <row r="6" ht="2.95" customHeight="1"/>
    <row r="7" ht="3.95" customHeight="1" spans="2:11">
      <c r="B7" s="25" t="s">
        <v>12</v>
      </c>
      <c r="C7" s="25" t="s">
        <v>12</v>
      </c>
      <c r="D7" s="25" t="s">
        <v>12</v>
      </c>
      <c r="E7" s="25" t="s">
        <v>12</v>
      </c>
      <c r="F7" s="25" t="s">
        <v>12</v>
      </c>
      <c r="G7" s="25" t="s">
        <v>12</v>
      </c>
      <c r="H7" s="25" t="s">
        <v>12</v>
      </c>
      <c r="I7" s="25" t="s">
        <v>12</v>
      </c>
      <c r="J7" s="25" t="s">
        <v>12</v>
      </c>
      <c r="K7" s="25" t="s">
        <v>12</v>
      </c>
    </row>
    <row r="8" ht="15" spans="2:11">
      <c r="C8" s="24" t="s">
        <v>12</v>
      </c>
      <c r="D8" s="36" t="s">
        <v>18</v>
      </c>
      <c r="E8" s="29" t="s">
        <v>12</v>
      </c>
      <c r="F8" s="29" t="s">
        <v>12</v>
      </c>
      <c r="G8" s="29" t="s">
        <v>12</v>
      </c>
      <c r="H8" s="29" t="s">
        <v>12</v>
      </c>
      <c r="I8" s="37"/>
      <c r="J8" s="38"/>
      <c r="K8" s="38"/>
    </row>
    <row r="9" spans="2:11">
      <c r="C9" s="24" t="s">
        <v>12</v>
      </c>
      <c r="D9" s="34" t="s">
        <v>19</v>
      </c>
      <c r="E9" s="34" t="s">
        <v>20</v>
      </c>
      <c r="F9" s="34" t="s">
        <v>21</v>
      </c>
      <c r="G9" s="34" t="s">
        <v>22</v>
      </c>
      <c r="H9" s="34" t="s">
        <v>23</v>
      </c>
      <c r="I9" s="34" t="s">
        <v>24</v>
      </c>
      <c r="J9" s="34" t="s">
        <v>25</v>
      </c>
      <c r="K9" s="34" t="s">
        <v>26</v>
      </c>
    </row>
    <row r="10" ht="14.25" spans="2:11">
      <c r="D10" s="28" t="s">
        <v>5</v>
      </c>
      <c r="E10" s="29" t="s">
        <v>12</v>
      </c>
      <c r="F10" s="29" t="s">
        <v>12</v>
      </c>
      <c r="G10" s="29" t="s">
        <v>12</v>
      </c>
      <c r="H10" s="29" t="s">
        <v>12</v>
      </c>
      <c r="I10" s="30">
        <v>39</v>
      </c>
      <c r="J10" s="31"/>
      <c r="K10" s="31">
        <v>234.5</v>
      </c>
    </row>
    <row r="11" spans="2:11">
      <c r="D11" s="32">
        <v>46174</v>
      </c>
      <c r="E11" s="33">
        <v>1608172</v>
      </c>
      <c r="F11" s="33" t="s">
        <v>27</v>
      </c>
      <c r="G11" s="34">
        <v>20314625</v>
      </c>
      <c r="H11" s="33" t="s">
        <v>28</v>
      </c>
      <c r="I11" s="34">
        <v>1</v>
      </c>
      <c r="J11" s="35">
        <v>16.5</v>
      </c>
      <c r="K11" s="35">
        <v>16.5</v>
      </c>
    </row>
    <row r="12" spans="2:11">
      <c r="D12" s="32">
        <v>46174</v>
      </c>
      <c r="E12" s="33">
        <v>1608172</v>
      </c>
      <c r="F12" s="33" t="s">
        <v>27</v>
      </c>
      <c r="G12" s="34">
        <v>20314623</v>
      </c>
      <c r="H12" s="33" t="s">
        <v>29</v>
      </c>
      <c r="I12" s="34">
        <v>1</v>
      </c>
      <c r="J12" s="35">
        <v>16</v>
      </c>
      <c r="K12" s="35">
        <v>16</v>
      </c>
    </row>
    <row r="13" spans="2:11">
      <c r="D13" s="32">
        <v>46181</v>
      </c>
      <c r="E13" s="33">
        <v>1610256</v>
      </c>
      <c r="F13" s="33" t="s">
        <v>27</v>
      </c>
      <c r="G13" s="34">
        <v>20314625</v>
      </c>
      <c r="H13" s="33" t="s">
        <v>28</v>
      </c>
      <c r="I13" s="34">
        <v>1</v>
      </c>
      <c r="J13" s="35">
        <v>16.5</v>
      </c>
      <c r="K13" s="35">
        <v>16.5</v>
      </c>
    </row>
    <row r="14" spans="2:11">
      <c r="D14" s="32">
        <v>46181</v>
      </c>
      <c r="E14" s="33">
        <v>1610256</v>
      </c>
      <c r="F14" s="33" t="s">
        <v>27</v>
      </c>
      <c r="G14" s="34">
        <v>20314623</v>
      </c>
      <c r="H14" s="33" t="s">
        <v>29</v>
      </c>
      <c r="I14" s="34">
        <v>1</v>
      </c>
      <c r="J14" s="35">
        <v>16</v>
      </c>
      <c r="K14" s="35">
        <v>16</v>
      </c>
    </row>
    <row r="15" spans="2:11">
      <c r="D15" s="32">
        <v>46181</v>
      </c>
      <c r="E15" s="33">
        <v>1610256</v>
      </c>
      <c r="F15" s="33" t="s">
        <v>30</v>
      </c>
      <c r="G15" s="34">
        <v>20314618</v>
      </c>
      <c r="H15" s="33" t="s">
        <v>31</v>
      </c>
      <c r="I15" s="34">
        <v>8</v>
      </c>
      <c r="J15" s="35">
        <v>2.5</v>
      </c>
      <c r="K15" s="35">
        <v>20</v>
      </c>
    </row>
    <row r="16" spans="2:11">
      <c r="D16" s="32">
        <v>46183</v>
      </c>
      <c r="E16" s="33">
        <v>1611042</v>
      </c>
      <c r="F16" s="33" t="s">
        <v>30</v>
      </c>
      <c r="G16" s="34">
        <v>20352459</v>
      </c>
      <c r="H16" s="33" t="s">
        <v>32</v>
      </c>
      <c r="I16" s="34">
        <v>18</v>
      </c>
      <c r="J16" s="35">
        <v>4</v>
      </c>
      <c r="K16" s="35">
        <v>72</v>
      </c>
    </row>
    <row r="17" spans="4:11">
      <c r="D17" s="32">
        <v>46188</v>
      </c>
      <c r="E17" s="33">
        <v>1612264</v>
      </c>
      <c r="F17" s="33" t="s">
        <v>27</v>
      </c>
      <c r="G17" s="34">
        <v>20314625</v>
      </c>
      <c r="H17" s="33" t="s">
        <v>28</v>
      </c>
      <c r="I17" s="34">
        <v>1</v>
      </c>
      <c r="J17" s="35">
        <v>16.5</v>
      </c>
      <c r="K17" s="35">
        <v>16.5</v>
      </c>
    </row>
    <row r="18" spans="4:11">
      <c r="D18" s="32">
        <v>46188</v>
      </c>
      <c r="E18" s="33">
        <v>1612264</v>
      </c>
      <c r="F18" s="33" t="s">
        <v>27</v>
      </c>
      <c r="G18" s="34">
        <v>20314623</v>
      </c>
      <c r="H18" s="33" t="s">
        <v>29</v>
      </c>
      <c r="I18" s="34">
        <v>1</v>
      </c>
      <c r="J18" s="35">
        <v>16</v>
      </c>
      <c r="K18" s="35">
        <v>16</v>
      </c>
    </row>
    <row r="19" spans="4:11">
      <c r="D19" s="32">
        <v>46197</v>
      </c>
      <c r="E19" s="33">
        <v>1614786</v>
      </c>
      <c r="F19" s="33" t="s">
        <v>27</v>
      </c>
      <c r="G19" s="34">
        <v>20314625</v>
      </c>
      <c r="H19" s="33" t="s">
        <v>28</v>
      </c>
      <c r="I19" s="34">
        <v>1</v>
      </c>
      <c r="J19" s="35">
        <v>16.5</v>
      </c>
      <c r="K19" s="35">
        <v>16.5</v>
      </c>
    </row>
    <row r="20" spans="4:11">
      <c r="D20" s="32">
        <v>46197</v>
      </c>
      <c r="E20" s="33">
        <v>1614786</v>
      </c>
      <c r="F20" s="33" t="s">
        <v>27</v>
      </c>
      <c r="G20" s="34">
        <v>20314623</v>
      </c>
      <c r="H20" s="33" t="s">
        <v>29</v>
      </c>
      <c r="I20" s="34">
        <v>1</v>
      </c>
      <c r="J20" s="35">
        <v>16</v>
      </c>
      <c r="K20" s="35">
        <v>16</v>
      </c>
    </row>
    <row r="21" spans="4:11">
      <c r="D21" s="32">
        <v>46197</v>
      </c>
      <c r="E21" s="33">
        <v>1614786</v>
      </c>
      <c r="F21" s="33" t="s">
        <v>30</v>
      </c>
      <c r="G21" s="34">
        <v>20314618</v>
      </c>
      <c r="H21" s="33" t="s">
        <v>31</v>
      </c>
      <c r="I21" s="34">
        <v>5</v>
      </c>
      <c r="J21" s="35">
        <v>2.5</v>
      </c>
      <c r="K21" s="35">
        <v>12.5</v>
      </c>
    </row>
  </sheetData>
  <mergeCells count="6">
    <mergeCell ref="D8:H8"/>
    <mergeCell ref="D10:H10"/>
    <mergeCell ref="C9:C21"/>
    <mergeCell ref="B4:H5"/>
    <mergeCell ref="C1:H2"/>
    <mergeCell ref="A8:B21"/>
  </mergeCells>
  <pageMargins left="0.25" right="0.25" top="0.75" bottom="0.75" header="0.298611111111111" footer="0.298611111111111"/>
  <pageSetup paperSize="9" orientation="portrait" horizontalDpi="300" verticalDpi="300"/>
  <headerFooter alignWithMargins="0">
    <oddFooter>&amp;L&amp;"Droid Sans Fallback,Bold"&amp;9 RPTBK-0011 
&amp;"-,Regular"执行用户: 
&amp;"-,Regular"销售内勤 &amp;C&amp;"Droid Sans Fallback,Regular"&amp;9 执行时间: 
&amp;"-,Regular"2026年7月3日 15:47 
&amp;"-,Bold"&amp;10 黑龙江省铂康医疗灭菌有限公司 &amp;R&amp;"Droid Sans Fallback"&amp;9第&amp;P页，共&amp;N页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showGridLines="0" view="pageBreakPreview" zoomScaleNormal="100" workbookViewId="0">
      <pane ySplit="6" topLeftCell="A7" activePane="bottomLeft" state="frozen"/>
      <selection/>
      <selection pane="bottomLeft" activeCell="H28" sqref="H28"/>
    </sheetView>
  </sheetViews>
  <sheetFormatPr defaultColWidth="9" defaultRowHeight="13.5"/>
  <cols>
    <col min="1" max="2" width="0.225" customWidth="1"/>
    <col min="3" max="3" width="0.433333333333333" customWidth="1"/>
    <col min="4" max="4" width="9.28333333333333" customWidth="1"/>
    <col min="5" max="5" width="8.93333333333333" customWidth="1"/>
    <col min="6" max="6" width="14.95" customWidth="1"/>
    <col min="7" max="7" width="9.36666666666667" customWidth="1"/>
    <col min="8" max="8" width="24.8166666666667" customWidth="1"/>
    <col min="9" max="9" width="10.875" customWidth="1"/>
    <col min="10" max="10" width="12.2083333333333" customWidth="1"/>
    <col min="11" max="11" width="12.875" customWidth="1"/>
  </cols>
  <sheetData>
    <row r="1" spans="1:11">
      <c r="C1" s="22" t="s">
        <v>16</v>
      </c>
    </row>
    <row r="2" ht="23.05" customHeight="1"/>
    <row r="3" ht="2" customHeight="1"/>
    <row r="4" ht="15.2" customHeight="1" spans="1:11">
      <c r="B4" s="23" t="s">
        <v>17</v>
      </c>
    </row>
    <row r="6" ht="2.95" customHeight="1"/>
    <row r="7" spans="1:11">
      <c r="A7" s="24" t="s">
        <v>12</v>
      </c>
      <c r="B7" s="25" t="s">
        <v>12</v>
      </c>
      <c r="C7" s="26" t="s">
        <v>12</v>
      </c>
      <c r="D7" s="27" t="s">
        <v>19</v>
      </c>
      <c r="E7" s="27" t="s">
        <v>20</v>
      </c>
      <c r="F7" s="27" t="s">
        <v>21</v>
      </c>
      <c r="G7" s="27" t="s">
        <v>22</v>
      </c>
      <c r="H7" s="27" t="s">
        <v>23</v>
      </c>
      <c r="I7" s="27" t="s">
        <v>24</v>
      </c>
      <c r="J7" s="27" t="s">
        <v>25</v>
      </c>
      <c r="K7" s="27" t="s">
        <v>26</v>
      </c>
    </row>
    <row r="8" ht="14.25" spans="1:11">
      <c r="D8" s="28" t="s">
        <v>7</v>
      </c>
      <c r="E8" s="29" t="s">
        <v>12</v>
      </c>
      <c r="F8" s="29" t="s">
        <v>12</v>
      </c>
      <c r="G8" s="29" t="s">
        <v>12</v>
      </c>
      <c r="H8" s="29" t="s">
        <v>12</v>
      </c>
      <c r="I8" s="30">
        <v>101</v>
      </c>
      <c r="J8" s="31"/>
      <c r="K8" s="31">
        <v>2593</v>
      </c>
    </row>
    <row r="9" spans="1:11">
      <c r="D9" s="32">
        <v>46174</v>
      </c>
      <c r="E9" s="33">
        <v>1608173</v>
      </c>
      <c r="F9" s="33" t="s">
        <v>27</v>
      </c>
      <c r="G9" s="34">
        <v>20363310</v>
      </c>
      <c r="H9" s="33" t="s">
        <v>33</v>
      </c>
      <c r="I9" s="34">
        <v>1</v>
      </c>
      <c r="J9" s="35">
        <v>8</v>
      </c>
      <c r="K9" s="35">
        <v>8</v>
      </c>
    </row>
    <row r="10" spans="1:11">
      <c r="D10" s="32">
        <v>46174</v>
      </c>
      <c r="E10" s="33">
        <v>1608173</v>
      </c>
      <c r="F10" s="33" t="s">
        <v>34</v>
      </c>
      <c r="G10" s="34">
        <v>20314636</v>
      </c>
      <c r="H10" s="33" t="s">
        <v>35</v>
      </c>
      <c r="I10" s="34">
        <v>1</v>
      </c>
      <c r="J10" s="35">
        <v>33</v>
      </c>
      <c r="K10" s="35">
        <v>33</v>
      </c>
    </row>
    <row r="11" spans="1:11">
      <c r="D11" s="32">
        <v>46174</v>
      </c>
      <c r="E11" s="33">
        <v>1608173</v>
      </c>
      <c r="F11" s="33" t="s">
        <v>34</v>
      </c>
      <c r="G11" s="34">
        <v>20314634</v>
      </c>
      <c r="H11" s="33" t="s">
        <v>36</v>
      </c>
      <c r="I11" s="34">
        <v>5</v>
      </c>
      <c r="J11" s="35">
        <v>33</v>
      </c>
      <c r="K11" s="35">
        <v>165</v>
      </c>
    </row>
    <row r="12" spans="1:11">
      <c r="D12" s="32">
        <v>46176</v>
      </c>
      <c r="E12" s="33">
        <v>1608922</v>
      </c>
      <c r="F12" s="33" t="s">
        <v>27</v>
      </c>
      <c r="G12" s="34">
        <v>20322358</v>
      </c>
      <c r="H12" s="33" t="s">
        <v>37</v>
      </c>
      <c r="I12" s="34">
        <v>1</v>
      </c>
      <c r="J12" s="35">
        <v>16.5</v>
      </c>
      <c r="K12" s="35">
        <v>16.5</v>
      </c>
    </row>
    <row r="13" spans="1:11">
      <c r="D13" s="32">
        <v>46176</v>
      </c>
      <c r="E13" s="33">
        <v>1608922</v>
      </c>
      <c r="F13" s="33" t="s">
        <v>34</v>
      </c>
      <c r="G13" s="34">
        <v>20314636</v>
      </c>
      <c r="H13" s="33" t="s">
        <v>35</v>
      </c>
      <c r="I13" s="34">
        <v>3</v>
      </c>
      <c r="J13" s="35">
        <v>33</v>
      </c>
      <c r="K13" s="35">
        <v>99</v>
      </c>
    </row>
    <row r="14" spans="1:11">
      <c r="D14" s="32">
        <v>46176</v>
      </c>
      <c r="E14" s="33">
        <v>1608922</v>
      </c>
      <c r="F14" s="33" t="s">
        <v>34</v>
      </c>
      <c r="G14" s="34">
        <v>20314634</v>
      </c>
      <c r="H14" s="33" t="s">
        <v>36</v>
      </c>
      <c r="I14" s="34">
        <v>3</v>
      </c>
      <c r="J14" s="35">
        <v>33</v>
      </c>
      <c r="K14" s="35">
        <v>99</v>
      </c>
    </row>
    <row r="15" spans="1:11">
      <c r="D15" s="32">
        <v>46176</v>
      </c>
      <c r="E15" s="33">
        <v>1608992</v>
      </c>
      <c r="F15" s="33" t="s">
        <v>30</v>
      </c>
      <c r="G15" s="34">
        <v>20352459</v>
      </c>
      <c r="H15" s="33" t="s">
        <v>32</v>
      </c>
      <c r="I15" s="34">
        <v>3</v>
      </c>
      <c r="J15" s="35">
        <v>4</v>
      </c>
      <c r="K15" s="35">
        <v>12</v>
      </c>
    </row>
    <row r="16" spans="1:11">
      <c r="D16" s="32">
        <v>46178</v>
      </c>
      <c r="E16" s="33">
        <v>1609670</v>
      </c>
      <c r="F16" s="33" t="s">
        <v>27</v>
      </c>
      <c r="G16" s="34">
        <v>20314764</v>
      </c>
      <c r="H16" s="33" t="s">
        <v>38</v>
      </c>
      <c r="I16" s="34">
        <v>1</v>
      </c>
      <c r="J16" s="35">
        <v>8</v>
      </c>
      <c r="K16" s="35">
        <v>8</v>
      </c>
    </row>
    <row r="17" spans="4:11">
      <c r="D17" s="32">
        <v>46178</v>
      </c>
      <c r="E17" s="33">
        <v>1609670</v>
      </c>
      <c r="F17" s="33" t="s">
        <v>27</v>
      </c>
      <c r="G17" s="34">
        <v>20314769</v>
      </c>
      <c r="H17" s="33" t="s">
        <v>39</v>
      </c>
      <c r="I17" s="34">
        <v>1</v>
      </c>
      <c r="J17" s="35">
        <v>8</v>
      </c>
      <c r="K17" s="35">
        <v>8</v>
      </c>
    </row>
    <row r="18" spans="4:11">
      <c r="D18" s="32">
        <v>46178</v>
      </c>
      <c r="E18" s="33">
        <v>1609670</v>
      </c>
      <c r="F18" s="33" t="s">
        <v>34</v>
      </c>
      <c r="G18" s="34">
        <v>20314636</v>
      </c>
      <c r="H18" s="33" t="s">
        <v>35</v>
      </c>
      <c r="I18" s="34">
        <v>2</v>
      </c>
      <c r="J18" s="35">
        <v>33</v>
      </c>
      <c r="K18" s="35">
        <v>66</v>
      </c>
    </row>
    <row r="19" spans="4:11">
      <c r="D19" s="32">
        <v>46178</v>
      </c>
      <c r="E19" s="33">
        <v>1609670</v>
      </c>
      <c r="F19" s="33" t="s">
        <v>34</v>
      </c>
      <c r="G19" s="34">
        <v>20314634</v>
      </c>
      <c r="H19" s="33" t="s">
        <v>36</v>
      </c>
      <c r="I19" s="34">
        <v>3</v>
      </c>
      <c r="J19" s="35">
        <v>33</v>
      </c>
      <c r="K19" s="35">
        <v>99</v>
      </c>
    </row>
    <row r="20" spans="4:11">
      <c r="D20" s="32">
        <v>46181</v>
      </c>
      <c r="E20" s="33">
        <v>1610257</v>
      </c>
      <c r="F20" s="33" t="s">
        <v>34</v>
      </c>
      <c r="G20" s="34">
        <v>20314634</v>
      </c>
      <c r="H20" s="33" t="s">
        <v>36</v>
      </c>
      <c r="I20" s="34">
        <v>6</v>
      </c>
      <c r="J20" s="35">
        <v>33</v>
      </c>
      <c r="K20" s="35">
        <v>198</v>
      </c>
    </row>
    <row r="21" spans="4:11">
      <c r="D21" s="32">
        <v>46181</v>
      </c>
      <c r="E21" s="33">
        <v>1610257</v>
      </c>
      <c r="F21" s="33" t="s">
        <v>34</v>
      </c>
      <c r="G21" s="34">
        <v>20314635</v>
      </c>
      <c r="H21" s="33" t="s">
        <v>40</v>
      </c>
      <c r="I21" s="34">
        <v>1</v>
      </c>
      <c r="J21" s="35">
        <v>33</v>
      </c>
      <c r="K21" s="35">
        <v>33</v>
      </c>
    </row>
    <row r="22" spans="4:11">
      <c r="D22" s="32">
        <v>46183</v>
      </c>
      <c r="E22" s="33">
        <v>1611043</v>
      </c>
      <c r="F22" s="33" t="s">
        <v>27</v>
      </c>
      <c r="G22" s="34">
        <v>20314764</v>
      </c>
      <c r="H22" s="33" t="s">
        <v>38</v>
      </c>
      <c r="I22" s="34">
        <v>1</v>
      </c>
      <c r="J22" s="35">
        <v>8</v>
      </c>
      <c r="K22" s="35">
        <v>8</v>
      </c>
    </row>
    <row r="23" spans="4:11">
      <c r="D23" s="32">
        <v>46183</v>
      </c>
      <c r="E23" s="33">
        <v>1611043</v>
      </c>
      <c r="F23" s="33" t="s">
        <v>27</v>
      </c>
      <c r="G23" s="34">
        <v>20316640</v>
      </c>
      <c r="H23" s="33" t="s">
        <v>41</v>
      </c>
      <c r="I23" s="34">
        <v>1</v>
      </c>
      <c r="J23" s="35">
        <v>16.5</v>
      </c>
      <c r="K23" s="35">
        <v>16.5</v>
      </c>
    </row>
    <row r="24" spans="4:11">
      <c r="D24" s="32">
        <v>46183</v>
      </c>
      <c r="E24" s="33">
        <v>1611043</v>
      </c>
      <c r="F24" s="33" t="s">
        <v>27</v>
      </c>
      <c r="G24" s="34">
        <v>20314786</v>
      </c>
      <c r="H24" s="33" t="s">
        <v>42</v>
      </c>
      <c r="I24" s="34">
        <v>1</v>
      </c>
      <c r="J24" s="35">
        <v>8</v>
      </c>
      <c r="K24" s="35">
        <v>8</v>
      </c>
    </row>
    <row r="25" spans="4:11">
      <c r="D25" s="32">
        <v>46183</v>
      </c>
      <c r="E25" s="33">
        <v>1611043</v>
      </c>
      <c r="F25" s="33" t="s">
        <v>27</v>
      </c>
      <c r="G25" s="34">
        <v>20314769</v>
      </c>
      <c r="H25" s="33" t="s">
        <v>39</v>
      </c>
      <c r="I25" s="34">
        <v>2</v>
      </c>
      <c r="J25" s="35">
        <v>8</v>
      </c>
      <c r="K25" s="35">
        <v>16</v>
      </c>
    </row>
    <row r="26" spans="4:11">
      <c r="D26" s="32">
        <v>46183</v>
      </c>
      <c r="E26" s="33">
        <v>1611043</v>
      </c>
      <c r="F26" s="33" t="s">
        <v>34</v>
      </c>
      <c r="G26" s="34">
        <v>20314636</v>
      </c>
      <c r="H26" s="33" t="s">
        <v>35</v>
      </c>
      <c r="I26" s="34">
        <v>2</v>
      </c>
      <c r="J26" s="35">
        <v>33</v>
      </c>
      <c r="K26" s="35">
        <v>66</v>
      </c>
    </row>
    <row r="27" spans="4:11">
      <c r="D27" s="32">
        <v>46183</v>
      </c>
      <c r="E27" s="33">
        <v>1611043</v>
      </c>
      <c r="F27" s="33" t="s">
        <v>34</v>
      </c>
      <c r="G27" s="34">
        <v>20314634</v>
      </c>
      <c r="H27" s="33" t="s">
        <v>36</v>
      </c>
      <c r="I27" s="34">
        <v>2</v>
      </c>
      <c r="J27" s="35">
        <v>33</v>
      </c>
      <c r="K27" s="35">
        <v>66</v>
      </c>
    </row>
    <row r="28" spans="4:11">
      <c r="D28" s="32">
        <v>46183</v>
      </c>
      <c r="E28" s="33">
        <v>1611043</v>
      </c>
      <c r="F28" s="33" t="s">
        <v>34</v>
      </c>
      <c r="G28" s="34">
        <v>20314635</v>
      </c>
      <c r="H28" s="33" t="s">
        <v>40</v>
      </c>
      <c r="I28" s="34">
        <v>1</v>
      </c>
      <c r="J28" s="35">
        <v>33</v>
      </c>
      <c r="K28" s="35">
        <v>33</v>
      </c>
    </row>
    <row r="29" spans="4:11">
      <c r="D29" s="32">
        <v>46188</v>
      </c>
      <c r="E29" s="33">
        <v>1612265</v>
      </c>
      <c r="F29" s="33" t="s">
        <v>27</v>
      </c>
      <c r="G29" s="34">
        <v>20314764</v>
      </c>
      <c r="H29" s="33" t="s">
        <v>38</v>
      </c>
      <c r="I29" s="34">
        <v>1</v>
      </c>
      <c r="J29" s="35">
        <v>8</v>
      </c>
      <c r="K29" s="35">
        <v>8</v>
      </c>
    </row>
    <row r="30" spans="4:11">
      <c r="D30" s="32">
        <v>46188</v>
      </c>
      <c r="E30" s="33">
        <v>1612265</v>
      </c>
      <c r="F30" s="33" t="s">
        <v>27</v>
      </c>
      <c r="G30" s="34">
        <v>20314786</v>
      </c>
      <c r="H30" s="33" t="s">
        <v>42</v>
      </c>
      <c r="I30" s="34">
        <v>1</v>
      </c>
      <c r="J30" s="35">
        <v>8</v>
      </c>
      <c r="K30" s="35">
        <v>8</v>
      </c>
    </row>
    <row r="31" spans="4:11">
      <c r="D31" s="32">
        <v>46188</v>
      </c>
      <c r="E31" s="33">
        <v>1612265</v>
      </c>
      <c r="F31" s="33" t="s">
        <v>27</v>
      </c>
      <c r="G31" s="34">
        <v>20314769</v>
      </c>
      <c r="H31" s="33" t="s">
        <v>39</v>
      </c>
      <c r="I31" s="34">
        <v>1</v>
      </c>
      <c r="J31" s="35">
        <v>8</v>
      </c>
      <c r="K31" s="35">
        <v>8</v>
      </c>
    </row>
    <row r="32" spans="4:11">
      <c r="D32" s="32">
        <v>46188</v>
      </c>
      <c r="E32" s="33">
        <v>1612265</v>
      </c>
      <c r="F32" s="33" t="s">
        <v>34</v>
      </c>
      <c r="G32" s="34">
        <v>20314636</v>
      </c>
      <c r="H32" s="33" t="s">
        <v>35</v>
      </c>
      <c r="I32" s="34">
        <v>3</v>
      </c>
      <c r="J32" s="35">
        <v>33</v>
      </c>
      <c r="K32" s="35">
        <v>99</v>
      </c>
    </row>
    <row r="33" spans="4:11">
      <c r="D33" s="32">
        <v>46188</v>
      </c>
      <c r="E33" s="33">
        <v>1612265</v>
      </c>
      <c r="F33" s="33" t="s">
        <v>34</v>
      </c>
      <c r="G33" s="34">
        <v>20314634</v>
      </c>
      <c r="H33" s="33" t="s">
        <v>36</v>
      </c>
      <c r="I33" s="34">
        <v>5</v>
      </c>
      <c r="J33" s="35">
        <v>33</v>
      </c>
      <c r="K33" s="35">
        <v>165</v>
      </c>
    </row>
    <row r="34" spans="4:11">
      <c r="D34" s="32">
        <v>46190</v>
      </c>
      <c r="E34" s="33">
        <v>1613091</v>
      </c>
      <c r="F34" s="33" t="s">
        <v>27</v>
      </c>
      <c r="G34" s="34">
        <v>20316640</v>
      </c>
      <c r="H34" s="33" t="s">
        <v>41</v>
      </c>
      <c r="I34" s="34">
        <v>1</v>
      </c>
      <c r="J34" s="35">
        <v>16.5</v>
      </c>
      <c r="K34" s="35">
        <v>16.5</v>
      </c>
    </row>
    <row r="35" spans="4:11">
      <c r="D35" s="32">
        <v>46190</v>
      </c>
      <c r="E35" s="33">
        <v>1613091</v>
      </c>
      <c r="F35" s="33" t="s">
        <v>34</v>
      </c>
      <c r="G35" s="34">
        <v>20314636</v>
      </c>
      <c r="H35" s="33" t="s">
        <v>35</v>
      </c>
      <c r="I35" s="34">
        <v>1</v>
      </c>
      <c r="J35" s="35">
        <v>33</v>
      </c>
      <c r="K35" s="35">
        <v>33</v>
      </c>
    </row>
    <row r="36" spans="4:11">
      <c r="D36" s="32">
        <v>46190</v>
      </c>
      <c r="E36" s="33">
        <v>1613091</v>
      </c>
      <c r="F36" s="33" t="s">
        <v>34</v>
      </c>
      <c r="G36" s="34">
        <v>20314634</v>
      </c>
      <c r="H36" s="33" t="s">
        <v>36</v>
      </c>
      <c r="I36" s="34">
        <v>6</v>
      </c>
      <c r="J36" s="35">
        <v>33</v>
      </c>
      <c r="K36" s="35">
        <v>198</v>
      </c>
    </row>
    <row r="37" spans="4:11">
      <c r="D37" s="32">
        <v>46195</v>
      </c>
      <c r="E37" s="33">
        <v>1614022</v>
      </c>
      <c r="F37" s="33" t="s">
        <v>27</v>
      </c>
      <c r="G37" s="34">
        <v>20314766</v>
      </c>
      <c r="H37" s="33" t="s">
        <v>43</v>
      </c>
      <c r="I37" s="34">
        <v>1</v>
      </c>
      <c r="J37" s="35">
        <v>8</v>
      </c>
      <c r="K37" s="35">
        <v>8</v>
      </c>
    </row>
    <row r="38" spans="4:11">
      <c r="D38" s="32">
        <v>46195</v>
      </c>
      <c r="E38" s="33">
        <v>1614022</v>
      </c>
      <c r="F38" s="33" t="s">
        <v>27</v>
      </c>
      <c r="G38" s="34">
        <v>20322358</v>
      </c>
      <c r="H38" s="33" t="s">
        <v>37</v>
      </c>
      <c r="I38" s="34">
        <v>1</v>
      </c>
      <c r="J38" s="35">
        <v>16.5</v>
      </c>
      <c r="K38" s="35">
        <v>16.5</v>
      </c>
    </row>
    <row r="39" spans="4:11">
      <c r="D39" s="32">
        <v>46195</v>
      </c>
      <c r="E39" s="33">
        <v>1614022</v>
      </c>
      <c r="F39" s="33" t="s">
        <v>27</v>
      </c>
      <c r="G39" s="34">
        <v>20314786</v>
      </c>
      <c r="H39" s="33" t="s">
        <v>42</v>
      </c>
      <c r="I39" s="34">
        <v>1</v>
      </c>
      <c r="J39" s="35">
        <v>8</v>
      </c>
      <c r="K39" s="35">
        <v>8</v>
      </c>
    </row>
    <row r="40" spans="4:11">
      <c r="D40" s="32">
        <v>46195</v>
      </c>
      <c r="E40" s="33">
        <v>1614022</v>
      </c>
      <c r="F40" s="33" t="s">
        <v>27</v>
      </c>
      <c r="G40" s="34">
        <v>20314765</v>
      </c>
      <c r="H40" s="33" t="s">
        <v>44</v>
      </c>
      <c r="I40" s="34">
        <v>1</v>
      </c>
      <c r="J40" s="35">
        <v>8</v>
      </c>
      <c r="K40" s="35">
        <v>8</v>
      </c>
    </row>
    <row r="41" spans="4:11">
      <c r="D41" s="32">
        <v>46195</v>
      </c>
      <c r="E41" s="33">
        <v>1614022</v>
      </c>
      <c r="F41" s="33" t="s">
        <v>27</v>
      </c>
      <c r="G41" s="34">
        <v>20314769</v>
      </c>
      <c r="H41" s="33" t="s">
        <v>39</v>
      </c>
      <c r="I41" s="34">
        <v>1</v>
      </c>
      <c r="J41" s="35">
        <v>8</v>
      </c>
      <c r="K41" s="35">
        <v>8</v>
      </c>
    </row>
    <row r="42" spans="4:11">
      <c r="D42" s="32">
        <v>46195</v>
      </c>
      <c r="E42" s="33">
        <v>1614022</v>
      </c>
      <c r="F42" s="33" t="s">
        <v>34</v>
      </c>
      <c r="G42" s="34">
        <v>20314634</v>
      </c>
      <c r="H42" s="33" t="s">
        <v>36</v>
      </c>
      <c r="I42" s="34">
        <v>12</v>
      </c>
      <c r="J42" s="35">
        <v>33</v>
      </c>
      <c r="K42" s="35">
        <v>396</v>
      </c>
    </row>
    <row r="43" spans="4:11">
      <c r="D43" s="32">
        <v>46197</v>
      </c>
      <c r="E43" s="33">
        <v>1614787</v>
      </c>
      <c r="F43" s="33" t="s">
        <v>27</v>
      </c>
      <c r="G43" s="34">
        <v>20314763</v>
      </c>
      <c r="H43" s="33" t="s">
        <v>45</v>
      </c>
      <c r="I43" s="34">
        <v>1</v>
      </c>
      <c r="J43" s="35">
        <v>8</v>
      </c>
      <c r="K43" s="35">
        <v>8</v>
      </c>
    </row>
    <row r="44" spans="4:11">
      <c r="D44" s="32">
        <v>46197</v>
      </c>
      <c r="E44" s="33">
        <v>1614787</v>
      </c>
      <c r="F44" s="33" t="s">
        <v>27</v>
      </c>
      <c r="G44" s="34">
        <v>20314769</v>
      </c>
      <c r="H44" s="33" t="s">
        <v>39</v>
      </c>
      <c r="I44" s="34">
        <v>2</v>
      </c>
      <c r="J44" s="35">
        <v>8</v>
      </c>
      <c r="K44" s="35">
        <v>16</v>
      </c>
    </row>
    <row r="45" spans="4:11">
      <c r="D45" s="32">
        <v>46197</v>
      </c>
      <c r="E45" s="33">
        <v>1614787</v>
      </c>
      <c r="F45" s="33" t="s">
        <v>34</v>
      </c>
      <c r="G45" s="34">
        <v>20314636</v>
      </c>
      <c r="H45" s="33" t="s">
        <v>35</v>
      </c>
      <c r="I45" s="34">
        <v>2</v>
      </c>
      <c r="J45" s="35">
        <v>33</v>
      </c>
      <c r="K45" s="35">
        <v>66</v>
      </c>
    </row>
    <row r="46" spans="4:11">
      <c r="D46" s="32">
        <v>46197</v>
      </c>
      <c r="E46" s="33">
        <v>1614787</v>
      </c>
      <c r="F46" s="33" t="s">
        <v>34</v>
      </c>
      <c r="G46" s="34">
        <v>20314634</v>
      </c>
      <c r="H46" s="33" t="s">
        <v>36</v>
      </c>
      <c r="I46" s="34">
        <v>4</v>
      </c>
      <c r="J46" s="35">
        <v>33</v>
      </c>
      <c r="K46" s="35">
        <v>132</v>
      </c>
    </row>
    <row r="47" spans="4:11">
      <c r="D47" s="32">
        <v>46197</v>
      </c>
      <c r="E47" s="33">
        <v>1614787</v>
      </c>
      <c r="F47" s="33" t="s">
        <v>34</v>
      </c>
      <c r="G47" s="34">
        <v>20314635</v>
      </c>
      <c r="H47" s="33" t="s">
        <v>40</v>
      </c>
      <c r="I47" s="34">
        <v>1</v>
      </c>
      <c r="J47" s="35">
        <v>33</v>
      </c>
      <c r="K47" s="35">
        <v>33</v>
      </c>
    </row>
    <row r="48" spans="4:11">
      <c r="D48" s="32">
        <v>46197</v>
      </c>
      <c r="E48" s="33">
        <v>1614787</v>
      </c>
      <c r="F48" s="33" t="s">
        <v>30</v>
      </c>
      <c r="G48" s="34">
        <v>20352459</v>
      </c>
      <c r="H48" s="33" t="s">
        <v>32</v>
      </c>
      <c r="I48" s="34">
        <v>3</v>
      </c>
      <c r="J48" s="35">
        <v>4</v>
      </c>
      <c r="K48" s="35">
        <v>12</v>
      </c>
    </row>
    <row r="49" spans="4:11">
      <c r="D49" s="32">
        <v>46202</v>
      </c>
      <c r="E49" s="33">
        <v>1615963</v>
      </c>
      <c r="F49" s="33" t="s">
        <v>34</v>
      </c>
      <c r="G49" s="34">
        <v>20314636</v>
      </c>
      <c r="H49" s="33" t="s">
        <v>35</v>
      </c>
      <c r="I49" s="34">
        <v>3</v>
      </c>
      <c r="J49" s="35">
        <v>33</v>
      </c>
      <c r="K49" s="35">
        <v>99</v>
      </c>
    </row>
    <row r="50" spans="4:11">
      <c r="D50" s="32">
        <v>46202</v>
      </c>
      <c r="E50" s="33">
        <v>1615963</v>
      </c>
      <c r="F50" s="33" t="s">
        <v>34</v>
      </c>
      <c r="G50" s="34">
        <v>20314634</v>
      </c>
      <c r="H50" s="33" t="s">
        <v>36</v>
      </c>
      <c r="I50" s="34">
        <v>5</v>
      </c>
      <c r="J50" s="35">
        <v>33</v>
      </c>
      <c r="K50" s="35">
        <v>165</v>
      </c>
    </row>
    <row r="51" spans="4:11">
      <c r="D51" s="32">
        <v>46202</v>
      </c>
      <c r="E51" s="33">
        <v>1616009</v>
      </c>
      <c r="F51" s="33" t="s">
        <v>27</v>
      </c>
      <c r="G51" s="34">
        <v>20314770</v>
      </c>
      <c r="H51" s="33" t="s">
        <v>46</v>
      </c>
      <c r="I51" s="34">
        <v>1</v>
      </c>
      <c r="J51" s="35">
        <v>8</v>
      </c>
      <c r="K51" s="35">
        <v>8</v>
      </c>
    </row>
    <row r="52" spans="4:11">
      <c r="D52" s="32">
        <v>46202</v>
      </c>
      <c r="E52" s="33">
        <v>1616009</v>
      </c>
      <c r="F52" s="33" t="s">
        <v>27</v>
      </c>
      <c r="G52" s="34">
        <v>20320941</v>
      </c>
      <c r="H52" s="33" t="s">
        <v>47</v>
      </c>
      <c r="I52" s="34">
        <v>1</v>
      </c>
      <c r="J52" s="35">
        <v>8</v>
      </c>
      <c r="K52" s="35">
        <v>8</v>
      </c>
    </row>
    <row r="53" spans="4:11">
      <c r="D53" s="32">
        <v>46202</v>
      </c>
      <c r="E53" s="33">
        <v>1616009</v>
      </c>
      <c r="F53" s="33" t="s">
        <v>27</v>
      </c>
      <c r="G53" s="34">
        <v>20314771</v>
      </c>
      <c r="H53" s="33" t="s">
        <v>39</v>
      </c>
      <c r="I53" s="34">
        <v>1</v>
      </c>
      <c r="J53" s="35">
        <v>8</v>
      </c>
      <c r="K53" s="35">
        <v>8</v>
      </c>
    </row>
  </sheetData>
  <autoFilter xmlns:etc="http://www.wps.cn/officeDocument/2017/etCustomData" ref="A7:K53" etc:filterBottomFollowUsedRange="0">
    <extLst/>
  </autoFilter>
  <mergeCells count="5">
    <mergeCell ref="D8:H8"/>
    <mergeCell ref="C7:C53"/>
    <mergeCell ref="B4:H5"/>
    <mergeCell ref="A7:B53"/>
    <mergeCell ref="C1:H2"/>
  </mergeCells>
  <pageMargins left="0.25" right="0.25" top="0.75" bottom="0.75" header="0.298611111111111" footer="0.298611111111111"/>
  <pageSetup paperSize="9" scale="96" orientation="portrait" horizontalDpi="300" verticalDpi="300"/>
  <headerFooter alignWithMargins="0">
    <oddFooter>&amp;L&amp;"Droid Sans Fallback,Bold"&amp;9 RPTBK-0011 
&amp;"-,Regular"执行用户: 
&amp;"-,Regular"销售内勤 &amp;C&amp;"Droid Sans Fallback,Regular"&amp;9 执行时间: 
&amp;"-,Regular"2026年7月3日 15:47 
&amp;"-,Bold"&amp;10 黑龙江省铂康医疗灭菌有限公司 &amp;R&amp;"Droid Sans Fallback"&amp;9第&amp;P页，共&amp;N页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showGridLines="0" view="pageBreakPreview" zoomScaleNormal="100" workbookViewId="0">
      <pane ySplit="6" topLeftCell="A7" activePane="bottomLeft" state="frozen"/>
      <selection/>
      <selection pane="bottomLeft" activeCell="M20" sqref="L20:M20"/>
    </sheetView>
  </sheetViews>
  <sheetFormatPr defaultColWidth="9" defaultRowHeight="13.5"/>
  <cols>
    <col min="1" max="2" width="0.225" customWidth="1"/>
    <col min="3" max="3" width="0.433333333333333" customWidth="1"/>
    <col min="4" max="4" width="9.28333333333333" customWidth="1"/>
    <col min="5" max="5" width="8.93333333333333" customWidth="1"/>
    <col min="6" max="6" width="14.95" customWidth="1"/>
    <col min="7" max="7" width="9.36666666666667" customWidth="1"/>
    <col min="8" max="8" width="24.8166666666667" customWidth="1"/>
    <col min="9" max="9" width="6.475" customWidth="1"/>
    <col min="10" max="10" width="12.2083333333333" customWidth="1"/>
    <col min="11" max="11" width="12.5" customWidth="1"/>
  </cols>
  <sheetData>
    <row r="1" spans="1:11">
      <c r="C1" s="22" t="s">
        <v>16</v>
      </c>
    </row>
    <row r="2" ht="23.05" customHeight="1"/>
    <row r="3" ht="2" customHeight="1"/>
    <row r="4" ht="15.2" customHeight="1" spans="1:11">
      <c r="B4" s="23" t="s">
        <v>17</v>
      </c>
    </row>
    <row r="6" ht="2.95" customHeight="1"/>
    <row r="7" spans="1:11">
      <c r="A7" s="24" t="s">
        <v>12</v>
      </c>
      <c r="B7" s="25" t="s">
        <v>12</v>
      </c>
      <c r="C7" s="26" t="s">
        <v>12</v>
      </c>
      <c r="D7" s="27" t="s">
        <v>19</v>
      </c>
      <c r="E7" s="27" t="s">
        <v>20</v>
      </c>
      <c r="F7" s="27" t="s">
        <v>21</v>
      </c>
      <c r="G7" s="27" t="s">
        <v>22</v>
      </c>
      <c r="H7" s="27" t="s">
        <v>23</v>
      </c>
      <c r="I7" s="27" t="s">
        <v>24</v>
      </c>
      <c r="J7" s="27" t="s">
        <v>25</v>
      </c>
      <c r="K7" s="27" t="s">
        <v>26</v>
      </c>
    </row>
    <row r="8" ht="14.25" spans="1:11">
      <c r="D8" s="28" t="s">
        <v>8</v>
      </c>
      <c r="E8" s="29" t="s">
        <v>12</v>
      </c>
      <c r="F8" s="29" t="s">
        <v>12</v>
      </c>
      <c r="G8" s="29" t="s">
        <v>12</v>
      </c>
      <c r="H8" s="29" t="s">
        <v>12</v>
      </c>
      <c r="I8" s="30">
        <v>20</v>
      </c>
      <c r="J8" s="31"/>
      <c r="K8" s="31">
        <v>57.5</v>
      </c>
    </row>
    <row r="9" spans="1:11">
      <c r="D9" s="32">
        <v>46202</v>
      </c>
      <c r="E9" s="33">
        <v>1616010</v>
      </c>
      <c r="F9" s="33" t="s">
        <v>30</v>
      </c>
      <c r="G9" s="34">
        <v>20352459</v>
      </c>
      <c r="H9" s="33" t="s">
        <v>32</v>
      </c>
      <c r="I9" s="34">
        <v>5</v>
      </c>
      <c r="J9" s="35">
        <v>4</v>
      </c>
      <c r="K9" s="35">
        <v>20</v>
      </c>
    </row>
    <row r="10" spans="1:11">
      <c r="D10" s="32">
        <v>46202</v>
      </c>
      <c r="E10" s="33">
        <v>1616010</v>
      </c>
      <c r="F10" s="33" t="s">
        <v>30</v>
      </c>
      <c r="G10" s="34">
        <v>20314618</v>
      </c>
      <c r="H10" s="33" t="s">
        <v>31</v>
      </c>
      <c r="I10" s="34">
        <v>15</v>
      </c>
      <c r="J10" s="35">
        <v>2.5</v>
      </c>
      <c r="K10" s="35">
        <v>37.5</v>
      </c>
    </row>
  </sheetData>
  <mergeCells count="5">
    <mergeCell ref="D8:H8"/>
    <mergeCell ref="C7:C10"/>
    <mergeCell ref="B4:H5"/>
    <mergeCell ref="A7:B10"/>
    <mergeCell ref="C1:H2"/>
  </mergeCells>
  <pageMargins left="0.25" right="0.25" top="0.75" bottom="0.75" header="0.298611111111111" footer="0.298611111111111"/>
  <pageSetup paperSize="9" orientation="portrait" horizontalDpi="300" verticalDpi="300"/>
  <headerFooter alignWithMargins="0">
    <oddFooter>&amp;L&amp;"Droid Sans Fallback,Bold"&amp;9 RPTBK-0011 
&amp;"-,Regular"执行用户: 
&amp;"-,Regular"销售内勤 &amp;C&amp;"Droid Sans Fallback,Regular"&amp;9 执行时间: 
&amp;"-,Regular"2026年7月3日 15:47 
&amp;"-,Bold"&amp;10 黑龙江省铂康医疗灭菌有限公司 &amp;R&amp;"Droid Sans Fallback"&amp;9第&amp;P页，共&amp;N页 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tabSelected="1" view="pageBreakPreview" zoomScaleNormal="100" workbookViewId="0">
      <selection activeCell="G35" sqref="G35"/>
    </sheetView>
  </sheetViews>
  <sheetFormatPr defaultColWidth="9" defaultRowHeight="13.5"/>
  <cols>
    <col min="1" max="1" width="0.225" style="1" customWidth="1"/>
    <col min="2" max="2" width="1.09166666666667" style="1" customWidth="1"/>
    <col min="3" max="3" width="1.25833333333333" style="1" customWidth="1"/>
    <col min="4" max="4" width="13.7083333333333" style="1" customWidth="1"/>
    <col min="5" max="5" width="17.025" style="1" customWidth="1"/>
    <col min="6" max="6" width="7.625" style="1" customWidth="1"/>
    <col min="7" max="7" width="18.625" style="1" customWidth="1"/>
    <col min="8" max="8" width="12.625" style="1" customWidth="1"/>
    <col min="9" max="9" width="16.25" style="1" customWidth="1"/>
    <col min="10" max="10" width="11.875" style="1" customWidth="1"/>
    <col min="11" max="16375" width="9" style="1"/>
  </cols>
  <sheetData>
    <row r="1" s="1" customFormat="1" ht="25.5" customHeight="1" spans="1:10">
      <c r="B1" s="2" t="s">
        <v>48</v>
      </c>
    </row>
    <row r="2" s="1" customFormat="1" ht="2" customHeight="1"/>
    <row r="3" s="1" customFormat="1" ht="12.75" customHeight="1" spans="1:10">
      <c r="B3" s="3" t="s">
        <v>49</v>
      </c>
    </row>
    <row r="4" s="1" customFormat="1"/>
    <row r="5" s="1" customFormat="1" ht="2.05" customHeight="1"/>
    <row r="6" s="1" customFormat="1" ht="1.95" customHeight="1" spans="1:10">
      <c r="A6" s="4" t="s">
        <v>12</v>
      </c>
      <c r="B6" s="4" t="s">
        <v>12</v>
      </c>
      <c r="C6" s="4" t="s">
        <v>12</v>
      </c>
      <c r="D6" s="4" t="s">
        <v>12</v>
      </c>
      <c r="E6" s="4" t="s">
        <v>12</v>
      </c>
      <c r="F6" s="4" t="s">
        <v>12</v>
      </c>
      <c r="G6" s="4" t="s">
        <v>12</v>
      </c>
      <c r="H6" s="4" t="s">
        <v>12</v>
      </c>
      <c r="I6" s="4" t="s">
        <v>12</v>
      </c>
      <c r="J6" s="4" t="s">
        <v>12</v>
      </c>
    </row>
    <row r="7" s="1" customFormat="1" ht="15.75" spans="1:10">
      <c r="A7" s="5" t="s">
        <v>12</v>
      </c>
      <c r="B7" s="6" t="s">
        <v>12</v>
      </c>
      <c r="C7" s="5" t="s">
        <v>12</v>
      </c>
      <c r="D7" s="7" t="s">
        <v>18</v>
      </c>
      <c r="E7" s="6" t="s">
        <v>12</v>
      </c>
      <c r="F7" s="6" t="s">
        <v>12</v>
      </c>
      <c r="G7" s="6" t="s">
        <v>12</v>
      </c>
      <c r="H7" s="6" t="s">
        <v>12</v>
      </c>
      <c r="I7" s="5" t="s">
        <v>12</v>
      </c>
      <c r="J7" s="8">
        <v>-33</v>
      </c>
    </row>
    <row r="8" s="1" customFormat="1" spans="1:10">
      <c r="A8" s="9" t="s">
        <v>12</v>
      </c>
      <c r="C8" s="10" t="s">
        <v>12</v>
      </c>
      <c r="D8" s="10" t="s">
        <v>50</v>
      </c>
      <c r="E8" s="10" t="s">
        <v>51</v>
      </c>
      <c r="F8" s="10" t="s">
        <v>52</v>
      </c>
      <c r="G8" s="10" t="s">
        <v>53</v>
      </c>
      <c r="H8" s="10" t="s">
        <v>22</v>
      </c>
      <c r="I8" s="10" t="s">
        <v>54</v>
      </c>
      <c r="J8" s="10" t="s">
        <v>55</v>
      </c>
    </row>
    <row r="9" s="1" customFormat="1" ht="14.25" spans="1:10">
      <c r="C9" s="10" t="s">
        <v>12</v>
      </c>
      <c r="D9" s="11" t="s">
        <v>7</v>
      </c>
      <c r="E9" s="6" t="s">
        <v>12</v>
      </c>
      <c r="F9" s="6" t="s">
        <v>12</v>
      </c>
      <c r="G9" s="6" t="s">
        <v>12</v>
      </c>
      <c r="H9" s="6" t="s">
        <v>12</v>
      </c>
      <c r="I9" s="10" t="s">
        <v>12</v>
      </c>
      <c r="J9" s="12">
        <v>-33</v>
      </c>
    </row>
    <row r="10" s="1" customFormat="1" spans="1:10">
      <c r="C10" s="9" t="s">
        <v>12</v>
      </c>
      <c r="D10" s="13" t="s">
        <v>56</v>
      </c>
      <c r="E10" s="6" t="s">
        <v>12</v>
      </c>
      <c r="F10" s="6" t="s">
        <v>12</v>
      </c>
      <c r="G10" s="6" t="s">
        <v>12</v>
      </c>
      <c r="H10" s="6" t="s">
        <v>12</v>
      </c>
      <c r="I10" s="14" t="s">
        <v>12</v>
      </c>
      <c r="J10" s="15">
        <v>-33</v>
      </c>
    </row>
    <row r="11" s="1" customFormat="1" spans="1:10">
      <c r="D11" s="16">
        <v>3006170414</v>
      </c>
      <c r="E11" s="17">
        <v>46216.5130715625</v>
      </c>
      <c r="F11" s="18" t="s">
        <v>57</v>
      </c>
      <c r="G11" s="19">
        <v>46148.7148949074</v>
      </c>
      <c r="H11" s="20">
        <v>20314635</v>
      </c>
      <c r="I11" s="20" t="s">
        <v>40</v>
      </c>
      <c r="J11" s="21">
        <v>-33</v>
      </c>
    </row>
    <row r="12" s="1" customFormat="1" spans="1:10">
      <c r="A12" s="9" t="s">
        <v>12</v>
      </c>
      <c r="C12" s="9" t="s">
        <v>12</v>
      </c>
      <c r="D12" s="9" t="s">
        <v>12</v>
      </c>
      <c r="E12" s="9" t="s">
        <v>12</v>
      </c>
      <c r="F12" s="9" t="s">
        <v>12</v>
      </c>
      <c r="G12" s="9" t="s">
        <v>12</v>
      </c>
      <c r="H12" s="9" t="s">
        <v>12</v>
      </c>
      <c r="I12" s="9" t="s">
        <v>12</v>
      </c>
      <c r="J12" s="9" t="s">
        <v>12</v>
      </c>
    </row>
    <row r="13" s="1" customFormat="1" ht="0.05" customHeight="1"/>
    <row r="14" s="1" customFormat="1" ht="11.6" customHeight="1"/>
  </sheetData>
  <mergeCells count="9">
    <mergeCell ref="B1:I1"/>
    <mergeCell ref="A7:B7"/>
    <mergeCell ref="D7:H7"/>
    <mergeCell ref="D9:H9"/>
    <mergeCell ref="D10:H10"/>
    <mergeCell ref="A12:B12"/>
    <mergeCell ref="C10:C11"/>
    <mergeCell ref="A8:B11"/>
    <mergeCell ref="B3:E4"/>
  </mergeCells>
  <pageMargins left="0.25" right="0.25" top="0.75" bottom="0.75" header="0.298611111111111" footer="0.298611111111111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妇科手术室</vt:lpstr>
      <vt:lpstr>计划生育</vt:lpstr>
      <vt:lpstr>门诊妇科</vt:lpstr>
      <vt:lpstr>调整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铂康医疗销售部内勤</cp:lastModifiedBy>
  <dcterms:created xsi:type="dcterms:W3CDTF">2026-07-03T07:46:00Z</dcterms:created>
  <dcterms:modified xsi:type="dcterms:W3CDTF">2026-07-13T04:33:35Z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9CF3D2F60ADC4B2BAAA20A249A7D917A_12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