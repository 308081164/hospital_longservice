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DeliveryNoteSummaryWithPackingM" sheetId="1" r:id="rId1"/>
  </sheets>
  <definedNames>
    <definedName name="_xlnm._FilterDatabase" localSheetId="0" hidden="1">DeliveryNoteSummaryWithPackingM!$V$1:$V$184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<sst xmlns="http://schemas.openxmlformats.org/spreadsheetml/2006/main" count="2095" uniqueCount="137">
  <si>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</si>
  <si>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</si>
  <si>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/>
  </si>
  <si>
    <r>
      <rPr>
        <b/>
        <sz val="10"/>
        <color rgb="FF000000"/>
        <rFont val="Droid Sans Fallback"/>
        <charset val="134"/>
      </rPr>
      <t>包数合计:</t>
    </r>
    <r>
      <rPr>
        <b/>
        <sz val="10"/>
        <color rgb="FF000000"/>
        <rFont val="Droid Sans Fallback"/>
        <charset val="134"/>
      </rPr>
      <t>228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</si>
  <si>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9147.500</t>
    </r>
  </si>
  <si>
    <t>发货日期</t>
  </si>
  <si>
    <t>发货单号</t>
  </si>
  <si>
    <t>基本类型</t>
  </si>
  <si>
    <t>类型</t>
  </si>
  <si>
    <t>包类别号</t>
  </si>
  <si>
    <t>包名</t>
  </si>
  <si>
    <t>包装材料</t>
  </si>
  <si>
    <t>包数</t>
  </si>
  <si>
    <r>
      <rPr>
        <sz val="10"/>
        <color rgb="FF000000"/>
        <rFont val="Droid Sans Fallback"/>
        <charset val="134"/>
      </rPr>
      <t xml:space="preserve">器械
</t>
    </r>
    <r>
      <rPr>
        <sz val="10"/>
        <color rgb="FF000000"/>
        <rFont val="Droid Sans Fallback"/>
        <charset val="134"/>
      </rPr>
      <t>数量</t>
    </r>
  </si>
  <si>
    <t>单价</t>
  </si>
  <si>
    <t>总价</t>
  </si>
  <si>
    <t>黑龙江省海员总医院（松北）</t>
  </si>
  <si>
    <t>妇科病房</t>
  </si>
  <si>
    <t>额外包</t>
  </si>
  <si>
    <t>额外包(纸塑袋)</t>
  </si>
  <si>
    <t>止血钳-3（袋）/z1530</t>
  </si>
  <si>
    <t xml:space="preserve">高温纸塑袋150*300 </t>
  </si>
  <si>
    <t>剪刀1止血钳2/z1029</t>
  </si>
  <si>
    <t xml:space="preserve">高温纸塑袋100*290 </t>
  </si>
  <si>
    <t>妇科门诊</t>
  </si>
  <si>
    <t>器械包-3件(袋)/z1535</t>
  </si>
  <si>
    <t xml:space="preserve">高温纸塑袋150*350* </t>
  </si>
  <si>
    <t>器械包</t>
  </si>
  <si>
    <t>器械包(ZSD)</t>
  </si>
  <si>
    <t>节育器包</t>
  </si>
  <si>
    <t xml:space="preserve">无纺布-60×60-50g </t>
  </si>
  <si>
    <t>人流包-15件</t>
  </si>
  <si>
    <t xml:space="preserve">无纺布-90×90-50g </t>
  </si>
  <si>
    <t>拆线包-4件</t>
  </si>
  <si>
    <t xml:space="preserve">无纺布-60×60-50g. </t>
  </si>
  <si>
    <t>钳刮包</t>
  </si>
  <si>
    <t>扩棒2止血钳1/Z1029</t>
  </si>
  <si>
    <t>病理包</t>
  </si>
  <si>
    <t>手术室</t>
  </si>
  <si>
    <t>妇科手术包</t>
  </si>
  <si>
    <t xml:space="preserve">无纺布-120×120-50g </t>
  </si>
  <si>
    <t>持物钳罐-2/z2044</t>
  </si>
  <si>
    <t xml:space="preserve">高温纸塑袋200*440 </t>
  </si>
  <si>
    <t>人流包</t>
  </si>
  <si>
    <t>额外包(无纺布)</t>
  </si>
  <si>
    <t>大S拉钩-1（布）/w7050</t>
  </si>
  <si>
    <t xml:space="preserve">无纺布-70×70-50g </t>
  </si>
  <si>
    <t>额外包(低温等离子)</t>
  </si>
  <si>
    <t>闭孔器-2/Z1026</t>
  </si>
  <si>
    <t xml:space="preserve">低温纸塑袋100*260 </t>
  </si>
  <si>
    <t>戳卡4 转换器1/z2035</t>
  </si>
  <si>
    <t xml:space="preserve">低温纸塑袋200*350 </t>
  </si>
  <si>
    <t>胶帽-10/Z1526</t>
  </si>
  <si>
    <t xml:space="preserve">低温纸塑袋150*260 </t>
  </si>
  <si>
    <t>镜鞘-2/z2060</t>
  </si>
  <si>
    <t xml:space="preserve">低温纸塑袋200*600 </t>
  </si>
  <si>
    <t>镜头-1/z2060</t>
  </si>
  <si>
    <t>球状电极-1/z1030</t>
  </si>
  <si>
    <t xml:space="preserve">低温纸塑袋100*300 </t>
  </si>
  <si>
    <t>双极钳-1/z2060</t>
  </si>
  <si>
    <t>水管-1/z3040</t>
  </si>
  <si>
    <t xml:space="preserve">低温纸塑袋300*400 </t>
  </si>
  <si>
    <t>弯分离钳-1/z2060</t>
  </si>
  <si>
    <t>外科门诊</t>
  </si>
  <si>
    <t>小缝合</t>
  </si>
  <si>
    <t>外一手术室</t>
  </si>
  <si>
    <t>持物钳罐-3件（袋）/z2044</t>
  </si>
  <si>
    <t>小切开</t>
  </si>
  <si>
    <t>持针器-1/z1560</t>
  </si>
  <si>
    <t xml:space="preserve">低温纸塑袋150*600 </t>
  </si>
  <si>
    <t>电凝钩1导线1/z2060</t>
  </si>
  <si>
    <t>剪刀-1/z2060</t>
  </si>
  <si>
    <t>无损伤-1/Z2060</t>
  </si>
  <si>
    <t>腹腔镜包</t>
  </si>
  <si>
    <t>外科器械包</t>
  </si>
  <si>
    <t>克氏针-3/Z7530</t>
  </si>
  <si>
    <t xml:space="preserve">高温纸塑袋75*300 </t>
  </si>
  <si>
    <t>牙钳-1/z1530</t>
  </si>
  <si>
    <t>咬骨钳-1/z2035</t>
  </si>
  <si>
    <t xml:space="preserve">高温纸塑袋200*350 </t>
  </si>
  <si>
    <t>骨科包-5件/w7050</t>
  </si>
  <si>
    <t>骨科包</t>
  </si>
  <si>
    <t>基础包</t>
  </si>
  <si>
    <t>腹膜钳1复位钳1/z1530</t>
  </si>
  <si>
    <t>内六角扳手-1/（保）Z1035</t>
  </si>
  <si>
    <t xml:space="preserve">高温纸塑袋100*350 </t>
  </si>
  <si>
    <t>小拉钩-2/z1029</t>
  </si>
  <si>
    <t>大切开</t>
  </si>
  <si>
    <t>电钻-3件（新）/w7050</t>
  </si>
  <si>
    <t>骨牵引针-1/z7526</t>
  </si>
  <si>
    <t xml:space="preserve">高温纸塑袋75*260 </t>
  </si>
  <si>
    <t>巾钳子-2/z1029</t>
  </si>
  <si>
    <t>包皮包</t>
  </si>
  <si>
    <t>尖嘴钳-1/W6050</t>
  </si>
  <si>
    <t>克丝钳-1（布）/w6050</t>
  </si>
  <si>
    <t>长杆持针器-1/z2060</t>
  </si>
  <si>
    <t>阑尾钳-1（低温）/z2060</t>
  </si>
  <si>
    <t>取石钳-1/z2060</t>
  </si>
  <si>
    <t>微克夹钳-1/z2060</t>
  </si>
  <si>
    <t>吸引器-1/z1560</t>
  </si>
  <si>
    <t>抓钳-1/z2060</t>
  </si>
  <si>
    <t>扎丝（1.0）-1/Z1026</t>
  </si>
  <si>
    <t xml:space="preserve">高温纸塑袋100*260 </t>
  </si>
  <si>
    <t>扎丝（1.2）-1/Z1026</t>
  </si>
  <si>
    <t>直角钳-2/z1530</t>
  </si>
  <si>
    <t>V探子-1/z2530</t>
  </si>
  <si>
    <t xml:space="preserve">高温纸塑袋250*300* </t>
  </si>
  <si>
    <t>持物钳罐-3（卵圆钳，剪刀）/z2044</t>
  </si>
  <si>
    <r>
      <t>骨针</t>
    </r>
    <r>
      <rPr>
        <sz val="10"/>
        <color rgb="FF000000"/>
        <rFont val="Droid Sans Fallback"/>
        <charset val="134"/>
      </rPr>
      <t>2.0-1</t>
    </r>
    <r>
      <rPr>
        <sz val="10"/>
        <color rgb="FF000000"/>
        <rFont val="宋体"/>
        <charset val="134"/>
      </rPr>
      <t>件</t>
    </r>
    <r>
      <rPr>
        <sz val="10"/>
        <color rgb="FF000000"/>
        <rFont val="Droid Sans Fallback"/>
        <charset val="134"/>
      </rPr>
      <t>/z7534</t>
    </r>
  </si>
  <si>
    <t xml:space="preserve">高温纸塑袋75*340 </t>
  </si>
  <si>
    <t>克氏针0.3-10件/z7534</t>
  </si>
  <si>
    <t>梅花起子-8件/z1029</t>
  </si>
  <si>
    <t>木柄-1Z1026</t>
  </si>
  <si>
    <t>内六角-5件/z1029</t>
  </si>
  <si>
    <t>显微镊子-1/Z7520</t>
  </si>
  <si>
    <t xml:space="preserve">高温纸塑袋75*200 </t>
  </si>
  <si>
    <t>球囊包-6件</t>
  </si>
  <si>
    <t>盆1弯盘1/W7050</t>
  </si>
  <si>
    <t>双极钳  双极线-2件/z2060</t>
  </si>
  <si>
    <t>指针-8/Z7526</t>
  </si>
  <si>
    <t xml:space="preserve">低温纸塑袋75*260 </t>
  </si>
  <si>
    <t>154正确，与特殊收费不符，今天会修改特殊收费规则</t>
  </si>
  <si>
    <t>大弯1中弯1/z1530</t>
  </si>
  <si>
    <t>甲状腺拉钩-2/z1530</t>
  </si>
  <si>
    <t>剪刀1止血钳1/z1029</t>
  </si>
  <si>
    <t>拉钩2肠压板1/w6050</t>
  </si>
  <si>
    <t>胃肠包加件-16（带筐）/w1250</t>
  </si>
  <si>
    <t>敷料包</t>
  </si>
  <si>
    <t>敷料包(纸塑袋)</t>
  </si>
  <si>
    <t>绷带/Z1526</t>
  </si>
  <si>
    <t xml:space="preserve">高温纸塑袋150*260* </t>
  </si>
  <si>
    <t>蚊式钳-8/w6050</t>
  </si>
  <si>
    <t>施夹器（镁）-1/z2060蓝色标识</t>
  </si>
  <si>
    <t>微克夹钳（紫）-1/z2060</t>
  </si>
  <si>
    <t>骨锉-1/Z7537</t>
  </si>
  <si>
    <t xml:space="preserve">高温纸塑袋75*370 </t>
  </si>
  <si>
    <t>弯盘2碗1/w6050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</si>
</sst>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horizontal="center" vertical="top" wrapText="1" readingOrder="1"/>
    </xf>
    <xf numFmtId="0" fontId="8" fillId="0" borderId="2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532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4"/>
  <sheetViews>
    <sheetView showGridLines="0" tabSelected="1" workbookViewId="0">
      <pane ySplit="6" topLeftCell="A7" activePane="bottomLeft" state="frozen"/>
      <selection/>
      <selection pane="bottomLeft" activeCell="Y145" sqref="Y145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11.9583333333333" customWidth="1"/>
    <col min="8" max="8" width="1.49166666666667" customWidth="1"/>
    <col min="9" max="9" width="14.5" customWidth="1"/>
    <col min="10" max="10" width="18.0833333333333" customWidth="1"/>
    <col min="11" max="11" width="0.841666666666667" customWidth="1"/>
    <col min="12" max="12" width="0.775" customWidth="1"/>
    <col min="13" max="13" width="4.86666666666667" customWidth="1"/>
    <col min="14" max="14" width="6.05" customWidth="1"/>
    <col min="15" max="15" width="10.6333333333333" customWidth="1"/>
    <col min="16" max="16" width="3.85" customWidth="1"/>
    <col min="17" max="17" width="8.00833333333333" customWidth="1"/>
    <col min="18" max="18" width="0.2" customWidth="1"/>
    <col min="19" max="19" width="0.275" customWidth="1"/>
    <col min="20" max="20" width="0.025" customWidth="1"/>
    <col min="21" max="21" width="0.133333333333333" customWidth="1"/>
    <col min="22" max="22" width="12.625"/>
  </cols>
  <sheetData>
    <row r="1" spans="1:22">
      <c r="B1" s="1" t="s">
        <v>0</v>
      </c>
    </row>
    <row r="2" ht="23.05" customHeight="1"/>
    <row r="3" ht="2" customHeight="1"/>
    <row r="4" ht="15.2" customHeight="1" spans="1:22">
      <c r="B4" s="2" t="s">
        <v>1</v>
      </c>
    </row>
    <row r="6" ht="2.05" customHeight="1"/>
    <row r="7" ht="4" customHeight="1" spans="1:2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</row>
    <row r="8" spans="1:22">
      <c r="I8" s="4" t="s">
        <v>3</v>
      </c>
    </row>
    <row r="9" spans="1:22">
      <c r="M9" s="4" t="s">
        <v>4</v>
      </c>
    </row>
    <row r="11" ht="3.6" customHeight="1"/>
    <row r="12" ht="24.75" spans="1:22">
      <c r="A12" s="5" t="s">
        <v>5</v>
      </c>
      <c r="B12" s="6" t="s">
        <v>2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7" t="s">
        <v>2</v>
      </c>
      <c r="I12" s="6" t="s">
        <v>2</v>
      </c>
      <c r="J12" s="5" t="s">
        <v>11</v>
      </c>
      <c r="K12" s="5" t="s">
        <v>12</v>
      </c>
      <c r="L12" s="7" t="s">
        <v>2</v>
      </c>
      <c r="M12" s="6" t="s">
        <v>2</v>
      </c>
      <c r="N12" s="5" t="s">
        <v>13</v>
      </c>
      <c r="O12" s="5" t="s">
        <v>14</v>
      </c>
      <c r="P12" s="5" t="s">
        <v>15</v>
      </c>
      <c r="Q12" s="7" t="s">
        <v>2</v>
      </c>
      <c r="R12" s="7" t="s">
        <v>2</v>
      </c>
      <c r="S12" s="6" t="s">
        <v>2</v>
      </c>
    </row>
    <row r="13" ht="15" spans="1:22">
      <c r="A13" s="8" t="s">
        <v>16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6" t="s">
        <v>2</v>
      </c>
      <c r="K13" s="9">
        <v>228</v>
      </c>
      <c r="L13" s="7" t="s">
        <v>2</v>
      </c>
      <c r="M13" s="6" t="s">
        <v>2</v>
      </c>
      <c r="N13" s="9">
        <v>1364</v>
      </c>
      <c r="O13" s="10">
        <v>6369</v>
      </c>
      <c r="P13" s="10">
        <v>9147.5</v>
      </c>
      <c r="Q13" s="7" t="s">
        <v>2</v>
      </c>
      <c r="R13" s="7" t="s">
        <v>2</v>
      </c>
      <c r="S13" s="6" t="s">
        <v>2</v>
      </c>
    </row>
    <row r="14" ht="14.25" spans="1:22">
      <c r="A14" s="11" t="s">
        <v>17</v>
      </c>
      <c r="B14" s="7" t="s">
        <v>2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7" t="s">
        <v>2</v>
      </c>
      <c r="I14" s="7" t="s">
        <v>2</v>
      </c>
      <c r="J14" s="6" t="s">
        <v>2</v>
      </c>
      <c r="K14" s="12">
        <v>4</v>
      </c>
      <c r="L14" s="7" t="s">
        <v>2</v>
      </c>
      <c r="M14" s="6" t="s">
        <v>2</v>
      </c>
      <c r="N14" s="12">
        <v>12</v>
      </c>
      <c r="O14" s="13">
        <v>35.5</v>
      </c>
      <c r="P14" s="13">
        <v>71</v>
      </c>
      <c r="Q14" s="7" t="s">
        <v>2</v>
      </c>
      <c r="R14" s="7" t="s">
        <v>2</v>
      </c>
      <c r="S14" s="6" t="s">
        <v>2</v>
      </c>
    </row>
    <row r="15" spans="1:22">
      <c r="A15" s="14">
        <v>46086</v>
      </c>
      <c r="B15" s="6" t="s">
        <v>2</v>
      </c>
      <c r="C15" s="15">
        <v>1582440</v>
      </c>
      <c r="D15" s="15" t="s">
        <v>18</v>
      </c>
      <c r="E15" s="15" t="s">
        <v>19</v>
      </c>
      <c r="F15" s="5">
        <v>20311549</v>
      </c>
      <c r="G15" s="15" t="s">
        <v>20</v>
      </c>
      <c r="H15" s="7" t="s">
        <v>2</v>
      </c>
      <c r="I15" s="6" t="s">
        <v>2</v>
      </c>
      <c r="J15" s="15" t="s">
        <v>21</v>
      </c>
      <c r="K15" s="5">
        <v>2</v>
      </c>
      <c r="L15" s="7" t="s">
        <v>2</v>
      </c>
      <c r="M15" s="6" t="s">
        <v>2</v>
      </c>
      <c r="N15" s="5">
        <v>6</v>
      </c>
      <c r="O15" s="16">
        <v>16.5</v>
      </c>
      <c r="P15" s="16">
        <v>33</v>
      </c>
      <c r="Q15" s="7" t="s">
        <v>2</v>
      </c>
      <c r="R15" s="7" t="s">
        <v>2</v>
      </c>
      <c r="S15" s="6" t="s">
        <v>2</v>
      </c>
      <c r="V15">
        <f>P15/N15</f>
        <v>5.5</v>
      </c>
    </row>
    <row r="16" spans="1:22">
      <c r="A16" s="14">
        <v>46093</v>
      </c>
      <c r="B16" s="6" t="s">
        <v>2</v>
      </c>
      <c r="C16" s="15">
        <v>1585468</v>
      </c>
      <c r="D16" s="15" t="s">
        <v>18</v>
      </c>
      <c r="E16" s="15" t="s">
        <v>19</v>
      </c>
      <c r="F16" s="5">
        <v>20416771</v>
      </c>
      <c r="G16" s="15" t="s">
        <v>22</v>
      </c>
      <c r="H16" s="7" t="s">
        <v>2</v>
      </c>
      <c r="I16" s="6" t="s">
        <v>2</v>
      </c>
      <c r="J16" s="15" t="s">
        <v>23</v>
      </c>
      <c r="K16" s="5">
        <v>2</v>
      </c>
      <c r="L16" s="7" t="s">
        <v>2</v>
      </c>
      <c r="M16" s="6" t="s">
        <v>2</v>
      </c>
      <c r="N16" s="5">
        <v>6</v>
      </c>
      <c r="O16" s="16">
        <v>16.5</v>
      </c>
      <c r="P16" s="16">
        <f>O16*K16</f>
        <v>33</v>
      </c>
      <c r="Q16" s="7" t="s">
        <v>2</v>
      </c>
      <c r="R16" s="7" t="s">
        <v>2</v>
      </c>
      <c r="S16" s="6" t="s">
        <v>2</v>
      </c>
      <c r="V16">
        <f t="shared" ref="V16:V47" si="0">P16/N16</f>
        <v>5.5</v>
      </c>
    </row>
    <row r="17" spans="1:22">
      <c r="A17" s="17" t="s">
        <v>2</v>
      </c>
      <c r="C17" s="17" t="s">
        <v>2</v>
      </c>
      <c r="D17" s="17" t="s">
        <v>2</v>
      </c>
      <c r="E17" s="17" t="s">
        <v>2</v>
      </c>
      <c r="F17" s="18" t="s">
        <v>2</v>
      </c>
      <c r="G17" s="17" t="s">
        <v>2</v>
      </c>
      <c r="J17" s="17" t="s">
        <v>2</v>
      </c>
      <c r="K17" s="17" t="s">
        <v>2</v>
      </c>
      <c r="N17" s="17" t="s">
        <v>2</v>
      </c>
      <c r="O17" s="17" t="s">
        <v>2</v>
      </c>
      <c r="P17" s="17" t="s">
        <v>2</v>
      </c>
      <c r="V17" t="e">
        <f t="shared" si="0"/>
        <v>#VALUE!</v>
      </c>
    </row>
    <row r="18" ht="14.25" spans="1:22">
      <c r="A18" s="11" t="s">
        <v>24</v>
      </c>
      <c r="B18" s="7" t="s">
        <v>2</v>
      </c>
      <c r="C18" s="7" t="s">
        <v>2</v>
      </c>
      <c r="D18" s="7" t="s">
        <v>2</v>
      </c>
      <c r="E18" s="7" t="s">
        <v>2</v>
      </c>
      <c r="F18" s="7" t="s">
        <v>2</v>
      </c>
      <c r="G18" s="7" t="s">
        <v>2</v>
      </c>
      <c r="H18" s="7" t="s">
        <v>2</v>
      </c>
      <c r="I18" s="7" t="s">
        <v>2</v>
      </c>
      <c r="J18" s="6" t="s">
        <v>2</v>
      </c>
      <c r="K18" s="12">
        <v>40</v>
      </c>
      <c r="L18" s="7" t="s">
        <v>2</v>
      </c>
      <c r="M18" s="6" t="s">
        <v>2</v>
      </c>
      <c r="N18" s="12">
        <v>408</v>
      </c>
      <c r="O18" s="13">
        <v>1039.5</v>
      </c>
      <c r="P18" s="13">
        <v>2244</v>
      </c>
      <c r="Q18" s="7" t="s">
        <v>2</v>
      </c>
      <c r="R18" s="7" t="s">
        <v>2</v>
      </c>
      <c r="S18" s="6" t="s">
        <v>2</v>
      </c>
      <c r="V18">
        <f t="shared" si="0"/>
        <v>5.5</v>
      </c>
    </row>
    <row r="19" spans="1:22">
      <c r="A19" s="14">
        <v>46086</v>
      </c>
      <c r="B19" s="6" t="s">
        <v>2</v>
      </c>
      <c r="C19" s="15">
        <v>1582441</v>
      </c>
      <c r="D19" s="15" t="s">
        <v>18</v>
      </c>
      <c r="E19" s="15" t="s">
        <v>19</v>
      </c>
      <c r="F19" s="5">
        <v>20012319</v>
      </c>
      <c r="G19" s="15" t="s">
        <v>25</v>
      </c>
      <c r="H19" s="7" t="s">
        <v>2</v>
      </c>
      <c r="I19" s="6" t="s">
        <v>2</v>
      </c>
      <c r="J19" s="15" t="s">
        <v>26</v>
      </c>
      <c r="K19" s="5">
        <v>1</v>
      </c>
      <c r="L19" s="7" t="s">
        <v>2</v>
      </c>
      <c r="M19" s="6" t="s">
        <v>2</v>
      </c>
      <c r="N19" s="5">
        <v>3</v>
      </c>
      <c r="O19" s="16">
        <v>16.5</v>
      </c>
      <c r="P19" s="16">
        <v>16.5</v>
      </c>
      <c r="Q19" s="7" t="s">
        <v>2</v>
      </c>
      <c r="R19" s="7" t="s">
        <v>2</v>
      </c>
      <c r="S19" s="6" t="s">
        <v>2</v>
      </c>
      <c r="V19">
        <f t="shared" si="0"/>
        <v>5.5</v>
      </c>
    </row>
    <row r="20" spans="1:22">
      <c r="A20" s="14">
        <v>46086</v>
      </c>
      <c r="B20" s="6" t="s">
        <v>2</v>
      </c>
      <c r="C20" s="15">
        <v>1582441</v>
      </c>
      <c r="D20" s="15" t="s">
        <v>27</v>
      </c>
      <c r="E20" s="15" t="s">
        <v>28</v>
      </c>
      <c r="F20" s="5">
        <v>20014240</v>
      </c>
      <c r="G20" s="15" t="s">
        <v>29</v>
      </c>
      <c r="H20" s="7" t="s">
        <v>2</v>
      </c>
      <c r="I20" s="6" t="s">
        <v>2</v>
      </c>
      <c r="J20" s="15" t="s">
        <v>30</v>
      </c>
      <c r="K20" s="5">
        <v>2</v>
      </c>
      <c r="L20" s="7" t="s">
        <v>2</v>
      </c>
      <c r="M20" s="6" t="s">
        <v>2</v>
      </c>
      <c r="N20" s="5">
        <v>18</v>
      </c>
      <c r="O20" s="16">
        <v>49.5</v>
      </c>
      <c r="P20" s="16">
        <v>99</v>
      </c>
      <c r="Q20" s="7" t="s">
        <v>2</v>
      </c>
      <c r="R20" s="7" t="s">
        <v>2</v>
      </c>
      <c r="S20" s="6" t="s">
        <v>2</v>
      </c>
      <c r="V20">
        <f t="shared" si="0"/>
        <v>5.5</v>
      </c>
    </row>
    <row r="21" spans="1:22">
      <c r="A21" s="14">
        <v>46086</v>
      </c>
      <c r="B21" s="6" t="s">
        <v>2</v>
      </c>
      <c r="C21" s="15">
        <v>1582441</v>
      </c>
      <c r="D21" s="15" t="s">
        <v>27</v>
      </c>
      <c r="E21" s="15" t="s">
        <v>28</v>
      </c>
      <c r="F21" s="5">
        <v>20012385</v>
      </c>
      <c r="G21" s="15" t="s">
        <v>31</v>
      </c>
      <c r="H21" s="7" t="s">
        <v>2</v>
      </c>
      <c r="I21" s="6" t="s">
        <v>2</v>
      </c>
      <c r="J21" s="15" t="s">
        <v>32</v>
      </c>
      <c r="K21" s="5">
        <v>4</v>
      </c>
      <c r="L21" s="7" t="s">
        <v>2</v>
      </c>
      <c r="M21" s="6" t="s">
        <v>2</v>
      </c>
      <c r="N21" s="5">
        <v>60</v>
      </c>
      <c r="O21" s="16">
        <v>82.5</v>
      </c>
      <c r="P21" s="16">
        <v>330</v>
      </c>
      <c r="Q21" s="7" t="s">
        <v>2</v>
      </c>
      <c r="R21" s="7" t="s">
        <v>2</v>
      </c>
      <c r="S21" s="6" t="s">
        <v>2</v>
      </c>
      <c r="V21">
        <f t="shared" si="0"/>
        <v>5.5</v>
      </c>
    </row>
    <row r="22" spans="1:22">
      <c r="A22" s="14">
        <v>46100</v>
      </c>
      <c r="B22" s="6" t="s">
        <v>2</v>
      </c>
      <c r="C22" s="15">
        <v>1587485</v>
      </c>
      <c r="D22" s="15" t="s">
        <v>18</v>
      </c>
      <c r="E22" s="15" t="s">
        <v>19</v>
      </c>
      <c r="F22" s="5">
        <v>20012319</v>
      </c>
      <c r="G22" s="15" t="s">
        <v>25</v>
      </c>
      <c r="H22" s="7" t="s">
        <v>2</v>
      </c>
      <c r="I22" s="6" t="s">
        <v>2</v>
      </c>
      <c r="J22" s="15" t="s">
        <v>26</v>
      </c>
      <c r="K22" s="5">
        <v>1</v>
      </c>
      <c r="L22" s="7" t="s">
        <v>2</v>
      </c>
      <c r="M22" s="6" t="s">
        <v>2</v>
      </c>
      <c r="N22" s="5">
        <v>3</v>
      </c>
      <c r="O22" s="16">
        <v>16.5</v>
      </c>
      <c r="P22" s="16">
        <v>16.5</v>
      </c>
      <c r="Q22" s="7" t="s">
        <v>2</v>
      </c>
      <c r="R22" s="7" t="s">
        <v>2</v>
      </c>
      <c r="S22" s="6" t="s">
        <v>2</v>
      </c>
      <c r="V22">
        <f t="shared" si="0"/>
        <v>5.5</v>
      </c>
    </row>
    <row r="23" spans="1:22">
      <c r="A23" s="14">
        <v>46100</v>
      </c>
      <c r="B23" s="6" t="s">
        <v>2</v>
      </c>
      <c r="C23" s="15">
        <v>1587485</v>
      </c>
      <c r="D23" s="15" t="s">
        <v>27</v>
      </c>
      <c r="E23" s="15" t="s">
        <v>28</v>
      </c>
      <c r="F23" s="5">
        <v>20011958</v>
      </c>
      <c r="G23" s="15" t="s">
        <v>33</v>
      </c>
      <c r="H23" s="7" t="s">
        <v>2</v>
      </c>
      <c r="I23" s="6" t="s">
        <v>2</v>
      </c>
      <c r="J23" s="15" t="s">
        <v>34</v>
      </c>
      <c r="K23" s="5">
        <v>1</v>
      </c>
      <c r="L23" s="7" t="s">
        <v>2</v>
      </c>
      <c r="M23" s="6" t="s">
        <v>2</v>
      </c>
      <c r="N23" s="5">
        <v>4</v>
      </c>
      <c r="O23" s="16">
        <v>22</v>
      </c>
      <c r="P23" s="16">
        <v>22</v>
      </c>
      <c r="Q23" s="7" t="s">
        <v>2</v>
      </c>
      <c r="R23" s="7" t="s">
        <v>2</v>
      </c>
      <c r="S23" s="6" t="s">
        <v>2</v>
      </c>
      <c r="V23">
        <f t="shared" si="0"/>
        <v>5.5</v>
      </c>
    </row>
    <row r="24" spans="1:22">
      <c r="A24" s="14">
        <v>46100</v>
      </c>
      <c r="B24" s="6" t="s">
        <v>2</v>
      </c>
      <c r="C24" s="15">
        <v>1587485</v>
      </c>
      <c r="D24" s="15" t="s">
        <v>27</v>
      </c>
      <c r="E24" s="15" t="s">
        <v>28</v>
      </c>
      <c r="F24" s="5">
        <v>20014240</v>
      </c>
      <c r="G24" s="15" t="s">
        <v>29</v>
      </c>
      <c r="H24" s="7" t="s">
        <v>2</v>
      </c>
      <c r="I24" s="6" t="s">
        <v>2</v>
      </c>
      <c r="J24" s="15" t="s">
        <v>30</v>
      </c>
      <c r="K24" s="5">
        <v>1</v>
      </c>
      <c r="L24" s="7" t="s">
        <v>2</v>
      </c>
      <c r="M24" s="6" t="s">
        <v>2</v>
      </c>
      <c r="N24" s="5">
        <v>9</v>
      </c>
      <c r="O24" s="16">
        <v>49.5</v>
      </c>
      <c r="P24" s="16">
        <v>49.5</v>
      </c>
      <c r="Q24" s="7" t="s">
        <v>2</v>
      </c>
      <c r="R24" s="7" t="s">
        <v>2</v>
      </c>
      <c r="S24" s="6" t="s">
        <v>2</v>
      </c>
      <c r="V24">
        <f t="shared" si="0"/>
        <v>5.5</v>
      </c>
    </row>
    <row r="25" spans="1:22">
      <c r="A25" s="14">
        <v>46100</v>
      </c>
      <c r="B25" s="6" t="s">
        <v>2</v>
      </c>
      <c r="C25" s="15">
        <v>1587499</v>
      </c>
      <c r="D25" s="15" t="s">
        <v>27</v>
      </c>
      <c r="E25" s="15" t="s">
        <v>28</v>
      </c>
      <c r="F25" s="5">
        <v>20316358</v>
      </c>
      <c r="G25" s="15" t="s">
        <v>35</v>
      </c>
      <c r="H25" s="7" t="s">
        <v>2</v>
      </c>
      <c r="I25" s="6" t="s">
        <v>2</v>
      </c>
      <c r="J25" s="15" t="s">
        <v>32</v>
      </c>
      <c r="K25" s="5">
        <v>1</v>
      </c>
      <c r="L25" s="7" t="s">
        <v>2</v>
      </c>
      <c r="M25" s="6" t="s">
        <v>2</v>
      </c>
      <c r="N25" s="5">
        <v>19</v>
      </c>
      <c r="O25" s="16">
        <v>104.5</v>
      </c>
      <c r="P25" s="16">
        <v>104.5</v>
      </c>
      <c r="Q25" s="7" t="s">
        <v>2</v>
      </c>
      <c r="R25" s="7" t="s">
        <v>2</v>
      </c>
      <c r="S25" s="6" t="s">
        <v>2</v>
      </c>
      <c r="V25">
        <f t="shared" si="0"/>
        <v>5.5</v>
      </c>
    </row>
    <row r="26" spans="1:22">
      <c r="A26" s="14">
        <v>46100</v>
      </c>
      <c r="B26" s="6" t="s">
        <v>2</v>
      </c>
      <c r="C26" s="15">
        <v>1587499</v>
      </c>
      <c r="D26" s="15" t="s">
        <v>27</v>
      </c>
      <c r="E26" s="15" t="s">
        <v>28</v>
      </c>
      <c r="F26" s="5">
        <v>20012385</v>
      </c>
      <c r="G26" s="15" t="s">
        <v>31</v>
      </c>
      <c r="H26" s="7" t="s">
        <v>2</v>
      </c>
      <c r="I26" s="6" t="s">
        <v>2</v>
      </c>
      <c r="J26" s="15" t="s">
        <v>32</v>
      </c>
      <c r="K26" s="5">
        <v>3</v>
      </c>
      <c r="L26" s="7" t="s">
        <v>2</v>
      </c>
      <c r="M26" s="6" t="s">
        <v>2</v>
      </c>
      <c r="N26" s="5">
        <v>45</v>
      </c>
      <c r="O26" s="16">
        <v>82.5</v>
      </c>
      <c r="P26" s="16">
        <v>247.5</v>
      </c>
      <c r="Q26" s="7" t="s">
        <v>2</v>
      </c>
      <c r="R26" s="7" t="s">
        <v>2</v>
      </c>
      <c r="S26" s="6" t="s">
        <v>2</v>
      </c>
      <c r="V26">
        <f t="shared" si="0"/>
        <v>5.5</v>
      </c>
    </row>
    <row r="27" spans="1:22">
      <c r="A27" s="14">
        <v>46107</v>
      </c>
      <c r="B27" s="6" t="s">
        <v>2</v>
      </c>
      <c r="C27" s="15">
        <v>1589453</v>
      </c>
      <c r="D27" s="15" t="s">
        <v>18</v>
      </c>
      <c r="E27" s="15" t="s">
        <v>19</v>
      </c>
      <c r="F27" s="5">
        <v>20012319</v>
      </c>
      <c r="G27" s="15" t="s">
        <v>25</v>
      </c>
      <c r="H27" s="7" t="s">
        <v>2</v>
      </c>
      <c r="I27" s="6" t="s">
        <v>2</v>
      </c>
      <c r="J27" s="15" t="s">
        <v>26</v>
      </c>
      <c r="K27" s="5">
        <v>2</v>
      </c>
      <c r="L27" s="7" t="s">
        <v>2</v>
      </c>
      <c r="M27" s="6" t="s">
        <v>2</v>
      </c>
      <c r="N27" s="5">
        <v>6</v>
      </c>
      <c r="O27" s="16">
        <v>16.5</v>
      </c>
      <c r="P27" s="16">
        <v>33</v>
      </c>
      <c r="Q27" s="7" t="s">
        <v>2</v>
      </c>
      <c r="R27" s="7" t="s">
        <v>2</v>
      </c>
      <c r="S27" s="6" t="s">
        <v>2</v>
      </c>
      <c r="V27">
        <f t="shared" si="0"/>
        <v>5.5</v>
      </c>
    </row>
    <row r="28" spans="1:22">
      <c r="A28" s="14">
        <v>46108</v>
      </c>
      <c r="B28" s="6" t="s">
        <v>2</v>
      </c>
      <c r="C28" s="15">
        <v>1589587</v>
      </c>
      <c r="D28" s="15" t="s">
        <v>27</v>
      </c>
      <c r="E28" s="15" t="s">
        <v>28</v>
      </c>
      <c r="F28" s="5">
        <v>20014240</v>
      </c>
      <c r="G28" s="15" t="s">
        <v>29</v>
      </c>
      <c r="H28" s="7" t="s">
        <v>2</v>
      </c>
      <c r="I28" s="6" t="s">
        <v>2</v>
      </c>
      <c r="J28" s="15" t="s">
        <v>30</v>
      </c>
      <c r="K28" s="5">
        <v>2</v>
      </c>
      <c r="L28" s="7" t="s">
        <v>2</v>
      </c>
      <c r="M28" s="6" t="s">
        <v>2</v>
      </c>
      <c r="N28" s="5">
        <v>18</v>
      </c>
      <c r="O28" s="16">
        <v>49.5</v>
      </c>
      <c r="P28" s="16">
        <v>99</v>
      </c>
      <c r="Q28" s="7" t="s">
        <v>2</v>
      </c>
      <c r="R28" s="7" t="s">
        <v>2</v>
      </c>
      <c r="S28" s="6" t="s">
        <v>2</v>
      </c>
      <c r="V28">
        <f t="shared" si="0"/>
        <v>5.5</v>
      </c>
    </row>
    <row r="29" spans="1:22">
      <c r="A29" s="14">
        <v>46108</v>
      </c>
      <c r="B29" s="6" t="s">
        <v>2</v>
      </c>
      <c r="C29" s="15">
        <v>1589587</v>
      </c>
      <c r="D29" s="15" t="s">
        <v>27</v>
      </c>
      <c r="E29" s="15" t="s">
        <v>28</v>
      </c>
      <c r="F29" s="5">
        <v>20012385</v>
      </c>
      <c r="G29" s="15" t="s">
        <v>31</v>
      </c>
      <c r="H29" s="7" t="s">
        <v>2</v>
      </c>
      <c r="I29" s="6" t="s">
        <v>2</v>
      </c>
      <c r="J29" s="15" t="s">
        <v>32</v>
      </c>
      <c r="K29" s="5">
        <v>3</v>
      </c>
      <c r="L29" s="7" t="s">
        <v>2</v>
      </c>
      <c r="M29" s="6" t="s">
        <v>2</v>
      </c>
      <c r="N29" s="5">
        <v>45</v>
      </c>
      <c r="O29" s="16">
        <v>82.5</v>
      </c>
      <c r="P29" s="16">
        <v>247.5</v>
      </c>
      <c r="Q29" s="7" t="s">
        <v>2</v>
      </c>
      <c r="R29" s="7" t="s">
        <v>2</v>
      </c>
      <c r="S29" s="6" t="s">
        <v>2</v>
      </c>
      <c r="V29">
        <f t="shared" si="0"/>
        <v>5.5</v>
      </c>
    </row>
    <row r="30" spans="1:22">
      <c r="A30" s="14">
        <v>46115</v>
      </c>
      <c r="B30" s="6" t="s">
        <v>2</v>
      </c>
      <c r="C30" s="15">
        <v>1591651</v>
      </c>
      <c r="D30" s="15" t="s">
        <v>27</v>
      </c>
      <c r="E30" s="15" t="s">
        <v>28</v>
      </c>
      <c r="F30" s="5">
        <v>20014240</v>
      </c>
      <c r="G30" s="15" t="s">
        <v>29</v>
      </c>
      <c r="H30" s="7" t="s">
        <v>2</v>
      </c>
      <c r="I30" s="6" t="s">
        <v>2</v>
      </c>
      <c r="J30" s="15" t="s">
        <v>30</v>
      </c>
      <c r="K30" s="5">
        <v>4</v>
      </c>
      <c r="L30" s="7" t="s">
        <v>2</v>
      </c>
      <c r="M30" s="6" t="s">
        <v>2</v>
      </c>
      <c r="N30" s="5">
        <v>36</v>
      </c>
      <c r="O30" s="16">
        <v>49.5</v>
      </c>
      <c r="P30" s="16">
        <v>198</v>
      </c>
      <c r="Q30" s="7" t="s">
        <v>2</v>
      </c>
      <c r="R30" s="7" t="s">
        <v>2</v>
      </c>
      <c r="S30" s="6" t="s">
        <v>2</v>
      </c>
      <c r="V30">
        <f t="shared" si="0"/>
        <v>5.5</v>
      </c>
    </row>
    <row r="31" spans="1:22">
      <c r="A31" s="14">
        <v>46115</v>
      </c>
      <c r="B31" s="6" t="s">
        <v>2</v>
      </c>
      <c r="C31" s="15">
        <v>1591651</v>
      </c>
      <c r="D31" s="15" t="s">
        <v>27</v>
      </c>
      <c r="E31" s="15" t="s">
        <v>28</v>
      </c>
      <c r="F31" s="5">
        <v>20012385</v>
      </c>
      <c r="G31" s="15" t="s">
        <v>31</v>
      </c>
      <c r="H31" s="7" t="s">
        <v>2</v>
      </c>
      <c r="I31" s="6" t="s">
        <v>2</v>
      </c>
      <c r="J31" s="15" t="s">
        <v>32</v>
      </c>
      <c r="K31" s="5">
        <v>2</v>
      </c>
      <c r="L31" s="7" t="s">
        <v>2</v>
      </c>
      <c r="M31" s="6" t="s">
        <v>2</v>
      </c>
      <c r="N31" s="5">
        <v>30</v>
      </c>
      <c r="O31" s="16">
        <v>82.5</v>
      </c>
      <c r="P31" s="16">
        <v>165</v>
      </c>
      <c r="Q31" s="7" t="s">
        <v>2</v>
      </c>
      <c r="R31" s="7" t="s">
        <v>2</v>
      </c>
      <c r="S31" s="6" t="s">
        <v>2</v>
      </c>
      <c r="V31">
        <f t="shared" si="0"/>
        <v>5.5</v>
      </c>
    </row>
    <row r="32" spans="1:22">
      <c r="A32" s="14">
        <v>46128</v>
      </c>
      <c r="B32" s="6" t="s">
        <v>2</v>
      </c>
      <c r="C32" s="15">
        <v>1595523</v>
      </c>
      <c r="D32" s="15" t="s">
        <v>18</v>
      </c>
      <c r="E32" s="15" t="s">
        <v>19</v>
      </c>
      <c r="F32" s="5">
        <v>20421663</v>
      </c>
      <c r="G32" s="15" t="s">
        <v>36</v>
      </c>
      <c r="H32" s="7" t="s">
        <v>2</v>
      </c>
      <c r="I32" s="6" t="s">
        <v>2</v>
      </c>
      <c r="J32" s="15" t="s">
        <v>23</v>
      </c>
      <c r="K32" s="5">
        <v>1</v>
      </c>
      <c r="L32" s="7" t="s">
        <v>2</v>
      </c>
      <c r="M32" s="6" t="s">
        <v>2</v>
      </c>
      <c r="N32" s="5">
        <v>3</v>
      </c>
      <c r="O32" s="16">
        <v>16.5</v>
      </c>
      <c r="P32" s="16">
        <v>16.5</v>
      </c>
      <c r="Q32" s="7" t="s">
        <v>2</v>
      </c>
      <c r="R32" s="7" t="s">
        <v>2</v>
      </c>
      <c r="S32" s="6" t="s">
        <v>2</v>
      </c>
      <c r="V32">
        <f t="shared" si="0"/>
        <v>5.5</v>
      </c>
    </row>
    <row r="33" spans="1:22">
      <c r="A33" s="14">
        <v>46128</v>
      </c>
      <c r="B33" s="6" t="s">
        <v>2</v>
      </c>
      <c r="C33" s="15">
        <v>1595523</v>
      </c>
      <c r="D33" s="15" t="s">
        <v>18</v>
      </c>
      <c r="E33" s="15" t="s">
        <v>19</v>
      </c>
      <c r="F33" s="5">
        <v>20012319</v>
      </c>
      <c r="G33" s="15" t="s">
        <v>25</v>
      </c>
      <c r="H33" s="7" t="s">
        <v>2</v>
      </c>
      <c r="I33" s="6" t="s">
        <v>2</v>
      </c>
      <c r="J33" s="15" t="s">
        <v>26</v>
      </c>
      <c r="K33" s="5">
        <v>2</v>
      </c>
      <c r="L33" s="7" t="s">
        <v>2</v>
      </c>
      <c r="M33" s="6" t="s">
        <v>2</v>
      </c>
      <c r="N33" s="5">
        <v>6</v>
      </c>
      <c r="O33" s="16">
        <v>16.5</v>
      </c>
      <c r="P33" s="16">
        <v>33</v>
      </c>
      <c r="Q33" s="7" t="s">
        <v>2</v>
      </c>
      <c r="R33" s="7" t="s">
        <v>2</v>
      </c>
      <c r="S33" s="6" t="s">
        <v>2</v>
      </c>
      <c r="V33">
        <f t="shared" si="0"/>
        <v>5.5</v>
      </c>
    </row>
    <row r="34" spans="1:22">
      <c r="A34" s="14">
        <v>46128</v>
      </c>
      <c r="B34" s="6" t="s">
        <v>2</v>
      </c>
      <c r="C34" s="15">
        <v>1595523</v>
      </c>
      <c r="D34" s="15" t="s">
        <v>27</v>
      </c>
      <c r="E34" s="15" t="s">
        <v>28</v>
      </c>
      <c r="F34" s="5">
        <v>20014240</v>
      </c>
      <c r="G34" s="15" t="s">
        <v>29</v>
      </c>
      <c r="H34" s="7" t="s">
        <v>2</v>
      </c>
      <c r="I34" s="6" t="s">
        <v>2</v>
      </c>
      <c r="J34" s="15" t="s">
        <v>30</v>
      </c>
      <c r="K34" s="5">
        <v>3</v>
      </c>
      <c r="L34" s="7" t="s">
        <v>2</v>
      </c>
      <c r="M34" s="6" t="s">
        <v>2</v>
      </c>
      <c r="N34" s="5">
        <v>27</v>
      </c>
      <c r="O34" s="16">
        <v>49.5</v>
      </c>
      <c r="P34" s="16">
        <v>148.5</v>
      </c>
      <c r="Q34" s="7" t="s">
        <v>2</v>
      </c>
      <c r="R34" s="7" t="s">
        <v>2</v>
      </c>
      <c r="S34" s="6" t="s">
        <v>2</v>
      </c>
      <c r="V34">
        <f t="shared" si="0"/>
        <v>5.5</v>
      </c>
    </row>
    <row r="35" spans="1:22">
      <c r="A35" s="14">
        <v>46128</v>
      </c>
      <c r="B35" s="6" t="s">
        <v>2</v>
      </c>
      <c r="C35" s="15">
        <v>1595523</v>
      </c>
      <c r="D35" s="15" t="s">
        <v>27</v>
      </c>
      <c r="E35" s="15" t="s">
        <v>28</v>
      </c>
      <c r="F35" s="5">
        <v>20012385</v>
      </c>
      <c r="G35" s="15" t="s">
        <v>31</v>
      </c>
      <c r="H35" s="7" t="s">
        <v>2</v>
      </c>
      <c r="I35" s="6" t="s">
        <v>2</v>
      </c>
      <c r="J35" s="15" t="s">
        <v>32</v>
      </c>
      <c r="K35" s="5">
        <v>1</v>
      </c>
      <c r="L35" s="7" t="s">
        <v>2</v>
      </c>
      <c r="M35" s="6" t="s">
        <v>2</v>
      </c>
      <c r="N35" s="5">
        <v>15</v>
      </c>
      <c r="O35" s="16">
        <v>82.5</v>
      </c>
      <c r="P35" s="16">
        <v>82.5</v>
      </c>
      <c r="Q35" s="7" t="s">
        <v>2</v>
      </c>
      <c r="R35" s="7" t="s">
        <v>2</v>
      </c>
      <c r="S35" s="6" t="s">
        <v>2</v>
      </c>
      <c r="V35">
        <f t="shared" si="0"/>
        <v>5.5</v>
      </c>
    </row>
    <row r="36" spans="1:22">
      <c r="A36" s="14">
        <v>46135</v>
      </c>
      <c r="B36" s="6" t="s">
        <v>2</v>
      </c>
      <c r="C36" s="15">
        <v>1597592</v>
      </c>
      <c r="D36" s="15" t="s">
        <v>18</v>
      </c>
      <c r="E36" s="15" t="s">
        <v>19</v>
      </c>
      <c r="F36" s="5">
        <v>20012319</v>
      </c>
      <c r="G36" s="15" t="s">
        <v>25</v>
      </c>
      <c r="H36" s="7" t="s">
        <v>2</v>
      </c>
      <c r="I36" s="6" t="s">
        <v>2</v>
      </c>
      <c r="J36" s="15" t="s">
        <v>26</v>
      </c>
      <c r="K36" s="5">
        <v>1</v>
      </c>
      <c r="L36" s="7" t="s">
        <v>2</v>
      </c>
      <c r="M36" s="6" t="s">
        <v>2</v>
      </c>
      <c r="N36" s="5">
        <v>3</v>
      </c>
      <c r="O36" s="16">
        <v>16.5</v>
      </c>
      <c r="P36" s="16">
        <v>16.5</v>
      </c>
      <c r="Q36" s="7" t="s">
        <v>2</v>
      </c>
      <c r="R36" s="7" t="s">
        <v>2</v>
      </c>
      <c r="S36" s="6" t="s">
        <v>2</v>
      </c>
      <c r="V36">
        <f t="shared" si="0"/>
        <v>5.5</v>
      </c>
    </row>
    <row r="37" spans="1:22">
      <c r="A37" s="14">
        <v>46135</v>
      </c>
      <c r="B37" s="6" t="s">
        <v>2</v>
      </c>
      <c r="C37" s="15">
        <v>1597592</v>
      </c>
      <c r="D37" s="15" t="s">
        <v>27</v>
      </c>
      <c r="E37" s="15" t="s">
        <v>28</v>
      </c>
      <c r="F37" s="5">
        <v>20011968</v>
      </c>
      <c r="G37" s="15" t="s">
        <v>37</v>
      </c>
      <c r="H37" s="7" t="s">
        <v>2</v>
      </c>
      <c r="I37" s="6" t="s">
        <v>2</v>
      </c>
      <c r="J37" s="15" t="s">
        <v>34</v>
      </c>
      <c r="K37" s="5">
        <v>1</v>
      </c>
      <c r="L37" s="7" t="s">
        <v>2</v>
      </c>
      <c r="M37" s="6" t="s">
        <v>2</v>
      </c>
      <c r="N37" s="5">
        <v>4</v>
      </c>
      <c r="O37" s="16">
        <v>22</v>
      </c>
      <c r="P37" s="16">
        <v>22</v>
      </c>
      <c r="Q37" s="7" t="s">
        <v>2</v>
      </c>
      <c r="R37" s="7" t="s">
        <v>2</v>
      </c>
      <c r="S37" s="6" t="s">
        <v>2</v>
      </c>
      <c r="V37">
        <f t="shared" si="0"/>
        <v>5.5</v>
      </c>
    </row>
    <row r="38" spans="1:22">
      <c r="A38" s="14">
        <v>46135</v>
      </c>
      <c r="B38" s="6" t="s">
        <v>2</v>
      </c>
      <c r="C38" s="15">
        <v>1597592</v>
      </c>
      <c r="D38" s="15" t="s">
        <v>27</v>
      </c>
      <c r="E38" s="15" t="s">
        <v>28</v>
      </c>
      <c r="F38" s="5">
        <v>20014240</v>
      </c>
      <c r="G38" s="15" t="s">
        <v>29</v>
      </c>
      <c r="H38" s="7" t="s">
        <v>2</v>
      </c>
      <c r="I38" s="6" t="s">
        <v>2</v>
      </c>
      <c r="J38" s="15" t="s">
        <v>30</v>
      </c>
      <c r="K38" s="5">
        <v>1</v>
      </c>
      <c r="L38" s="7" t="s">
        <v>2</v>
      </c>
      <c r="M38" s="6" t="s">
        <v>2</v>
      </c>
      <c r="N38" s="5">
        <v>9</v>
      </c>
      <c r="O38" s="16">
        <v>49.5</v>
      </c>
      <c r="P38" s="16">
        <v>49.5</v>
      </c>
      <c r="Q38" s="7" t="s">
        <v>2</v>
      </c>
      <c r="R38" s="7" t="s">
        <v>2</v>
      </c>
      <c r="S38" s="6" t="s">
        <v>2</v>
      </c>
      <c r="V38">
        <f t="shared" si="0"/>
        <v>5.5</v>
      </c>
    </row>
    <row r="39" spans="1:22">
      <c r="A39" s="14">
        <v>46135</v>
      </c>
      <c r="B39" s="6" t="s">
        <v>2</v>
      </c>
      <c r="C39" s="15">
        <v>1597592</v>
      </c>
      <c r="D39" s="15" t="s">
        <v>27</v>
      </c>
      <c r="E39" s="15" t="s">
        <v>28</v>
      </c>
      <c r="F39" s="5">
        <v>20012385</v>
      </c>
      <c r="G39" s="15" t="s">
        <v>31</v>
      </c>
      <c r="H39" s="7" t="s">
        <v>2</v>
      </c>
      <c r="I39" s="6" t="s">
        <v>2</v>
      </c>
      <c r="J39" s="15" t="s">
        <v>32</v>
      </c>
      <c r="K39" s="5">
        <v>3</v>
      </c>
      <c r="L39" s="7" t="s">
        <v>2</v>
      </c>
      <c r="M39" s="6" t="s">
        <v>2</v>
      </c>
      <c r="N39" s="5">
        <v>45</v>
      </c>
      <c r="O39" s="16">
        <v>82.5</v>
      </c>
      <c r="P39" s="16">
        <v>247.5</v>
      </c>
      <c r="Q39" s="7" t="s">
        <v>2</v>
      </c>
      <c r="R39" s="7" t="s">
        <v>2</v>
      </c>
      <c r="S39" s="6" t="s">
        <v>2</v>
      </c>
      <c r="V39">
        <f t="shared" si="0"/>
        <v>5.5</v>
      </c>
    </row>
    <row r="40" spans="1:22">
      <c r="A40" s="17" t="s">
        <v>2</v>
      </c>
      <c r="C40" s="17" t="s">
        <v>2</v>
      </c>
      <c r="D40" s="17" t="s">
        <v>2</v>
      </c>
      <c r="E40" s="17" t="s">
        <v>2</v>
      </c>
      <c r="F40" s="18" t="s">
        <v>2</v>
      </c>
      <c r="G40" s="17" t="s">
        <v>2</v>
      </c>
      <c r="J40" s="17" t="s">
        <v>2</v>
      </c>
      <c r="K40" s="17" t="s">
        <v>2</v>
      </c>
      <c r="N40" s="17" t="s">
        <v>2</v>
      </c>
      <c r="O40" s="17" t="s">
        <v>2</v>
      </c>
      <c r="P40" s="17" t="s">
        <v>2</v>
      </c>
      <c r="V40" t="e">
        <f t="shared" si="0"/>
        <v>#VALUE!</v>
      </c>
    </row>
    <row r="41" ht="14.25" spans="1:22">
      <c r="A41" s="11" t="s">
        <v>38</v>
      </c>
      <c r="B41" s="7" t="s">
        <v>2</v>
      </c>
      <c r="C41" s="7" t="s">
        <v>2</v>
      </c>
      <c r="D41" s="7" t="s">
        <v>2</v>
      </c>
      <c r="E41" s="7" t="s">
        <v>2</v>
      </c>
      <c r="F41" s="7" t="s">
        <v>2</v>
      </c>
      <c r="G41" s="7" t="s">
        <v>2</v>
      </c>
      <c r="H41" s="7" t="s">
        <v>2</v>
      </c>
      <c r="I41" s="7" t="s">
        <v>2</v>
      </c>
      <c r="J41" s="6" t="s">
        <v>2</v>
      </c>
      <c r="K41" s="12">
        <v>14</v>
      </c>
      <c r="L41" s="7" t="s">
        <v>2</v>
      </c>
      <c r="M41" s="6" t="s">
        <v>2</v>
      </c>
      <c r="N41" s="12">
        <v>92</v>
      </c>
      <c r="O41" s="13">
        <v>729.5</v>
      </c>
      <c r="P41" s="13">
        <v>751.5</v>
      </c>
      <c r="Q41" s="7" t="s">
        <v>2</v>
      </c>
      <c r="R41" s="7" t="s">
        <v>2</v>
      </c>
      <c r="S41" s="6" t="s">
        <v>2</v>
      </c>
      <c r="V41">
        <f t="shared" si="0"/>
        <v>8.16847826086956</v>
      </c>
    </row>
    <row r="42" spans="1:22">
      <c r="A42" s="14">
        <v>46107</v>
      </c>
      <c r="B42" s="6" t="s">
        <v>2</v>
      </c>
      <c r="C42" s="15">
        <v>1589454</v>
      </c>
      <c r="D42" s="15" t="s">
        <v>27</v>
      </c>
      <c r="E42" s="15" t="s">
        <v>27</v>
      </c>
      <c r="F42" s="5">
        <v>20012438</v>
      </c>
      <c r="G42" s="15" t="s">
        <v>39</v>
      </c>
      <c r="H42" s="7" t="s">
        <v>2</v>
      </c>
      <c r="I42" s="6" t="s">
        <v>2</v>
      </c>
      <c r="J42" s="15" t="s">
        <v>40</v>
      </c>
      <c r="K42" s="5">
        <v>1</v>
      </c>
      <c r="L42" s="7" t="s">
        <v>2</v>
      </c>
      <c r="M42" s="6" t="s">
        <v>2</v>
      </c>
      <c r="N42" s="5">
        <v>42</v>
      </c>
      <c r="O42" s="16">
        <v>231</v>
      </c>
      <c r="P42" s="16">
        <v>231</v>
      </c>
      <c r="Q42" s="7" t="s">
        <v>2</v>
      </c>
      <c r="R42" s="7" t="s">
        <v>2</v>
      </c>
      <c r="S42" s="6" t="s">
        <v>2</v>
      </c>
      <c r="V42">
        <f t="shared" si="0"/>
        <v>5.5</v>
      </c>
    </row>
    <row r="43" spans="1:22">
      <c r="A43" s="14">
        <v>46107</v>
      </c>
      <c r="B43" s="6" t="s">
        <v>2</v>
      </c>
      <c r="C43" s="15">
        <v>1589454</v>
      </c>
      <c r="D43" s="15" t="s">
        <v>18</v>
      </c>
      <c r="E43" s="15" t="s">
        <v>19</v>
      </c>
      <c r="F43" s="5">
        <v>20011402</v>
      </c>
      <c r="G43" s="15" t="s">
        <v>41</v>
      </c>
      <c r="H43" s="7" t="s">
        <v>2</v>
      </c>
      <c r="I43" s="6" t="s">
        <v>2</v>
      </c>
      <c r="J43" s="15" t="s">
        <v>42</v>
      </c>
      <c r="K43" s="5">
        <v>1</v>
      </c>
      <c r="L43" s="7" t="s">
        <v>2</v>
      </c>
      <c r="M43" s="6" t="s">
        <v>2</v>
      </c>
      <c r="N43" s="5">
        <v>2</v>
      </c>
      <c r="O43" s="16">
        <v>16.5</v>
      </c>
      <c r="P43" s="16">
        <v>16.5</v>
      </c>
      <c r="Q43" s="7" t="s">
        <v>2</v>
      </c>
      <c r="R43" s="7" t="s">
        <v>2</v>
      </c>
      <c r="S43" s="6" t="s">
        <v>2</v>
      </c>
      <c r="V43">
        <f t="shared" si="0"/>
        <v>8.25</v>
      </c>
    </row>
    <row r="44" spans="1:22">
      <c r="A44" s="14">
        <v>46107</v>
      </c>
      <c r="B44" s="6" t="s">
        <v>2</v>
      </c>
      <c r="C44" s="15">
        <v>1589454</v>
      </c>
      <c r="D44" s="15" t="s">
        <v>27</v>
      </c>
      <c r="E44" s="15" t="s">
        <v>28</v>
      </c>
      <c r="F44" s="5">
        <v>20390192</v>
      </c>
      <c r="G44" s="15" t="s">
        <v>43</v>
      </c>
      <c r="H44" s="7" t="s">
        <v>2</v>
      </c>
      <c r="I44" s="6" t="s">
        <v>2</v>
      </c>
      <c r="J44" s="15" t="s">
        <v>32</v>
      </c>
      <c r="K44" s="5">
        <v>1</v>
      </c>
      <c r="L44" s="7" t="s">
        <v>2</v>
      </c>
      <c r="M44" s="6" t="s">
        <v>2</v>
      </c>
      <c r="N44" s="5">
        <v>22</v>
      </c>
      <c r="O44" s="16">
        <v>121</v>
      </c>
      <c r="P44" s="16">
        <v>121</v>
      </c>
      <c r="Q44" s="7" t="s">
        <v>2</v>
      </c>
      <c r="R44" s="7" t="s">
        <v>2</v>
      </c>
      <c r="S44" s="6" t="s">
        <v>2</v>
      </c>
      <c r="V44">
        <f t="shared" si="0"/>
        <v>5.5</v>
      </c>
    </row>
    <row r="45" spans="1:22">
      <c r="A45" s="14">
        <v>46107</v>
      </c>
      <c r="B45" s="6" t="s">
        <v>2</v>
      </c>
      <c r="C45" s="15">
        <v>1589454</v>
      </c>
      <c r="D45" s="15" t="s">
        <v>18</v>
      </c>
      <c r="E45" s="15" t="s">
        <v>44</v>
      </c>
      <c r="F45" s="5">
        <v>20011289</v>
      </c>
      <c r="G45" s="15" t="s">
        <v>45</v>
      </c>
      <c r="H45" s="7" t="s">
        <v>2</v>
      </c>
      <c r="I45" s="6" t="s">
        <v>2</v>
      </c>
      <c r="J45" s="15" t="s">
        <v>46</v>
      </c>
      <c r="K45" s="5">
        <v>1</v>
      </c>
      <c r="L45" s="7" t="s">
        <v>2</v>
      </c>
      <c r="M45" s="6" t="s">
        <v>2</v>
      </c>
      <c r="N45" s="5">
        <v>1</v>
      </c>
      <c r="O45" s="16">
        <v>16.5</v>
      </c>
      <c r="P45" s="16">
        <v>16.5</v>
      </c>
      <c r="Q45" s="7" t="s">
        <v>2</v>
      </c>
      <c r="R45" s="7" t="s">
        <v>2</v>
      </c>
      <c r="S45" s="6" t="s">
        <v>2</v>
      </c>
      <c r="V45">
        <f t="shared" si="0"/>
        <v>16.5</v>
      </c>
    </row>
    <row r="46" spans="1:22">
      <c r="A46" s="14">
        <v>46108</v>
      </c>
      <c r="B46" s="6" t="s">
        <v>2</v>
      </c>
      <c r="C46" s="15">
        <v>1589619</v>
      </c>
      <c r="D46" s="15" t="s">
        <v>18</v>
      </c>
      <c r="E46" s="15" t="s">
        <v>47</v>
      </c>
      <c r="F46" s="5">
        <v>20418926</v>
      </c>
      <c r="G46" s="15" t="s">
        <v>48</v>
      </c>
      <c r="H46" s="7" t="s">
        <v>2</v>
      </c>
      <c r="I46" s="6" t="s">
        <v>2</v>
      </c>
      <c r="J46" s="15" t="s">
        <v>49</v>
      </c>
      <c r="K46" s="5">
        <v>1</v>
      </c>
      <c r="L46" s="7" t="s">
        <v>2</v>
      </c>
      <c r="M46" s="6" t="s">
        <v>2</v>
      </c>
      <c r="N46" s="5">
        <v>2</v>
      </c>
      <c r="O46" s="16">
        <v>44</v>
      </c>
      <c r="P46" s="16">
        <v>44</v>
      </c>
      <c r="Q46" s="7" t="s">
        <v>2</v>
      </c>
      <c r="R46" s="7" t="s">
        <v>2</v>
      </c>
      <c r="S46" s="6" t="s">
        <v>2</v>
      </c>
      <c r="V46">
        <f t="shared" si="0"/>
        <v>22</v>
      </c>
    </row>
    <row r="47" spans="1:22">
      <c r="A47" s="14">
        <v>46108</v>
      </c>
      <c r="B47" s="6" t="s">
        <v>2</v>
      </c>
      <c r="C47" s="15">
        <v>1589619</v>
      </c>
      <c r="D47" s="15" t="s">
        <v>18</v>
      </c>
      <c r="E47" s="15" t="s">
        <v>47</v>
      </c>
      <c r="F47" s="5">
        <v>20013355</v>
      </c>
      <c r="G47" s="15" t="s">
        <v>50</v>
      </c>
      <c r="H47" s="7" t="s">
        <v>2</v>
      </c>
      <c r="I47" s="6" t="s">
        <v>2</v>
      </c>
      <c r="J47" s="15" t="s">
        <v>51</v>
      </c>
      <c r="K47" s="5">
        <v>1</v>
      </c>
      <c r="L47" s="7" t="s">
        <v>2</v>
      </c>
      <c r="M47" s="6" t="s">
        <v>2</v>
      </c>
      <c r="N47" s="5">
        <v>5</v>
      </c>
      <c r="O47" s="16">
        <v>88</v>
      </c>
      <c r="P47" s="16">
        <v>88</v>
      </c>
      <c r="Q47" s="7" t="s">
        <v>2</v>
      </c>
      <c r="R47" s="7" t="s">
        <v>2</v>
      </c>
      <c r="S47" s="6" t="s">
        <v>2</v>
      </c>
      <c r="V47">
        <f t="shared" si="0"/>
        <v>17.6</v>
      </c>
    </row>
    <row r="48" spans="1:22">
      <c r="A48" s="14">
        <v>46108</v>
      </c>
      <c r="B48" s="6" t="s">
        <v>2</v>
      </c>
      <c r="C48" s="15">
        <v>1589619</v>
      </c>
      <c r="D48" s="15" t="s">
        <v>18</v>
      </c>
      <c r="E48" s="15" t="s">
        <v>47</v>
      </c>
      <c r="F48" s="5">
        <v>20357137</v>
      </c>
      <c r="G48" s="15" t="s">
        <v>52</v>
      </c>
      <c r="H48" s="7" t="s">
        <v>2</v>
      </c>
      <c r="I48" s="6" t="s">
        <v>2</v>
      </c>
      <c r="J48" s="15" t="s">
        <v>53</v>
      </c>
      <c r="K48" s="5">
        <v>1</v>
      </c>
      <c r="L48" s="7" t="s">
        <v>2</v>
      </c>
      <c r="M48" s="6" t="s">
        <v>2</v>
      </c>
      <c r="N48" s="5">
        <v>10</v>
      </c>
      <c r="O48" s="16">
        <v>44</v>
      </c>
      <c r="P48" s="16">
        <v>44</v>
      </c>
      <c r="Q48" s="7" t="s">
        <v>2</v>
      </c>
      <c r="R48" s="7" t="s">
        <v>2</v>
      </c>
      <c r="S48" s="6" t="s">
        <v>2</v>
      </c>
      <c r="V48">
        <f t="shared" ref="V48:V79" si="1">P48/N48</f>
        <v>4.4</v>
      </c>
    </row>
    <row r="49" spans="1:22">
      <c r="A49" s="14">
        <v>46108</v>
      </c>
      <c r="B49" s="6" t="s">
        <v>2</v>
      </c>
      <c r="C49" s="15">
        <v>1589619</v>
      </c>
      <c r="D49" s="15" t="s">
        <v>18</v>
      </c>
      <c r="E49" s="15" t="s">
        <v>47</v>
      </c>
      <c r="F49" s="5">
        <v>20325487</v>
      </c>
      <c r="G49" s="15" t="s">
        <v>54</v>
      </c>
      <c r="H49" s="7" t="s">
        <v>2</v>
      </c>
      <c r="I49" s="6" t="s">
        <v>2</v>
      </c>
      <c r="J49" s="15" t="s">
        <v>55</v>
      </c>
      <c r="K49" s="5">
        <v>1</v>
      </c>
      <c r="L49" s="7" t="s">
        <v>2</v>
      </c>
      <c r="M49" s="6" t="s">
        <v>2</v>
      </c>
      <c r="N49" s="5">
        <v>2</v>
      </c>
      <c r="O49" s="16">
        <v>44</v>
      </c>
      <c r="P49" s="16">
        <v>44</v>
      </c>
      <c r="Q49" s="7" t="s">
        <v>2</v>
      </c>
      <c r="R49" s="7" t="s">
        <v>2</v>
      </c>
      <c r="S49" s="6" t="s">
        <v>2</v>
      </c>
      <c r="V49">
        <f t="shared" si="1"/>
        <v>22</v>
      </c>
    </row>
    <row r="50" spans="1:22">
      <c r="A50" s="14">
        <v>46108</v>
      </c>
      <c r="B50" s="6" t="s">
        <v>2</v>
      </c>
      <c r="C50" s="15">
        <v>1589619</v>
      </c>
      <c r="D50" s="15" t="s">
        <v>18</v>
      </c>
      <c r="E50" s="15" t="s">
        <v>47</v>
      </c>
      <c r="F50" s="5">
        <v>20011256</v>
      </c>
      <c r="G50" s="15" t="s">
        <v>56</v>
      </c>
      <c r="H50" s="7" t="s">
        <v>2</v>
      </c>
      <c r="I50" s="6" t="s">
        <v>2</v>
      </c>
      <c r="J50" s="15" t="s">
        <v>55</v>
      </c>
      <c r="K50" s="5">
        <v>1</v>
      </c>
      <c r="L50" s="7" t="s">
        <v>2</v>
      </c>
      <c r="M50" s="6" t="s">
        <v>2</v>
      </c>
      <c r="N50" s="5">
        <v>1</v>
      </c>
      <c r="O50" s="16">
        <v>28</v>
      </c>
      <c r="P50" s="16">
        <v>28</v>
      </c>
      <c r="Q50" s="7" t="s">
        <v>2</v>
      </c>
      <c r="R50" s="7" t="s">
        <v>2</v>
      </c>
      <c r="S50" s="6" t="s">
        <v>2</v>
      </c>
      <c r="V50">
        <f t="shared" si="1"/>
        <v>28</v>
      </c>
    </row>
    <row r="51" spans="1:22">
      <c r="A51" s="14">
        <v>46108</v>
      </c>
      <c r="B51" s="6" t="s">
        <v>2</v>
      </c>
      <c r="C51" s="15">
        <v>1589619</v>
      </c>
      <c r="D51" s="15" t="s">
        <v>18</v>
      </c>
      <c r="E51" s="15" t="s">
        <v>47</v>
      </c>
      <c r="F51" s="5">
        <v>20316793</v>
      </c>
      <c r="G51" s="15" t="s">
        <v>57</v>
      </c>
      <c r="H51" s="7" t="s">
        <v>2</v>
      </c>
      <c r="I51" s="6" t="s">
        <v>2</v>
      </c>
      <c r="J51" s="15" t="s">
        <v>58</v>
      </c>
      <c r="K51" s="5">
        <v>2</v>
      </c>
      <c r="L51" s="7" t="s">
        <v>2</v>
      </c>
      <c r="M51" s="6" t="s">
        <v>2</v>
      </c>
      <c r="N51" s="5">
        <v>2</v>
      </c>
      <c r="O51" s="16">
        <v>22</v>
      </c>
      <c r="P51" s="16">
        <v>44</v>
      </c>
      <c r="Q51" s="7" t="s">
        <v>2</v>
      </c>
      <c r="R51" s="7" t="s">
        <v>2</v>
      </c>
      <c r="S51" s="6" t="s">
        <v>2</v>
      </c>
      <c r="V51">
        <f t="shared" si="1"/>
        <v>22</v>
      </c>
    </row>
    <row r="52" spans="1:22">
      <c r="A52" s="14">
        <v>46108</v>
      </c>
      <c r="B52" s="6" t="s">
        <v>2</v>
      </c>
      <c r="C52" s="15">
        <v>1589619</v>
      </c>
      <c r="D52" s="15" t="s">
        <v>18</v>
      </c>
      <c r="E52" s="15" t="s">
        <v>47</v>
      </c>
      <c r="F52" s="5">
        <v>20013351</v>
      </c>
      <c r="G52" s="15" t="s">
        <v>59</v>
      </c>
      <c r="H52" s="7" t="s">
        <v>2</v>
      </c>
      <c r="I52" s="6" t="s">
        <v>2</v>
      </c>
      <c r="J52" s="15" t="s">
        <v>55</v>
      </c>
      <c r="K52" s="5">
        <v>1</v>
      </c>
      <c r="L52" s="7" t="s">
        <v>2</v>
      </c>
      <c r="M52" s="6" t="s">
        <v>2</v>
      </c>
      <c r="N52" s="5">
        <v>1</v>
      </c>
      <c r="O52" s="16">
        <v>28</v>
      </c>
      <c r="P52" s="16">
        <v>28</v>
      </c>
      <c r="Q52" s="7" t="s">
        <v>2</v>
      </c>
      <c r="R52" s="7" t="s">
        <v>2</v>
      </c>
      <c r="S52" s="6" t="s">
        <v>2</v>
      </c>
      <c r="V52">
        <f t="shared" si="1"/>
        <v>28</v>
      </c>
    </row>
    <row r="53" spans="1:22">
      <c r="A53" s="14">
        <v>46108</v>
      </c>
      <c r="B53" s="6" t="s">
        <v>2</v>
      </c>
      <c r="C53" s="15">
        <v>1589619</v>
      </c>
      <c r="D53" s="15" t="s">
        <v>18</v>
      </c>
      <c r="E53" s="15" t="s">
        <v>47</v>
      </c>
      <c r="F53" s="5">
        <v>20325486</v>
      </c>
      <c r="G53" s="15" t="s">
        <v>60</v>
      </c>
      <c r="H53" s="7" t="s">
        <v>2</v>
      </c>
      <c r="I53" s="6" t="s">
        <v>2</v>
      </c>
      <c r="J53" s="15" t="s">
        <v>61</v>
      </c>
      <c r="K53" s="5">
        <v>1</v>
      </c>
      <c r="L53" s="7" t="s">
        <v>2</v>
      </c>
      <c r="M53" s="6" t="s">
        <v>2</v>
      </c>
      <c r="N53" s="5">
        <v>1</v>
      </c>
      <c r="O53" s="16">
        <v>35</v>
      </c>
      <c r="P53" s="16">
        <v>35</v>
      </c>
      <c r="Q53" s="7" t="s">
        <v>2</v>
      </c>
      <c r="R53" s="7" t="s">
        <v>2</v>
      </c>
      <c r="S53" s="6" t="s">
        <v>2</v>
      </c>
      <c r="V53">
        <f t="shared" si="1"/>
        <v>35</v>
      </c>
    </row>
    <row r="54" spans="1:22">
      <c r="A54" s="14">
        <v>46108</v>
      </c>
      <c r="B54" s="6" t="s">
        <v>2</v>
      </c>
      <c r="C54" s="15">
        <v>1589619</v>
      </c>
      <c r="D54" s="15" t="s">
        <v>18</v>
      </c>
      <c r="E54" s="15" t="s">
        <v>47</v>
      </c>
      <c r="F54" s="5">
        <v>20338629</v>
      </c>
      <c r="G54" s="15" t="s">
        <v>62</v>
      </c>
      <c r="H54" s="7" t="s">
        <v>2</v>
      </c>
      <c r="I54" s="6" t="s">
        <v>2</v>
      </c>
      <c r="J54" s="15" t="s">
        <v>55</v>
      </c>
      <c r="K54" s="5">
        <v>1</v>
      </c>
      <c r="L54" s="7" t="s">
        <v>2</v>
      </c>
      <c r="M54" s="6" t="s">
        <v>2</v>
      </c>
      <c r="N54" s="5">
        <v>1</v>
      </c>
      <c r="O54" s="16">
        <v>28</v>
      </c>
      <c r="P54" s="16">
        <v>28</v>
      </c>
      <c r="Q54" s="7" t="s">
        <v>2</v>
      </c>
      <c r="R54" s="7" t="s">
        <v>2</v>
      </c>
      <c r="S54" s="6" t="s">
        <v>2</v>
      </c>
      <c r="V54">
        <f t="shared" si="1"/>
        <v>28</v>
      </c>
    </row>
    <row r="55" spans="1:22">
      <c r="A55" s="17" t="s">
        <v>2</v>
      </c>
      <c r="C55" s="17" t="s">
        <v>2</v>
      </c>
      <c r="D55" s="17" t="s">
        <v>2</v>
      </c>
      <c r="E55" s="17" t="s">
        <v>2</v>
      </c>
      <c r="F55" s="18" t="s">
        <v>2</v>
      </c>
      <c r="G55" s="17" t="s">
        <v>2</v>
      </c>
      <c r="J55" s="17" t="s">
        <v>2</v>
      </c>
      <c r="K55" s="17" t="s">
        <v>2</v>
      </c>
      <c r="N55" s="17" t="s">
        <v>2</v>
      </c>
      <c r="O55" s="17" t="s">
        <v>2</v>
      </c>
      <c r="P55" s="17" t="s">
        <v>2</v>
      </c>
      <c r="V55" t="e">
        <f t="shared" si="1"/>
        <v>#VALUE!</v>
      </c>
    </row>
    <row r="56" ht="14.25" spans="1:22">
      <c r="A56" s="11" t="s">
        <v>63</v>
      </c>
      <c r="B56" s="7" t="s">
        <v>2</v>
      </c>
      <c r="C56" s="7" t="s">
        <v>2</v>
      </c>
      <c r="D56" s="7" t="s">
        <v>2</v>
      </c>
      <c r="E56" s="7" t="s">
        <v>2</v>
      </c>
      <c r="F56" s="7" t="s">
        <v>2</v>
      </c>
      <c r="G56" s="7" t="s">
        <v>2</v>
      </c>
      <c r="H56" s="7" t="s">
        <v>2</v>
      </c>
      <c r="I56" s="7" t="s">
        <v>2</v>
      </c>
      <c r="J56" s="6" t="s">
        <v>2</v>
      </c>
      <c r="K56" s="12">
        <v>1</v>
      </c>
      <c r="L56" s="7" t="s">
        <v>2</v>
      </c>
      <c r="M56" s="6" t="s">
        <v>2</v>
      </c>
      <c r="N56" s="12">
        <v>7</v>
      </c>
      <c r="O56" s="13">
        <v>38.5</v>
      </c>
      <c r="P56" s="13">
        <v>38.5</v>
      </c>
      <c r="Q56" s="7" t="s">
        <v>2</v>
      </c>
      <c r="R56" s="7" t="s">
        <v>2</v>
      </c>
      <c r="S56" s="6" t="s">
        <v>2</v>
      </c>
      <c r="V56">
        <f t="shared" si="1"/>
        <v>5.5</v>
      </c>
    </row>
    <row r="57" spans="1:22">
      <c r="A57" s="14">
        <v>46107</v>
      </c>
      <c r="B57" s="6" t="s">
        <v>2</v>
      </c>
      <c r="C57" s="15">
        <v>1589455</v>
      </c>
      <c r="D57" s="15" t="s">
        <v>27</v>
      </c>
      <c r="E57" s="15" t="s">
        <v>28</v>
      </c>
      <c r="F57" s="5">
        <v>20012048</v>
      </c>
      <c r="G57" s="15" t="s">
        <v>64</v>
      </c>
      <c r="H57" s="7" t="s">
        <v>2</v>
      </c>
      <c r="I57" s="6" t="s">
        <v>2</v>
      </c>
      <c r="J57" s="15" t="s">
        <v>34</v>
      </c>
      <c r="K57" s="5">
        <v>1</v>
      </c>
      <c r="L57" s="7" t="s">
        <v>2</v>
      </c>
      <c r="M57" s="6" t="s">
        <v>2</v>
      </c>
      <c r="N57" s="5">
        <v>7</v>
      </c>
      <c r="O57" s="16">
        <v>38.5</v>
      </c>
      <c r="P57" s="16">
        <v>38.5</v>
      </c>
      <c r="Q57" s="7" t="s">
        <v>2</v>
      </c>
      <c r="R57" s="7" t="s">
        <v>2</v>
      </c>
      <c r="S57" s="6" t="s">
        <v>2</v>
      </c>
      <c r="V57">
        <f t="shared" si="1"/>
        <v>5.5</v>
      </c>
    </row>
    <row r="58" spans="1:22">
      <c r="A58" s="17" t="s">
        <v>2</v>
      </c>
      <c r="C58" s="17" t="s">
        <v>2</v>
      </c>
      <c r="D58" s="17" t="s">
        <v>2</v>
      </c>
      <c r="E58" s="17" t="s">
        <v>2</v>
      </c>
      <c r="F58" s="18" t="s">
        <v>2</v>
      </c>
      <c r="G58" s="17" t="s">
        <v>2</v>
      </c>
      <c r="J58" s="17" t="s">
        <v>2</v>
      </c>
      <c r="K58" s="17" t="s">
        <v>2</v>
      </c>
      <c r="N58" s="17" t="s">
        <v>2</v>
      </c>
      <c r="O58" s="17" t="s">
        <v>2</v>
      </c>
      <c r="P58" s="17" t="s">
        <v>2</v>
      </c>
      <c r="V58" t="e">
        <f t="shared" si="1"/>
        <v>#VALUE!</v>
      </c>
    </row>
    <row r="59" ht="14.25" spans="1:22">
      <c r="A59" s="11" t="s">
        <v>65</v>
      </c>
      <c r="B59" s="7" t="s">
        <v>2</v>
      </c>
      <c r="C59" s="7" t="s">
        <v>2</v>
      </c>
      <c r="D59" s="7" t="s">
        <v>2</v>
      </c>
      <c r="E59" s="7" t="s">
        <v>2</v>
      </c>
      <c r="F59" s="7" t="s">
        <v>2</v>
      </c>
      <c r="G59" s="7" t="s">
        <v>2</v>
      </c>
      <c r="H59" s="7" t="s">
        <v>2</v>
      </c>
      <c r="I59" s="7" t="s">
        <v>2</v>
      </c>
      <c r="J59" s="6" t="s">
        <v>2</v>
      </c>
      <c r="K59" s="12">
        <v>169</v>
      </c>
      <c r="L59" s="7" t="s">
        <v>2</v>
      </c>
      <c r="M59" s="6" t="s">
        <v>2</v>
      </c>
      <c r="N59" s="12">
        <v>845</v>
      </c>
      <c r="O59" s="13">
        <v>4526</v>
      </c>
      <c r="P59" s="13">
        <v>6042.5</v>
      </c>
      <c r="Q59" s="7" t="s">
        <v>2</v>
      </c>
      <c r="R59" s="7" t="s">
        <v>2</v>
      </c>
      <c r="S59" s="6" t="s">
        <v>2</v>
      </c>
      <c r="V59">
        <f t="shared" si="1"/>
        <v>7.1508875739645</v>
      </c>
    </row>
    <row r="60" spans="1:22">
      <c r="A60" s="14">
        <v>46086</v>
      </c>
      <c r="B60" s="6" t="s">
        <v>2</v>
      </c>
      <c r="C60" s="15">
        <v>1582442</v>
      </c>
      <c r="D60" s="15" t="s">
        <v>18</v>
      </c>
      <c r="E60" s="15" t="s">
        <v>19</v>
      </c>
      <c r="F60" s="5">
        <v>20012253</v>
      </c>
      <c r="G60" s="15" t="s">
        <v>66</v>
      </c>
      <c r="H60" s="7" t="s">
        <v>2</v>
      </c>
      <c r="I60" s="6" t="s">
        <v>2</v>
      </c>
      <c r="J60" s="15" t="s">
        <v>42</v>
      </c>
      <c r="K60" s="5">
        <v>1</v>
      </c>
      <c r="L60" s="7" t="s">
        <v>2</v>
      </c>
      <c r="M60" s="6" t="s">
        <v>2</v>
      </c>
      <c r="N60" s="5">
        <v>3</v>
      </c>
      <c r="O60" s="16">
        <v>16.5</v>
      </c>
      <c r="P60" s="16">
        <v>16.5</v>
      </c>
      <c r="Q60" s="7" t="s">
        <v>2</v>
      </c>
      <c r="R60" s="7" t="s">
        <v>2</v>
      </c>
      <c r="S60" s="6" t="s">
        <v>2</v>
      </c>
      <c r="V60">
        <f t="shared" si="1"/>
        <v>5.5</v>
      </c>
    </row>
    <row r="61" spans="1:22">
      <c r="A61" s="14">
        <v>46086</v>
      </c>
      <c r="B61" s="6" t="s">
        <v>2</v>
      </c>
      <c r="C61" s="15">
        <v>1582442</v>
      </c>
      <c r="D61" s="15" t="s">
        <v>27</v>
      </c>
      <c r="E61" s="15" t="s">
        <v>28</v>
      </c>
      <c r="F61" s="5">
        <v>20012001</v>
      </c>
      <c r="G61" s="15" t="s">
        <v>67</v>
      </c>
      <c r="H61" s="7" t="s">
        <v>2</v>
      </c>
      <c r="I61" s="6" t="s">
        <v>2</v>
      </c>
      <c r="J61" s="15" t="s">
        <v>30</v>
      </c>
      <c r="K61" s="5">
        <v>1</v>
      </c>
      <c r="L61" s="7" t="s">
        <v>2</v>
      </c>
      <c r="M61" s="6" t="s">
        <v>2</v>
      </c>
      <c r="N61" s="5">
        <v>5</v>
      </c>
      <c r="O61" s="16">
        <v>27.5</v>
      </c>
      <c r="P61" s="16">
        <v>27.5</v>
      </c>
      <c r="Q61" s="7" t="s">
        <v>2</v>
      </c>
      <c r="R61" s="7" t="s">
        <v>2</v>
      </c>
      <c r="S61" s="6" t="s">
        <v>2</v>
      </c>
      <c r="V61">
        <f t="shared" si="1"/>
        <v>5.5</v>
      </c>
    </row>
    <row r="62" spans="1:22">
      <c r="A62" s="14">
        <v>46093</v>
      </c>
      <c r="B62" s="6" t="s">
        <v>2</v>
      </c>
      <c r="C62" s="15">
        <v>1585370</v>
      </c>
      <c r="D62" s="15" t="s">
        <v>18</v>
      </c>
      <c r="E62" s="15" t="s">
        <v>47</v>
      </c>
      <c r="F62" s="5">
        <v>20325650</v>
      </c>
      <c r="G62" s="15" t="s">
        <v>68</v>
      </c>
      <c r="H62" s="7" t="s">
        <v>2</v>
      </c>
      <c r="I62" s="6" t="s">
        <v>2</v>
      </c>
      <c r="J62" s="15" t="s">
        <v>69</v>
      </c>
      <c r="K62" s="5">
        <v>1</v>
      </c>
      <c r="L62" s="7" t="s">
        <v>2</v>
      </c>
      <c r="M62" s="6" t="s">
        <v>2</v>
      </c>
      <c r="N62" s="5">
        <v>1</v>
      </c>
      <c r="O62" s="16">
        <v>25</v>
      </c>
      <c r="P62" s="16">
        <v>25</v>
      </c>
      <c r="Q62" s="7" t="s">
        <v>2</v>
      </c>
      <c r="R62" s="7" t="s">
        <v>2</v>
      </c>
      <c r="S62" s="6" t="s">
        <v>2</v>
      </c>
      <c r="V62">
        <f t="shared" si="1"/>
        <v>25</v>
      </c>
    </row>
    <row r="63" spans="1:22">
      <c r="A63" s="14">
        <v>46093</v>
      </c>
      <c r="B63" s="6" t="s">
        <v>2</v>
      </c>
      <c r="C63" s="15">
        <v>1585370</v>
      </c>
      <c r="D63" s="15" t="s">
        <v>18</v>
      </c>
      <c r="E63" s="15" t="s">
        <v>47</v>
      </c>
      <c r="F63" s="5">
        <v>20321054</v>
      </c>
      <c r="G63" s="15" t="s">
        <v>70</v>
      </c>
      <c r="H63" s="7" t="s">
        <v>2</v>
      </c>
      <c r="I63" s="6" t="s">
        <v>2</v>
      </c>
      <c r="J63" s="15" t="s">
        <v>55</v>
      </c>
      <c r="K63" s="5">
        <v>1</v>
      </c>
      <c r="L63" s="7" t="s">
        <v>2</v>
      </c>
      <c r="M63" s="6" t="s">
        <v>2</v>
      </c>
      <c r="N63" s="5">
        <v>2</v>
      </c>
      <c r="O63" s="16">
        <v>44</v>
      </c>
      <c r="P63" s="16">
        <v>44</v>
      </c>
      <c r="Q63" s="7" t="s">
        <v>2</v>
      </c>
      <c r="R63" s="7" t="s">
        <v>2</v>
      </c>
      <c r="S63" s="6" t="s">
        <v>2</v>
      </c>
      <c r="V63">
        <f t="shared" si="1"/>
        <v>22</v>
      </c>
    </row>
    <row r="64" spans="1:22">
      <c r="A64" s="14">
        <v>46093</v>
      </c>
      <c r="B64" s="6" t="s">
        <v>2</v>
      </c>
      <c r="C64" s="15">
        <v>1585370</v>
      </c>
      <c r="D64" s="15" t="s">
        <v>18</v>
      </c>
      <c r="E64" s="15" t="s">
        <v>47</v>
      </c>
      <c r="F64" s="5">
        <v>20316460</v>
      </c>
      <c r="G64" s="15" t="s">
        <v>71</v>
      </c>
      <c r="H64" s="7" t="s">
        <v>2</v>
      </c>
      <c r="I64" s="6" t="s">
        <v>2</v>
      </c>
      <c r="J64" s="15" t="s">
        <v>55</v>
      </c>
      <c r="K64" s="5">
        <v>1</v>
      </c>
      <c r="L64" s="7" t="s">
        <v>2</v>
      </c>
      <c r="M64" s="6" t="s">
        <v>2</v>
      </c>
      <c r="N64" s="5">
        <v>1</v>
      </c>
      <c r="O64" s="16">
        <v>28</v>
      </c>
      <c r="P64" s="16">
        <v>28</v>
      </c>
      <c r="Q64" s="7" t="s">
        <v>2</v>
      </c>
      <c r="R64" s="7" t="s">
        <v>2</v>
      </c>
      <c r="S64" s="6" t="s">
        <v>2</v>
      </c>
      <c r="V64">
        <f t="shared" si="1"/>
        <v>28</v>
      </c>
    </row>
    <row r="65" spans="1:22">
      <c r="A65" s="14">
        <v>46093</v>
      </c>
      <c r="B65" s="6" t="s">
        <v>2</v>
      </c>
      <c r="C65" s="15">
        <v>1585370</v>
      </c>
      <c r="D65" s="15" t="s">
        <v>18</v>
      </c>
      <c r="E65" s="15" t="s">
        <v>47</v>
      </c>
      <c r="F65" s="5">
        <v>20011256</v>
      </c>
      <c r="G65" s="15" t="s">
        <v>56</v>
      </c>
      <c r="H65" s="7" t="s">
        <v>2</v>
      </c>
      <c r="I65" s="6" t="s">
        <v>2</v>
      </c>
      <c r="J65" s="15" t="s">
        <v>55</v>
      </c>
      <c r="K65" s="5">
        <v>1</v>
      </c>
      <c r="L65" s="7" t="s">
        <v>2</v>
      </c>
      <c r="M65" s="6" t="s">
        <v>2</v>
      </c>
      <c r="N65" s="5">
        <v>1</v>
      </c>
      <c r="O65" s="16">
        <v>28</v>
      </c>
      <c r="P65" s="16">
        <v>28</v>
      </c>
      <c r="Q65" s="7" t="s">
        <v>2</v>
      </c>
      <c r="R65" s="7" t="s">
        <v>2</v>
      </c>
      <c r="S65" s="6" t="s">
        <v>2</v>
      </c>
      <c r="V65">
        <f t="shared" si="1"/>
        <v>28</v>
      </c>
    </row>
    <row r="66" spans="1:22">
      <c r="A66" s="14">
        <v>46093</v>
      </c>
      <c r="B66" s="6" t="s">
        <v>2</v>
      </c>
      <c r="C66" s="15">
        <v>1585370</v>
      </c>
      <c r="D66" s="15" t="s">
        <v>18</v>
      </c>
      <c r="E66" s="15" t="s">
        <v>47</v>
      </c>
      <c r="F66" s="5">
        <v>20338629</v>
      </c>
      <c r="G66" s="15" t="s">
        <v>62</v>
      </c>
      <c r="H66" s="7" t="s">
        <v>2</v>
      </c>
      <c r="I66" s="6" t="s">
        <v>2</v>
      </c>
      <c r="J66" s="15" t="s">
        <v>55</v>
      </c>
      <c r="K66" s="5">
        <v>1</v>
      </c>
      <c r="L66" s="7" t="s">
        <v>2</v>
      </c>
      <c r="M66" s="6" t="s">
        <v>2</v>
      </c>
      <c r="N66" s="5">
        <v>1</v>
      </c>
      <c r="O66" s="16">
        <v>28</v>
      </c>
      <c r="P66" s="16">
        <v>28</v>
      </c>
      <c r="Q66" s="7" t="s">
        <v>2</v>
      </c>
      <c r="R66" s="7" t="s">
        <v>2</v>
      </c>
      <c r="S66" s="6" t="s">
        <v>2</v>
      </c>
      <c r="V66">
        <f t="shared" si="1"/>
        <v>28</v>
      </c>
    </row>
    <row r="67" spans="1:22">
      <c r="A67" s="14">
        <v>46093</v>
      </c>
      <c r="B67" s="6" t="s">
        <v>2</v>
      </c>
      <c r="C67" s="15">
        <v>1585370</v>
      </c>
      <c r="D67" s="15" t="s">
        <v>18</v>
      </c>
      <c r="E67" s="15" t="s">
        <v>47</v>
      </c>
      <c r="F67" s="5">
        <v>20357809</v>
      </c>
      <c r="G67" s="15" t="s">
        <v>72</v>
      </c>
      <c r="H67" s="7" t="s">
        <v>2</v>
      </c>
      <c r="I67" s="6" t="s">
        <v>2</v>
      </c>
      <c r="J67" s="15" t="s">
        <v>55</v>
      </c>
      <c r="K67" s="5">
        <v>1</v>
      </c>
      <c r="L67" s="7" t="s">
        <v>2</v>
      </c>
      <c r="M67" s="6" t="s">
        <v>2</v>
      </c>
      <c r="N67" s="5">
        <v>1</v>
      </c>
      <c r="O67" s="16">
        <v>28</v>
      </c>
      <c r="P67" s="16">
        <v>28</v>
      </c>
      <c r="Q67" s="7" t="s">
        <v>2</v>
      </c>
      <c r="R67" s="7" t="s">
        <v>2</v>
      </c>
      <c r="S67" s="6" t="s">
        <v>2</v>
      </c>
      <c r="V67">
        <f t="shared" si="1"/>
        <v>28</v>
      </c>
    </row>
    <row r="68" spans="1:22">
      <c r="A68" s="14">
        <v>46093</v>
      </c>
      <c r="B68" s="6" t="s">
        <v>2</v>
      </c>
      <c r="C68" s="15">
        <v>1585469</v>
      </c>
      <c r="D68" s="15" t="s">
        <v>27</v>
      </c>
      <c r="E68" s="15" t="s">
        <v>27</v>
      </c>
      <c r="F68" s="5">
        <v>20315594</v>
      </c>
      <c r="G68" s="15" t="s">
        <v>73</v>
      </c>
      <c r="H68" s="7" t="s">
        <v>2</v>
      </c>
      <c r="I68" s="6" t="s">
        <v>2</v>
      </c>
      <c r="J68" s="15" t="s">
        <v>40</v>
      </c>
      <c r="K68" s="5">
        <v>1</v>
      </c>
      <c r="L68" s="7" t="s">
        <v>2</v>
      </c>
      <c r="M68" s="6" t="s">
        <v>2</v>
      </c>
      <c r="N68" s="5">
        <v>12</v>
      </c>
      <c r="O68" s="16">
        <v>66</v>
      </c>
      <c r="P68" s="16">
        <v>66</v>
      </c>
      <c r="Q68" s="7" t="s">
        <v>2</v>
      </c>
      <c r="R68" s="7" t="s">
        <v>2</v>
      </c>
      <c r="S68" s="6" t="s">
        <v>2</v>
      </c>
      <c r="V68">
        <f t="shared" si="1"/>
        <v>5.5</v>
      </c>
    </row>
    <row r="69" spans="1:22">
      <c r="A69" s="14">
        <v>46093</v>
      </c>
      <c r="B69" s="6" t="s">
        <v>2</v>
      </c>
      <c r="C69" s="15">
        <v>1585469</v>
      </c>
      <c r="D69" s="15" t="s">
        <v>27</v>
      </c>
      <c r="E69" s="15" t="s">
        <v>27</v>
      </c>
      <c r="F69" s="5">
        <v>20012251</v>
      </c>
      <c r="G69" s="15" t="s">
        <v>74</v>
      </c>
      <c r="H69" s="7" t="s">
        <v>2</v>
      </c>
      <c r="I69" s="6" t="s">
        <v>2</v>
      </c>
      <c r="J69" s="15" t="s">
        <v>40</v>
      </c>
      <c r="K69" s="5">
        <v>1</v>
      </c>
      <c r="L69" s="7" t="s">
        <v>2</v>
      </c>
      <c r="M69" s="6" t="s">
        <v>2</v>
      </c>
      <c r="N69" s="5">
        <v>31</v>
      </c>
      <c r="O69" s="16">
        <v>170.5</v>
      </c>
      <c r="P69" s="16">
        <v>170.5</v>
      </c>
      <c r="Q69" s="7" t="s">
        <v>2</v>
      </c>
      <c r="R69" s="7" t="s">
        <v>2</v>
      </c>
      <c r="S69" s="6" t="s">
        <v>2</v>
      </c>
      <c r="V69">
        <f t="shared" si="1"/>
        <v>5.5</v>
      </c>
    </row>
    <row r="70" spans="1:22">
      <c r="A70" s="14">
        <v>46093</v>
      </c>
      <c r="B70" s="6" t="s">
        <v>2</v>
      </c>
      <c r="C70" s="15">
        <v>1585469</v>
      </c>
      <c r="D70" s="15" t="s">
        <v>18</v>
      </c>
      <c r="E70" s="15" t="s">
        <v>19</v>
      </c>
      <c r="F70" s="5">
        <v>20012253</v>
      </c>
      <c r="G70" s="15" t="s">
        <v>66</v>
      </c>
      <c r="H70" s="7" t="s">
        <v>2</v>
      </c>
      <c r="I70" s="6" t="s">
        <v>2</v>
      </c>
      <c r="J70" s="15" t="s">
        <v>42</v>
      </c>
      <c r="K70" s="5">
        <v>3</v>
      </c>
      <c r="L70" s="7" t="s">
        <v>2</v>
      </c>
      <c r="M70" s="6" t="s">
        <v>2</v>
      </c>
      <c r="N70" s="5">
        <v>9</v>
      </c>
      <c r="O70" s="16">
        <v>16.5</v>
      </c>
      <c r="P70" s="16">
        <v>49.5</v>
      </c>
      <c r="Q70" s="7" t="s">
        <v>2</v>
      </c>
      <c r="R70" s="7" t="s">
        <v>2</v>
      </c>
      <c r="S70" s="6" t="s">
        <v>2</v>
      </c>
      <c r="V70">
        <f t="shared" si="1"/>
        <v>5.5</v>
      </c>
    </row>
    <row r="71" spans="1:22">
      <c r="A71" s="14">
        <v>46093</v>
      </c>
      <c r="B71" s="6" t="s">
        <v>2</v>
      </c>
      <c r="C71" s="15">
        <v>1585469</v>
      </c>
      <c r="D71" s="15" t="s">
        <v>18</v>
      </c>
      <c r="E71" s="15" t="s">
        <v>19</v>
      </c>
      <c r="F71" s="5">
        <v>20397611</v>
      </c>
      <c r="G71" s="15" t="s">
        <v>75</v>
      </c>
      <c r="H71" s="7" t="s">
        <v>2</v>
      </c>
      <c r="I71" s="6" t="s">
        <v>2</v>
      </c>
      <c r="J71" s="15" t="s">
        <v>76</v>
      </c>
      <c r="K71" s="5">
        <v>1</v>
      </c>
      <c r="L71" s="7" t="s">
        <v>2</v>
      </c>
      <c r="M71" s="6" t="s">
        <v>2</v>
      </c>
      <c r="N71" s="5">
        <v>3</v>
      </c>
      <c r="O71" s="16">
        <v>16.5</v>
      </c>
      <c r="P71" s="16">
        <v>16.5</v>
      </c>
      <c r="Q71" s="7" t="s">
        <v>2</v>
      </c>
      <c r="R71" s="7" t="s">
        <v>2</v>
      </c>
      <c r="S71" s="6" t="s">
        <v>2</v>
      </c>
      <c r="V71">
        <f t="shared" si="1"/>
        <v>5.5</v>
      </c>
    </row>
    <row r="72" spans="1:22">
      <c r="A72" s="14">
        <v>46093</v>
      </c>
      <c r="B72" s="6" t="s">
        <v>2</v>
      </c>
      <c r="C72" s="15">
        <v>1585469</v>
      </c>
      <c r="D72" s="15" t="s">
        <v>18</v>
      </c>
      <c r="E72" s="15" t="s">
        <v>19</v>
      </c>
      <c r="F72" s="5">
        <v>20384833</v>
      </c>
      <c r="G72" s="15" t="s">
        <v>77</v>
      </c>
      <c r="H72" s="7" t="s">
        <v>2</v>
      </c>
      <c r="I72" s="6" t="s">
        <v>2</v>
      </c>
      <c r="J72" s="15" t="s">
        <v>21</v>
      </c>
      <c r="K72" s="5">
        <v>1</v>
      </c>
      <c r="L72" s="7" t="s">
        <v>2</v>
      </c>
      <c r="M72" s="6" t="s">
        <v>2</v>
      </c>
      <c r="N72" s="5">
        <v>1</v>
      </c>
      <c r="O72" s="16">
        <v>11</v>
      </c>
      <c r="P72" s="16">
        <v>11</v>
      </c>
      <c r="Q72" s="7" t="s">
        <v>2</v>
      </c>
      <c r="R72" s="7" t="s">
        <v>2</v>
      </c>
      <c r="S72" s="6" t="s">
        <v>2</v>
      </c>
      <c r="V72">
        <f t="shared" si="1"/>
        <v>11</v>
      </c>
    </row>
    <row r="73" spans="1:22">
      <c r="A73" s="14">
        <v>46093</v>
      </c>
      <c r="B73" s="6" t="s">
        <v>2</v>
      </c>
      <c r="C73" s="15">
        <v>1585469</v>
      </c>
      <c r="D73" s="15" t="s">
        <v>18</v>
      </c>
      <c r="E73" s="15" t="s">
        <v>19</v>
      </c>
      <c r="F73" s="5">
        <v>20313887</v>
      </c>
      <c r="G73" s="15" t="s">
        <v>78</v>
      </c>
      <c r="H73" s="7" t="s">
        <v>2</v>
      </c>
      <c r="I73" s="6" t="s">
        <v>2</v>
      </c>
      <c r="J73" s="15" t="s">
        <v>79</v>
      </c>
      <c r="K73" s="5">
        <v>1</v>
      </c>
      <c r="L73" s="7" t="s">
        <v>2</v>
      </c>
      <c r="M73" s="6" t="s">
        <v>2</v>
      </c>
      <c r="N73" s="5">
        <v>1</v>
      </c>
      <c r="O73" s="16">
        <v>13</v>
      </c>
      <c r="P73" s="16">
        <v>13</v>
      </c>
      <c r="Q73" s="7" t="s">
        <v>2</v>
      </c>
      <c r="R73" s="7" t="s">
        <v>2</v>
      </c>
      <c r="S73" s="6" t="s">
        <v>2</v>
      </c>
      <c r="V73">
        <f t="shared" si="1"/>
        <v>13</v>
      </c>
    </row>
    <row r="74" spans="1:22">
      <c r="A74" s="14">
        <v>46093</v>
      </c>
      <c r="B74" s="6" t="s">
        <v>2</v>
      </c>
      <c r="C74" s="15">
        <v>1585469</v>
      </c>
      <c r="D74" s="15" t="s">
        <v>27</v>
      </c>
      <c r="E74" s="15" t="s">
        <v>28</v>
      </c>
      <c r="F74" s="5">
        <v>20012048</v>
      </c>
      <c r="G74" s="15" t="s">
        <v>64</v>
      </c>
      <c r="H74" s="7" t="s">
        <v>2</v>
      </c>
      <c r="I74" s="6" t="s">
        <v>2</v>
      </c>
      <c r="J74" s="15" t="s">
        <v>34</v>
      </c>
      <c r="K74" s="5">
        <v>2</v>
      </c>
      <c r="L74" s="7" t="s">
        <v>2</v>
      </c>
      <c r="M74" s="6" t="s">
        <v>2</v>
      </c>
      <c r="N74" s="5">
        <v>14</v>
      </c>
      <c r="O74" s="16">
        <v>38.5</v>
      </c>
      <c r="P74" s="16">
        <v>77</v>
      </c>
      <c r="Q74" s="7" t="s">
        <v>2</v>
      </c>
      <c r="R74" s="7" t="s">
        <v>2</v>
      </c>
      <c r="S74" s="6" t="s">
        <v>2</v>
      </c>
      <c r="V74">
        <f t="shared" si="1"/>
        <v>5.5</v>
      </c>
    </row>
    <row r="75" spans="1:22">
      <c r="A75" s="14">
        <v>46093</v>
      </c>
      <c r="B75" s="6" t="s">
        <v>2</v>
      </c>
      <c r="C75" s="15">
        <v>1585469</v>
      </c>
      <c r="D75" s="15" t="s">
        <v>27</v>
      </c>
      <c r="E75" s="15" t="s">
        <v>28</v>
      </c>
      <c r="F75" s="5">
        <v>20012001</v>
      </c>
      <c r="G75" s="15" t="s">
        <v>67</v>
      </c>
      <c r="H75" s="7" t="s">
        <v>2</v>
      </c>
      <c r="I75" s="6" t="s">
        <v>2</v>
      </c>
      <c r="J75" s="15" t="s">
        <v>30</v>
      </c>
      <c r="K75" s="5">
        <v>3</v>
      </c>
      <c r="L75" s="7" t="s">
        <v>2</v>
      </c>
      <c r="M75" s="6" t="s">
        <v>2</v>
      </c>
      <c r="N75" s="5">
        <v>15</v>
      </c>
      <c r="O75" s="16">
        <v>27.5</v>
      </c>
      <c r="P75" s="16">
        <v>82.5</v>
      </c>
      <c r="Q75" s="7" t="s">
        <v>2</v>
      </c>
      <c r="R75" s="7" t="s">
        <v>2</v>
      </c>
      <c r="S75" s="6" t="s">
        <v>2</v>
      </c>
      <c r="V75">
        <f t="shared" si="1"/>
        <v>5.5</v>
      </c>
    </row>
    <row r="76" spans="1:22">
      <c r="A76" s="14">
        <v>46093</v>
      </c>
      <c r="B76" s="6" t="s">
        <v>2</v>
      </c>
      <c r="C76" s="15">
        <v>1585469</v>
      </c>
      <c r="D76" s="15" t="s">
        <v>18</v>
      </c>
      <c r="E76" s="15" t="s">
        <v>44</v>
      </c>
      <c r="F76" s="5">
        <v>20314428</v>
      </c>
      <c r="G76" s="15" t="s">
        <v>80</v>
      </c>
      <c r="H76" s="7" t="s">
        <v>2</v>
      </c>
      <c r="I76" s="6" t="s">
        <v>2</v>
      </c>
      <c r="J76" s="15" t="s">
        <v>46</v>
      </c>
      <c r="K76" s="5">
        <v>1</v>
      </c>
      <c r="L76" s="7" t="s">
        <v>2</v>
      </c>
      <c r="M76" s="6" t="s">
        <v>2</v>
      </c>
      <c r="N76" s="5">
        <v>5</v>
      </c>
      <c r="O76" s="16">
        <v>27.5</v>
      </c>
      <c r="P76" s="16">
        <v>27.5</v>
      </c>
      <c r="Q76" s="7" t="s">
        <v>2</v>
      </c>
      <c r="R76" s="7" t="s">
        <v>2</v>
      </c>
      <c r="S76" s="6" t="s">
        <v>2</v>
      </c>
      <c r="V76">
        <f t="shared" si="1"/>
        <v>5.5</v>
      </c>
    </row>
    <row r="77" spans="1:22">
      <c r="A77" s="14">
        <v>46100</v>
      </c>
      <c r="B77" s="6" t="s">
        <v>2</v>
      </c>
      <c r="C77" s="15">
        <v>1587486</v>
      </c>
      <c r="D77" s="15" t="s">
        <v>27</v>
      </c>
      <c r="E77" s="15" t="s">
        <v>27</v>
      </c>
      <c r="F77" s="5">
        <v>20323944</v>
      </c>
      <c r="G77" s="15" t="s">
        <v>81</v>
      </c>
      <c r="H77" s="7" t="s">
        <v>2</v>
      </c>
      <c r="I77" s="6" t="s">
        <v>2</v>
      </c>
      <c r="J77" s="15" t="s">
        <v>40</v>
      </c>
      <c r="K77" s="5">
        <v>1</v>
      </c>
      <c r="L77" s="7" t="s">
        <v>2</v>
      </c>
      <c r="M77" s="6" t="s">
        <v>2</v>
      </c>
      <c r="N77" s="5">
        <v>24</v>
      </c>
      <c r="O77" s="16">
        <v>132</v>
      </c>
      <c r="P77" s="16">
        <v>132</v>
      </c>
      <c r="Q77" s="7" t="s">
        <v>2</v>
      </c>
      <c r="R77" s="7" t="s">
        <v>2</v>
      </c>
      <c r="S77" s="6" t="s">
        <v>2</v>
      </c>
      <c r="V77">
        <f t="shared" si="1"/>
        <v>5.5</v>
      </c>
    </row>
    <row r="78" spans="1:22">
      <c r="A78" s="14">
        <v>46100</v>
      </c>
      <c r="B78" s="6" t="s">
        <v>2</v>
      </c>
      <c r="C78" s="15">
        <v>1587486</v>
      </c>
      <c r="D78" s="15" t="s">
        <v>27</v>
      </c>
      <c r="E78" s="15" t="s">
        <v>27</v>
      </c>
      <c r="F78" s="5">
        <v>20316453</v>
      </c>
      <c r="G78" s="15" t="s">
        <v>82</v>
      </c>
      <c r="H78" s="7" t="s">
        <v>2</v>
      </c>
      <c r="I78" s="6" t="s">
        <v>2</v>
      </c>
      <c r="J78" s="15" t="s">
        <v>40</v>
      </c>
      <c r="K78" s="5">
        <v>1</v>
      </c>
      <c r="L78" s="7" t="s">
        <v>2</v>
      </c>
      <c r="M78" s="6" t="s">
        <v>2</v>
      </c>
      <c r="N78" s="5">
        <v>36</v>
      </c>
      <c r="O78" s="16">
        <v>198</v>
      </c>
      <c r="P78" s="16">
        <v>198</v>
      </c>
      <c r="Q78" s="7" t="s">
        <v>2</v>
      </c>
      <c r="R78" s="7" t="s">
        <v>2</v>
      </c>
      <c r="S78" s="6" t="s">
        <v>2</v>
      </c>
      <c r="V78">
        <f t="shared" si="1"/>
        <v>5.5</v>
      </c>
    </row>
    <row r="79" spans="1:22">
      <c r="A79" s="14">
        <v>46100</v>
      </c>
      <c r="B79" s="6" t="s">
        <v>2</v>
      </c>
      <c r="C79" s="15">
        <v>1587486</v>
      </c>
      <c r="D79" s="15" t="s">
        <v>18</v>
      </c>
      <c r="E79" s="15" t="s">
        <v>19</v>
      </c>
      <c r="F79" s="5">
        <v>20012253</v>
      </c>
      <c r="G79" s="15" t="s">
        <v>66</v>
      </c>
      <c r="H79" s="7" t="s">
        <v>2</v>
      </c>
      <c r="I79" s="6" t="s">
        <v>2</v>
      </c>
      <c r="J79" s="15" t="s">
        <v>42</v>
      </c>
      <c r="K79" s="5">
        <v>2</v>
      </c>
      <c r="L79" s="7" t="s">
        <v>2</v>
      </c>
      <c r="M79" s="6" t="s">
        <v>2</v>
      </c>
      <c r="N79" s="5">
        <v>6</v>
      </c>
      <c r="O79" s="16">
        <v>16.5</v>
      </c>
      <c r="P79" s="16">
        <v>33</v>
      </c>
      <c r="Q79" s="7" t="s">
        <v>2</v>
      </c>
      <c r="R79" s="7" t="s">
        <v>2</v>
      </c>
      <c r="S79" s="6" t="s">
        <v>2</v>
      </c>
      <c r="V79">
        <f t="shared" si="1"/>
        <v>5.5</v>
      </c>
    </row>
    <row r="80" spans="1:22">
      <c r="A80" s="14">
        <v>46100</v>
      </c>
      <c r="B80" s="6" t="s">
        <v>2</v>
      </c>
      <c r="C80" s="15">
        <v>1587486</v>
      </c>
      <c r="D80" s="15" t="s">
        <v>18</v>
      </c>
      <c r="E80" s="15" t="s">
        <v>19</v>
      </c>
      <c r="F80" s="5">
        <v>20323457</v>
      </c>
      <c r="G80" s="15" t="s">
        <v>83</v>
      </c>
      <c r="H80" s="7" t="s">
        <v>2</v>
      </c>
      <c r="I80" s="6" t="s">
        <v>2</v>
      </c>
      <c r="J80" s="15" t="s">
        <v>21</v>
      </c>
      <c r="K80" s="5">
        <v>1</v>
      </c>
      <c r="L80" s="7" t="s">
        <v>2</v>
      </c>
      <c r="M80" s="6" t="s">
        <v>2</v>
      </c>
      <c r="N80" s="5">
        <v>2</v>
      </c>
      <c r="O80" s="16">
        <v>16.5</v>
      </c>
      <c r="P80" s="16">
        <v>16.5</v>
      </c>
      <c r="Q80" s="7" t="s">
        <v>2</v>
      </c>
      <c r="R80" s="7" t="s">
        <v>2</v>
      </c>
      <c r="S80" s="6" t="s">
        <v>2</v>
      </c>
      <c r="V80">
        <f t="shared" ref="V80:V111" si="2">P80/N80</f>
        <v>8.25</v>
      </c>
    </row>
    <row r="81" spans="1:22">
      <c r="A81" s="14">
        <v>46100</v>
      </c>
      <c r="B81" s="6" t="s">
        <v>2</v>
      </c>
      <c r="C81" s="15">
        <v>1587486</v>
      </c>
      <c r="D81" s="15" t="s">
        <v>18</v>
      </c>
      <c r="E81" s="15" t="s">
        <v>19</v>
      </c>
      <c r="F81" s="5">
        <v>20365078</v>
      </c>
      <c r="G81" s="15" t="s">
        <v>84</v>
      </c>
      <c r="H81" s="7" t="s">
        <v>2</v>
      </c>
      <c r="I81" s="6" t="s">
        <v>2</v>
      </c>
      <c r="J81" s="15" t="s">
        <v>85</v>
      </c>
      <c r="K81" s="5">
        <v>1</v>
      </c>
      <c r="L81" s="7" t="s">
        <v>2</v>
      </c>
      <c r="M81" s="6" t="s">
        <v>2</v>
      </c>
      <c r="N81" s="5">
        <v>1</v>
      </c>
      <c r="O81" s="16">
        <v>8</v>
      </c>
      <c r="P81" s="16">
        <v>8</v>
      </c>
      <c r="Q81" s="7" t="s">
        <v>2</v>
      </c>
      <c r="R81" s="7" t="s">
        <v>2</v>
      </c>
      <c r="S81" s="6" t="s">
        <v>2</v>
      </c>
      <c r="V81">
        <f t="shared" si="2"/>
        <v>8</v>
      </c>
    </row>
    <row r="82" spans="1:22">
      <c r="A82" s="14">
        <v>46100</v>
      </c>
      <c r="B82" s="6" t="s">
        <v>2</v>
      </c>
      <c r="C82" s="15">
        <v>1587486</v>
      </c>
      <c r="D82" s="15" t="s">
        <v>18</v>
      </c>
      <c r="E82" s="15" t="s">
        <v>19</v>
      </c>
      <c r="F82" s="5">
        <v>20316353</v>
      </c>
      <c r="G82" s="15" t="s">
        <v>86</v>
      </c>
      <c r="H82" s="7" t="s">
        <v>2</v>
      </c>
      <c r="I82" s="6" t="s">
        <v>2</v>
      </c>
      <c r="J82" s="15" t="s">
        <v>23</v>
      </c>
      <c r="K82" s="5">
        <v>1</v>
      </c>
      <c r="L82" s="7" t="s">
        <v>2</v>
      </c>
      <c r="M82" s="6" t="s">
        <v>2</v>
      </c>
      <c r="N82" s="5">
        <v>2</v>
      </c>
      <c r="O82" s="16">
        <v>13.5</v>
      </c>
      <c r="P82" s="16">
        <v>13.5</v>
      </c>
      <c r="Q82" s="7" t="s">
        <v>2</v>
      </c>
      <c r="R82" s="7" t="s">
        <v>2</v>
      </c>
      <c r="S82" s="6" t="s">
        <v>2</v>
      </c>
      <c r="V82">
        <f t="shared" si="2"/>
        <v>6.75</v>
      </c>
    </row>
    <row r="83" spans="1:22">
      <c r="A83" s="14">
        <v>46100</v>
      </c>
      <c r="B83" s="6" t="s">
        <v>2</v>
      </c>
      <c r="C83" s="15">
        <v>1587486</v>
      </c>
      <c r="D83" s="15" t="s">
        <v>18</v>
      </c>
      <c r="E83" s="15" t="s">
        <v>19</v>
      </c>
      <c r="F83" s="5">
        <v>20313887</v>
      </c>
      <c r="G83" s="15" t="s">
        <v>78</v>
      </c>
      <c r="H83" s="7" t="s">
        <v>2</v>
      </c>
      <c r="I83" s="6" t="s">
        <v>2</v>
      </c>
      <c r="J83" s="15" t="s">
        <v>79</v>
      </c>
      <c r="K83" s="5">
        <v>1</v>
      </c>
      <c r="L83" s="7" t="s">
        <v>2</v>
      </c>
      <c r="M83" s="6" t="s">
        <v>2</v>
      </c>
      <c r="N83" s="5">
        <v>1</v>
      </c>
      <c r="O83" s="16">
        <v>13</v>
      </c>
      <c r="P83" s="16">
        <v>13</v>
      </c>
      <c r="Q83" s="7" t="s">
        <v>2</v>
      </c>
      <c r="R83" s="7" t="s">
        <v>2</v>
      </c>
      <c r="S83" s="6" t="s">
        <v>2</v>
      </c>
      <c r="V83">
        <f t="shared" si="2"/>
        <v>13</v>
      </c>
    </row>
    <row r="84" spans="1:22">
      <c r="A84" s="14">
        <v>46100</v>
      </c>
      <c r="B84" s="6" t="s">
        <v>2</v>
      </c>
      <c r="C84" s="15">
        <v>1587486</v>
      </c>
      <c r="D84" s="15" t="s">
        <v>27</v>
      </c>
      <c r="E84" s="15" t="s">
        <v>28</v>
      </c>
      <c r="F84" s="5">
        <v>20012047</v>
      </c>
      <c r="G84" s="15" t="s">
        <v>87</v>
      </c>
      <c r="H84" s="7" t="s">
        <v>2</v>
      </c>
      <c r="I84" s="6" t="s">
        <v>2</v>
      </c>
      <c r="J84" s="15" t="s">
        <v>34</v>
      </c>
      <c r="K84" s="5">
        <v>1</v>
      </c>
      <c r="L84" s="7" t="s">
        <v>2</v>
      </c>
      <c r="M84" s="6" t="s">
        <v>2</v>
      </c>
      <c r="N84" s="5">
        <v>7</v>
      </c>
      <c r="O84" s="16">
        <v>38.5</v>
      </c>
      <c r="P84" s="16">
        <v>38.5</v>
      </c>
      <c r="Q84" s="7" t="s">
        <v>2</v>
      </c>
      <c r="R84" s="7" t="s">
        <v>2</v>
      </c>
      <c r="S84" s="6" t="s">
        <v>2</v>
      </c>
      <c r="V84">
        <f t="shared" si="2"/>
        <v>5.5</v>
      </c>
    </row>
    <row r="85" spans="1:22">
      <c r="A85" s="14">
        <v>46100</v>
      </c>
      <c r="B85" s="6" t="s">
        <v>2</v>
      </c>
      <c r="C85" s="15">
        <v>1587486</v>
      </c>
      <c r="D85" s="15" t="s">
        <v>27</v>
      </c>
      <c r="E85" s="15" t="s">
        <v>28</v>
      </c>
      <c r="F85" s="5">
        <v>20012001</v>
      </c>
      <c r="G85" s="15" t="s">
        <v>67</v>
      </c>
      <c r="H85" s="7" t="s">
        <v>2</v>
      </c>
      <c r="I85" s="6" t="s">
        <v>2</v>
      </c>
      <c r="J85" s="15" t="s">
        <v>30</v>
      </c>
      <c r="K85" s="5">
        <v>2</v>
      </c>
      <c r="L85" s="7" t="s">
        <v>2</v>
      </c>
      <c r="M85" s="6" t="s">
        <v>2</v>
      </c>
      <c r="N85" s="5">
        <v>10</v>
      </c>
      <c r="O85" s="16">
        <v>27.5</v>
      </c>
      <c r="P85" s="16">
        <v>55</v>
      </c>
      <c r="Q85" s="7" t="s">
        <v>2</v>
      </c>
      <c r="R85" s="7" t="s">
        <v>2</v>
      </c>
      <c r="S85" s="6" t="s">
        <v>2</v>
      </c>
      <c r="V85">
        <f t="shared" si="2"/>
        <v>5.5</v>
      </c>
    </row>
    <row r="86" spans="1:22">
      <c r="A86" s="14">
        <v>46100</v>
      </c>
      <c r="B86" s="6" t="s">
        <v>2</v>
      </c>
      <c r="C86" s="15">
        <v>1587486</v>
      </c>
      <c r="D86" s="15" t="s">
        <v>18</v>
      </c>
      <c r="E86" s="15" t="s">
        <v>44</v>
      </c>
      <c r="F86" s="5">
        <v>20012045</v>
      </c>
      <c r="G86" s="15" t="s">
        <v>88</v>
      </c>
      <c r="H86" s="7" t="s">
        <v>2</v>
      </c>
      <c r="I86" s="6" t="s">
        <v>2</v>
      </c>
      <c r="J86" s="15" t="s">
        <v>46</v>
      </c>
      <c r="K86" s="5">
        <v>1</v>
      </c>
      <c r="L86" s="7" t="s">
        <v>2</v>
      </c>
      <c r="M86" s="6" t="s">
        <v>2</v>
      </c>
      <c r="N86" s="5">
        <v>3</v>
      </c>
      <c r="O86" s="16">
        <v>16.5</v>
      </c>
      <c r="P86" s="16">
        <v>16.5</v>
      </c>
      <c r="Q86" s="7" t="s">
        <v>2</v>
      </c>
      <c r="R86" s="7" t="s">
        <v>2</v>
      </c>
      <c r="S86" s="6" t="s">
        <v>2</v>
      </c>
      <c r="V86">
        <f t="shared" si="2"/>
        <v>5.5</v>
      </c>
    </row>
    <row r="87" spans="1:22">
      <c r="A87" s="14">
        <v>46100</v>
      </c>
      <c r="B87" s="6" t="s">
        <v>2</v>
      </c>
      <c r="C87" s="15">
        <v>1587486</v>
      </c>
      <c r="D87" s="15" t="s">
        <v>18</v>
      </c>
      <c r="E87" s="15" t="s">
        <v>44</v>
      </c>
      <c r="F87" s="5">
        <v>20314428</v>
      </c>
      <c r="G87" s="15" t="s">
        <v>80</v>
      </c>
      <c r="H87" s="7" t="s">
        <v>2</v>
      </c>
      <c r="I87" s="6" t="s">
        <v>2</v>
      </c>
      <c r="J87" s="15" t="s">
        <v>46</v>
      </c>
      <c r="K87" s="5">
        <v>1</v>
      </c>
      <c r="L87" s="7" t="s">
        <v>2</v>
      </c>
      <c r="M87" s="6" t="s">
        <v>2</v>
      </c>
      <c r="N87" s="5">
        <v>5</v>
      </c>
      <c r="O87" s="16">
        <v>27.5</v>
      </c>
      <c r="P87" s="16">
        <v>27.5</v>
      </c>
      <c r="Q87" s="7" t="s">
        <v>2</v>
      </c>
      <c r="R87" s="7" t="s">
        <v>2</v>
      </c>
      <c r="S87" s="6" t="s">
        <v>2</v>
      </c>
      <c r="V87">
        <f t="shared" si="2"/>
        <v>5.5</v>
      </c>
    </row>
    <row r="88" spans="1:22">
      <c r="A88" s="14">
        <v>46107</v>
      </c>
      <c r="B88" s="6" t="s">
        <v>2</v>
      </c>
      <c r="C88" s="15">
        <v>1589456</v>
      </c>
      <c r="D88" s="15" t="s">
        <v>27</v>
      </c>
      <c r="E88" s="15" t="s">
        <v>27</v>
      </c>
      <c r="F88" s="5">
        <v>20315594</v>
      </c>
      <c r="G88" s="15" t="s">
        <v>73</v>
      </c>
      <c r="H88" s="7" t="s">
        <v>2</v>
      </c>
      <c r="I88" s="6" t="s">
        <v>2</v>
      </c>
      <c r="J88" s="15" t="s">
        <v>40</v>
      </c>
      <c r="K88" s="5">
        <v>1</v>
      </c>
      <c r="L88" s="7" t="s">
        <v>2</v>
      </c>
      <c r="M88" s="6" t="s">
        <v>2</v>
      </c>
      <c r="N88" s="5">
        <v>12</v>
      </c>
      <c r="O88" s="16">
        <v>66</v>
      </c>
      <c r="P88" s="16">
        <v>66</v>
      </c>
      <c r="Q88" s="7" t="s">
        <v>2</v>
      </c>
      <c r="R88" s="7" t="s">
        <v>2</v>
      </c>
      <c r="S88" s="6" t="s">
        <v>2</v>
      </c>
      <c r="V88">
        <f t="shared" si="2"/>
        <v>5.5</v>
      </c>
    </row>
    <row r="89" spans="1:22">
      <c r="A89" s="14">
        <v>46107</v>
      </c>
      <c r="B89" s="6" t="s">
        <v>2</v>
      </c>
      <c r="C89" s="15">
        <v>1589456</v>
      </c>
      <c r="D89" s="15" t="s">
        <v>27</v>
      </c>
      <c r="E89" s="15" t="s">
        <v>27</v>
      </c>
      <c r="F89" s="5">
        <v>20323944</v>
      </c>
      <c r="G89" s="15" t="s">
        <v>81</v>
      </c>
      <c r="H89" s="7" t="s">
        <v>2</v>
      </c>
      <c r="I89" s="6" t="s">
        <v>2</v>
      </c>
      <c r="J89" s="15" t="s">
        <v>40</v>
      </c>
      <c r="K89" s="5">
        <v>1</v>
      </c>
      <c r="L89" s="7" t="s">
        <v>2</v>
      </c>
      <c r="M89" s="6" t="s">
        <v>2</v>
      </c>
      <c r="N89" s="5">
        <v>24</v>
      </c>
      <c r="O89" s="16">
        <v>132</v>
      </c>
      <c r="P89" s="16">
        <v>132</v>
      </c>
      <c r="Q89" s="7" t="s">
        <v>2</v>
      </c>
      <c r="R89" s="7" t="s">
        <v>2</v>
      </c>
      <c r="S89" s="6" t="s">
        <v>2</v>
      </c>
      <c r="V89">
        <f t="shared" si="2"/>
        <v>5.5</v>
      </c>
    </row>
    <row r="90" spans="1:22">
      <c r="A90" s="14">
        <v>46107</v>
      </c>
      <c r="B90" s="6" t="s">
        <v>2</v>
      </c>
      <c r="C90" s="15">
        <v>1589456</v>
      </c>
      <c r="D90" s="15" t="s">
        <v>27</v>
      </c>
      <c r="E90" s="15" t="s">
        <v>27</v>
      </c>
      <c r="F90" s="5">
        <v>20012251</v>
      </c>
      <c r="G90" s="15" t="s">
        <v>74</v>
      </c>
      <c r="H90" s="7" t="s">
        <v>2</v>
      </c>
      <c r="I90" s="6" t="s">
        <v>2</v>
      </c>
      <c r="J90" s="15" t="s">
        <v>40</v>
      </c>
      <c r="K90" s="5">
        <v>2</v>
      </c>
      <c r="L90" s="7" t="s">
        <v>2</v>
      </c>
      <c r="M90" s="6" t="s">
        <v>2</v>
      </c>
      <c r="N90" s="5">
        <v>62</v>
      </c>
      <c r="O90" s="16">
        <v>170.5</v>
      </c>
      <c r="P90" s="16">
        <v>341</v>
      </c>
      <c r="Q90" s="7" t="s">
        <v>2</v>
      </c>
      <c r="R90" s="7" t="s">
        <v>2</v>
      </c>
      <c r="S90" s="6" t="s">
        <v>2</v>
      </c>
      <c r="V90">
        <f t="shared" si="2"/>
        <v>5.5</v>
      </c>
    </row>
    <row r="91" spans="1:22">
      <c r="A91" s="14">
        <v>46107</v>
      </c>
      <c r="B91" s="6" t="s">
        <v>2</v>
      </c>
      <c r="C91" s="15">
        <v>1589456</v>
      </c>
      <c r="D91" s="15" t="s">
        <v>18</v>
      </c>
      <c r="E91" s="15" t="s">
        <v>19</v>
      </c>
      <c r="F91" s="5">
        <v>20012253</v>
      </c>
      <c r="G91" s="15" t="s">
        <v>66</v>
      </c>
      <c r="H91" s="7" t="s">
        <v>2</v>
      </c>
      <c r="I91" s="6" t="s">
        <v>2</v>
      </c>
      <c r="J91" s="15" t="s">
        <v>42</v>
      </c>
      <c r="K91" s="5">
        <v>4</v>
      </c>
      <c r="L91" s="7" t="s">
        <v>2</v>
      </c>
      <c r="M91" s="6" t="s">
        <v>2</v>
      </c>
      <c r="N91" s="5">
        <v>12</v>
      </c>
      <c r="O91" s="16">
        <v>16.5</v>
      </c>
      <c r="P91" s="16">
        <v>66</v>
      </c>
      <c r="Q91" s="7" t="s">
        <v>2</v>
      </c>
      <c r="R91" s="7" t="s">
        <v>2</v>
      </c>
      <c r="S91" s="6" t="s">
        <v>2</v>
      </c>
      <c r="V91">
        <f t="shared" si="2"/>
        <v>5.5</v>
      </c>
    </row>
    <row r="92" spans="1:22">
      <c r="A92" s="14">
        <v>46107</v>
      </c>
      <c r="B92" s="6" t="s">
        <v>2</v>
      </c>
      <c r="C92" s="15">
        <v>1589456</v>
      </c>
      <c r="D92" s="15" t="s">
        <v>18</v>
      </c>
      <c r="E92" s="15" t="s">
        <v>19</v>
      </c>
      <c r="F92" s="5">
        <v>20384831</v>
      </c>
      <c r="G92" s="15" t="s">
        <v>89</v>
      </c>
      <c r="H92" s="7" t="s">
        <v>2</v>
      </c>
      <c r="I92" s="6" t="s">
        <v>2</v>
      </c>
      <c r="J92" s="15" t="s">
        <v>90</v>
      </c>
      <c r="K92" s="5">
        <v>1</v>
      </c>
      <c r="L92" s="7" t="s">
        <v>2</v>
      </c>
      <c r="M92" s="6" t="s">
        <v>2</v>
      </c>
      <c r="N92" s="5">
        <v>1</v>
      </c>
      <c r="O92" s="19">
        <v>8</v>
      </c>
      <c r="P92" s="16">
        <v>8</v>
      </c>
      <c r="Q92" s="7" t="s">
        <v>2</v>
      </c>
      <c r="R92" s="7" t="s">
        <v>2</v>
      </c>
      <c r="S92" s="6" t="s">
        <v>2</v>
      </c>
      <c r="V92">
        <f t="shared" si="2"/>
        <v>8</v>
      </c>
    </row>
    <row r="93" spans="1:22">
      <c r="A93" s="14">
        <v>46107</v>
      </c>
      <c r="B93" s="6" t="s">
        <v>2</v>
      </c>
      <c r="C93" s="15">
        <v>1589456</v>
      </c>
      <c r="D93" s="15" t="s">
        <v>18</v>
      </c>
      <c r="E93" s="15" t="s">
        <v>19</v>
      </c>
      <c r="F93" s="5">
        <v>20313885</v>
      </c>
      <c r="G93" s="15" t="s">
        <v>91</v>
      </c>
      <c r="H93" s="7" t="s">
        <v>2</v>
      </c>
      <c r="I93" s="6" t="s">
        <v>2</v>
      </c>
      <c r="J93" s="15" t="s">
        <v>23</v>
      </c>
      <c r="K93" s="5">
        <v>1</v>
      </c>
      <c r="L93" s="7" t="s">
        <v>2</v>
      </c>
      <c r="M93" s="6" t="s">
        <v>2</v>
      </c>
      <c r="N93" s="5">
        <v>2</v>
      </c>
      <c r="O93" s="16">
        <v>13.5</v>
      </c>
      <c r="P93" s="16">
        <v>13.5</v>
      </c>
      <c r="Q93" s="7" t="s">
        <v>2</v>
      </c>
      <c r="R93" s="7" t="s">
        <v>2</v>
      </c>
      <c r="S93" s="6" t="s">
        <v>2</v>
      </c>
      <c r="V93">
        <f t="shared" si="2"/>
        <v>6.75</v>
      </c>
    </row>
    <row r="94" spans="1:22">
      <c r="A94" s="14">
        <v>46107</v>
      </c>
      <c r="B94" s="6" t="s">
        <v>2</v>
      </c>
      <c r="C94" s="15">
        <v>1589456</v>
      </c>
      <c r="D94" s="15" t="s">
        <v>27</v>
      </c>
      <c r="E94" s="15" t="s">
        <v>28</v>
      </c>
      <c r="F94" s="5">
        <v>20329660</v>
      </c>
      <c r="G94" s="15" t="s">
        <v>92</v>
      </c>
      <c r="H94" s="7" t="s">
        <v>2</v>
      </c>
      <c r="I94" s="6" t="s">
        <v>2</v>
      </c>
      <c r="J94" s="15" t="s">
        <v>30</v>
      </c>
      <c r="K94" s="5">
        <v>1</v>
      </c>
      <c r="L94" s="7" t="s">
        <v>2</v>
      </c>
      <c r="M94" s="6" t="s">
        <v>2</v>
      </c>
      <c r="N94" s="5">
        <v>8</v>
      </c>
      <c r="O94" s="16">
        <v>44</v>
      </c>
      <c r="P94" s="16">
        <v>44</v>
      </c>
      <c r="Q94" s="7" t="s">
        <v>2</v>
      </c>
      <c r="R94" s="7" t="s">
        <v>2</v>
      </c>
      <c r="S94" s="6" t="s">
        <v>2</v>
      </c>
      <c r="V94">
        <f t="shared" si="2"/>
        <v>5.5</v>
      </c>
    </row>
    <row r="95" spans="1:22">
      <c r="A95" s="14">
        <v>46107</v>
      </c>
      <c r="B95" s="6" t="s">
        <v>2</v>
      </c>
      <c r="C95" s="15">
        <v>1589456</v>
      </c>
      <c r="D95" s="15" t="s">
        <v>27</v>
      </c>
      <c r="E95" s="15" t="s">
        <v>28</v>
      </c>
      <c r="F95" s="5">
        <v>20012001</v>
      </c>
      <c r="G95" s="15" t="s">
        <v>67</v>
      </c>
      <c r="H95" s="7" t="s">
        <v>2</v>
      </c>
      <c r="I95" s="6" t="s">
        <v>2</v>
      </c>
      <c r="J95" s="15" t="s">
        <v>30</v>
      </c>
      <c r="K95" s="5">
        <v>6</v>
      </c>
      <c r="L95" s="7" t="s">
        <v>2</v>
      </c>
      <c r="M95" s="6" t="s">
        <v>2</v>
      </c>
      <c r="N95" s="5">
        <v>30</v>
      </c>
      <c r="O95" s="16">
        <v>27.5</v>
      </c>
      <c r="P95" s="16">
        <v>165</v>
      </c>
      <c r="Q95" s="7" t="s">
        <v>2</v>
      </c>
      <c r="R95" s="7" t="s">
        <v>2</v>
      </c>
      <c r="S95" s="6" t="s">
        <v>2</v>
      </c>
      <c r="V95">
        <f t="shared" si="2"/>
        <v>5.5</v>
      </c>
    </row>
    <row r="96" spans="1:22">
      <c r="A96" s="14">
        <v>46107</v>
      </c>
      <c r="B96" s="6" t="s">
        <v>2</v>
      </c>
      <c r="C96" s="15">
        <v>1589456</v>
      </c>
      <c r="D96" s="15" t="s">
        <v>18</v>
      </c>
      <c r="E96" s="15" t="s">
        <v>44</v>
      </c>
      <c r="F96" s="5">
        <v>20012045</v>
      </c>
      <c r="G96" s="15" t="s">
        <v>88</v>
      </c>
      <c r="H96" s="7" t="s">
        <v>2</v>
      </c>
      <c r="I96" s="6" t="s">
        <v>2</v>
      </c>
      <c r="J96" s="15" t="s">
        <v>46</v>
      </c>
      <c r="K96" s="5">
        <v>1</v>
      </c>
      <c r="L96" s="7" t="s">
        <v>2</v>
      </c>
      <c r="M96" s="6" t="s">
        <v>2</v>
      </c>
      <c r="N96" s="5">
        <v>3</v>
      </c>
      <c r="O96" s="16">
        <v>16.5</v>
      </c>
      <c r="P96" s="16">
        <v>16.5</v>
      </c>
      <c r="Q96" s="7" t="s">
        <v>2</v>
      </c>
      <c r="R96" s="7" t="s">
        <v>2</v>
      </c>
      <c r="S96" s="6" t="s">
        <v>2</v>
      </c>
      <c r="V96">
        <f t="shared" si="2"/>
        <v>5.5</v>
      </c>
    </row>
    <row r="97" spans="1:22">
      <c r="A97" s="14">
        <v>46107</v>
      </c>
      <c r="B97" s="6" t="s">
        <v>2</v>
      </c>
      <c r="C97" s="15">
        <v>1589456</v>
      </c>
      <c r="D97" s="15" t="s">
        <v>18</v>
      </c>
      <c r="E97" s="15" t="s">
        <v>44</v>
      </c>
      <c r="F97" s="5">
        <v>20314428</v>
      </c>
      <c r="G97" s="15" t="s">
        <v>80</v>
      </c>
      <c r="H97" s="7" t="s">
        <v>2</v>
      </c>
      <c r="I97" s="6" t="s">
        <v>2</v>
      </c>
      <c r="J97" s="15" t="s">
        <v>46</v>
      </c>
      <c r="K97" s="5">
        <v>1</v>
      </c>
      <c r="L97" s="7" t="s">
        <v>2</v>
      </c>
      <c r="M97" s="6" t="s">
        <v>2</v>
      </c>
      <c r="N97" s="5">
        <v>5</v>
      </c>
      <c r="O97" s="16">
        <v>27.5</v>
      </c>
      <c r="P97" s="16">
        <v>27.5</v>
      </c>
      <c r="Q97" s="7" t="s">
        <v>2</v>
      </c>
      <c r="R97" s="7" t="s">
        <v>2</v>
      </c>
      <c r="S97" s="6" t="s">
        <v>2</v>
      </c>
      <c r="V97">
        <f t="shared" si="2"/>
        <v>5.5</v>
      </c>
    </row>
    <row r="98" spans="1:22">
      <c r="A98" s="14">
        <v>46107</v>
      </c>
      <c r="B98" s="6" t="s">
        <v>2</v>
      </c>
      <c r="C98" s="15">
        <v>1589475</v>
      </c>
      <c r="D98" s="15" t="s">
        <v>18</v>
      </c>
      <c r="E98" s="15" t="s">
        <v>44</v>
      </c>
      <c r="F98" s="5">
        <v>20351155</v>
      </c>
      <c r="G98" s="15" t="s">
        <v>93</v>
      </c>
      <c r="H98" s="7" t="s">
        <v>2</v>
      </c>
      <c r="I98" s="6" t="s">
        <v>2</v>
      </c>
      <c r="J98" s="15" t="s">
        <v>30</v>
      </c>
      <c r="K98" s="5">
        <v>1</v>
      </c>
      <c r="L98" s="7" t="s">
        <v>2</v>
      </c>
      <c r="M98" s="6" t="s">
        <v>2</v>
      </c>
      <c r="N98" s="5">
        <v>1</v>
      </c>
      <c r="O98" s="16">
        <v>16.5</v>
      </c>
      <c r="P98" s="16">
        <v>16.5</v>
      </c>
      <c r="Q98" s="7" t="s">
        <v>2</v>
      </c>
      <c r="R98" s="7" t="s">
        <v>2</v>
      </c>
      <c r="S98" s="6" t="s">
        <v>2</v>
      </c>
      <c r="V98">
        <f t="shared" si="2"/>
        <v>16.5</v>
      </c>
    </row>
    <row r="99" spans="1:22">
      <c r="A99" s="14">
        <v>46107</v>
      </c>
      <c r="B99" s="6" t="s">
        <v>2</v>
      </c>
      <c r="C99" s="15">
        <v>1589475</v>
      </c>
      <c r="D99" s="15" t="s">
        <v>18</v>
      </c>
      <c r="E99" s="15" t="s">
        <v>44</v>
      </c>
      <c r="F99" s="5">
        <v>20328079</v>
      </c>
      <c r="G99" s="15" t="s">
        <v>94</v>
      </c>
      <c r="H99" s="7" t="s">
        <v>2</v>
      </c>
      <c r="I99" s="6" t="s">
        <v>2</v>
      </c>
      <c r="J99" s="15" t="s">
        <v>30</v>
      </c>
      <c r="K99" s="5">
        <v>1</v>
      </c>
      <c r="L99" s="7" t="s">
        <v>2</v>
      </c>
      <c r="M99" s="6" t="s">
        <v>2</v>
      </c>
      <c r="N99" s="5">
        <v>1</v>
      </c>
      <c r="O99" s="16">
        <v>16.5</v>
      </c>
      <c r="P99" s="16">
        <v>16.5</v>
      </c>
      <c r="Q99" s="7" t="s">
        <v>2</v>
      </c>
      <c r="R99" s="7" t="s">
        <v>2</v>
      </c>
      <c r="S99" s="6" t="s">
        <v>2</v>
      </c>
      <c r="V99">
        <f t="shared" si="2"/>
        <v>16.5</v>
      </c>
    </row>
    <row r="100" spans="1:22">
      <c r="A100" s="14">
        <v>46108</v>
      </c>
      <c r="B100" s="6" t="s">
        <v>2</v>
      </c>
      <c r="C100" s="15">
        <v>1589620</v>
      </c>
      <c r="D100" s="15" t="s">
        <v>18</v>
      </c>
      <c r="E100" s="15" t="s">
        <v>47</v>
      </c>
      <c r="F100" s="5">
        <v>20318495</v>
      </c>
      <c r="G100" s="15" t="s">
        <v>95</v>
      </c>
      <c r="H100" s="7" t="s">
        <v>2</v>
      </c>
      <c r="I100" s="6" t="s">
        <v>2</v>
      </c>
      <c r="J100" s="15" t="s">
        <v>55</v>
      </c>
      <c r="K100" s="5">
        <v>1</v>
      </c>
      <c r="L100" s="7" t="s">
        <v>2</v>
      </c>
      <c r="M100" s="6" t="s">
        <v>2</v>
      </c>
      <c r="N100" s="5">
        <v>1</v>
      </c>
      <c r="O100" s="16">
        <v>28</v>
      </c>
      <c r="P100" s="16">
        <v>28</v>
      </c>
      <c r="Q100" s="7" t="s">
        <v>2</v>
      </c>
      <c r="R100" s="7" t="s">
        <v>2</v>
      </c>
      <c r="S100" s="6" t="s">
        <v>2</v>
      </c>
      <c r="V100">
        <f t="shared" si="2"/>
        <v>28</v>
      </c>
    </row>
    <row r="101" spans="1:22">
      <c r="A101" s="14">
        <v>46108</v>
      </c>
      <c r="B101" s="6" t="s">
        <v>2</v>
      </c>
      <c r="C101" s="15">
        <v>1589620</v>
      </c>
      <c r="D101" s="15" t="s">
        <v>18</v>
      </c>
      <c r="E101" s="15" t="s">
        <v>47</v>
      </c>
      <c r="F101" s="5">
        <v>20325650</v>
      </c>
      <c r="G101" s="15" t="s">
        <v>68</v>
      </c>
      <c r="H101" s="7" t="s">
        <v>2</v>
      </c>
      <c r="I101" s="6" t="s">
        <v>2</v>
      </c>
      <c r="J101" s="15" t="s">
        <v>69</v>
      </c>
      <c r="K101" s="5">
        <v>1</v>
      </c>
      <c r="L101" s="7" t="s">
        <v>2</v>
      </c>
      <c r="M101" s="6" t="s">
        <v>2</v>
      </c>
      <c r="N101" s="5">
        <v>1</v>
      </c>
      <c r="O101" s="16">
        <v>25</v>
      </c>
      <c r="P101" s="16">
        <v>25</v>
      </c>
      <c r="Q101" s="7" t="s">
        <v>2</v>
      </c>
      <c r="R101" s="7" t="s">
        <v>2</v>
      </c>
      <c r="S101" s="6" t="s">
        <v>2</v>
      </c>
      <c r="V101">
        <f t="shared" si="2"/>
        <v>25</v>
      </c>
    </row>
    <row r="102" spans="1:22">
      <c r="A102" s="14">
        <v>46108</v>
      </c>
      <c r="B102" s="6" t="s">
        <v>2</v>
      </c>
      <c r="C102" s="15">
        <v>1589620</v>
      </c>
      <c r="D102" s="15" t="s">
        <v>18</v>
      </c>
      <c r="E102" s="15" t="s">
        <v>47</v>
      </c>
      <c r="F102" s="5">
        <v>20321054</v>
      </c>
      <c r="G102" s="15" t="s">
        <v>70</v>
      </c>
      <c r="H102" s="7" t="s">
        <v>2</v>
      </c>
      <c r="I102" s="6" t="s">
        <v>2</v>
      </c>
      <c r="J102" s="15" t="s">
        <v>55</v>
      </c>
      <c r="K102" s="5">
        <v>3</v>
      </c>
      <c r="L102" s="7" t="s">
        <v>2</v>
      </c>
      <c r="M102" s="6" t="s">
        <v>2</v>
      </c>
      <c r="N102" s="5">
        <v>6</v>
      </c>
      <c r="O102" s="16">
        <v>44</v>
      </c>
      <c r="P102" s="16">
        <v>132</v>
      </c>
      <c r="Q102" s="7" t="s">
        <v>2</v>
      </c>
      <c r="R102" s="7" t="s">
        <v>2</v>
      </c>
      <c r="S102" s="6" t="s">
        <v>2</v>
      </c>
      <c r="V102">
        <f t="shared" si="2"/>
        <v>22</v>
      </c>
    </row>
    <row r="103" spans="1:22">
      <c r="A103" s="14">
        <v>46108</v>
      </c>
      <c r="B103" s="6" t="s">
        <v>2</v>
      </c>
      <c r="C103" s="15">
        <v>1589620</v>
      </c>
      <c r="D103" s="15" t="s">
        <v>18</v>
      </c>
      <c r="E103" s="15" t="s">
        <v>47</v>
      </c>
      <c r="F103" s="5">
        <v>20316460</v>
      </c>
      <c r="G103" s="15" t="s">
        <v>71</v>
      </c>
      <c r="H103" s="7" t="s">
        <v>2</v>
      </c>
      <c r="I103" s="6" t="s">
        <v>2</v>
      </c>
      <c r="J103" s="15" t="s">
        <v>55</v>
      </c>
      <c r="K103" s="5">
        <v>2</v>
      </c>
      <c r="L103" s="7" t="s">
        <v>2</v>
      </c>
      <c r="M103" s="6" t="s">
        <v>2</v>
      </c>
      <c r="N103" s="5">
        <v>2</v>
      </c>
      <c r="O103" s="16">
        <v>28</v>
      </c>
      <c r="P103" s="16">
        <v>56</v>
      </c>
      <c r="Q103" s="7" t="s">
        <v>2</v>
      </c>
      <c r="R103" s="7" t="s">
        <v>2</v>
      </c>
      <c r="S103" s="6" t="s">
        <v>2</v>
      </c>
      <c r="V103">
        <f t="shared" si="2"/>
        <v>28</v>
      </c>
    </row>
    <row r="104" spans="1:22">
      <c r="A104" s="14">
        <v>46108</v>
      </c>
      <c r="B104" s="6" t="s">
        <v>2</v>
      </c>
      <c r="C104" s="15">
        <v>1589620</v>
      </c>
      <c r="D104" s="15" t="s">
        <v>18</v>
      </c>
      <c r="E104" s="15" t="s">
        <v>47</v>
      </c>
      <c r="F104" s="5">
        <v>20011256</v>
      </c>
      <c r="G104" s="15" t="s">
        <v>56</v>
      </c>
      <c r="H104" s="7" t="s">
        <v>2</v>
      </c>
      <c r="I104" s="6" t="s">
        <v>2</v>
      </c>
      <c r="J104" s="15" t="s">
        <v>55</v>
      </c>
      <c r="K104" s="5">
        <v>2</v>
      </c>
      <c r="L104" s="7" t="s">
        <v>2</v>
      </c>
      <c r="M104" s="6" t="s">
        <v>2</v>
      </c>
      <c r="N104" s="5">
        <v>2</v>
      </c>
      <c r="O104" s="16">
        <v>28</v>
      </c>
      <c r="P104" s="16">
        <v>56</v>
      </c>
      <c r="Q104" s="7" t="s">
        <v>2</v>
      </c>
      <c r="R104" s="7" t="s">
        <v>2</v>
      </c>
      <c r="S104" s="6" t="s">
        <v>2</v>
      </c>
      <c r="V104">
        <f t="shared" si="2"/>
        <v>28</v>
      </c>
    </row>
    <row r="105" spans="1:22">
      <c r="A105" s="14">
        <v>46108</v>
      </c>
      <c r="B105" s="6" t="s">
        <v>2</v>
      </c>
      <c r="C105" s="15">
        <v>1589620</v>
      </c>
      <c r="D105" s="15" t="s">
        <v>18</v>
      </c>
      <c r="E105" s="15" t="s">
        <v>47</v>
      </c>
      <c r="F105" s="5">
        <v>20326175</v>
      </c>
      <c r="G105" s="15" t="s">
        <v>96</v>
      </c>
      <c r="H105" s="7" t="s">
        <v>2</v>
      </c>
      <c r="I105" s="6" t="s">
        <v>2</v>
      </c>
      <c r="J105" s="15" t="s">
        <v>55</v>
      </c>
      <c r="K105" s="5">
        <v>1</v>
      </c>
      <c r="L105" s="7" t="s">
        <v>2</v>
      </c>
      <c r="M105" s="6" t="s">
        <v>2</v>
      </c>
      <c r="N105" s="5">
        <v>1</v>
      </c>
      <c r="O105" s="16">
        <v>28</v>
      </c>
      <c r="P105" s="16">
        <v>28</v>
      </c>
      <c r="Q105" s="7" t="s">
        <v>2</v>
      </c>
      <c r="R105" s="7" t="s">
        <v>2</v>
      </c>
      <c r="S105" s="6" t="s">
        <v>2</v>
      </c>
      <c r="V105">
        <f t="shared" si="2"/>
        <v>28</v>
      </c>
    </row>
    <row r="106" spans="1:22">
      <c r="A106" s="14">
        <v>46108</v>
      </c>
      <c r="B106" s="6" t="s">
        <v>2</v>
      </c>
      <c r="C106" s="15">
        <v>1589620</v>
      </c>
      <c r="D106" s="15" t="s">
        <v>18</v>
      </c>
      <c r="E106" s="15" t="s">
        <v>47</v>
      </c>
      <c r="F106" s="5">
        <v>20323456</v>
      </c>
      <c r="G106" s="15" t="s">
        <v>97</v>
      </c>
      <c r="H106" s="7" t="s">
        <v>2</v>
      </c>
      <c r="I106" s="6" t="s">
        <v>2</v>
      </c>
      <c r="J106" s="15" t="s">
        <v>55</v>
      </c>
      <c r="K106" s="5">
        <v>1</v>
      </c>
      <c r="L106" s="7" t="s">
        <v>2</v>
      </c>
      <c r="M106" s="6" t="s">
        <v>2</v>
      </c>
      <c r="N106" s="5">
        <v>1</v>
      </c>
      <c r="O106" s="16">
        <v>28</v>
      </c>
      <c r="P106" s="16">
        <v>28</v>
      </c>
      <c r="Q106" s="7" t="s">
        <v>2</v>
      </c>
      <c r="R106" s="7" t="s">
        <v>2</v>
      </c>
      <c r="S106" s="6" t="s">
        <v>2</v>
      </c>
      <c r="V106">
        <f t="shared" si="2"/>
        <v>28</v>
      </c>
    </row>
    <row r="107" spans="1:22">
      <c r="A107" s="14">
        <v>46108</v>
      </c>
      <c r="B107" s="6" t="s">
        <v>2</v>
      </c>
      <c r="C107" s="15">
        <v>1589620</v>
      </c>
      <c r="D107" s="15" t="s">
        <v>18</v>
      </c>
      <c r="E107" s="15" t="s">
        <v>47</v>
      </c>
      <c r="F107" s="5">
        <v>20338629</v>
      </c>
      <c r="G107" s="15" t="s">
        <v>62</v>
      </c>
      <c r="H107" s="7" t="s">
        <v>2</v>
      </c>
      <c r="I107" s="6" t="s">
        <v>2</v>
      </c>
      <c r="J107" s="15" t="s">
        <v>55</v>
      </c>
      <c r="K107" s="5">
        <v>1</v>
      </c>
      <c r="L107" s="7" t="s">
        <v>2</v>
      </c>
      <c r="M107" s="6" t="s">
        <v>2</v>
      </c>
      <c r="N107" s="5">
        <v>1</v>
      </c>
      <c r="O107" s="16">
        <v>28</v>
      </c>
      <c r="P107" s="16">
        <v>28</v>
      </c>
      <c r="Q107" s="7" t="s">
        <v>2</v>
      </c>
      <c r="R107" s="7" t="s">
        <v>2</v>
      </c>
      <c r="S107" s="6" t="s">
        <v>2</v>
      </c>
      <c r="V107">
        <f t="shared" si="2"/>
        <v>28</v>
      </c>
    </row>
    <row r="108" spans="1:22">
      <c r="A108" s="14">
        <v>46108</v>
      </c>
      <c r="B108" s="6" t="s">
        <v>2</v>
      </c>
      <c r="C108" s="15">
        <v>1589620</v>
      </c>
      <c r="D108" s="15" t="s">
        <v>18</v>
      </c>
      <c r="E108" s="15" t="s">
        <v>47</v>
      </c>
      <c r="F108" s="5">
        <v>20313795</v>
      </c>
      <c r="G108" s="15" t="s">
        <v>98</v>
      </c>
      <c r="H108" s="7" t="s">
        <v>2</v>
      </c>
      <c r="I108" s="6" t="s">
        <v>2</v>
      </c>
      <c r="J108" s="15" t="s">
        <v>55</v>
      </c>
      <c r="K108" s="5">
        <v>3</v>
      </c>
      <c r="L108" s="7" t="s">
        <v>2</v>
      </c>
      <c r="M108" s="6" t="s">
        <v>2</v>
      </c>
      <c r="N108" s="5">
        <v>3</v>
      </c>
      <c r="O108" s="16">
        <v>28</v>
      </c>
      <c r="P108" s="16">
        <v>84</v>
      </c>
      <c r="Q108" s="7" t="s">
        <v>2</v>
      </c>
      <c r="R108" s="7" t="s">
        <v>2</v>
      </c>
      <c r="S108" s="6" t="s">
        <v>2</v>
      </c>
      <c r="V108">
        <f t="shared" si="2"/>
        <v>28</v>
      </c>
    </row>
    <row r="109" spans="1:22">
      <c r="A109" s="14">
        <v>46108</v>
      </c>
      <c r="B109" s="6" t="s">
        <v>2</v>
      </c>
      <c r="C109" s="15">
        <v>1589620</v>
      </c>
      <c r="D109" s="15" t="s">
        <v>18</v>
      </c>
      <c r="E109" s="15" t="s">
        <v>47</v>
      </c>
      <c r="F109" s="5">
        <v>20357809</v>
      </c>
      <c r="G109" s="15" t="s">
        <v>72</v>
      </c>
      <c r="H109" s="7" t="s">
        <v>2</v>
      </c>
      <c r="I109" s="6" t="s">
        <v>2</v>
      </c>
      <c r="J109" s="15" t="s">
        <v>55</v>
      </c>
      <c r="K109" s="5">
        <v>2</v>
      </c>
      <c r="L109" s="7" t="s">
        <v>2</v>
      </c>
      <c r="M109" s="6" t="s">
        <v>2</v>
      </c>
      <c r="N109" s="5">
        <v>2</v>
      </c>
      <c r="O109" s="16">
        <v>28</v>
      </c>
      <c r="P109" s="16">
        <v>56</v>
      </c>
      <c r="Q109" s="7" t="s">
        <v>2</v>
      </c>
      <c r="R109" s="7" t="s">
        <v>2</v>
      </c>
      <c r="S109" s="6" t="s">
        <v>2</v>
      </c>
      <c r="V109">
        <f t="shared" si="2"/>
        <v>28</v>
      </c>
    </row>
    <row r="110" spans="1:22">
      <c r="A110" s="14">
        <v>46108</v>
      </c>
      <c r="B110" s="6" t="s">
        <v>2</v>
      </c>
      <c r="C110" s="15">
        <v>1589620</v>
      </c>
      <c r="D110" s="15" t="s">
        <v>18</v>
      </c>
      <c r="E110" s="15" t="s">
        <v>47</v>
      </c>
      <c r="F110" s="5">
        <v>20316458</v>
      </c>
      <c r="G110" s="15" t="s">
        <v>99</v>
      </c>
      <c r="H110" s="7" t="s">
        <v>2</v>
      </c>
      <c r="I110" s="6" t="s">
        <v>2</v>
      </c>
      <c r="J110" s="15" t="s">
        <v>69</v>
      </c>
      <c r="K110" s="5">
        <v>2</v>
      </c>
      <c r="L110" s="7" t="s">
        <v>2</v>
      </c>
      <c r="M110" s="6" t="s">
        <v>2</v>
      </c>
      <c r="N110" s="5">
        <v>2</v>
      </c>
      <c r="O110" s="16">
        <v>25</v>
      </c>
      <c r="P110" s="16">
        <v>50</v>
      </c>
      <c r="Q110" s="7" t="s">
        <v>2</v>
      </c>
      <c r="R110" s="7" t="s">
        <v>2</v>
      </c>
      <c r="S110" s="6" t="s">
        <v>2</v>
      </c>
      <c r="V110">
        <f t="shared" si="2"/>
        <v>25</v>
      </c>
    </row>
    <row r="111" spans="1:22">
      <c r="A111" s="14">
        <v>46108</v>
      </c>
      <c r="B111" s="6" t="s">
        <v>2</v>
      </c>
      <c r="C111" s="15">
        <v>1589620</v>
      </c>
      <c r="D111" s="15" t="s">
        <v>18</v>
      </c>
      <c r="E111" s="15" t="s">
        <v>47</v>
      </c>
      <c r="F111" s="5">
        <v>20343287</v>
      </c>
      <c r="G111" s="15" t="s">
        <v>100</v>
      </c>
      <c r="H111" s="7" t="s">
        <v>2</v>
      </c>
      <c r="I111" s="6" t="s">
        <v>2</v>
      </c>
      <c r="J111" s="15" t="s">
        <v>55</v>
      </c>
      <c r="K111" s="5">
        <v>1</v>
      </c>
      <c r="L111" s="7" t="s">
        <v>2</v>
      </c>
      <c r="M111" s="6" t="s">
        <v>2</v>
      </c>
      <c r="N111" s="5">
        <v>1</v>
      </c>
      <c r="O111" s="16">
        <v>28</v>
      </c>
      <c r="P111" s="16">
        <v>28</v>
      </c>
      <c r="Q111" s="7" t="s">
        <v>2</v>
      </c>
      <c r="R111" s="7" t="s">
        <v>2</v>
      </c>
      <c r="S111" s="6" t="s">
        <v>2</v>
      </c>
      <c r="V111">
        <f t="shared" si="2"/>
        <v>28</v>
      </c>
    </row>
    <row r="112" spans="1:22">
      <c r="A112" s="14">
        <v>46115</v>
      </c>
      <c r="B112" s="6" t="s">
        <v>2</v>
      </c>
      <c r="C112" s="15">
        <v>1591652</v>
      </c>
      <c r="D112" s="15" t="s">
        <v>27</v>
      </c>
      <c r="E112" s="15" t="s">
        <v>27</v>
      </c>
      <c r="F112" s="5">
        <v>20012251</v>
      </c>
      <c r="G112" s="15" t="s">
        <v>74</v>
      </c>
      <c r="H112" s="7" t="s">
        <v>2</v>
      </c>
      <c r="I112" s="6" t="s">
        <v>2</v>
      </c>
      <c r="J112" s="15" t="s">
        <v>40</v>
      </c>
      <c r="K112" s="5">
        <v>1</v>
      </c>
      <c r="L112" s="7" t="s">
        <v>2</v>
      </c>
      <c r="M112" s="6" t="s">
        <v>2</v>
      </c>
      <c r="N112" s="5">
        <v>31</v>
      </c>
      <c r="O112" s="16">
        <v>170.5</v>
      </c>
      <c r="P112" s="16">
        <v>170.5</v>
      </c>
      <c r="Q112" s="7" t="s">
        <v>2</v>
      </c>
      <c r="R112" s="7" t="s">
        <v>2</v>
      </c>
      <c r="S112" s="6" t="s">
        <v>2</v>
      </c>
      <c r="V112">
        <f t="shared" ref="V112:V143" si="3">P112/N112</f>
        <v>5.5</v>
      </c>
    </row>
    <row r="113" spans="1:22">
      <c r="A113" s="14">
        <v>46115</v>
      </c>
      <c r="B113" s="6" t="s">
        <v>2</v>
      </c>
      <c r="C113" s="15">
        <v>1591652</v>
      </c>
      <c r="D113" s="15" t="s">
        <v>18</v>
      </c>
      <c r="E113" s="15" t="s">
        <v>19</v>
      </c>
      <c r="F113" s="5">
        <v>20012253</v>
      </c>
      <c r="G113" s="15" t="s">
        <v>66</v>
      </c>
      <c r="H113" s="7" t="s">
        <v>2</v>
      </c>
      <c r="I113" s="6" t="s">
        <v>2</v>
      </c>
      <c r="J113" s="15" t="s">
        <v>42</v>
      </c>
      <c r="K113" s="5">
        <v>1</v>
      </c>
      <c r="L113" s="7" t="s">
        <v>2</v>
      </c>
      <c r="M113" s="6" t="s">
        <v>2</v>
      </c>
      <c r="N113" s="5">
        <v>3</v>
      </c>
      <c r="O113" s="16">
        <v>16.5</v>
      </c>
      <c r="P113" s="16">
        <v>16.5</v>
      </c>
      <c r="Q113" s="7" t="s">
        <v>2</v>
      </c>
      <c r="R113" s="7" t="s">
        <v>2</v>
      </c>
      <c r="S113" s="6" t="s">
        <v>2</v>
      </c>
      <c r="V113">
        <f t="shared" si="3"/>
        <v>5.5</v>
      </c>
    </row>
    <row r="114" spans="1:22">
      <c r="A114" s="14">
        <v>46115</v>
      </c>
      <c r="B114" s="6" t="s">
        <v>2</v>
      </c>
      <c r="C114" s="15">
        <v>1591652</v>
      </c>
      <c r="D114" s="15" t="s">
        <v>18</v>
      </c>
      <c r="E114" s="15" t="s">
        <v>19</v>
      </c>
      <c r="F114" s="5">
        <v>20419971</v>
      </c>
      <c r="G114" s="15" t="s">
        <v>101</v>
      </c>
      <c r="H114" s="7" t="s">
        <v>2</v>
      </c>
      <c r="I114" s="6" t="s">
        <v>2</v>
      </c>
      <c r="J114" s="15" t="s">
        <v>102</v>
      </c>
      <c r="K114" s="5">
        <v>1</v>
      </c>
      <c r="L114" s="7" t="s">
        <v>2</v>
      </c>
      <c r="M114" s="6" t="s">
        <v>2</v>
      </c>
      <c r="N114" s="5">
        <v>1</v>
      </c>
      <c r="O114" s="16">
        <v>8</v>
      </c>
      <c r="P114" s="16">
        <v>8</v>
      </c>
      <c r="Q114" s="7" t="s">
        <v>2</v>
      </c>
      <c r="R114" s="7" t="s">
        <v>2</v>
      </c>
      <c r="S114" s="6" t="s">
        <v>2</v>
      </c>
      <c r="V114">
        <f t="shared" si="3"/>
        <v>8</v>
      </c>
    </row>
    <row r="115" spans="1:22">
      <c r="A115" s="14">
        <v>46115</v>
      </c>
      <c r="B115" s="6" t="s">
        <v>2</v>
      </c>
      <c r="C115" s="15">
        <v>1591652</v>
      </c>
      <c r="D115" s="15" t="s">
        <v>18</v>
      </c>
      <c r="E115" s="15" t="s">
        <v>19</v>
      </c>
      <c r="F115" s="5">
        <v>20419970</v>
      </c>
      <c r="G115" s="15" t="s">
        <v>103</v>
      </c>
      <c r="H115" s="7" t="s">
        <v>2</v>
      </c>
      <c r="I115" s="6" t="s">
        <v>2</v>
      </c>
      <c r="J115" s="15" t="s">
        <v>102</v>
      </c>
      <c r="K115" s="5">
        <v>2</v>
      </c>
      <c r="L115" s="7" t="s">
        <v>2</v>
      </c>
      <c r="M115" s="6" t="s">
        <v>2</v>
      </c>
      <c r="N115" s="5">
        <v>2</v>
      </c>
      <c r="O115" s="16">
        <v>8</v>
      </c>
      <c r="P115" s="16">
        <v>16</v>
      </c>
      <c r="Q115" s="7" t="s">
        <v>2</v>
      </c>
      <c r="R115" s="7" t="s">
        <v>2</v>
      </c>
      <c r="S115" s="6" t="s">
        <v>2</v>
      </c>
      <c r="V115">
        <f t="shared" si="3"/>
        <v>8</v>
      </c>
    </row>
    <row r="116" spans="1:22">
      <c r="A116" s="14">
        <v>46115</v>
      </c>
      <c r="B116" s="6" t="s">
        <v>2</v>
      </c>
      <c r="C116" s="15">
        <v>1591652</v>
      </c>
      <c r="D116" s="15" t="s">
        <v>18</v>
      </c>
      <c r="E116" s="15" t="s">
        <v>19</v>
      </c>
      <c r="F116" s="5">
        <v>20326271</v>
      </c>
      <c r="G116" s="15" t="s">
        <v>104</v>
      </c>
      <c r="H116" s="7" t="s">
        <v>2</v>
      </c>
      <c r="I116" s="6" t="s">
        <v>2</v>
      </c>
      <c r="J116" s="15" t="s">
        <v>21</v>
      </c>
      <c r="K116" s="5">
        <v>1</v>
      </c>
      <c r="L116" s="7" t="s">
        <v>2</v>
      </c>
      <c r="M116" s="6" t="s">
        <v>2</v>
      </c>
      <c r="N116" s="5">
        <v>2</v>
      </c>
      <c r="O116" s="16">
        <v>16.5</v>
      </c>
      <c r="P116" s="16">
        <v>16.5</v>
      </c>
      <c r="Q116" s="7" t="s">
        <v>2</v>
      </c>
      <c r="R116" s="7" t="s">
        <v>2</v>
      </c>
      <c r="S116" s="6" t="s">
        <v>2</v>
      </c>
      <c r="V116">
        <f t="shared" si="3"/>
        <v>8.25</v>
      </c>
    </row>
    <row r="117" spans="1:22">
      <c r="A117" s="14">
        <v>46115</v>
      </c>
      <c r="B117" s="6" t="s">
        <v>2</v>
      </c>
      <c r="C117" s="15">
        <v>1591652</v>
      </c>
      <c r="D117" s="15" t="s">
        <v>27</v>
      </c>
      <c r="E117" s="15" t="s">
        <v>28</v>
      </c>
      <c r="F117" s="5">
        <v>20012048</v>
      </c>
      <c r="G117" s="15" t="s">
        <v>64</v>
      </c>
      <c r="H117" s="7" t="s">
        <v>2</v>
      </c>
      <c r="I117" s="6" t="s">
        <v>2</v>
      </c>
      <c r="J117" s="15" t="s">
        <v>34</v>
      </c>
      <c r="K117" s="5">
        <v>2</v>
      </c>
      <c r="L117" s="7" t="s">
        <v>2</v>
      </c>
      <c r="M117" s="6" t="s">
        <v>2</v>
      </c>
      <c r="N117" s="5">
        <v>14</v>
      </c>
      <c r="O117" s="16">
        <v>38.5</v>
      </c>
      <c r="P117" s="16">
        <v>77</v>
      </c>
      <c r="Q117" s="7" t="s">
        <v>2</v>
      </c>
      <c r="R117" s="7" t="s">
        <v>2</v>
      </c>
      <c r="S117" s="6" t="s">
        <v>2</v>
      </c>
      <c r="V117">
        <f t="shared" si="3"/>
        <v>5.5</v>
      </c>
    </row>
    <row r="118" spans="1:22">
      <c r="A118" s="14">
        <v>46115</v>
      </c>
      <c r="B118" s="6" t="s">
        <v>2</v>
      </c>
      <c r="C118" s="15">
        <v>1591652</v>
      </c>
      <c r="D118" s="15" t="s">
        <v>27</v>
      </c>
      <c r="E118" s="15" t="s">
        <v>28</v>
      </c>
      <c r="F118" s="5">
        <v>20012001</v>
      </c>
      <c r="G118" s="15" t="s">
        <v>67</v>
      </c>
      <c r="H118" s="7" t="s">
        <v>2</v>
      </c>
      <c r="I118" s="6" t="s">
        <v>2</v>
      </c>
      <c r="J118" s="15" t="s">
        <v>30</v>
      </c>
      <c r="K118" s="5">
        <v>1</v>
      </c>
      <c r="L118" s="7" t="s">
        <v>2</v>
      </c>
      <c r="M118" s="6" t="s">
        <v>2</v>
      </c>
      <c r="N118" s="5">
        <v>5</v>
      </c>
      <c r="O118" s="16">
        <v>27.5</v>
      </c>
      <c r="P118" s="16">
        <v>27.5</v>
      </c>
      <c r="Q118" s="7" t="s">
        <v>2</v>
      </c>
      <c r="R118" s="7" t="s">
        <v>2</v>
      </c>
      <c r="S118" s="6" t="s">
        <v>2</v>
      </c>
      <c r="V118">
        <f t="shared" si="3"/>
        <v>5.5</v>
      </c>
    </row>
    <row r="119" spans="1:22">
      <c r="A119" s="14">
        <v>46121</v>
      </c>
      <c r="B119" s="6" t="s">
        <v>2</v>
      </c>
      <c r="C119" s="15">
        <v>1593355</v>
      </c>
      <c r="D119" s="15" t="s">
        <v>27</v>
      </c>
      <c r="E119" s="15" t="s">
        <v>27</v>
      </c>
      <c r="F119" s="5">
        <v>20323944</v>
      </c>
      <c r="G119" s="15" t="s">
        <v>81</v>
      </c>
      <c r="H119" s="7" t="s">
        <v>2</v>
      </c>
      <c r="I119" s="6" t="s">
        <v>2</v>
      </c>
      <c r="J119" s="15" t="s">
        <v>40</v>
      </c>
      <c r="K119" s="5">
        <v>1</v>
      </c>
      <c r="L119" s="7" t="s">
        <v>2</v>
      </c>
      <c r="M119" s="6" t="s">
        <v>2</v>
      </c>
      <c r="N119" s="5">
        <v>24</v>
      </c>
      <c r="O119" s="16">
        <v>132</v>
      </c>
      <c r="P119" s="16">
        <v>132</v>
      </c>
      <c r="Q119" s="7" t="s">
        <v>2</v>
      </c>
      <c r="R119" s="7" t="s">
        <v>2</v>
      </c>
      <c r="S119" s="6" t="s">
        <v>2</v>
      </c>
      <c r="V119">
        <f t="shared" si="3"/>
        <v>5.5</v>
      </c>
    </row>
    <row r="120" spans="1:22">
      <c r="A120" s="14">
        <v>46121</v>
      </c>
      <c r="B120" s="6" t="s">
        <v>2</v>
      </c>
      <c r="C120" s="15">
        <v>1593355</v>
      </c>
      <c r="D120" s="15" t="s">
        <v>27</v>
      </c>
      <c r="E120" s="15" t="s">
        <v>27</v>
      </c>
      <c r="F120" s="5">
        <v>20012251</v>
      </c>
      <c r="G120" s="15" t="s">
        <v>74</v>
      </c>
      <c r="H120" s="7" t="s">
        <v>2</v>
      </c>
      <c r="I120" s="6" t="s">
        <v>2</v>
      </c>
      <c r="J120" s="15" t="s">
        <v>40</v>
      </c>
      <c r="K120" s="5">
        <v>2</v>
      </c>
      <c r="L120" s="7" t="s">
        <v>2</v>
      </c>
      <c r="M120" s="6" t="s">
        <v>2</v>
      </c>
      <c r="N120" s="5">
        <v>62</v>
      </c>
      <c r="O120" s="16">
        <v>170.5</v>
      </c>
      <c r="P120" s="16">
        <v>341</v>
      </c>
      <c r="Q120" s="7" t="s">
        <v>2</v>
      </c>
      <c r="R120" s="7" t="s">
        <v>2</v>
      </c>
      <c r="S120" s="6" t="s">
        <v>2</v>
      </c>
      <c r="V120">
        <f t="shared" si="3"/>
        <v>5.5</v>
      </c>
    </row>
    <row r="121" spans="1:22">
      <c r="A121" s="14">
        <v>46121</v>
      </c>
      <c r="B121" s="6" t="s">
        <v>2</v>
      </c>
      <c r="C121" s="15">
        <v>1593355</v>
      </c>
      <c r="D121" s="15" t="s">
        <v>18</v>
      </c>
      <c r="E121" s="15" t="s">
        <v>19</v>
      </c>
      <c r="F121" s="5">
        <v>20316451</v>
      </c>
      <c r="G121" s="15" t="s">
        <v>105</v>
      </c>
      <c r="H121" s="7" t="s">
        <v>2</v>
      </c>
      <c r="I121" s="6" t="s">
        <v>2</v>
      </c>
      <c r="J121" s="15" t="s">
        <v>106</v>
      </c>
      <c r="K121" s="5">
        <v>2</v>
      </c>
      <c r="L121" s="7" t="s">
        <v>2</v>
      </c>
      <c r="M121" s="6" t="s">
        <v>2</v>
      </c>
      <c r="N121" s="5">
        <v>2</v>
      </c>
      <c r="O121" s="16">
        <v>16</v>
      </c>
      <c r="P121" s="16">
        <v>32</v>
      </c>
      <c r="Q121" s="7" t="s">
        <v>2</v>
      </c>
      <c r="R121" s="7" t="s">
        <v>2</v>
      </c>
      <c r="S121" s="6" t="s">
        <v>2</v>
      </c>
      <c r="V121">
        <f t="shared" si="3"/>
        <v>16</v>
      </c>
    </row>
    <row r="122" spans="1:22">
      <c r="A122" s="14">
        <v>46121</v>
      </c>
      <c r="B122" s="6" t="s">
        <v>2</v>
      </c>
      <c r="C122" s="15">
        <v>1593355</v>
      </c>
      <c r="D122" s="15" t="s">
        <v>18</v>
      </c>
      <c r="E122" s="15" t="s">
        <v>19</v>
      </c>
      <c r="F122" s="5">
        <v>20011973</v>
      </c>
      <c r="G122" s="15" t="s">
        <v>107</v>
      </c>
      <c r="H122" s="7" t="s">
        <v>2</v>
      </c>
      <c r="I122" s="6" t="s">
        <v>2</v>
      </c>
      <c r="J122" s="15" t="s">
        <v>42</v>
      </c>
      <c r="K122" s="5">
        <v>1</v>
      </c>
      <c r="L122" s="7" t="s">
        <v>2</v>
      </c>
      <c r="M122" s="6" t="s">
        <v>2</v>
      </c>
      <c r="N122" s="5">
        <v>3</v>
      </c>
      <c r="O122" s="16">
        <v>16.5</v>
      </c>
      <c r="P122" s="16">
        <v>16.5</v>
      </c>
      <c r="Q122" s="7" t="s">
        <v>2</v>
      </c>
      <c r="R122" s="7" t="s">
        <v>2</v>
      </c>
      <c r="S122" s="6" t="s">
        <v>2</v>
      </c>
      <c r="V122">
        <f t="shared" si="3"/>
        <v>5.5</v>
      </c>
    </row>
    <row r="123" spans="1:22">
      <c r="A123" s="14">
        <v>46121</v>
      </c>
      <c r="B123" s="6" t="s">
        <v>2</v>
      </c>
      <c r="C123" s="15">
        <v>1593355</v>
      </c>
      <c r="D123" s="15" t="s">
        <v>18</v>
      </c>
      <c r="E123" s="15" t="s">
        <v>19</v>
      </c>
      <c r="F123" s="5">
        <v>20012253</v>
      </c>
      <c r="G123" s="15" t="s">
        <v>66</v>
      </c>
      <c r="H123" s="7" t="s">
        <v>2</v>
      </c>
      <c r="I123" s="6" t="s">
        <v>2</v>
      </c>
      <c r="J123" s="15" t="s">
        <v>42</v>
      </c>
      <c r="K123" s="5">
        <v>2</v>
      </c>
      <c r="L123" s="7" t="s">
        <v>2</v>
      </c>
      <c r="M123" s="6" t="s">
        <v>2</v>
      </c>
      <c r="N123" s="5">
        <v>6</v>
      </c>
      <c r="O123" s="16">
        <v>16.5</v>
      </c>
      <c r="P123" s="16">
        <v>33</v>
      </c>
      <c r="Q123" s="7" t="s">
        <v>2</v>
      </c>
      <c r="R123" s="7" t="s">
        <v>2</v>
      </c>
      <c r="S123" s="6" t="s">
        <v>2</v>
      </c>
      <c r="V123">
        <f t="shared" si="3"/>
        <v>5.5</v>
      </c>
    </row>
    <row r="124" spans="1:22">
      <c r="A124" s="14">
        <v>46121</v>
      </c>
      <c r="B124" s="6" t="s">
        <v>2</v>
      </c>
      <c r="C124" s="15">
        <v>1593355</v>
      </c>
      <c r="D124" s="15" t="s">
        <v>18</v>
      </c>
      <c r="E124" s="15" t="s">
        <v>19</v>
      </c>
      <c r="F124" s="5">
        <v>20394351</v>
      </c>
      <c r="G124" s="20" t="s">
        <v>108</v>
      </c>
      <c r="H124" s="7" t="s">
        <v>2</v>
      </c>
      <c r="I124" s="6" t="s">
        <v>2</v>
      </c>
      <c r="J124" s="15" t="s">
        <v>109</v>
      </c>
      <c r="K124" s="5">
        <v>1</v>
      </c>
      <c r="L124" s="7" t="s">
        <v>2</v>
      </c>
      <c r="M124" s="6" t="s">
        <v>2</v>
      </c>
      <c r="N124" s="5">
        <v>2</v>
      </c>
      <c r="O124" s="16">
        <v>8</v>
      </c>
      <c r="P124" s="16">
        <v>8</v>
      </c>
      <c r="Q124" s="7" t="s">
        <v>2</v>
      </c>
      <c r="R124" s="7" t="s">
        <v>2</v>
      </c>
      <c r="S124" s="6" t="s">
        <v>2</v>
      </c>
      <c r="V124">
        <f t="shared" si="3"/>
        <v>4</v>
      </c>
    </row>
    <row r="125" spans="1:22">
      <c r="A125" s="14">
        <v>46121</v>
      </c>
      <c r="B125" s="6" t="s">
        <v>2</v>
      </c>
      <c r="C125" s="15">
        <v>1593355</v>
      </c>
      <c r="D125" s="15" t="s">
        <v>18</v>
      </c>
      <c r="E125" s="15" t="s">
        <v>19</v>
      </c>
      <c r="F125" s="5">
        <v>20314095</v>
      </c>
      <c r="G125" s="15" t="s">
        <v>110</v>
      </c>
      <c r="H125" s="7" t="s">
        <v>2</v>
      </c>
      <c r="I125" s="6" t="s">
        <v>2</v>
      </c>
      <c r="J125" s="15" t="s">
        <v>109</v>
      </c>
      <c r="K125" s="5">
        <v>1</v>
      </c>
      <c r="L125" s="7" t="s">
        <v>2</v>
      </c>
      <c r="M125" s="6" t="s">
        <v>2</v>
      </c>
      <c r="N125" s="5">
        <v>10</v>
      </c>
      <c r="O125" s="16">
        <v>13.5</v>
      </c>
      <c r="P125" s="16">
        <v>13.5</v>
      </c>
      <c r="Q125" s="7" t="s">
        <v>2</v>
      </c>
      <c r="R125" s="7" t="s">
        <v>2</v>
      </c>
      <c r="S125" s="6" t="s">
        <v>2</v>
      </c>
      <c r="V125">
        <f t="shared" si="3"/>
        <v>1.35</v>
      </c>
    </row>
    <row r="126" spans="1:22">
      <c r="A126" s="14">
        <v>46121</v>
      </c>
      <c r="B126" s="6" t="s">
        <v>2</v>
      </c>
      <c r="C126" s="15">
        <v>1593355</v>
      </c>
      <c r="D126" s="15" t="s">
        <v>18</v>
      </c>
      <c r="E126" s="15" t="s">
        <v>19</v>
      </c>
      <c r="F126" s="5">
        <v>20326269</v>
      </c>
      <c r="G126" s="15" t="s">
        <v>111</v>
      </c>
      <c r="H126" s="7" t="s">
        <v>2</v>
      </c>
      <c r="I126" s="6" t="s">
        <v>2</v>
      </c>
      <c r="J126" s="15" t="s">
        <v>23</v>
      </c>
      <c r="K126" s="5">
        <v>1</v>
      </c>
      <c r="L126" s="7" t="s">
        <v>2</v>
      </c>
      <c r="M126" s="6" t="s">
        <v>2</v>
      </c>
      <c r="N126" s="5">
        <v>8</v>
      </c>
      <c r="O126" s="16">
        <v>44</v>
      </c>
      <c r="P126" s="16">
        <v>44</v>
      </c>
      <c r="Q126" s="7" t="s">
        <v>2</v>
      </c>
      <c r="R126" s="7" t="s">
        <v>2</v>
      </c>
      <c r="S126" s="6" t="s">
        <v>2</v>
      </c>
      <c r="V126">
        <f t="shared" si="3"/>
        <v>5.5</v>
      </c>
    </row>
    <row r="127" spans="1:22">
      <c r="A127" s="14">
        <v>46121</v>
      </c>
      <c r="B127" s="6" t="s">
        <v>2</v>
      </c>
      <c r="C127" s="15">
        <v>1593355</v>
      </c>
      <c r="D127" s="15" t="s">
        <v>18</v>
      </c>
      <c r="E127" s="15" t="s">
        <v>19</v>
      </c>
      <c r="F127" s="5">
        <v>20404060</v>
      </c>
      <c r="G127" s="15" t="s">
        <v>112</v>
      </c>
      <c r="H127" s="7" t="s">
        <v>2</v>
      </c>
      <c r="I127" s="6" t="s">
        <v>2</v>
      </c>
      <c r="J127" s="15" t="s">
        <v>102</v>
      </c>
      <c r="K127" s="5">
        <v>1</v>
      </c>
      <c r="L127" s="7" t="s">
        <v>2</v>
      </c>
      <c r="M127" s="6" t="s">
        <v>2</v>
      </c>
      <c r="N127" s="5">
        <v>1</v>
      </c>
      <c r="O127" s="16">
        <v>8</v>
      </c>
      <c r="P127" s="16">
        <v>8</v>
      </c>
      <c r="Q127" s="7" t="s">
        <v>2</v>
      </c>
      <c r="R127" s="7" t="s">
        <v>2</v>
      </c>
      <c r="S127" s="6" t="s">
        <v>2</v>
      </c>
      <c r="V127">
        <f t="shared" si="3"/>
        <v>8</v>
      </c>
    </row>
    <row r="128" spans="1:22">
      <c r="A128" s="14">
        <v>46121</v>
      </c>
      <c r="B128" s="6" t="s">
        <v>2</v>
      </c>
      <c r="C128" s="15">
        <v>1593355</v>
      </c>
      <c r="D128" s="15" t="s">
        <v>18</v>
      </c>
      <c r="E128" s="15" t="s">
        <v>19</v>
      </c>
      <c r="F128" s="5">
        <v>20404061</v>
      </c>
      <c r="G128" s="15" t="s">
        <v>113</v>
      </c>
      <c r="H128" s="7" t="s">
        <v>2</v>
      </c>
      <c r="I128" s="6" t="s">
        <v>2</v>
      </c>
      <c r="J128" s="15" t="s">
        <v>23</v>
      </c>
      <c r="K128" s="5">
        <v>1</v>
      </c>
      <c r="L128" s="7" t="s">
        <v>2</v>
      </c>
      <c r="M128" s="6" t="s">
        <v>2</v>
      </c>
      <c r="N128" s="5">
        <v>5</v>
      </c>
      <c r="O128" s="16">
        <v>27.5</v>
      </c>
      <c r="P128" s="16">
        <v>27.5</v>
      </c>
      <c r="Q128" s="7" t="s">
        <v>2</v>
      </c>
      <c r="R128" s="7" t="s">
        <v>2</v>
      </c>
      <c r="S128" s="6" t="s">
        <v>2</v>
      </c>
      <c r="V128">
        <f t="shared" si="3"/>
        <v>5.5</v>
      </c>
    </row>
    <row r="129" spans="1:22">
      <c r="A129" s="14">
        <v>46121</v>
      </c>
      <c r="B129" s="6" t="s">
        <v>2</v>
      </c>
      <c r="C129" s="15">
        <v>1593355</v>
      </c>
      <c r="D129" s="15" t="s">
        <v>18</v>
      </c>
      <c r="E129" s="15" t="s">
        <v>19</v>
      </c>
      <c r="F129" s="5">
        <v>20364086</v>
      </c>
      <c r="G129" s="15" t="s">
        <v>114</v>
      </c>
      <c r="H129" s="7" t="s">
        <v>2</v>
      </c>
      <c r="I129" s="6" t="s">
        <v>2</v>
      </c>
      <c r="J129" s="15" t="s">
        <v>115</v>
      </c>
      <c r="K129" s="5">
        <v>1</v>
      </c>
      <c r="L129" s="7" t="s">
        <v>2</v>
      </c>
      <c r="M129" s="6" t="s">
        <v>2</v>
      </c>
      <c r="N129" s="5">
        <v>1</v>
      </c>
      <c r="O129" s="16">
        <v>8</v>
      </c>
      <c r="P129" s="16">
        <v>8</v>
      </c>
      <c r="Q129" s="7" t="s">
        <v>2</v>
      </c>
      <c r="R129" s="7" t="s">
        <v>2</v>
      </c>
      <c r="S129" s="6" t="s">
        <v>2</v>
      </c>
      <c r="V129">
        <f t="shared" si="3"/>
        <v>8</v>
      </c>
    </row>
    <row r="130" spans="1:22">
      <c r="A130" s="14">
        <v>46121</v>
      </c>
      <c r="B130" s="6" t="s">
        <v>2</v>
      </c>
      <c r="C130" s="15">
        <v>1593355</v>
      </c>
      <c r="D130" s="15" t="s">
        <v>18</v>
      </c>
      <c r="E130" s="15" t="s">
        <v>19</v>
      </c>
      <c r="F130" s="5">
        <v>20316353</v>
      </c>
      <c r="G130" s="15" t="s">
        <v>86</v>
      </c>
      <c r="H130" s="7" t="s">
        <v>2</v>
      </c>
      <c r="I130" s="6" t="s">
        <v>2</v>
      </c>
      <c r="J130" s="15" t="s">
        <v>23</v>
      </c>
      <c r="K130" s="5">
        <v>2</v>
      </c>
      <c r="L130" s="7" t="s">
        <v>2</v>
      </c>
      <c r="M130" s="6" t="s">
        <v>2</v>
      </c>
      <c r="N130" s="5">
        <v>4</v>
      </c>
      <c r="O130" s="16">
        <v>13.5</v>
      </c>
      <c r="P130" s="16">
        <v>27</v>
      </c>
      <c r="Q130" s="7" t="s">
        <v>2</v>
      </c>
      <c r="R130" s="7" t="s">
        <v>2</v>
      </c>
      <c r="S130" s="6" t="s">
        <v>2</v>
      </c>
      <c r="V130">
        <f t="shared" si="3"/>
        <v>6.75</v>
      </c>
    </row>
    <row r="131" spans="1:22">
      <c r="A131" s="14">
        <v>46121</v>
      </c>
      <c r="B131" s="6" t="s">
        <v>2</v>
      </c>
      <c r="C131" s="15">
        <v>1593355</v>
      </c>
      <c r="D131" s="15" t="s">
        <v>18</v>
      </c>
      <c r="E131" s="15" t="s">
        <v>19</v>
      </c>
      <c r="F131" s="5">
        <v>20313887</v>
      </c>
      <c r="G131" s="15" t="s">
        <v>78</v>
      </c>
      <c r="H131" s="7" t="s">
        <v>2</v>
      </c>
      <c r="I131" s="6" t="s">
        <v>2</v>
      </c>
      <c r="J131" s="15" t="s">
        <v>79</v>
      </c>
      <c r="K131" s="5">
        <v>2</v>
      </c>
      <c r="L131" s="7" t="s">
        <v>2</v>
      </c>
      <c r="M131" s="6" t="s">
        <v>2</v>
      </c>
      <c r="N131" s="5">
        <v>2</v>
      </c>
      <c r="O131" s="16">
        <v>13</v>
      </c>
      <c r="P131" s="16">
        <v>26</v>
      </c>
      <c r="Q131" s="7" t="s">
        <v>2</v>
      </c>
      <c r="R131" s="7" t="s">
        <v>2</v>
      </c>
      <c r="S131" s="6" t="s">
        <v>2</v>
      </c>
      <c r="V131">
        <f t="shared" si="3"/>
        <v>13</v>
      </c>
    </row>
    <row r="132" spans="1:22">
      <c r="A132" s="14">
        <v>46121</v>
      </c>
      <c r="B132" s="6" t="s">
        <v>2</v>
      </c>
      <c r="C132" s="15">
        <v>1593355</v>
      </c>
      <c r="D132" s="15" t="s">
        <v>18</v>
      </c>
      <c r="E132" s="15" t="s">
        <v>19</v>
      </c>
      <c r="F132" s="5">
        <v>20326271</v>
      </c>
      <c r="G132" s="15" t="s">
        <v>104</v>
      </c>
      <c r="H132" s="7" t="s">
        <v>2</v>
      </c>
      <c r="I132" s="6" t="s">
        <v>2</v>
      </c>
      <c r="J132" s="15" t="s">
        <v>21</v>
      </c>
      <c r="K132" s="5">
        <v>1</v>
      </c>
      <c r="L132" s="7" t="s">
        <v>2</v>
      </c>
      <c r="M132" s="6" t="s">
        <v>2</v>
      </c>
      <c r="N132" s="5">
        <v>2</v>
      </c>
      <c r="O132" s="16">
        <v>16.5</v>
      </c>
      <c r="P132" s="16">
        <v>16.5</v>
      </c>
      <c r="Q132" s="7" t="s">
        <v>2</v>
      </c>
      <c r="R132" s="7" t="s">
        <v>2</v>
      </c>
      <c r="S132" s="6" t="s">
        <v>2</v>
      </c>
      <c r="V132">
        <f t="shared" si="3"/>
        <v>8.25</v>
      </c>
    </row>
    <row r="133" spans="1:22">
      <c r="A133" s="14">
        <v>46121</v>
      </c>
      <c r="B133" s="6" t="s">
        <v>2</v>
      </c>
      <c r="C133" s="15">
        <v>1593355</v>
      </c>
      <c r="D133" s="15" t="s">
        <v>27</v>
      </c>
      <c r="E133" s="15" t="s">
        <v>28</v>
      </c>
      <c r="F133" s="5">
        <v>20349066</v>
      </c>
      <c r="G133" s="15" t="s">
        <v>116</v>
      </c>
      <c r="H133" s="7" t="s">
        <v>2</v>
      </c>
      <c r="I133" s="6" t="s">
        <v>2</v>
      </c>
      <c r="J133" s="15" t="s">
        <v>30</v>
      </c>
      <c r="K133" s="5">
        <v>2</v>
      </c>
      <c r="L133" s="7" t="s">
        <v>2</v>
      </c>
      <c r="M133" s="6" t="s">
        <v>2</v>
      </c>
      <c r="N133" s="5">
        <v>12</v>
      </c>
      <c r="O133" s="16">
        <v>33</v>
      </c>
      <c r="P133" s="16">
        <v>66</v>
      </c>
      <c r="Q133" s="7" t="s">
        <v>2</v>
      </c>
      <c r="R133" s="7" t="s">
        <v>2</v>
      </c>
      <c r="S133" s="6" t="s">
        <v>2</v>
      </c>
      <c r="V133">
        <f t="shared" si="3"/>
        <v>5.5</v>
      </c>
    </row>
    <row r="134" spans="1:22">
      <c r="A134" s="14">
        <v>46121</v>
      </c>
      <c r="B134" s="6" t="s">
        <v>2</v>
      </c>
      <c r="C134" s="15">
        <v>1593355</v>
      </c>
      <c r="D134" s="15" t="s">
        <v>27</v>
      </c>
      <c r="E134" s="15" t="s">
        <v>28</v>
      </c>
      <c r="F134" s="5">
        <v>20012001</v>
      </c>
      <c r="G134" s="15" t="s">
        <v>67</v>
      </c>
      <c r="H134" s="7" t="s">
        <v>2</v>
      </c>
      <c r="I134" s="6" t="s">
        <v>2</v>
      </c>
      <c r="J134" s="15" t="s">
        <v>30</v>
      </c>
      <c r="K134" s="5">
        <v>1</v>
      </c>
      <c r="L134" s="7" t="s">
        <v>2</v>
      </c>
      <c r="M134" s="6" t="s">
        <v>2</v>
      </c>
      <c r="N134" s="5">
        <v>5</v>
      </c>
      <c r="O134" s="16">
        <v>27.5</v>
      </c>
      <c r="P134" s="16">
        <v>27.5</v>
      </c>
      <c r="Q134" s="7" t="s">
        <v>2</v>
      </c>
      <c r="R134" s="7" t="s">
        <v>2</v>
      </c>
      <c r="S134" s="6" t="s">
        <v>2</v>
      </c>
      <c r="V134">
        <f t="shared" si="3"/>
        <v>5.5</v>
      </c>
    </row>
    <row r="135" spans="1:22">
      <c r="A135" s="14">
        <v>46121</v>
      </c>
      <c r="B135" s="6" t="s">
        <v>2</v>
      </c>
      <c r="C135" s="15">
        <v>1593355</v>
      </c>
      <c r="D135" s="15" t="s">
        <v>18</v>
      </c>
      <c r="E135" s="15" t="s">
        <v>44</v>
      </c>
      <c r="F135" s="5">
        <v>20314428</v>
      </c>
      <c r="G135" s="15" t="s">
        <v>80</v>
      </c>
      <c r="H135" s="7" t="s">
        <v>2</v>
      </c>
      <c r="I135" s="6" t="s">
        <v>2</v>
      </c>
      <c r="J135" s="15" t="s">
        <v>46</v>
      </c>
      <c r="K135" s="5">
        <v>1</v>
      </c>
      <c r="L135" s="7" t="s">
        <v>2</v>
      </c>
      <c r="M135" s="6" t="s">
        <v>2</v>
      </c>
      <c r="N135" s="5">
        <v>5</v>
      </c>
      <c r="O135" s="16">
        <v>27.5</v>
      </c>
      <c r="P135" s="16">
        <v>27.5</v>
      </c>
      <c r="Q135" s="7" t="s">
        <v>2</v>
      </c>
      <c r="R135" s="7" t="s">
        <v>2</v>
      </c>
      <c r="S135" s="6" t="s">
        <v>2</v>
      </c>
      <c r="V135">
        <f t="shared" si="3"/>
        <v>5.5</v>
      </c>
    </row>
    <row r="136" spans="1:22">
      <c r="A136" s="14">
        <v>46121</v>
      </c>
      <c r="B136" s="6" t="s">
        <v>2</v>
      </c>
      <c r="C136" s="15">
        <v>1593355</v>
      </c>
      <c r="D136" s="15" t="s">
        <v>18</v>
      </c>
      <c r="E136" s="15" t="s">
        <v>44</v>
      </c>
      <c r="F136" s="5">
        <v>20351155</v>
      </c>
      <c r="G136" s="15" t="s">
        <v>93</v>
      </c>
      <c r="H136" s="7" t="s">
        <v>2</v>
      </c>
      <c r="I136" s="6" t="s">
        <v>2</v>
      </c>
      <c r="J136" s="15" t="s">
        <v>30</v>
      </c>
      <c r="K136" s="5">
        <v>1</v>
      </c>
      <c r="L136" s="7" t="s">
        <v>2</v>
      </c>
      <c r="M136" s="6" t="s">
        <v>2</v>
      </c>
      <c r="N136" s="5">
        <v>1</v>
      </c>
      <c r="O136" s="16">
        <v>16.5</v>
      </c>
      <c r="P136" s="16">
        <v>16.5</v>
      </c>
      <c r="Q136" s="7" t="s">
        <v>2</v>
      </c>
      <c r="R136" s="7" t="s">
        <v>2</v>
      </c>
      <c r="S136" s="6" t="s">
        <v>2</v>
      </c>
      <c r="V136">
        <f t="shared" si="3"/>
        <v>16.5</v>
      </c>
    </row>
    <row r="137" spans="1:22">
      <c r="A137" s="14">
        <v>46121</v>
      </c>
      <c r="B137" s="6" t="s">
        <v>2</v>
      </c>
      <c r="C137" s="15">
        <v>1593355</v>
      </c>
      <c r="D137" s="15" t="s">
        <v>18</v>
      </c>
      <c r="E137" s="15" t="s">
        <v>44</v>
      </c>
      <c r="F137" s="5">
        <v>20328079</v>
      </c>
      <c r="G137" s="15" t="s">
        <v>94</v>
      </c>
      <c r="H137" s="7" t="s">
        <v>2</v>
      </c>
      <c r="I137" s="6" t="s">
        <v>2</v>
      </c>
      <c r="J137" s="15" t="s">
        <v>30</v>
      </c>
      <c r="K137" s="5">
        <v>1</v>
      </c>
      <c r="L137" s="7" t="s">
        <v>2</v>
      </c>
      <c r="M137" s="6" t="s">
        <v>2</v>
      </c>
      <c r="N137" s="5">
        <v>1</v>
      </c>
      <c r="O137" s="16">
        <v>16.5</v>
      </c>
      <c r="P137" s="16">
        <v>16.5</v>
      </c>
      <c r="Q137" s="7" t="s">
        <v>2</v>
      </c>
      <c r="R137" s="7" t="s">
        <v>2</v>
      </c>
      <c r="S137" s="6" t="s">
        <v>2</v>
      </c>
      <c r="V137">
        <f t="shared" si="3"/>
        <v>16.5</v>
      </c>
    </row>
    <row r="138" spans="1:22">
      <c r="A138" s="14">
        <v>46121</v>
      </c>
      <c r="B138" s="6" t="s">
        <v>2</v>
      </c>
      <c r="C138" s="15">
        <v>1593355</v>
      </c>
      <c r="D138" s="15" t="s">
        <v>18</v>
      </c>
      <c r="E138" s="15" t="s">
        <v>44</v>
      </c>
      <c r="F138" s="5">
        <v>20362327</v>
      </c>
      <c r="G138" s="15" t="s">
        <v>117</v>
      </c>
      <c r="H138" s="7" t="s">
        <v>2</v>
      </c>
      <c r="I138" s="6" t="s">
        <v>2</v>
      </c>
      <c r="J138" s="15" t="s">
        <v>46</v>
      </c>
      <c r="K138" s="5">
        <v>2</v>
      </c>
      <c r="L138" s="7" t="s">
        <v>2</v>
      </c>
      <c r="M138" s="6" t="s">
        <v>2</v>
      </c>
      <c r="N138" s="5">
        <v>4</v>
      </c>
      <c r="O138" s="16">
        <v>16.5</v>
      </c>
      <c r="P138" s="16">
        <v>33</v>
      </c>
      <c r="Q138" s="7" t="s">
        <v>2</v>
      </c>
      <c r="R138" s="7" t="s">
        <v>2</v>
      </c>
      <c r="S138" s="6" t="s">
        <v>2</v>
      </c>
      <c r="V138">
        <f t="shared" si="3"/>
        <v>8.25</v>
      </c>
    </row>
    <row r="139" spans="1:22">
      <c r="A139" s="14">
        <v>46122</v>
      </c>
      <c r="B139" s="6" t="s">
        <v>2</v>
      </c>
      <c r="C139" s="15">
        <v>1593548</v>
      </c>
      <c r="D139" s="15" t="s">
        <v>18</v>
      </c>
      <c r="E139" s="15" t="s">
        <v>47</v>
      </c>
      <c r="F139" s="5">
        <v>20322687</v>
      </c>
      <c r="G139" s="15" t="s">
        <v>118</v>
      </c>
      <c r="H139" s="7" t="s">
        <v>2</v>
      </c>
      <c r="I139" s="6" t="s">
        <v>2</v>
      </c>
      <c r="J139" s="15" t="s">
        <v>55</v>
      </c>
      <c r="K139" s="5">
        <v>2</v>
      </c>
      <c r="L139" s="7" t="s">
        <v>2</v>
      </c>
      <c r="M139" s="6" t="s">
        <v>2</v>
      </c>
      <c r="N139" s="5">
        <v>4</v>
      </c>
      <c r="O139" s="16">
        <v>44</v>
      </c>
      <c r="P139" s="16">
        <v>88</v>
      </c>
      <c r="Q139" s="7" t="s">
        <v>2</v>
      </c>
      <c r="R139" s="7" t="s">
        <v>2</v>
      </c>
      <c r="S139" s="6" t="s">
        <v>2</v>
      </c>
      <c r="V139">
        <f t="shared" si="3"/>
        <v>22</v>
      </c>
    </row>
    <row r="140" spans="1:22">
      <c r="A140" s="14">
        <v>46122</v>
      </c>
      <c r="B140" s="6" t="s">
        <v>2</v>
      </c>
      <c r="C140" s="15">
        <v>1593548</v>
      </c>
      <c r="D140" s="15" t="s">
        <v>18</v>
      </c>
      <c r="E140" s="15" t="s">
        <v>47</v>
      </c>
      <c r="F140" s="5">
        <v>20369087</v>
      </c>
      <c r="G140" s="15" t="s">
        <v>119</v>
      </c>
      <c r="H140" s="7" t="s">
        <v>2</v>
      </c>
      <c r="I140" s="6" t="s">
        <v>2</v>
      </c>
      <c r="J140" s="15" t="s">
        <v>120</v>
      </c>
      <c r="K140" s="5">
        <v>1</v>
      </c>
      <c r="L140" s="7" t="s">
        <v>2</v>
      </c>
      <c r="M140" s="6" t="s">
        <v>2</v>
      </c>
      <c r="N140" s="5">
        <v>8</v>
      </c>
      <c r="O140" s="19">
        <v>154</v>
      </c>
      <c r="P140" s="16">
        <v>154</v>
      </c>
      <c r="Q140" s="7" t="s">
        <v>2</v>
      </c>
      <c r="R140" s="7" t="s">
        <v>2</v>
      </c>
      <c r="S140" s="6" t="s">
        <v>2</v>
      </c>
      <c r="V140" t="s">
        <v>121</v>
      </c>
    </row>
    <row r="141" spans="1:22">
      <c r="A141" s="14">
        <v>46128</v>
      </c>
      <c r="B141" s="6" t="s">
        <v>2</v>
      </c>
      <c r="C141" s="15">
        <v>1595524</v>
      </c>
      <c r="D141" s="15" t="s">
        <v>27</v>
      </c>
      <c r="E141" s="15" t="s">
        <v>27</v>
      </c>
      <c r="F141" s="5">
        <v>20315594</v>
      </c>
      <c r="G141" s="15" t="s">
        <v>73</v>
      </c>
      <c r="H141" s="7" t="s">
        <v>2</v>
      </c>
      <c r="I141" s="6" t="s">
        <v>2</v>
      </c>
      <c r="J141" s="15" t="s">
        <v>40</v>
      </c>
      <c r="K141" s="5">
        <v>1</v>
      </c>
      <c r="L141" s="7" t="s">
        <v>2</v>
      </c>
      <c r="M141" s="6" t="s">
        <v>2</v>
      </c>
      <c r="N141" s="5">
        <v>12</v>
      </c>
      <c r="O141" s="16">
        <v>66</v>
      </c>
      <c r="P141" s="16">
        <v>66</v>
      </c>
      <c r="Q141" s="7" t="s">
        <v>2</v>
      </c>
      <c r="R141" s="7" t="s">
        <v>2</v>
      </c>
      <c r="S141" s="6" t="s">
        <v>2</v>
      </c>
      <c r="V141">
        <f t="shared" si="3"/>
        <v>5.5</v>
      </c>
    </row>
    <row r="142" spans="1:22">
      <c r="A142" s="14">
        <v>46128</v>
      </c>
      <c r="B142" s="6" t="s">
        <v>2</v>
      </c>
      <c r="C142" s="15">
        <v>1595524</v>
      </c>
      <c r="D142" s="15" t="s">
        <v>18</v>
      </c>
      <c r="E142" s="15" t="s">
        <v>19</v>
      </c>
      <c r="F142" s="5">
        <v>20012253</v>
      </c>
      <c r="G142" s="15" t="s">
        <v>66</v>
      </c>
      <c r="H142" s="7" t="s">
        <v>2</v>
      </c>
      <c r="I142" s="6" t="s">
        <v>2</v>
      </c>
      <c r="J142" s="15" t="s">
        <v>42</v>
      </c>
      <c r="K142" s="5">
        <v>1</v>
      </c>
      <c r="L142" s="7" t="s">
        <v>2</v>
      </c>
      <c r="M142" s="6" t="s">
        <v>2</v>
      </c>
      <c r="N142" s="5">
        <v>3</v>
      </c>
      <c r="O142" s="16">
        <v>16.5</v>
      </c>
      <c r="P142" s="16">
        <v>16.5</v>
      </c>
      <c r="Q142" s="7" t="s">
        <v>2</v>
      </c>
      <c r="R142" s="7" t="s">
        <v>2</v>
      </c>
      <c r="S142" s="6" t="s">
        <v>2</v>
      </c>
      <c r="V142">
        <f t="shared" si="3"/>
        <v>5.5</v>
      </c>
    </row>
    <row r="143" spans="1:22">
      <c r="A143" s="14">
        <v>46128</v>
      </c>
      <c r="B143" s="6" t="s">
        <v>2</v>
      </c>
      <c r="C143" s="15">
        <v>1595524</v>
      </c>
      <c r="D143" s="15" t="s">
        <v>18</v>
      </c>
      <c r="E143" s="15" t="s">
        <v>19</v>
      </c>
      <c r="F143" s="5">
        <v>20348098</v>
      </c>
      <c r="G143" s="15" t="s">
        <v>122</v>
      </c>
      <c r="H143" s="7" t="s">
        <v>2</v>
      </c>
      <c r="I143" s="6" t="s">
        <v>2</v>
      </c>
      <c r="J143" s="15" t="s">
        <v>21</v>
      </c>
      <c r="K143" s="5">
        <v>1</v>
      </c>
      <c r="L143" s="7" t="s">
        <v>2</v>
      </c>
      <c r="M143" s="6" t="s">
        <v>2</v>
      </c>
      <c r="N143" s="5">
        <v>2</v>
      </c>
      <c r="O143" s="16">
        <v>16.5</v>
      </c>
      <c r="P143" s="16">
        <v>16.5</v>
      </c>
      <c r="Q143" s="7" t="s">
        <v>2</v>
      </c>
      <c r="R143" s="7" t="s">
        <v>2</v>
      </c>
      <c r="S143" s="6" t="s">
        <v>2</v>
      </c>
      <c r="V143">
        <f t="shared" si="3"/>
        <v>8.25</v>
      </c>
    </row>
    <row r="144" spans="1:22">
      <c r="A144" s="14">
        <v>46128</v>
      </c>
      <c r="B144" s="6" t="s">
        <v>2</v>
      </c>
      <c r="C144" s="15">
        <v>1595524</v>
      </c>
      <c r="D144" s="15" t="s">
        <v>18</v>
      </c>
      <c r="E144" s="15" t="s">
        <v>19</v>
      </c>
      <c r="F144" s="5">
        <v>20348101</v>
      </c>
      <c r="G144" s="15" t="s">
        <v>123</v>
      </c>
      <c r="H144" s="7" t="s">
        <v>2</v>
      </c>
      <c r="I144" s="6" t="s">
        <v>2</v>
      </c>
      <c r="J144" s="15" t="s">
        <v>21</v>
      </c>
      <c r="K144" s="5">
        <v>1</v>
      </c>
      <c r="L144" s="7" t="s">
        <v>2</v>
      </c>
      <c r="M144" s="6" t="s">
        <v>2</v>
      </c>
      <c r="N144" s="5">
        <v>2</v>
      </c>
      <c r="O144" s="16">
        <v>16.5</v>
      </c>
      <c r="P144" s="16">
        <v>16.5</v>
      </c>
      <c r="Q144" s="7" t="s">
        <v>2</v>
      </c>
      <c r="R144" s="7" t="s">
        <v>2</v>
      </c>
      <c r="S144" s="6" t="s">
        <v>2</v>
      </c>
      <c r="V144">
        <f t="shared" ref="V144:V175" si="4">P144/N144</f>
        <v>8.25</v>
      </c>
    </row>
    <row r="145" spans="1:22">
      <c r="A145" s="14">
        <v>46128</v>
      </c>
      <c r="B145" s="6" t="s">
        <v>2</v>
      </c>
      <c r="C145" s="15">
        <v>1595524</v>
      </c>
      <c r="D145" s="15" t="s">
        <v>18</v>
      </c>
      <c r="E145" s="15" t="s">
        <v>19</v>
      </c>
      <c r="F145" s="5">
        <v>20310013</v>
      </c>
      <c r="G145" s="15" t="s">
        <v>124</v>
      </c>
      <c r="H145" s="7" t="s">
        <v>2</v>
      </c>
      <c r="I145" s="6" t="s">
        <v>2</v>
      </c>
      <c r="J145" s="15" t="s">
        <v>23</v>
      </c>
      <c r="K145" s="5">
        <v>1</v>
      </c>
      <c r="L145" s="7" t="s">
        <v>2</v>
      </c>
      <c r="M145" s="6" t="s">
        <v>2</v>
      </c>
      <c r="N145" s="5">
        <v>2</v>
      </c>
      <c r="O145" s="16">
        <v>13.5</v>
      </c>
      <c r="P145" s="16">
        <v>13.5</v>
      </c>
      <c r="Q145" s="7" t="s">
        <v>2</v>
      </c>
      <c r="R145" s="7" t="s">
        <v>2</v>
      </c>
      <c r="S145" s="6" t="s">
        <v>2</v>
      </c>
      <c r="V145">
        <f t="shared" si="4"/>
        <v>6.75</v>
      </c>
    </row>
    <row r="146" spans="1:22">
      <c r="A146" s="14">
        <v>46128</v>
      </c>
      <c r="B146" s="6" t="s">
        <v>2</v>
      </c>
      <c r="C146" s="15">
        <v>1595524</v>
      </c>
      <c r="D146" s="15" t="s">
        <v>18</v>
      </c>
      <c r="E146" s="15" t="s">
        <v>44</v>
      </c>
      <c r="F146" s="5">
        <v>20314257</v>
      </c>
      <c r="G146" s="15" t="s">
        <v>125</v>
      </c>
      <c r="H146" s="7" t="s">
        <v>2</v>
      </c>
      <c r="I146" s="6" t="s">
        <v>2</v>
      </c>
      <c r="J146" s="15" t="s">
        <v>30</v>
      </c>
      <c r="K146" s="5">
        <v>1</v>
      </c>
      <c r="L146" s="7" t="s">
        <v>2</v>
      </c>
      <c r="M146" s="6" t="s">
        <v>2</v>
      </c>
      <c r="N146" s="5">
        <v>3</v>
      </c>
      <c r="O146" s="16">
        <v>16.5</v>
      </c>
      <c r="P146" s="16">
        <v>16.5</v>
      </c>
      <c r="Q146" s="7" t="s">
        <v>2</v>
      </c>
      <c r="R146" s="7" t="s">
        <v>2</v>
      </c>
      <c r="S146" s="6" t="s">
        <v>2</v>
      </c>
      <c r="V146">
        <f t="shared" si="4"/>
        <v>5.5</v>
      </c>
    </row>
    <row r="147" spans="1:22">
      <c r="A147" s="14">
        <v>46128</v>
      </c>
      <c r="B147" s="6" t="s">
        <v>2</v>
      </c>
      <c r="C147" s="15">
        <v>1595524</v>
      </c>
      <c r="D147" s="15" t="s">
        <v>18</v>
      </c>
      <c r="E147" s="15" t="s">
        <v>44</v>
      </c>
      <c r="F147" s="5">
        <v>20314256</v>
      </c>
      <c r="G147" s="15" t="s">
        <v>126</v>
      </c>
      <c r="H147" s="7" t="s">
        <v>2</v>
      </c>
      <c r="I147" s="6" t="s">
        <v>2</v>
      </c>
      <c r="J147" s="15" t="s">
        <v>40</v>
      </c>
      <c r="K147" s="5">
        <v>1</v>
      </c>
      <c r="L147" s="7" t="s">
        <v>2</v>
      </c>
      <c r="M147" s="6" t="s">
        <v>2</v>
      </c>
      <c r="N147" s="5">
        <v>17</v>
      </c>
      <c r="O147" s="16">
        <v>93.5</v>
      </c>
      <c r="P147" s="16">
        <v>93.5</v>
      </c>
      <c r="Q147" s="7" t="s">
        <v>2</v>
      </c>
      <c r="R147" s="7" t="s">
        <v>2</v>
      </c>
      <c r="S147" s="6" t="s">
        <v>2</v>
      </c>
      <c r="V147">
        <f t="shared" si="4"/>
        <v>5.5</v>
      </c>
    </row>
    <row r="148" spans="1:22">
      <c r="A148" s="14">
        <v>46128</v>
      </c>
      <c r="B148" s="6" t="s">
        <v>2</v>
      </c>
      <c r="C148" s="15">
        <v>1595524</v>
      </c>
      <c r="D148" s="15" t="s">
        <v>127</v>
      </c>
      <c r="E148" s="15" t="s">
        <v>128</v>
      </c>
      <c r="F148" s="5">
        <v>20314699</v>
      </c>
      <c r="G148" s="15" t="s">
        <v>129</v>
      </c>
      <c r="H148" s="7" t="s">
        <v>2</v>
      </c>
      <c r="I148" s="6" t="s">
        <v>2</v>
      </c>
      <c r="J148" s="15" t="s">
        <v>130</v>
      </c>
      <c r="K148" s="5">
        <v>1</v>
      </c>
      <c r="L148" s="7" t="s">
        <v>2</v>
      </c>
      <c r="M148" s="6" t="s">
        <v>2</v>
      </c>
      <c r="N148" s="5">
        <v>0</v>
      </c>
      <c r="O148" s="16">
        <v>2.5</v>
      </c>
      <c r="P148" s="16">
        <v>2.5</v>
      </c>
      <c r="Q148" s="7" t="s">
        <v>2</v>
      </c>
      <c r="R148" s="7" t="s">
        <v>2</v>
      </c>
      <c r="S148" s="6" t="s">
        <v>2</v>
      </c>
      <c r="V148" t="e">
        <f t="shared" si="4"/>
        <v>#DIV/0!</v>
      </c>
    </row>
    <row r="149" spans="1:22">
      <c r="A149" s="14">
        <v>46128</v>
      </c>
      <c r="B149" s="6" t="s">
        <v>2</v>
      </c>
      <c r="C149" s="15">
        <v>1595530</v>
      </c>
      <c r="D149" s="15" t="s">
        <v>18</v>
      </c>
      <c r="E149" s="15" t="s">
        <v>44</v>
      </c>
      <c r="F149" s="5">
        <v>20335961</v>
      </c>
      <c r="G149" s="15" t="s">
        <v>131</v>
      </c>
      <c r="H149" s="7" t="s">
        <v>2</v>
      </c>
      <c r="I149" s="6" t="s">
        <v>2</v>
      </c>
      <c r="J149" s="15" t="s">
        <v>30</v>
      </c>
      <c r="K149" s="5">
        <v>1</v>
      </c>
      <c r="L149" s="7" t="s">
        <v>2</v>
      </c>
      <c r="M149" s="6" t="s">
        <v>2</v>
      </c>
      <c r="N149" s="5">
        <v>8</v>
      </c>
      <c r="O149" s="16">
        <v>44</v>
      </c>
      <c r="P149" s="16">
        <v>44</v>
      </c>
      <c r="Q149" s="7" t="s">
        <v>2</v>
      </c>
      <c r="R149" s="7" t="s">
        <v>2</v>
      </c>
      <c r="S149" s="6" t="s">
        <v>2</v>
      </c>
      <c r="V149">
        <f t="shared" si="4"/>
        <v>5.5</v>
      </c>
    </row>
    <row r="150" spans="1:22">
      <c r="A150" s="14">
        <v>46128</v>
      </c>
      <c r="B150" s="6" t="s">
        <v>2</v>
      </c>
      <c r="C150" s="15">
        <v>1595542</v>
      </c>
      <c r="D150" s="15" t="s">
        <v>18</v>
      </c>
      <c r="E150" s="15" t="s">
        <v>47</v>
      </c>
      <c r="F150" s="5">
        <v>20321054</v>
      </c>
      <c r="G150" s="15" t="s">
        <v>70</v>
      </c>
      <c r="H150" s="7" t="s">
        <v>2</v>
      </c>
      <c r="I150" s="6" t="s">
        <v>2</v>
      </c>
      <c r="J150" s="15" t="s">
        <v>55</v>
      </c>
      <c r="K150" s="5">
        <v>1</v>
      </c>
      <c r="L150" s="7" t="s">
        <v>2</v>
      </c>
      <c r="M150" s="6" t="s">
        <v>2</v>
      </c>
      <c r="N150" s="5">
        <v>2</v>
      </c>
      <c r="O150" s="16">
        <v>44</v>
      </c>
      <c r="P150" s="16">
        <v>44</v>
      </c>
      <c r="Q150" s="7" t="s">
        <v>2</v>
      </c>
      <c r="R150" s="7" t="s">
        <v>2</v>
      </c>
      <c r="S150" s="6" t="s">
        <v>2</v>
      </c>
      <c r="V150">
        <f t="shared" si="4"/>
        <v>22</v>
      </c>
    </row>
    <row r="151" spans="1:22">
      <c r="A151" s="14">
        <v>46128</v>
      </c>
      <c r="B151" s="6" t="s">
        <v>2</v>
      </c>
      <c r="C151" s="15">
        <v>1595542</v>
      </c>
      <c r="D151" s="15" t="s">
        <v>18</v>
      </c>
      <c r="E151" s="15" t="s">
        <v>47</v>
      </c>
      <c r="F151" s="5">
        <v>20316460</v>
      </c>
      <c r="G151" s="15" t="s">
        <v>71</v>
      </c>
      <c r="H151" s="7" t="s">
        <v>2</v>
      </c>
      <c r="I151" s="6" t="s">
        <v>2</v>
      </c>
      <c r="J151" s="15" t="s">
        <v>55</v>
      </c>
      <c r="K151" s="5">
        <v>1</v>
      </c>
      <c r="L151" s="7" t="s">
        <v>2</v>
      </c>
      <c r="M151" s="6" t="s">
        <v>2</v>
      </c>
      <c r="N151" s="5">
        <v>1</v>
      </c>
      <c r="O151" s="16">
        <v>28</v>
      </c>
      <c r="P151" s="16">
        <v>28</v>
      </c>
      <c r="Q151" s="7" t="s">
        <v>2</v>
      </c>
      <c r="R151" s="7" t="s">
        <v>2</v>
      </c>
      <c r="S151" s="6" t="s">
        <v>2</v>
      </c>
      <c r="V151">
        <f t="shared" si="4"/>
        <v>28</v>
      </c>
    </row>
    <row r="152" spans="1:22">
      <c r="A152" s="14">
        <v>46128</v>
      </c>
      <c r="B152" s="6" t="s">
        <v>2</v>
      </c>
      <c r="C152" s="15">
        <v>1595542</v>
      </c>
      <c r="D152" s="15" t="s">
        <v>18</v>
      </c>
      <c r="E152" s="15" t="s">
        <v>47</v>
      </c>
      <c r="F152" s="5">
        <v>20011256</v>
      </c>
      <c r="G152" s="15" t="s">
        <v>56</v>
      </c>
      <c r="H152" s="7" t="s">
        <v>2</v>
      </c>
      <c r="I152" s="6" t="s">
        <v>2</v>
      </c>
      <c r="J152" s="15" t="s">
        <v>55</v>
      </c>
      <c r="K152" s="5">
        <v>1</v>
      </c>
      <c r="L152" s="7" t="s">
        <v>2</v>
      </c>
      <c r="M152" s="6" t="s">
        <v>2</v>
      </c>
      <c r="N152" s="5">
        <v>1</v>
      </c>
      <c r="O152" s="16">
        <v>28</v>
      </c>
      <c r="P152" s="16">
        <v>28</v>
      </c>
      <c r="Q152" s="7" t="s">
        <v>2</v>
      </c>
      <c r="R152" s="7" t="s">
        <v>2</v>
      </c>
      <c r="S152" s="6" t="s">
        <v>2</v>
      </c>
      <c r="V152">
        <f t="shared" si="4"/>
        <v>28</v>
      </c>
    </row>
    <row r="153" spans="1:22">
      <c r="A153" s="14">
        <v>46128</v>
      </c>
      <c r="B153" s="6" t="s">
        <v>2</v>
      </c>
      <c r="C153" s="15">
        <v>1595542</v>
      </c>
      <c r="D153" s="15" t="s">
        <v>18</v>
      </c>
      <c r="E153" s="15" t="s">
        <v>47</v>
      </c>
      <c r="F153" s="5">
        <v>20421801</v>
      </c>
      <c r="G153" s="15" t="s">
        <v>132</v>
      </c>
      <c r="H153" s="7" t="s">
        <v>2</v>
      </c>
      <c r="I153" s="6" t="s">
        <v>2</v>
      </c>
      <c r="J153" s="15" t="s">
        <v>55</v>
      </c>
      <c r="K153" s="5">
        <v>1</v>
      </c>
      <c r="L153" s="7" t="s">
        <v>2</v>
      </c>
      <c r="M153" s="6" t="s">
        <v>2</v>
      </c>
      <c r="N153" s="5">
        <v>1</v>
      </c>
      <c r="O153" s="16">
        <v>28</v>
      </c>
      <c r="P153" s="16">
        <v>28</v>
      </c>
      <c r="Q153" s="7" t="s">
        <v>2</v>
      </c>
      <c r="R153" s="7" t="s">
        <v>2</v>
      </c>
      <c r="S153" s="6" t="s">
        <v>2</v>
      </c>
      <c r="V153">
        <f t="shared" si="4"/>
        <v>28</v>
      </c>
    </row>
    <row r="154" spans="1:22">
      <c r="A154" s="14">
        <v>46128</v>
      </c>
      <c r="B154" s="6" t="s">
        <v>2</v>
      </c>
      <c r="C154" s="15">
        <v>1595542</v>
      </c>
      <c r="D154" s="15" t="s">
        <v>18</v>
      </c>
      <c r="E154" s="15" t="s">
        <v>47</v>
      </c>
      <c r="F154" s="5">
        <v>20338629</v>
      </c>
      <c r="G154" s="15" t="s">
        <v>62</v>
      </c>
      <c r="H154" s="7" t="s">
        <v>2</v>
      </c>
      <c r="I154" s="6" t="s">
        <v>2</v>
      </c>
      <c r="J154" s="15" t="s">
        <v>55</v>
      </c>
      <c r="K154" s="5">
        <v>1</v>
      </c>
      <c r="L154" s="7" t="s">
        <v>2</v>
      </c>
      <c r="M154" s="6" t="s">
        <v>2</v>
      </c>
      <c r="N154" s="5">
        <v>1</v>
      </c>
      <c r="O154" s="16">
        <v>28</v>
      </c>
      <c r="P154" s="16">
        <v>28</v>
      </c>
      <c r="Q154" s="7" t="s">
        <v>2</v>
      </c>
      <c r="R154" s="7" t="s">
        <v>2</v>
      </c>
      <c r="S154" s="6" t="s">
        <v>2</v>
      </c>
      <c r="V154">
        <f t="shared" si="4"/>
        <v>28</v>
      </c>
    </row>
    <row r="155" spans="1:22">
      <c r="A155" s="14">
        <v>46128</v>
      </c>
      <c r="B155" s="6" t="s">
        <v>2</v>
      </c>
      <c r="C155" s="15">
        <v>1595542</v>
      </c>
      <c r="D155" s="15" t="s">
        <v>18</v>
      </c>
      <c r="E155" s="15" t="s">
        <v>47</v>
      </c>
      <c r="F155" s="5">
        <v>20316461</v>
      </c>
      <c r="G155" s="15" t="s">
        <v>133</v>
      </c>
      <c r="H155" s="7" t="s">
        <v>2</v>
      </c>
      <c r="I155" s="6" t="s">
        <v>2</v>
      </c>
      <c r="J155" s="15" t="s">
        <v>55</v>
      </c>
      <c r="K155" s="5">
        <v>1</v>
      </c>
      <c r="L155" s="7" t="s">
        <v>2</v>
      </c>
      <c r="M155" s="6" t="s">
        <v>2</v>
      </c>
      <c r="N155" s="5">
        <v>1</v>
      </c>
      <c r="O155" s="16">
        <v>28</v>
      </c>
      <c r="P155" s="16">
        <v>28</v>
      </c>
      <c r="Q155" s="7" t="s">
        <v>2</v>
      </c>
      <c r="R155" s="7" t="s">
        <v>2</v>
      </c>
      <c r="S155" s="6" t="s">
        <v>2</v>
      </c>
      <c r="V155">
        <f t="shared" si="4"/>
        <v>28</v>
      </c>
    </row>
    <row r="156" spans="1:22">
      <c r="A156" s="14">
        <v>46128</v>
      </c>
      <c r="B156" s="6" t="s">
        <v>2</v>
      </c>
      <c r="C156" s="15">
        <v>1595542</v>
      </c>
      <c r="D156" s="15" t="s">
        <v>18</v>
      </c>
      <c r="E156" s="15" t="s">
        <v>47</v>
      </c>
      <c r="F156" s="5">
        <v>20357809</v>
      </c>
      <c r="G156" s="15" t="s">
        <v>72</v>
      </c>
      <c r="H156" s="7" t="s">
        <v>2</v>
      </c>
      <c r="I156" s="6" t="s">
        <v>2</v>
      </c>
      <c r="J156" s="15" t="s">
        <v>55</v>
      </c>
      <c r="K156" s="5">
        <v>2</v>
      </c>
      <c r="L156" s="7" t="s">
        <v>2</v>
      </c>
      <c r="M156" s="6" t="s">
        <v>2</v>
      </c>
      <c r="N156" s="5">
        <v>2</v>
      </c>
      <c r="O156" s="16">
        <v>28</v>
      </c>
      <c r="P156" s="16">
        <v>56</v>
      </c>
      <c r="Q156" s="7" t="s">
        <v>2</v>
      </c>
      <c r="R156" s="7" t="s">
        <v>2</v>
      </c>
      <c r="S156" s="6" t="s">
        <v>2</v>
      </c>
      <c r="V156">
        <f t="shared" si="4"/>
        <v>28</v>
      </c>
    </row>
    <row r="157" spans="1:22">
      <c r="A157" s="14">
        <v>46128</v>
      </c>
      <c r="B157" s="6" t="s">
        <v>2</v>
      </c>
      <c r="C157" s="15">
        <v>1595542</v>
      </c>
      <c r="D157" s="15" t="s">
        <v>18</v>
      </c>
      <c r="E157" s="15" t="s">
        <v>47</v>
      </c>
      <c r="F157" s="5">
        <v>20316458</v>
      </c>
      <c r="G157" s="15" t="s">
        <v>99</v>
      </c>
      <c r="H157" s="7" t="s">
        <v>2</v>
      </c>
      <c r="I157" s="6" t="s">
        <v>2</v>
      </c>
      <c r="J157" s="15" t="s">
        <v>69</v>
      </c>
      <c r="K157" s="5">
        <v>1</v>
      </c>
      <c r="L157" s="7" t="s">
        <v>2</v>
      </c>
      <c r="M157" s="6" t="s">
        <v>2</v>
      </c>
      <c r="N157" s="5">
        <v>1</v>
      </c>
      <c r="O157" s="16">
        <v>25</v>
      </c>
      <c r="P157" s="16">
        <v>25</v>
      </c>
      <c r="Q157" s="7" t="s">
        <v>2</v>
      </c>
      <c r="R157" s="7" t="s">
        <v>2</v>
      </c>
      <c r="S157" s="6" t="s">
        <v>2</v>
      </c>
      <c r="V157">
        <f t="shared" si="4"/>
        <v>25</v>
      </c>
    </row>
    <row r="158" spans="1:22">
      <c r="A158" s="14">
        <v>46135</v>
      </c>
      <c r="B158" s="6" t="s">
        <v>2</v>
      </c>
      <c r="C158" s="15">
        <v>1597593</v>
      </c>
      <c r="D158" s="15" t="s">
        <v>27</v>
      </c>
      <c r="E158" s="15" t="s">
        <v>27</v>
      </c>
      <c r="F158" s="5">
        <v>20323944</v>
      </c>
      <c r="G158" s="15" t="s">
        <v>81</v>
      </c>
      <c r="H158" s="7" t="s">
        <v>2</v>
      </c>
      <c r="I158" s="6" t="s">
        <v>2</v>
      </c>
      <c r="J158" s="15" t="s">
        <v>40</v>
      </c>
      <c r="K158" s="5">
        <v>1</v>
      </c>
      <c r="L158" s="7" t="s">
        <v>2</v>
      </c>
      <c r="M158" s="6" t="s">
        <v>2</v>
      </c>
      <c r="N158" s="5">
        <v>24</v>
      </c>
      <c r="O158" s="16">
        <v>132</v>
      </c>
      <c r="P158" s="16">
        <v>132</v>
      </c>
      <c r="Q158" s="7" t="s">
        <v>2</v>
      </c>
      <c r="R158" s="7" t="s">
        <v>2</v>
      </c>
      <c r="S158" s="6" t="s">
        <v>2</v>
      </c>
      <c r="V158">
        <f t="shared" si="4"/>
        <v>5.5</v>
      </c>
    </row>
    <row r="159" spans="1:22">
      <c r="A159" s="14">
        <v>46135</v>
      </c>
      <c r="B159" s="6" t="s">
        <v>2</v>
      </c>
      <c r="C159" s="15">
        <v>1597593</v>
      </c>
      <c r="D159" s="15" t="s">
        <v>18</v>
      </c>
      <c r="E159" s="15" t="s">
        <v>19</v>
      </c>
      <c r="F159" s="5">
        <v>20012253</v>
      </c>
      <c r="G159" s="15" t="s">
        <v>66</v>
      </c>
      <c r="H159" s="7" t="s">
        <v>2</v>
      </c>
      <c r="I159" s="6" t="s">
        <v>2</v>
      </c>
      <c r="J159" s="15" t="s">
        <v>42</v>
      </c>
      <c r="K159" s="5">
        <v>2</v>
      </c>
      <c r="L159" s="7" t="s">
        <v>2</v>
      </c>
      <c r="M159" s="6" t="s">
        <v>2</v>
      </c>
      <c r="N159" s="5">
        <v>6</v>
      </c>
      <c r="O159" s="16">
        <v>16.5</v>
      </c>
      <c r="P159" s="16">
        <v>33</v>
      </c>
      <c r="Q159" s="7" t="s">
        <v>2</v>
      </c>
      <c r="R159" s="7" t="s">
        <v>2</v>
      </c>
      <c r="S159" s="6" t="s">
        <v>2</v>
      </c>
      <c r="V159">
        <f t="shared" si="4"/>
        <v>5.5</v>
      </c>
    </row>
    <row r="160" spans="1:22">
      <c r="A160" s="14">
        <v>46136</v>
      </c>
      <c r="B160" s="6" t="s">
        <v>2</v>
      </c>
      <c r="C160" s="15">
        <v>1597739</v>
      </c>
      <c r="D160" s="15" t="s">
        <v>18</v>
      </c>
      <c r="E160" s="15" t="s">
        <v>44</v>
      </c>
      <c r="F160" s="5">
        <v>20012045</v>
      </c>
      <c r="G160" s="15" t="s">
        <v>88</v>
      </c>
      <c r="H160" s="7" t="s">
        <v>2</v>
      </c>
      <c r="I160" s="6" t="s">
        <v>2</v>
      </c>
      <c r="J160" s="15" t="s">
        <v>46</v>
      </c>
      <c r="K160" s="5">
        <v>1</v>
      </c>
      <c r="L160" s="7" t="s">
        <v>2</v>
      </c>
      <c r="M160" s="6" t="s">
        <v>2</v>
      </c>
      <c r="N160" s="5">
        <v>3</v>
      </c>
      <c r="O160" s="16">
        <v>16.5</v>
      </c>
      <c r="P160" s="16">
        <v>16.5</v>
      </c>
      <c r="Q160" s="7" t="s">
        <v>2</v>
      </c>
      <c r="R160" s="7" t="s">
        <v>2</v>
      </c>
      <c r="S160" s="6" t="s">
        <v>2</v>
      </c>
      <c r="V160">
        <f t="shared" si="4"/>
        <v>5.5</v>
      </c>
    </row>
    <row r="161" spans="1:22">
      <c r="A161" s="14">
        <v>46142</v>
      </c>
      <c r="B161" s="6" t="s">
        <v>2</v>
      </c>
      <c r="C161" s="15">
        <v>1599428</v>
      </c>
      <c r="D161" s="15" t="s">
        <v>27</v>
      </c>
      <c r="E161" s="15" t="s">
        <v>27</v>
      </c>
      <c r="F161" s="5">
        <v>20315594</v>
      </c>
      <c r="G161" s="15" t="s">
        <v>73</v>
      </c>
      <c r="H161" s="7" t="s">
        <v>2</v>
      </c>
      <c r="I161" s="6" t="s">
        <v>2</v>
      </c>
      <c r="J161" s="15" t="s">
        <v>40</v>
      </c>
      <c r="K161" s="5">
        <v>1</v>
      </c>
      <c r="L161" s="7" t="s">
        <v>2</v>
      </c>
      <c r="M161" s="6" t="s">
        <v>2</v>
      </c>
      <c r="N161" s="5">
        <v>12</v>
      </c>
      <c r="O161" s="16">
        <v>66</v>
      </c>
      <c r="P161" s="16">
        <v>66</v>
      </c>
      <c r="Q161" s="7" t="s">
        <v>2</v>
      </c>
      <c r="R161" s="7" t="s">
        <v>2</v>
      </c>
      <c r="S161" s="6" t="s">
        <v>2</v>
      </c>
      <c r="V161">
        <f t="shared" si="4"/>
        <v>5.5</v>
      </c>
    </row>
    <row r="162" spans="1:22">
      <c r="A162" s="14">
        <v>46142</v>
      </c>
      <c r="B162" s="6" t="s">
        <v>2</v>
      </c>
      <c r="C162" s="15">
        <v>1599428</v>
      </c>
      <c r="D162" s="15" t="s">
        <v>27</v>
      </c>
      <c r="E162" s="15" t="s">
        <v>27</v>
      </c>
      <c r="F162" s="5">
        <v>20012251</v>
      </c>
      <c r="G162" s="15" t="s">
        <v>74</v>
      </c>
      <c r="H162" s="7" t="s">
        <v>2</v>
      </c>
      <c r="I162" s="6" t="s">
        <v>2</v>
      </c>
      <c r="J162" s="15" t="s">
        <v>40</v>
      </c>
      <c r="K162" s="5">
        <v>1</v>
      </c>
      <c r="L162" s="7" t="s">
        <v>2</v>
      </c>
      <c r="M162" s="6" t="s">
        <v>2</v>
      </c>
      <c r="N162" s="5">
        <v>31</v>
      </c>
      <c r="O162" s="16">
        <v>170.5</v>
      </c>
      <c r="P162" s="16">
        <v>170.5</v>
      </c>
      <c r="Q162" s="7" t="s">
        <v>2</v>
      </c>
      <c r="R162" s="7" t="s">
        <v>2</v>
      </c>
      <c r="S162" s="6" t="s">
        <v>2</v>
      </c>
      <c r="V162">
        <f t="shared" si="4"/>
        <v>5.5</v>
      </c>
    </row>
    <row r="163" spans="1:22">
      <c r="A163" s="14">
        <v>46142</v>
      </c>
      <c r="B163" s="6" t="s">
        <v>2</v>
      </c>
      <c r="C163" s="15">
        <v>1599428</v>
      </c>
      <c r="D163" s="15" t="s">
        <v>18</v>
      </c>
      <c r="E163" s="15" t="s">
        <v>19</v>
      </c>
      <c r="F163" s="5">
        <v>20316451</v>
      </c>
      <c r="G163" s="15" t="s">
        <v>105</v>
      </c>
      <c r="H163" s="7" t="s">
        <v>2</v>
      </c>
      <c r="I163" s="6" t="s">
        <v>2</v>
      </c>
      <c r="J163" s="15" t="s">
        <v>106</v>
      </c>
      <c r="K163" s="5">
        <v>2</v>
      </c>
      <c r="L163" s="7" t="s">
        <v>2</v>
      </c>
      <c r="M163" s="6" t="s">
        <v>2</v>
      </c>
      <c r="N163" s="5">
        <v>2</v>
      </c>
      <c r="O163" s="16">
        <v>16</v>
      </c>
      <c r="P163" s="16">
        <v>32</v>
      </c>
      <c r="Q163" s="7" t="s">
        <v>2</v>
      </c>
      <c r="R163" s="7" t="s">
        <v>2</v>
      </c>
      <c r="S163" s="6" t="s">
        <v>2</v>
      </c>
      <c r="V163">
        <f t="shared" si="4"/>
        <v>16</v>
      </c>
    </row>
    <row r="164" spans="1:22">
      <c r="A164" s="14">
        <v>46142</v>
      </c>
      <c r="B164" s="6" t="s">
        <v>2</v>
      </c>
      <c r="C164" s="15">
        <v>1599428</v>
      </c>
      <c r="D164" s="15" t="s">
        <v>18</v>
      </c>
      <c r="E164" s="15" t="s">
        <v>19</v>
      </c>
      <c r="F164" s="5">
        <v>20012253</v>
      </c>
      <c r="G164" s="15" t="s">
        <v>66</v>
      </c>
      <c r="H164" s="7" t="s">
        <v>2</v>
      </c>
      <c r="I164" s="6" t="s">
        <v>2</v>
      </c>
      <c r="J164" s="15" t="s">
        <v>42</v>
      </c>
      <c r="K164" s="5">
        <v>2</v>
      </c>
      <c r="L164" s="7" t="s">
        <v>2</v>
      </c>
      <c r="M164" s="6" t="s">
        <v>2</v>
      </c>
      <c r="N164" s="5">
        <v>6</v>
      </c>
      <c r="O164" s="16">
        <v>16.5</v>
      </c>
      <c r="P164" s="16">
        <v>33</v>
      </c>
      <c r="Q164" s="7" t="s">
        <v>2</v>
      </c>
      <c r="R164" s="7" t="s">
        <v>2</v>
      </c>
      <c r="S164" s="6" t="s">
        <v>2</v>
      </c>
      <c r="V164">
        <f t="shared" si="4"/>
        <v>5.5</v>
      </c>
    </row>
    <row r="165" spans="1:22">
      <c r="A165" s="14">
        <v>46142</v>
      </c>
      <c r="B165" s="6" t="s">
        <v>2</v>
      </c>
      <c r="C165" s="15">
        <v>1599428</v>
      </c>
      <c r="D165" s="15" t="s">
        <v>18</v>
      </c>
      <c r="E165" s="15" t="s">
        <v>19</v>
      </c>
      <c r="F165" s="5">
        <v>20351156</v>
      </c>
      <c r="G165" s="15" t="s">
        <v>134</v>
      </c>
      <c r="H165" s="7" t="s">
        <v>2</v>
      </c>
      <c r="I165" s="6" t="s">
        <v>2</v>
      </c>
      <c r="J165" s="15" t="s">
        <v>135</v>
      </c>
      <c r="K165" s="5">
        <v>2</v>
      </c>
      <c r="L165" s="7" t="s">
        <v>2</v>
      </c>
      <c r="M165" s="6" t="s">
        <v>2</v>
      </c>
      <c r="N165" s="5">
        <v>2</v>
      </c>
      <c r="O165" s="16">
        <v>8</v>
      </c>
      <c r="P165" s="16">
        <v>16</v>
      </c>
      <c r="Q165" s="7" t="s">
        <v>2</v>
      </c>
      <c r="R165" s="7" t="s">
        <v>2</v>
      </c>
      <c r="S165" s="6" t="s">
        <v>2</v>
      </c>
      <c r="V165">
        <f t="shared" si="4"/>
        <v>8</v>
      </c>
    </row>
    <row r="166" spans="1:22">
      <c r="A166" s="14">
        <v>46142</v>
      </c>
      <c r="B166" s="6" t="s">
        <v>2</v>
      </c>
      <c r="C166" s="15">
        <v>1599428</v>
      </c>
      <c r="D166" s="15" t="s">
        <v>27</v>
      </c>
      <c r="E166" s="15" t="s">
        <v>28</v>
      </c>
      <c r="F166" s="5">
        <v>20012047</v>
      </c>
      <c r="G166" s="15" t="s">
        <v>87</v>
      </c>
      <c r="H166" s="7" t="s">
        <v>2</v>
      </c>
      <c r="I166" s="6" t="s">
        <v>2</v>
      </c>
      <c r="J166" s="15" t="s">
        <v>34</v>
      </c>
      <c r="K166" s="5">
        <v>2</v>
      </c>
      <c r="L166" s="7" t="s">
        <v>2</v>
      </c>
      <c r="M166" s="6" t="s">
        <v>2</v>
      </c>
      <c r="N166" s="5">
        <v>14</v>
      </c>
      <c r="O166" s="16">
        <v>38.5</v>
      </c>
      <c r="P166" s="16">
        <v>77</v>
      </c>
      <c r="Q166" s="7" t="s">
        <v>2</v>
      </c>
      <c r="R166" s="7" t="s">
        <v>2</v>
      </c>
      <c r="S166" s="6" t="s">
        <v>2</v>
      </c>
      <c r="V166">
        <f t="shared" si="4"/>
        <v>5.5</v>
      </c>
    </row>
    <row r="167" spans="1:22">
      <c r="A167" s="14">
        <v>46142</v>
      </c>
      <c r="B167" s="6" t="s">
        <v>2</v>
      </c>
      <c r="C167" s="15">
        <v>1599428</v>
      </c>
      <c r="D167" s="15" t="s">
        <v>27</v>
      </c>
      <c r="E167" s="15" t="s">
        <v>28</v>
      </c>
      <c r="F167" s="5">
        <v>20012048</v>
      </c>
      <c r="G167" s="15" t="s">
        <v>64</v>
      </c>
      <c r="H167" s="7" t="s">
        <v>2</v>
      </c>
      <c r="I167" s="6" t="s">
        <v>2</v>
      </c>
      <c r="J167" s="15" t="s">
        <v>34</v>
      </c>
      <c r="K167" s="5">
        <v>3</v>
      </c>
      <c r="L167" s="7" t="s">
        <v>2</v>
      </c>
      <c r="M167" s="6" t="s">
        <v>2</v>
      </c>
      <c r="N167" s="5">
        <v>21</v>
      </c>
      <c r="O167" s="16">
        <v>38.5</v>
      </c>
      <c r="P167" s="16">
        <v>115.5</v>
      </c>
      <c r="Q167" s="7" t="s">
        <v>2</v>
      </c>
      <c r="R167" s="7" t="s">
        <v>2</v>
      </c>
      <c r="S167" s="6" t="s">
        <v>2</v>
      </c>
      <c r="V167">
        <f t="shared" si="4"/>
        <v>5.5</v>
      </c>
    </row>
    <row r="168" spans="1:22">
      <c r="A168" s="14">
        <v>46142</v>
      </c>
      <c r="B168" s="6" t="s">
        <v>2</v>
      </c>
      <c r="C168" s="15">
        <v>1599428</v>
      </c>
      <c r="D168" s="15" t="s">
        <v>27</v>
      </c>
      <c r="E168" s="15" t="s">
        <v>28</v>
      </c>
      <c r="F168" s="5">
        <v>20012001</v>
      </c>
      <c r="G168" s="15" t="s">
        <v>67</v>
      </c>
      <c r="H168" s="7" t="s">
        <v>2</v>
      </c>
      <c r="I168" s="6" t="s">
        <v>2</v>
      </c>
      <c r="J168" s="15" t="s">
        <v>30</v>
      </c>
      <c r="K168" s="5">
        <v>6</v>
      </c>
      <c r="L168" s="7" t="s">
        <v>2</v>
      </c>
      <c r="M168" s="6" t="s">
        <v>2</v>
      </c>
      <c r="N168" s="5">
        <v>30</v>
      </c>
      <c r="O168" s="16">
        <v>27.5</v>
      </c>
      <c r="P168" s="16">
        <v>165</v>
      </c>
      <c r="Q168" s="7" t="s">
        <v>2</v>
      </c>
      <c r="R168" s="7" t="s">
        <v>2</v>
      </c>
      <c r="S168" s="6" t="s">
        <v>2</v>
      </c>
      <c r="V168">
        <f t="shared" si="4"/>
        <v>5.5</v>
      </c>
    </row>
    <row r="169" spans="1:22">
      <c r="A169" s="14">
        <v>46142</v>
      </c>
      <c r="B169" s="6" t="s">
        <v>2</v>
      </c>
      <c r="C169" s="15">
        <v>1599428</v>
      </c>
      <c r="D169" s="15" t="s">
        <v>18</v>
      </c>
      <c r="E169" s="15" t="s">
        <v>44</v>
      </c>
      <c r="F169" s="5">
        <v>20012045</v>
      </c>
      <c r="G169" s="15" t="s">
        <v>88</v>
      </c>
      <c r="H169" s="7" t="s">
        <v>2</v>
      </c>
      <c r="I169" s="6" t="s">
        <v>2</v>
      </c>
      <c r="J169" s="15" t="s">
        <v>46</v>
      </c>
      <c r="K169" s="5">
        <v>1</v>
      </c>
      <c r="L169" s="7" t="s">
        <v>2</v>
      </c>
      <c r="M169" s="6" t="s">
        <v>2</v>
      </c>
      <c r="N169" s="5">
        <v>3</v>
      </c>
      <c r="O169" s="16">
        <v>16.5</v>
      </c>
      <c r="P169" s="16">
        <v>16.5</v>
      </c>
      <c r="Q169" s="7" t="s">
        <v>2</v>
      </c>
      <c r="R169" s="7" t="s">
        <v>2</v>
      </c>
      <c r="S169" s="6" t="s">
        <v>2</v>
      </c>
      <c r="V169">
        <f t="shared" si="4"/>
        <v>5.5</v>
      </c>
    </row>
    <row r="170" spans="1:22">
      <c r="A170" s="14">
        <v>46142</v>
      </c>
      <c r="B170" s="6" t="s">
        <v>2</v>
      </c>
      <c r="C170" s="15">
        <v>1599428</v>
      </c>
      <c r="D170" s="15" t="s">
        <v>18</v>
      </c>
      <c r="E170" s="15" t="s">
        <v>44</v>
      </c>
      <c r="F170" s="5">
        <v>20328079</v>
      </c>
      <c r="G170" s="15" t="s">
        <v>94</v>
      </c>
      <c r="H170" s="7" t="s">
        <v>2</v>
      </c>
      <c r="I170" s="6" t="s">
        <v>2</v>
      </c>
      <c r="J170" s="15" t="s">
        <v>30</v>
      </c>
      <c r="K170" s="5">
        <v>1</v>
      </c>
      <c r="L170" s="7" t="s">
        <v>2</v>
      </c>
      <c r="M170" s="6" t="s">
        <v>2</v>
      </c>
      <c r="N170" s="5">
        <v>1</v>
      </c>
      <c r="O170" s="16">
        <v>16.5</v>
      </c>
      <c r="P170" s="16">
        <v>16.5</v>
      </c>
      <c r="Q170" s="7" t="s">
        <v>2</v>
      </c>
      <c r="R170" s="7" t="s">
        <v>2</v>
      </c>
      <c r="S170" s="6" t="s">
        <v>2</v>
      </c>
      <c r="V170">
        <f t="shared" si="4"/>
        <v>16.5</v>
      </c>
    </row>
    <row r="171" spans="1:22">
      <c r="A171" s="14">
        <v>46142</v>
      </c>
      <c r="B171" s="6" t="s">
        <v>2</v>
      </c>
      <c r="C171" s="15">
        <v>1599428</v>
      </c>
      <c r="D171" s="15" t="s">
        <v>18</v>
      </c>
      <c r="E171" s="15" t="s">
        <v>44</v>
      </c>
      <c r="F171" s="5">
        <v>20316457</v>
      </c>
      <c r="G171" s="15" t="s">
        <v>136</v>
      </c>
      <c r="H171" s="7" t="s">
        <v>2</v>
      </c>
      <c r="I171" s="6" t="s">
        <v>2</v>
      </c>
      <c r="J171" s="15" t="s">
        <v>30</v>
      </c>
      <c r="K171" s="5">
        <v>1</v>
      </c>
      <c r="L171" s="7" t="s">
        <v>2</v>
      </c>
      <c r="M171" s="6" t="s">
        <v>2</v>
      </c>
      <c r="N171" s="5">
        <v>3</v>
      </c>
      <c r="O171" s="16">
        <v>16.5</v>
      </c>
      <c r="P171" s="16">
        <v>16.5</v>
      </c>
      <c r="Q171" s="7" t="s">
        <v>2</v>
      </c>
      <c r="R171" s="7" t="s">
        <v>2</v>
      </c>
      <c r="S171" s="6" t="s">
        <v>2</v>
      </c>
      <c r="V171">
        <f t="shared" si="4"/>
        <v>5.5</v>
      </c>
    </row>
    <row r="172" spans="1:22">
      <c r="A172" s="14">
        <v>46142</v>
      </c>
      <c r="B172" s="6" t="s">
        <v>2</v>
      </c>
      <c r="C172" s="15">
        <v>1599497</v>
      </c>
      <c r="D172" s="15" t="s">
        <v>18</v>
      </c>
      <c r="E172" s="15" t="s">
        <v>47</v>
      </c>
      <c r="F172" s="5">
        <v>20321054</v>
      </c>
      <c r="G172" s="15" t="s">
        <v>70</v>
      </c>
      <c r="H172" s="7" t="s">
        <v>2</v>
      </c>
      <c r="I172" s="6" t="s">
        <v>2</v>
      </c>
      <c r="J172" s="15" t="s">
        <v>55</v>
      </c>
      <c r="K172" s="5">
        <v>1</v>
      </c>
      <c r="L172" s="7" t="s">
        <v>2</v>
      </c>
      <c r="M172" s="6" t="s">
        <v>2</v>
      </c>
      <c r="N172" s="5">
        <v>2</v>
      </c>
      <c r="O172" s="16">
        <v>44</v>
      </c>
      <c r="P172" s="16">
        <v>44</v>
      </c>
      <c r="Q172" s="7" t="s">
        <v>2</v>
      </c>
      <c r="R172" s="7" t="s">
        <v>2</v>
      </c>
      <c r="S172" s="6" t="s">
        <v>2</v>
      </c>
      <c r="V172">
        <f t="shared" si="4"/>
        <v>22</v>
      </c>
    </row>
    <row r="173" spans="1:22">
      <c r="A173" s="14">
        <v>46142</v>
      </c>
      <c r="B173" s="6" t="s">
        <v>2</v>
      </c>
      <c r="C173" s="15">
        <v>1599497</v>
      </c>
      <c r="D173" s="15" t="s">
        <v>18</v>
      </c>
      <c r="E173" s="15" t="s">
        <v>47</v>
      </c>
      <c r="F173" s="5">
        <v>20316460</v>
      </c>
      <c r="G173" s="15" t="s">
        <v>71</v>
      </c>
      <c r="H173" s="7" t="s">
        <v>2</v>
      </c>
      <c r="I173" s="6" t="s">
        <v>2</v>
      </c>
      <c r="J173" s="15" t="s">
        <v>55</v>
      </c>
      <c r="K173" s="5">
        <v>1</v>
      </c>
      <c r="L173" s="7" t="s">
        <v>2</v>
      </c>
      <c r="M173" s="6" t="s">
        <v>2</v>
      </c>
      <c r="N173" s="5">
        <v>1</v>
      </c>
      <c r="O173" s="16">
        <v>28</v>
      </c>
      <c r="P173" s="16">
        <v>28</v>
      </c>
      <c r="Q173" s="7" t="s">
        <v>2</v>
      </c>
      <c r="R173" s="7" t="s">
        <v>2</v>
      </c>
      <c r="S173" s="6" t="s">
        <v>2</v>
      </c>
      <c r="V173">
        <f t="shared" si="4"/>
        <v>28</v>
      </c>
    </row>
    <row r="174" spans="1:22">
      <c r="A174" s="14">
        <v>46142</v>
      </c>
      <c r="B174" s="6" t="s">
        <v>2</v>
      </c>
      <c r="C174" s="15">
        <v>1599497</v>
      </c>
      <c r="D174" s="15" t="s">
        <v>18</v>
      </c>
      <c r="E174" s="15" t="s">
        <v>47</v>
      </c>
      <c r="F174" s="5">
        <v>20011256</v>
      </c>
      <c r="G174" s="15" t="s">
        <v>56</v>
      </c>
      <c r="H174" s="7" t="s">
        <v>2</v>
      </c>
      <c r="I174" s="6" t="s">
        <v>2</v>
      </c>
      <c r="J174" s="15" t="s">
        <v>55</v>
      </c>
      <c r="K174" s="5">
        <v>1</v>
      </c>
      <c r="L174" s="7" t="s">
        <v>2</v>
      </c>
      <c r="M174" s="6" t="s">
        <v>2</v>
      </c>
      <c r="N174" s="5">
        <v>1</v>
      </c>
      <c r="O174" s="16">
        <v>28</v>
      </c>
      <c r="P174" s="16">
        <v>28</v>
      </c>
      <c r="Q174" s="7" t="s">
        <v>2</v>
      </c>
      <c r="R174" s="7" t="s">
        <v>2</v>
      </c>
      <c r="S174" s="6" t="s">
        <v>2</v>
      </c>
      <c r="V174">
        <f t="shared" si="4"/>
        <v>28</v>
      </c>
    </row>
    <row r="175" spans="1:22">
      <c r="A175" s="14">
        <v>46142</v>
      </c>
      <c r="B175" s="6" t="s">
        <v>2</v>
      </c>
      <c r="C175" s="15">
        <v>1599497</v>
      </c>
      <c r="D175" s="15" t="s">
        <v>18</v>
      </c>
      <c r="E175" s="15" t="s">
        <v>47</v>
      </c>
      <c r="F175" s="5">
        <v>20323456</v>
      </c>
      <c r="G175" s="15" t="s">
        <v>97</v>
      </c>
      <c r="H175" s="7" t="s">
        <v>2</v>
      </c>
      <c r="I175" s="6" t="s">
        <v>2</v>
      </c>
      <c r="J175" s="15" t="s">
        <v>55</v>
      </c>
      <c r="K175" s="5">
        <v>1</v>
      </c>
      <c r="L175" s="7" t="s">
        <v>2</v>
      </c>
      <c r="M175" s="6" t="s">
        <v>2</v>
      </c>
      <c r="N175" s="5">
        <v>1</v>
      </c>
      <c r="O175" s="16">
        <v>28</v>
      </c>
      <c r="P175" s="16">
        <v>28</v>
      </c>
      <c r="Q175" s="7" t="s">
        <v>2</v>
      </c>
      <c r="R175" s="7" t="s">
        <v>2</v>
      </c>
      <c r="S175" s="6" t="s">
        <v>2</v>
      </c>
      <c r="V175">
        <f t="shared" si="4"/>
        <v>28</v>
      </c>
    </row>
    <row r="176" spans="1:22">
      <c r="A176" s="14">
        <v>46142</v>
      </c>
      <c r="B176" s="6" t="s">
        <v>2</v>
      </c>
      <c r="C176" s="15">
        <v>1599497</v>
      </c>
      <c r="D176" s="15" t="s">
        <v>18</v>
      </c>
      <c r="E176" s="15" t="s">
        <v>47</v>
      </c>
      <c r="F176" s="5">
        <v>20421801</v>
      </c>
      <c r="G176" s="15" t="s">
        <v>132</v>
      </c>
      <c r="H176" s="7" t="s">
        <v>2</v>
      </c>
      <c r="I176" s="6" t="s">
        <v>2</v>
      </c>
      <c r="J176" s="15" t="s">
        <v>55</v>
      </c>
      <c r="K176" s="5">
        <v>1</v>
      </c>
      <c r="L176" s="7" t="s">
        <v>2</v>
      </c>
      <c r="M176" s="6" t="s">
        <v>2</v>
      </c>
      <c r="N176" s="5">
        <v>1</v>
      </c>
      <c r="O176" s="16">
        <v>28</v>
      </c>
      <c r="P176" s="16">
        <v>28</v>
      </c>
      <c r="Q176" s="7" t="s">
        <v>2</v>
      </c>
      <c r="R176" s="7" t="s">
        <v>2</v>
      </c>
      <c r="S176" s="6" t="s">
        <v>2</v>
      </c>
      <c r="V176">
        <f>P176/N176</f>
        <v>28</v>
      </c>
    </row>
    <row r="177" spans="1:22">
      <c r="A177" s="14">
        <v>46142</v>
      </c>
      <c r="B177" s="6" t="s">
        <v>2</v>
      </c>
      <c r="C177" s="15">
        <v>1599497</v>
      </c>
      <c r="D177" s="15" t="s">
        <v>18</v>
      </c>
      <c r="E177" s="15" t="s">
        <v>47</v>
      </c>
      <c r="F177" s="5">
        <v>20338629</v>
      </c>
      <c r="G177" s="15" t="s">
        <v>62</v>
      </c>
      <c r="H177" s="7" t="s">
        <v>2</v>
      </c>
      <c r="I177" s="6" t="s">
        <v>2</v>
      </c>
      <c r="J177" s="15" t="s">
        <v>55</v>
      </c>
      <c r="K177" s="5">
        <v>1</v>
      </c>
      <c r="L177" s="7" t="s">
        <v>2</v>
      </c>
      <c r="M177" s="6" t="s">
        <v>2</v>
      </c>
      <c r="N177" s="5">
        <v>1</v>
      </c>
      <c r="O177" s="16">
        <v>28</v>
      </c>
      <c r="P177" s="16">
        <v>28</v>
      </c>
      <c r="Q177" s="7" t="s">
        <v>2</v>
      </c>
      <c r="R177" s="7" t="s">
        <v>2</v>
      </c>
      <c r="S177" s="6" t="s">
        <v>2</v>
      </c>
      <c r="V177">
        <f>P177/N177</f>
        <v>28</v>
      </c>
    </row>
    <row r="178" spans="1:22">
      <c r="A178" s="14">
        <v>46142</v>
      </c>
      <c r="B178" s="6" t="s">
        <v>2</v>
      </c>
      <c r="C178" s="15">
        <v>1599497</v>
      </c>
      <c r="D178" s="15" t="s">
        <v>18</v>
      </c>
      <c r="E178" s="15" t="s">
        <v>47</v>
      </c>
      <c r="F178" s="5">
        <v>20313795</v>
      </c>
      <c r="G178" s="15" t="s">
        <v>98</v>
      </c>
      <c r="H178" s="7" t="s">
        <v>2</v>
      </c>
      <c r="I178" s="6" t="s">
        <v>2</v>
      </c>
      <c r="J178" s="15" t="s">
        <v>55</v>
      </c>
      <c r="K178" s="5">
        <v>2</v>
      </c>
      <c r="L178" s="7" t="s">
        <v>2</v>
      </c>
      <c r="M178" s="6" t="s">
        <v>2</v>
      </c>
      <c r="N178" s="5">
        <v>2</v>
      </c>
      <c r="O178" s="16">
        <v>28</v>
      </c>
      <c r="P178" s="16">
        <v>56</v>
      </c>
      <c r="Q178" s="7" t="s">
        <v>2</v>
      </c>
      <c r="R178" s="7" t="s">
        <v>2</v>
      </c>
      <c r="S178" s="6" t="s">
        <v>2</v>
      </c>
      <c r="V178">
        <f>P178/N178</f>
        <v>28</v>
      </c>
    </row>
    <row r="179" spans="1:22">
      <c r="A179" s="14">
        <v>46142</v>
      </c>
      <c r="B179" s="6" t="s">
        <v>2</v>
      </c>
      <c r="C179" s="15">
        <v>1599497</v>
      </c>
      <c r="D179" s="15" t="s">
        <v>18</v>
      </c>
      <c r="E179" s="15" t="s">
        <v>47</v>
      </c>
      <c r="F179" s="5">
        <v>20357809</v>
      </c>
      <c r="G179" s="15" t="s">
        <v>72</v>
      </c>
      <c r="H179" s="7" t="s">
        <v>2</v>
      </c>
      <c r="I179" s="6" t="s">
        <v>2</v>
      </c>
      <c r="J179" s="15" t="s">
        <v>55</v>
      </c>
      <c r="K179" s="5">
        <v>1</v>
      </c>
      <c r="L179" s="7" t="s">
        <v>2</v>
      </c>
      <c r="M179" s="6" t="s">
        <v>2</v>
      </c>
      <c r="N179" s="5">
        <v>1</v>
      </c>
      <c r="O179" s="16">
        <v>28</v>
      </c>
      <c r="P179" s="16">
        <v>28</v>
      </c>
      <c r="Q179" s="7" t="s">
        <v>2</v>
      </c>
      <c r="R179" s="7" t="s">
        <v>2</v>
      </c>
      <c r="S179" s="6" t="s">
        <v>2</v>
      </c>
      <c r="V179">
        <f>P179/N179</f>
        <v>28</v>
      </c>
    </row>
    <row r="180" spans="1:22">
      <c r="A180" s="14">
        <v>46142</v>
      </c>
      <c r="B180" s="6" t="s">
        <v>2</v>
      </c>
      <c r="C180" s="15">
        <v>1599497</v>
      </c>
      <c r="D180" s="15" t="s">
        <v>18</v>
      </c>
      <c r="E180" s="15" t="s">
        <v>47</v>
      </c>
      <c r="F180" s="5">
        <v>20316458</v>
      </c>
      <c r="G180" s="15" t="s">
        <v>99</v>
      </c>
      <c r="H180" s="7" t="s">
        <v>2</v>
      </c>
      <c r="I180" s="6" t="s">
        <v>2</v>
      </c>
      <c r="J180" s="15" t="s">
        <v>69</v>
      </c>
      <c r="K180" s="5">
        <v>1</v>
      </c>
      <c r="L180" s="7" t="s">
        <v>2</v>
      </c>
      <c r="M180" s="6" t="s">
        <v>2</v>
      </c>
      <c r="N180" s="5">
        <v>1</v>
      </c>
      <c r="O180" s="16">
        <v>25</v>
      </c>
      <c r="P180" s="16">
        <v>25</v>
      </c>
      <c r="Q180" s="7" t="s">
        <v>2</v>
      </c>
      <c r="R180" s="7" t="s">
        <v>2</v>
      </c>
      <c r="S180" s="6" t="s">
        <v>2</v>
      </c>
      <c r="V180">
        <f>P180/N180</f>
        <v>25</v>
      </c>
    </row>
    <row r="181" spans="1:22">
      <c r="A181" s="17" t="s">
        <v>2</v>
      </c>
      <c r="C181" s="17" t="s">
        <v>2</v>
      </c>
      <c r="D181" s="17" t="s">
        <v>2</v>
      </c>
      <c r="E181" s="17" t="s">
        <v>2</v>
      </c>
      <c r="F181" s="18" t="s">
        <v>2</v>
      </c>
      <c r="G181" s="17" t="s">
        <v>2</v>
      </c>
      <c r="J181" s="17" t="s">
        <v>2</v>
      </c>
      <c r="K181" s="17" t="s">
        <v>2</v>
      </c>
      <c r="N181" s="17" t="s">
        <v>2</v>
      </c>
      <c r="O181" s="17" t="s">
        <v>2</v>
      </c>
      <c r="P181" s="17" t="s">
        <v>2</v>
      </c>
    </row>
    <row r="182" spans="1:22">
      <c r="A182" s="17" t="s">
        <v>2</v>
      </c>
      <c r="C182" s="17" t="s">
        <v>2</v>
      </c>
      <c r="D182" s="17" t="s">
        <v>2</v>
      </c>
      <c r="E182" s="17" t="s">
        <v>2</v>
      </c>
      <c r="F182" s="18" t="s">
        <v>2</v>
      </c>
      <c r="G182" s="17" t="s">
        <v>2</v>
      </c>
      <c r="J182" s="17" t="s">
        <v>2</v>
      </c>
      <c r="K182" s="17" t="s">
        <v>2</v>
      </c>
      <c r="N182" s="17" t="s">
        <v>2</v>
      </c>
      <c r="O182" s="17" t="s">
        <v>2</v>
      </c>
      <c r="P182" s="17" t="s">
        <v>2</v>
      </c>
    </row>
    <row r="183" ht="0.05" customHeight="1"/>
    <row r="184" ht="0.9" customHeight="1"/>
  </sheetData>
  <autoFilter xmlns:etc="http://www.wps.cn/officeDocument/2017/etCustomData" ref="V1:V184" etc:filterBottomFollowUsedRange="0">
    <extLst/>
  </autoFilter>
  <mergeCells count="683">
    <mergeCell ref="A12:B12"/>
    <mergeCell ref="G12:I12"/>
    <mergeCell ref="K12:M12"/>
    <mergeCell ref="P12:S12"/>
    <mergeCell ref="A13:J13"/>
    <mergeCell ref="K13:M13"/>
    <mergeCell ref="P13:S13"/>
    <mergeCell ref="A14:J14"/>
    <mergeCell ref="K14:M14"/>
    <mergeCell ref="P14:S14"/>
    <mergeCell ref="A15:B15"/>
    <mergeCell ref="G15:I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J18"/>
    <mergeCell ref="K18:M18"/>
    <mergeCell ref="P18:S18"/>
    <mergeCell ref="A19:B19"/>
    <mergeCell ref="G19:I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B26"/>
    <mergeCell ref="G26:I26"/>
    <mergeCell ref="K26:M26"/>
    <mergeCell ref="P26:S26"/>
    <mergeCell ref="A27:B27"/>
    <mergeCell ref="G27:I27"/>
    <mergeCell ref="K27:M27"/>
    <mergeCell ref="P27:S27"/>
    <mergeCell ref="A28:B28"/>
    <mergeCell ref="G28:I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A32:B32"/>
    <mergeCell ref="G32:I32"/>
    <mergeCell ref="K32:M32"/>
    <mergeCell ref="P32:S32"/>
    <mergeCell ref="A33:B33"/>
    <mergeCell ref="G33:I33"/>
    <mergeCell ref="K33:M33"/>
    <mergeCell ref="P33:S33"/>
    <mergeCell ref="A34:B34"/>
    <mergeCell ref="G34:I34"/>
    <mergeCell ref="K34:M34"/>
    <mergeCell ref="P34:S34"/>
    <mergeCell ref="A35:B35"/>
    <mergeCell ref="G35:I35"/>
    <mergeCell ref="K35:M35"/>
    <mergeCell ref="P35:S35"/>
    <mergeCell ref="A36:B36"/>
    <mergeCell ref="G36:I36"/>
    <mergeCell ref="K36:M36"/>
    <mergeCell ref="P36:S36"/>
    <mergeCell ref="A37:B37"/>
    <mergeCell ref="G37:I37"/>
    <mergeCell ref="K37:M37"/>
    <mergeCell ref="P37:S37"/>
    <mergeCell ref="A38:B38"/>
    <mergeCell ref="G38:I38"/>
    <mergeCell ref="K38:M38"/>
    <mergeCell ref="P38:S38"/>
    <mergeCell ref="A39:B39"/>
    <mergeCell ref="G39:I39"/>
    <mergeCell ref="K39:M39"/>
    <mergeCell ref="P39:S39"/>
    <mergeCell ref="A40:B40"/>
    <mergeCell ref="G40:I40"/>
    <mergeCell ref="K40:M40"/>
    <mergeCell ref="P40:S40"/>
    <mergeCell ref="A41:J41"/>
    <mergeCell ref="K41:M41"/>
    <mergeCell ref="P41:S41"/>
    <mergeCell ref="A42:B42"/>
    <mergeCell ref="G42:I42"/>
    <mergeCell ref="K42:M42"/>
    <mergeCell ref="P42:S42"/>
    <mergeCell ref="A43:B43"/>
    <mergeCell ref="G43:I43"/>
    <mergeCell ref="K43:M43"/>
    <mergeCell ref="P43:S43"/>
    <mergeCell ref="A44:B44"/>
    <mergeCell ref="G44:I44"/>
    <mergeCell ref="K44:M44"/>
    <mergeCell ref="P44:S44"/>
    <mergeCell ref="A45:B45"/>
    <mergeCell ref="G45:I45"/>
    <mergeCell ref="K45:M45"/>
    <mergeCell ref="P45:S45"/>
    <mergeCell ref="A46:B46"/>
    <mergeCell ref="G46:I46"/>
    <mergeCell ref="K46:M46"/>
    <mergeCell ref="P46:S46"/>
    <mergeCell ref="A47:B47"/>
    <mergeCell ref="G47:I47"/>
    <mergeCell ref="K47:M47"/>
    <mergeCell ref="P47:S47"/>
    <mergeCell ref="A48:B48"/>
    <mergeCell ref="G48:I48"/>
    <mergeCell ref="K48:M48"/>
    <mergeCell ref="P48:S48"/>
    <mergeCell ref="A49:B49"/>
    <mergeCell ref="G49:I49"/>
    <mergeCell ref="K49:M49"/>
    <mergeCell ref="P49:S49"/>
    <mergeCell ref="A50:B50"/>
    <mergeCell ref="G50:I50"/>
    <mergeCell ref="K50:M50"/>
    <mergeCell ref="P50:S50"/>
    <mergeCell ref="A51:B51"/>
    <mergeCell ref="G51:I51"/>
    <mergeCell ref="K51:M51"/>
    <mergeCell ref="P51:S51"/>
    <mergeCell ref="A52:B52"/>
    <mergeCell ref="G52:I52"/>
    <mergeCell ref="K52:M52"/>
    <mergeCell ref="P52:S52"/>
    <mergeCell ref="A53:B53"/>
    <mergeCell ref="G53:I53"/>
    <mergeCell ref="K53:M53"/>
    <mergeCell ref="P53:S53"/>
    <mergeCell ref="A54:B54"/>
    <mergeCell ref="G54:I54"/>
    <mergeCell ref="K54:M54"/>
    <mergeCell ref="P54:S54"/>
    <mergeCell ref="A55:B55"/>
    <mergeCell ref="G55:I55"/>
    <mergeCell ref="K55:M55"/>
    <mergeCell ref="P55:S55"/>
    <mergeCell ref="A56:J56"/>
    <mergeCell ref="K56:M56"/>
    <mergeCell ref="P56:S56"/>
    <mergeCell ref="A57:B57"/>
    <mergeCell ref="G57:I57"/>
    <mergeCell ref="K57:M57"/>
    <mergeCell ref="P57:S57"/>
    <mergeCell ref="A58:B58"/>
    <mergeCell ref="G58:I58"/>
    <mergeCell ref="K58:M58"/>
    <mergeCell ref="P58:S58"/>
    <mergeCell ref="A59:J59"/>
    <mergeCell ref="K59:M59"/>
    <mergeCell ref="P59:S59"/>
    <mergeCell ref="A60:B60"/>
    <mergeCell ref="G60:I60"/>
    <mergeCell ref="K60:M60"/>
    <mergeCell ref="P60:S60"/>
    <mergeCell ref="A61:B61"/>
    <mergeCell ref="G61:I61"/>
    <mergeCell ref="K61:M61"/>
    <mergeCell ref="P61:S61"/>
    <mergeCell ref="A62:B62"/>
    <mergeCell ref="G62:I62"/>
    <mergeCell ref="K62:M62"/>
    <mergeCell ref="P62:S62"/>
    <mergeCell ref="A63:B63"/>
    <mergeCell ref="G63:I63"/>
    <mergeCell ref="K63:M63"/>
    <mergeCell ref="P63:S63"/>
    <mergeCell ref="A64:B64"/>
    <mergeCell ref="G64:I64"/>
    <mergeCell ref="K64:M64"/>
    <mergeCell ref="P64:S64"/>
    <mergeCell ref="A65:B65"/>
    <mergeCell ref="G65:I65"/>
    <mergeCell ref="K65:M65"/>
    <mergeCell ref="P65:S65"/>
    <mergeCell ref="A66:B66"/>
    <mergeCell ref="G66:I66"/>
    <mergeCell ref="K66:M66"/>
    <mergeCell ref="P66:S66"/>
    <mergeCell ref="A67:B67"/>
    <mergeCell ref="G67:I67"/>
    <mergeCell ref="K67:M67"/>
    <mergeCell ref="P67:S67"/>
    <mergeCell ref="A68:B68"/>
    <mergeCell ref="G68:I68"/>
    <mergeCell ref="K68:M68"/>
    <mergeCell ref="P68:S68"/>
    <mergeCell ref="A69:B69"/>
    <mergeCell ref="G69:I69"/>
    <mergeCell ref="K69:M69"/>
    <mergeCell ref="P69:S69"/>
    <mergeCell ref="A70:B70"/>
    <mergeCell ref="G70:I70"/>
    <mergeCell ref="K70:M70"/>
    <mergeCell ref="P70:S70"/>
    <mergeCell ref="A71:B71"/>
    <mergeCell ref="G71:I71"/>
    <mergeCell ref="K71:M71"/>
    <mergeCell ref="P71:S71"/>
    <mergeCell ref="A72:B72"/>
    <mergeCell ref="G72:I72"/>
    <mergeCell ref="K72:M72"/>
    <mergeCell ref="P72:S72"/>
    <mergeCell ref="A73:B73"/>
    <mergeCell ref="G73:I73"/>
    <mergeCell ref="K73:M73"/>
    <mergeCell ref="P73:S73"/>
    <mergeCell ref="A74:B74"/>
    <mergeCell ref="G74:I74"/>
    <mergeCell ref="K74:M74"/>
    <mergeCell ref="P74:S74"/>
    <mergeCell ref="A75:B75"/>
    <mergeCell ref="G75:I75"/>
    <mergeCell ref="K75:M75"/>
    <mergeCell ref="P75:S75"/>
    <mergeCell ref="A76:B76"/>
    <mergeCell ref="G76:I76"/>
    <mergeCell ref="K76:M76"/>
    <mergeCell ref="P76:S76"/>
    <mergeCell ref="A77:B77"/>
    <mergeCell ref="G77:I77"/>
    <mergeCell ref="K77:M77"/>
    <mergeCell ref="P77:S77"/>
    <mergeCell ref="A78:B78"/>
    <mergeCell ref="G78:I78"/>
    <mergeCell ref="K78:M78"/>
    <mergeCell ref="P78:S78"/>
    <mergeCell ref="A79:B79"/>
    <mergeCell ref="G79:I79"/>
    <mergeCell ref="K79:M79"/>
    <mergeCell ref="P79:S79"/>
    <mergeCell ref="A80:B80"/>
    <mergeCell ref="G80:I80"/>
    <mergeCell ref="K80:M80"/>
    <mergeCell ref="P80:S80"/>
    <mergeCell ref="A81:B81"/>
    <mergeCell ref="G81:I81"/>
    <mergeCell ref="K81:M81"/>
    <mergeCell ref="P81:S81"/>
    <mergeCell ref="A82:B82"/>
    <mergeCell ref="G82:I82"/>
    <mergeCell ref="K82:M82"/>
    <mergeCell ref="P82:S82"/>
    <mergeCell ref="A83:B83"/>
    <mergeCell ref="G83:I83"/>
    <mergeCell ref="K83:M83"/>
    <mergeCell ref="P83:S83"/>
    <mergeCell ref="A84:B84"/>
    <mergeCell ref="G84:I84"/>
    <mergeCell ref="K84:M84"/>
    <mergeCell ref="P84:S84"/>
    <mergeCell ref="A85:B85"/>
    <mergeCell ref="G85:I85"/>
    <mergeCell ref="K85:M85"/>
    <mergeCell ref="P85:S85"/>
    <mergeCell ref="A86:B86"/>
    <mergeCell ref="G86:I86"/>
    <mergeCell ref="K86:M86"/>
    <mergeCell ref="P86:S86"/>
    <mergeCell ref="A87:B87"/>
    <mergeCell ref="G87:I87"/>
    <mergeCell ref="K87:M87"/>
    <mergeCell ref="P87:S87"/>
    <mergeCell ref="A88:B88"/>
    <mergeCell ref="G88:I88"/>
    <mergeCell ref="K88:M88"/>
    <mergeCell ref="P88:S88"/>
    <mergeCell ref="A89:B89"/>
    <mergeCell ref="G89:I89"/>
    <mergeCell ref="K89:M89"/>
    <mergeCell ref="P89:S89"/>
    <mergeCell ref="A90:B90"/>
    <mergeCell ref="G90:I90"/>
    <mergeCell ref="K90:M90"/>
    <mergeCell ref="P90:S90"/>
    <mergeCell ref="A91:B91"/>
    <mergeCell ref="G91:I91"/>
    <mergeCell ref="K91:M91"/>
    <mergeCell ref="P91:S91"/>
    <mergeCell ref="A92:B92"/>
    <mergeCell ref="G92:I92"/>
    <mergeCell ref="K92:M92"/>
    <mergeCell ref="P92:S92"/>
    <mergeCell ref="A93:B93"/>
    <mergeCell ref="G93:I93"/>
    <mergeCell ref="K93:M93"/>
    <mergeCell ref="P93:S93"/>
    <mergeCell ref="A94:B94"/>
    <mergeCell ref="G94:I94"/>
    <mergeCell ref="K94:M94"/>
    <mergeCell ref="P94:S94"/>
    <mergeCell ref="A95:B95"/>
    <mergeCell ref="G95:I95"/>
    <mergeCell ref="K95:M95"/>
    <mergeCell ref="P95:S95"/>
    <mergeCell ref="A96:B96"/>
    <mergeCell ref="G96:I96"/>
    <mergeCell ref="K96:M96"/>
    <mergeCell ref="P96:S96"/>
    <mergeCell ref="A97:B97"/>
    <mergeCell ref="G97:I97"/>
    <mergeCell ref="K97:M97"/>
    <mergeCell ref="P97:S97"/>
    <mergeCell ref="A98:B98"/>
    <mergeCell ref="G98:I98"/>
    <mergeCell ref="K98:M98"/>
    <mergeCell ref="P98:S98"/>
    <mergeCell ref="A99:B99"/>
    <mergeCell ref="G99:I99"/>
    <mergeCell ref="K99:M99"/>
    <mergeCell ref="P99:S99"/>
    <mergeCell ref="A100:B100"/>
    <mergeCell ref="G100:I100"/>
    <mergeCell ref="K100:M100"/>
    <mergeCell ref="P100:S100"/>
    <mergeCell ref="A101:B101"/>
    <mergeCell ref="G101:I101"/>
    <mergeCell ref="K101:M101"/>
    <mergeCell ref="P101:S101"/>
    <mergeCell ref="A102:B102"/>
    <mergeCell ref="G102:I102"/>
    <mergeCell ref="K102:M102"/>
    <mergeCell ref="P102:S102"/>
    <mergeCell ref="A103:B103"/>
    <mergeCell ref="G103:I103"/>
    <mergeCell ref="K103:M103"/>
    <mergeCell ref="P103:S103"/>
    <mergeCell ref="A104:B104"/>
    <mergeCell ref="G104:I104"/>
    <mergeCell ref="K104:M104"/>
    <mergeCell ref="P104:S104"/>
    <mergeCell ref="A105:B105"/>
    <mergeCell ref="G105:I105"/>
    <mergeCell ref="K105:M105"/>
    <mergeCell ref="P105:S105"/>
    <mergeCell ref="A106:B106"/>
    <mergeCell ref="G106:I106"/>
    <mergeCell ref="K106:M106"/>
    <mergeCell ref="P106:S106"/>
    <mergeCell ref="A107:B107"/>
    <mergeCell ref="G107:I107"/>
    <mergeCell ref="K107:M107"/>
    <mergeCell ref="P107:S107"/>
    <mergeCell ref="A108:B108"/>
    <mergeCell ref="G108:I108"/>
    <mergeCell ref="K108:M108"/>
    <mergeCell ref="P108:S108"/>
    <mergeCell ref="A109:B109"/>
    <mergeCell ref="G109:I109"/>
    <mergeCell ref="K109:M109"/>
    <mergeCell ref="P109:S109"/>
    <mergeCell ref="A110:B110"/>
    <mergeCell ref="G110:I110"/>
    <mergeCell ref="K110:M110"/>
    <mergeCell ref="P110:S110"/>
    <mergeCell ref="A111:B111"/>
    <mergeCell ref="G111:I111"/>
    <mergeCell ref="K111:M111"/>
    <mergeCell ref="P111:S111"/>
    <mergeCell ref="A112:B112"/>
    <mergeCell ref="G112:I112"/>
    <mergeCell ref="K112:M112"/>
    <mergeCell ref="P112:S112"/>
    <mergeCell ref="A113:B113"/>
    <mergeCell ref="G113:I113"/>
    <mergeCell ref="K113:M113"/>
    <mergeCell ref="P113:S113"/>
    <mergeCell ref="A114:B114"/>
    <mergeCell ref="G114:I114"/>
    <mergeCell ref="K114:M114"/>
    <mergeCell ref="P114:S114"/>
    <mergeCell ref="A115:B115"/>
    <mergeCell ref="G115:I115"/>
    <mergeCell ref="K115:M115"/>
    <mergeCell ref="P115:S115"/>
    <mergeCell ref="A116:B116"/>
    <mergeCell ref="G116:I116"/>
    <mergeCell ref="K116:M116"/>
    <mergeCell ref="P116:S116"/>
    <mergeCell ref="A117:B117"/>
    <mergeCell ref="G117:I117"/>
    <mergeCell ref="K117:M117"/>
    <mergeCell ref="P117:S117"/>
    <mergeCell ref="A118:B118"/>
    <mergeCell ref="G118:I118"/>
    <mergeCell ref="K118:M118"/>
    <mergeCell ref="P118:S118"/>
    <mergeCell ref="A119:B119"/>
    <mergeCell ref="G119:I119"/>
    <mergeCell ref="K119:M119"/>
    <mergeCell ref="P119:S119"/>
    <mergeCell ref="A120:B120"/>
    <mergeCell ref="G120:I120"/>
    <mergeCell ref="K120:M120"/>
    <mergeCell ref="P120:S120"/>
    <mergeCell ref="A121:B121"/>
    <mergeCell ref="G121:I121"/>
    <mergeCell ref="K121:M121"/>
    <mergeCell ref="P121:S121"/>
    <mergeCell ref="A122:B122"/>
    <mergeCell ref="G122:I122"/>
    <mergeCell ref="K122:M122"/>
    <mergeCell ref="P122:S122"/>
    <mergeCell ref="A123:B123"/>
    <mergeCell ref="G123:I123"/>
    <mergeCell ref="K123:M123"/>
    <mergeCell ref="P123:S123"/>
    <mergeCell ref="A124:B124"/>
    <mergeCell ref="G124:I124"/>
    <mergeCell ref="K124:M124"/>
    <mergeCell ref="P124:S124"/>
    <mergeCell ref="A125:B125"/>
    <mergeCell ref="G125:I125"/>
    <mergeCell ref="K125:M125"/>
    <mergeCell ref="P125:S125"/>
    <mergeCell ref="A126:B126"/>
    <mergeCell ref="G126:I126"/>
    <mergeCell ref="K126:M126"/>
    <mergeCell ref="P126:S126"/>
    <mergeCell ref="A127:B127"/>
    <mergeCell ref="G127:I127"/>
    <mergeCell ref="K127:M127"/>
    <mergeCell ref="P127:S127"/>
    <mergeCell ref="A128:B128"/>
    <mergeCell ref="G128:I128"/>
    <mergeCell ref="K128:M128"/>
    <mergeCell ref="P128:S128"/>
    <mergeCell ref="A129:B129"/>
    <mergeCell ref="G129:I129"/>
    <mergeCell ref="K129:M129"/>
    <mergeCell ref="P129:S129"/>
    <mergeCell ref="A130:B130"/>
    <mergeCell ref="G130:I130"/>
    <mergeCell ref="K130:M130"/>
    <mergeCell ref="P130:S130"/>
    <mergeCell ref="A131:B131"/>
    <mergeCell ref="G131:I131"/>
    <mergeCell ref="K131:M131"/>
    <mergeCell ref="P131:S131"/>
    <mergeCell ref="A132:B132"/>
    <mergeCell ref="G132:I132"/>
    <mergeCell ref="K132:M132"/>
    <mergeCell ref="P132:S132"/>
    <mergeCell ref="A133:B133"/>
    <mergeCell ref="G133:I133"/>
    <mergeCell ref="K133:M133"/>
    <mergeCell ref="P133:S133"/>
    <mergeCell ref="A134:B134"/>
    <mergeCell ref="G134:I134"/>
    <mergeCell ref="K134:M134"/>
    <mergeCell ref="P134:S134"/>
    <mergeCell ref="A135:B135"/>
    <mergeCell ref="G135:I135"/>
    <mergeCell ref="K135:M135"/>
    <mergeCell ref="P135:S135"/>
    <mergeCell ref="A136:B136"/>
    <mergeCell ref="G136:I136"/>
    <mergeCell ref="K136:M136"/>
    <mergeCell ref="P136:S136"/>
    <mergeCell ref="A137:B137"/>
    <mergeCell ref="G137:I137"/>
    <mergeCell ref="K137:M137"/>
    <mergeCell ref="P137:S137"/>
    <mergeCell ref="A138:B138"/>
    <mergeCell ref="G138:I138"/>
    <mergeCell ref="K138:M138"/>
    <mergeCell ref="P138:S138"/>
    <mergeCell ref="A139:B139"/>
    <mergeCell ref="G139:I139"/>
    <mergeCell ref="K139:M139"/>
    <mergeCell ref="P139:S139"/>
    <mergeCell ref="A140:B140"/>
    <mergeCell ref="G140:I140"/>
    <mergeCell ref="K140:M140"/>
    <mergeCell ref="P140:S140"/>
    <mergeCell ref="A141:B141"/>
    <mergeCell ref="G141:I141"/>
    <mergeCell ref="K141:M141"/>
    <mergeCell ref="P141:S141"/>
    <mergeCell ref="A142:B142"/>
    <mergeCell ref="G142:I142"/>
    <mergeCell ref="K142:M142"/>
    <mergeCell ref="P142:S142"/>
    <mergeCell ref="A143:B143"/>
    <mergeCell ref="G143:I143"/>
    <mergeCell ref="K143:M143"/>
    <mergeCell ref="P143:S143"/>
    <mergeCell ref="A144:B144"/>
    <mergeCell ref="G144:I144"/>
    <mergeCell ref="K144:M144"/>
    <mergeCell ref="P144:S144"/>
    <mergeCell ref="A145:B145"/>
    <mergeCell ref="G145:I145"/>
    <mergeCell ref="K145:M145"/>
    <mergeCell ref="P145:S145"/>
    <mergeCell ref="A146:B146"/>
    <mergeCell ref="G146:I146"/>
    <mergeCell ref="K146:M146"/>
    <mergeCell ref="P146:S146"/>
    <mergeCell ref="A147:B147"/>
    <mergeCell ref="G147:I147"/>
    <mergeCell ref="K147:M147"/>
    <mergeCell ref="P147:S147"/>
    <mergeCell ref="A148:B148"/>
    <mergeCell ref="G148:I148"/>
    <mergeCell ref="K148:M148"/>
    <mergeCell ref="P148:S148"/>
    <mergeCell ref="A149:B149"/>
    <mergeCell ref="G149:I149"/>
    <mergeCell ref="K149:M149"/>
    <mergeCell ref="P149:S149"/>
    <mergeCell ref="A150:B150"/>
    <mergeCell ref="G150:I150"/>
    <mergeCell ref="K150:M150"/>
    <mergeCell ref="P150:S150"/>
    <mergeCell ref="A151:B151"/>
    <mergeCell ref="G151:I151"/>
    <mergeCell ref="K151:M151"/>
    <mergeCell ref="P151:S151"/>
    <mergeCell ref="A152:B152"/>
    <mergeCell ref="G152:I152"/>
    <mergeCell ref="K152:M152"/>
    <mergeCell ref="P152:S152"/>
    <mergeCell ref="A153:B153"/>
    <mergeCell ref="G153:I153"/>
    <mergeCell ref="K153:M153"/>
    <mergeCell ref="P153:S153"/>
    <mergeCell ref="A154:B154"/>
    <mergeCell ref="G154:I154"/>
    <mergeCell ref="K154:M154"/>
    <mergeCell ref="P154:S154"/>
    <mergeCell ref="A155:B155"/>
    <mergeCell ref="G155:I155"/>
    <mergeCell ref="K155:M155"/>
    <mergeCell ref="P155:S155"/>
    <mergeCell ref="A156:B156"/>
    <mergeCell ref="G156:I156"/>
    <mergeCell ref="K156:M156"/>
    <mergeCell ref="P156:S156"/>
    <mergeCell ref="A157:B157"/>
    <mergeCell ref="G157:I157"/>
    <mergeCell ref="K157:M157"/>
    <mergeCell ref="P157:S157"/>
    <mergeCell ref="A158:B158"/>
    <mergeCell ref="G158:I158"/>
    <mergeCell ref="K158:M158"/>
    <mergeCell ref="P158:S158"/>
    <mergeCell ref="A159:B159"/>
    <mergeCell ref="G159:I159"/>
    <mergeCell ref="K159:M159"/>
    <mergeCell ref="P159:S159"/>
    <mergeCell ref="A160:B160"/>
    <mergeCell ref="G160:I160"/>
    <mergeCell ref="K160:M160"/>
    <mergeCell ref="P160:S160"/>
    <mergeCell ref="A161:B161"/>
    <mergeCell ref="G161:I161"/>
    <mergeCell ref="K161:M161"/>
    <mergeCell ref="P161:S161"/>
    <mergeCell ref="A162:B162"/>
    <mergeCell ref="G162:I162"/>
    <mergeCell ref="K162:M162"/>
    <mergeCell ref="P162:S162"/>
    <mergeCell ref="A163:B163"/>
    <mergeCell ref="G163:I163"/>
    <mergeCell ref="K163:M163"/>
    <mergeCell ref="P163:S163"/>
    <mergeCell ref="A164:B164"/>
    <mergeCell ref="G164:I164"/>
    <mergeCell ref="K164:M164"/>
    <mergeCell ref="P164:S164"/>
    <mergeCell ref="A165:B165"/>
    <mergeCell ref="G165:I165"/>
    <mergeCell ref="K165:M165"/>
    <mergeCell ref="P165:S165"/>
    <mergeCell ref="A166:B166"/>
    <mergeCell ref="G166:I166"/>
    <mergeCell ref="K166:M166"/>
    <mergeCell ref="P166:S166"/>
    <mergeCell ref="A167:B167"/>
    <mergeCell ref="G167:I167"/>
    <mergeCell ref="K167:M167"/>
    <mergeCell ref="P167:S167"/>
    <mergeCell ref="A168:B168"/>
    <mergeCell ref="G168:I168"/>
    <mergeCell ref="K168:M168"/>
    <mergeCell ref="P168:S168"/>
    <mergeCell ref="A169:B169"/>
    <mergeCell ref="G169:I169"/>
    <mergeCell ref="K169:M169"/>
    <mergeCell ref="P169:S169"/>
    <mergeCell ref="A170:B170"/>
    <mergeCell ref="G170:I170"/>
    <mergeCell ref="K170:M170"/>
    <mergeCell ref="P170:S170"/>
    <mergeCell ref="A171:B171"/>
    <mergeCell ref="G171:I171"/>
    <mergeCell ref="K171:M171"/>
    <mergeCell ref="P171:S171"/>
    <mergeCell ref="A172:B172"/>
    <mergeCell ref="G172:I172"/>
    <mergeCell ref="K172:M172"/>
    <mergeCell ref="P172:S172"/>
    <mergeCell ref="A173:B173"/>
    <mergeCell ref="G173:I173"/>
    <mergeCell ref="K173:M173"/>
    <mergeCell ref="P173:S173"/>
    <mergeCell ref="A174:B174"/>
    <mergeCell ref="G174:I174"/>
    <mergeCell ref="K174:M174"/>
    <mergeCell ref="P174:S174"/>
    <mergeCell ref="A175:B175"/>
    <mergeCell ref="G175:I175"/>
    <mergeCell ref="K175:M175"/>
    <mergeCell ref="P175:S175"/>
    <mergeCell ref="A176:B176"/>
    <mergeCell ref="G176:I176"/>
    <mergeCell ref="K176:M176"/>
    <mergeCell ref="P176:S176"/>
    <mergeCell ref="A177:B177"/>
    <mergeCell ref="G177:I177"/>
    <mergeCell ref="K177:M177"/>
    <mergeCell ref="P177:S177"/>
    <mergeCell ref="A178:B178"/>
    <mergeCell ref="G178:I178"/>
    <mergeCell ref="K178:M178"/>
    <mergeCell ref="P178:S178"/>
    <mergeCell ref="A179:B179"/>
    <mergeCell ref="G179:I179"/>
    <mergeCell ref="K179:M179"/>
    <mergeCell ref="P179:S179"/>
    <mergeCell ref="A180:B180"/>
    <mergeCell ref="G180:I180"/>
    <mergeCell ref="K180:M180"/>
    <mergeCell ref="P180:S180"/>
    <mergeCell ref="A181:B181"/>
    <mergeCell ref="G181:I181"/>
    <mergeCell ref="K181:M181"/>
    <mergeCell ref="P181:S181"/>
    <mergeCell ref="A182:B182"/>
    <mergeCell ref="G182:I182"/>
    <mergeCell ref="K182:M182"/>
    <mergeCell ref="P182:S182"/>
    <mergeCell ref="B1:G2"/>
    <mergeCell ref="Q2:R4"/>
    <mergeCell ref="B4:G5"/>
    <mergeCell ref="I8:K9"/>
    <mergeCell ref="M9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&amp;"-,Regular"高健 &amp;C&amp;"Droid Sans Fallback,Regular"&amp;9 执行时间: 
&amp;"-,Regular"2026年8月14日 10:41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2026-08-14T02:42:11Z</dcterms:created>
  <dcterms:modified xsi:type="dcterms:W3CDTF">2026-08-14T04:02:09Z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A7037423BE7343988C00C6B25B2B157C_13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