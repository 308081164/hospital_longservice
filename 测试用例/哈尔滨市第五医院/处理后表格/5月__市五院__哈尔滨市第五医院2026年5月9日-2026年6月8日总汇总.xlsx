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/>
  </bookViews>
  <sheets>
    <sheet name="Sheet2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<sst xmlns="http://schemas.openxmlformats.org/spreadsheetml/2006/main" count="62" uniqueCount="62">
  <si>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哈尔滨市第五医院2026年5月9日-2026年6月8日科室灭菌价格汇总</t>
  </si>
  <si>
    <t>科室</t>
  </si>
  <si>
    <t>基础器械</t>
  </si>
  <si>
    <t>低温器械</t>
  </si>
  <si>
    <t>外来器械</t>
  </si>
  <si>
    <t>物流费用</t>
  </si>
  <si>
    <t>价格</t>
  </si>
  <si>
    <t>确认签字</t>
  </si>
  <si>
    <t>总灭菌费</t>
  </si>
  <si>
    <t>各科室占比</t>
  </si>
  <si>
    <t>总物流费</t>
  </si>
  <si>
    <t>合计费用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</si>
  <si>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</si>
  <si>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</si>
  <si>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</si>
  <si>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</si>
  <si>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</si>
  <si>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</si>
  <si>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</si>
  <si>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</si>
  <si>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</si>
  <si>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</si>
  <si>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</si>
  <si>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</si>
  <si>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</si>
  <si>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</si>
  <si>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</si>
  <si>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骨十一（二）</t>
  </si>
  <si>
    <t>胸外科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</si>
  <si>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</si>
  <si>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</si>
  <si>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</si>
  <si>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</si>
  <si>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</si>
  <si>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</si>
  <si>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</si>
  <si>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</si>
  <si>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</si>
  <si>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ICU</t>
  </si>
  <si>
    <t>妇产科</t>
  </si>
  <si>
    <t>产科分娩室</t>
  </si>
  <si>
    <t>呼吸</t>
  </si>
  <si>
    <t>肾内科</t>
  </si>
  <si>
    <t>急诊科</t>
  </si>
  <si>
    <t>耳鼻喉手术室</t>
  </si>
  <si>
    <t>耳鼻喉门诊</t>
  </si>
  <si>
    <t>眼科门诊</t>
  </si>
  <si>
    <t>口内</t>
  </si>
  <si>
    <t>口外</t>
  </si>
  <si>
    <t>妇科门诊</t>
  </si>
  <si>
    <t>美容科</t>
  </si>
  <si>
    <t>门诊换药室</t>
  </si>
  <si>
    <t>疼痛门诊</t>
  </si>
  <si>
    <t>腔镜室</t>
  </si>
  <si>
    <t>肛肠门诊</t>
  </si>
  <si>
    <t>冲击波门诊</t>
  </si>
  <si>
    <t>内分泌</t>
  </si>
  <si>
    <t>全科</t>
  </si>
  <si>
    <t>二门诊口腔科</t>
  </si>
  <si>
    <t>二门诊美容科</t>
  </si>
  <si>
    <t>二门诊手术室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</si>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</sst>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00000000_ "/>
    <numFmt numFmtId="179" formatCode="[$-10804]0.00;\(0.00\)"/>
    <numFmt numFmtId="180" formatCode="0.00_);\(0.00\)"/>
  </numFmts>
  <fonts count="30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32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 wrapText="1" readingOrder="1"/>
    </xf>
    <xf numFmtId="179" fontId="7" fillId="0" borderId="1" xfId="0" applyNumberFormat="1" applyFont="1" applyFill="1" applyBorder="1" applyAlignment="1">
      <alignment horizontal="center" vertical="center" wrapText="1" readingOrder="1"/>
    </xf>
    <xf numFmtId="180" fontId="2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 wrapText="1" readingOrder="1"/>
    </xf>
    <xf numFmtId="179" fontId="8" fillId="0" borderId="1" xfId="0" applyNumberFormat="1" applyFont="1" applyFill="1" applyBorder="1" applyAlignment="1">
      <alignment horizontal="center" vertical="center" wrapText="1" readingOrder="1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view="pageBreakPreview" zoomScaleNormal="100" workbookViewId="0">
      <pane xSplit="7" ySplit="3" topLeftCell="H4" activePane="bottomRight" state="frozen"/>
      <selection/>
      <selection pane="topRight"/>
      <selection pane="bottomLeft"/>
      <selection pane="bottomRight" activeCell="U7" sqref="U7"/>
    </sheetView>
  </sheetViews>
  <sheetFormatPr defaultColWidth="9" defaultRowHeight="17.25"/>
  <cols>
    <col min="1" max="1" width="11" style="1" hidden="1" customWidth="1"/>
    <col min="2" max="2" width="17.5" style="4" hidden="1" customWidth="1"/>
    <col min="3" max="3" width="21.5" style="1" hidden="1" customWidth="1"/>
    <col min="4" max="4" width="17.7583333333333" style="1" hidden="1" customWidth="1"/>
    <col min="5" max="5" width="9.63333333333333" style="1" hidden="1" customWidth="1"/>
    <col min="6" max="6" width="10" style="1" hidden="1" customWidth="1"/>
    <col min="7" max="7" width="9.68333333333333" style="1" hidden="1" customWidth="1"/>
    <col min="8" max="8" width="22.2583333333333" style="5" customWidth="1"/>
    <col min="9" max="9" width="13.625" style="6" customWidth="1"/>
    <col min="10" max="11" width="12.875" style="7" customWidth="1"/>
    <col min="12" max="12" width="11.2583333333333" style="8" customWidth="1"/>
    <col min="13" max="13" width="14.5" style="9" customWidth="1"/>
    <col min="14" max="14" width="11.2583333333333" style="10" customWidth="1"/>
    <col min="15" max="16228" width="11" style="1"/>
    <col min="16229" max="16384" width="9" style="1"/>
  </cols>
  <sheetData>
    <row r="1" s="1" customFormat="1" ht="22" customHeight="1" spans="1:14">
      <c r="B1" s="4"/>
      <c r="H1" s="11" t="s">
        <v>0</v>
      </c>
      <c r="I1" s="12"/>
      <c r="J1" s="13"/>
      <c r="K1" s="13"/>
      <c r="L1" s="14"/>
      <c r="M1" s="15"/>
      <c r="N1" s="11"/>
    </row>
    <row r="2" s="2" customFormat="1" ht="22" customHeight="1" spans="1:14">
      <c r="A2" s="16"/>
      <c r="B2" s="16"/>
      <c r="C2" s="16"/>
      <c r="D2" s="16"/>
      <c r="H2" s="17" t="s">
        <v>1</v>
      </c>
      <c r="I2" s="18" t="s">
        <v>2</v>
      </c>
      <c r="J2" s="19" t="s">
        <v>3</v>
      </c>
      <c r="K2" s="20" t="s">
        <v>4</v>
      </c>
      <c r="L2" s="21" t="s">
        <v>5</v>
      </c>
      <c r="M2" s="20" t="s">
        <v>6</v>
      </c>
      <c r="N2" s="17" t="s">
        <v>7</v>
      </c>
    </row>
    <row r="3" s="2" customFormat="1" ht="22" customHeight="1" spans="1:14">
      <c r="A3" s="16"/>
      <c r="B3" s="16" t="s">
        <v>8</v>
      </c>
      <c r="C3" s="16" t="s">
        <v>9</v>
      </c>
      <c r="D3" s="16" t="s">
        <v>10</v>
      </c>
      <c r="H3" s="17"/>
      <c r="I3" s="18"/>
      <c r="J3" s="19"/>
      <c r="K3" s="20"/>
      <c r="L3" s="21"/>
      <c r="M3" s="20" t="s">
        <v>11</v>
      </c>
      <c r="N3" s="17"/>
    </row>
    <row r="4" s="3" customFormat="1" ht="22" customHeight="1" spans="1:14">
      <c r="A4" s="22"/>
      <c r="B4" s="23">
        <v>770861.5</v>
      </c>
      <c r="C4" s="24">
        <f>(I4+J4+K4)/B4</f>
        <v>0.3412928263</v>
      </c>
      <c r="D4" s="22">
        <v>1200</v>
      </c>
      <c r="E4" s="3">
        <f>C4*D4</f>
        <v>409.55139156</v>
      </c>
      <c r="H4" s="25" t="s">
        <v>12</v>
      </c>
      <c r="I4" s="26">
        <f>262891-J4</f>
        <v>262040</v>
      </c>
      <c r="J4" s="19">
        <f>851</f>
        <v>851</v>
      </c>
      <c r="K4" s="19">
        <v>198.5</v>
      </c>
      <c r="L4" s="21">
        <v>409.55</v>
      </c>
      <c r="M4" s="27">
        <f t="shared" ref="M4:M19" si="0">I4+J4+K4+L4</f>
        <v>263499.05</v>
      </c>
      <c r="N4" s="17"/>
    </row>
    <row r="5" s="3" customFormat="1" ht="22" customHeight="1" spans="1:14">
      <c r="A5" s="22"/>
      <c r="B5" s="23">
        <v>770861.5</v>
      </c>
      <c r="C5" s="24">
        <f t="shared" ref="C5:C52" si="1">(I5+J5+K5)/B5</f>
        <v>0.1134723942</v>
      </c>
      <c r="D5" s="22">
        <v>1200</v>
      </c>
      <c r="E5" s="3">
        <f t="shared" ref="E5:E52" si="2">C5*D5</f>
        <v>136.16687304</v>
      </c>
      <c r="H5" s="25" t="s">
        <v>13</v>
      </c>
      <c r="I5" s="26">
        <v>87223</v>
      </c>
      <c r="J5" s="19"/>
      <c r="K5" s="19">
        <v>248.5</v>
      </c>
      <c r="L5" s="21">
        <v>136.17</v>
      </c>
      <c r="M5" s="27">
        <f t="shared" si="0"/>
        <v>87607.67</v>
      </c>
      <c r="N5" s="17"/>
    </row>
    <row r="6" s="3" customFormat="1" ht="22" customHeight="1" spans="1:14">
      <c r="A6" s="22"/>
      <c r="B6" s="23">
        <v>770861.5</v>
      </c>
      <c r="C6" s="24">
        <f t="shared" si="1"/>
        <v>0.0132572453</v>
      </c>
      <c r="D6" s="22">
        <v>1200</v>
      </c>
      <c r="E6" s="3">
        <f t="shared" si="2"/>
        <v>15.90869436</v>
      </c>
      <c r="H6" s="25" t="s">
        <v>14</v>
      </c>
      <c r="I6" s="26">
        <v>44</v>
      </c>
      <c r="J6" s="19">
        <v>377</v>
      </c>
      <c r="K6" s="19">
        <f>1155+583.5+33+3799+4228</f>
        <v>9798.5</v>
      </c>
      <c r="L6" s="21">
        <v>15.91</v>
      </c>
      <c r="M6" s="27">
        <f t="shared" si="0"/>
        <v>10235.41</v>
      </c>
      <c r="N6" s="17"/>
    </row>
    <row r="7" s="3" customFormat="1" ht="22" customHeight="1" spans="1:14">
      <c r="A7" s="22"/>
      <c r="B7" s="23">
        <v>770861.5</v>
      </c>
      <c r="C7" s="24">
        <f t="shared" si="1"/>
        <v>0.0243539209</v>
      </c>
      <c r="D7" s="22">
        <v>1200</v>
      </c>
      <c r="E7" s="3">
        <f t="shared" si="2"/>
        <v>29.22470508</v>
      </c>
      <c r="H7" s="25" t="s">
        <v>15</v>
      </c>
      <c r="I7" s="26">
        <v>110</v>
      </c>
      <c r="J7" s="19"/>
      <c r="K7" s="19">
        <f>594+753.5+17316</f>
        <v>18663.5</v>
      </c>
      <c r="L7" s="21">
        <v>29.22</v>
      </c>
      <c r="M7" s="27">
        <f t="shared" si="0"/>
        <v>18802.72</v>
      </c>
      <c r="N7" s="17"/>
    </row>
    <row r="8" s="3" customFormat="1" ht="22" customHeight="1" spans="1:14">
      <c r="A8" s="22"/>
      <c r="B8" s="23">
        <v>770861.5</v>
      </c>
      <c r="C8" s="24">
        <f t="shared" si="1"/>
        <v>0.0544598478</v>
      </c>
      <c r="D8" s="22">
        <v>1200</v>
      </c>
      <c r="E8" s="3">
        <f t="shared" si="2"/>
        <v>65.35181736</v>
      </c>
      <c r="H8" s="25" t="s">
        <v>16</v>
      </c>
      <c r="I8" s="26">
        <f>44</f>
        <v>44</v>
      </c>
      <c r="J8" s="19">
        <v>660</v>
      </c>
      <c r="K8" s="2">
        <f>99+632.5+40545.5</f>
        <v>41277</v>
      </c>
      <c r="L8" s="21">
        <v>65.35</v>
      </c>
      <c r="M8" s="27">
        <f t="shared" si="0"/>
        <v>42046.35</v>
      </c>
      <c r="N8" s="17"/>
    </row>
    <row r="9" s="3" customFormat="1" ht="22" customHeight="1" spans="1:14">
      <c r="B9" s="23">
        <v>770861.5</v>
      </c>
      <c r="C9" s="24">
        <f t="shared" si="1"/>
        <v>0.0195878248</v>
      </c>
      <c r="D9" s="22">
        <v>1200</v>
      </c>
      <c r="E9" s="3">
        <f t="shared" si="2"/>
        <v>23.50538976</v>
      </c>
      <c r="H9" s="25" t="s">
        <v>17</v>
      </c>
      <c r="I9" s="26"/>
      <c r="J9" s="2">
        <v>396</v>
      </c>
      <c r="K9" s="19">
        <f>286+14417.5</f>
        <v>14703.5</v>
      </c>
      <c r="L9" s="21">
        <v>23.51</v>
      </c>
      <c r="M9" s="27">
        <f t="shared" si="0"/>
        <v>15123.01</v>
      </c>
      <c r="N9" s="17"/>
    </row>
    <row r="10" s="3" customFormat="1" ht="22" customHeight="1" spans="1:14">
      <c r="B10" s="23">
        <v>770861.5</v>
      </c>
      <c r="C10" s="24">
        <f t="shared" si="1"/>
        <v>0.0455062291</v>
      </c>
      <c r="D10" s="22">
        <v>1200</v>
      </c>
      <c r="E10" s="3">
        <f t="shared" si="2"/>
        <v>54.60747492</v>
      </c>
      <c r="H10" s="25" t="s">
        <v>18</v>
      </c>
      <c r="I10" s="26">
        <f>2.5+16.5</f>
        <v>19</v>
      </c>
      <c r="J10" s="19">
        <f>12614+1056</f>
        <v>13670</v>
      </c>
      <c r="K10" s="19">
        <f>181.5+4624-1056+17640.5</f>
        <v>21390</v>
      </c>
      <c r="L10" s="21">
        <v>54.61</v>
      </c>
      <c r="M10" s="27">
        <f t="shared" si="0"/>
        <v>35133.61</v>
      </c>
      <c r="N10" s="17"/>
    </row>
    <row r="11" s="3" customFormat="1" ht="22" customHeight="1" spans="1:14">
      <c r="B11" s="23">
        <v>770861.5</v>
      </c>
      <c r="C11" s="24">
        <f t="shared" si="1"/>
        <v>0.0266104871</v>
      </c>
      <c r="D11" s="22">
        <v>1200</v>
      </c>
      <c r="E11" s="3">
        <f t="shared" si="2"/>
        <v>31.93258452</v>
      </c>
      <c r="H11" s="25" t="s">
        <v>19</v>
      </c>
      <c r="I11" s="26">
        <v>137.5</v>
      </c>
      <c r="J11" s="19">
        <f>6470+132</f>
        <v>6602</v>
      </c>
      <c r="K11" s="19">
        <f>803-132+13102.5</f>
        <v>13773.5</v>
      </c>
      <c r="L11" s="21">
        <v>31.93</v>
      </c>
      <c r="M11" s="27">
        <f t="shared" si="0"/>
        <v>20544.93</v>
      </c>
      <c r="N11" s="17"/>
    </row>
    <row r="12" s="3" customFormat="1" ht="22" customHeight="1" spans="1:14">
      <c r="B12" s="23">
        <v>770861.5</v>
      </c>
      <c r="C12" s="24">
        <f t="shared" si="1"/>
        <v>0.0288385138</v>
      </c>
      <c r="D12" s="22">
        <v>1200</v>
      </c>
      <c r="E12" s="3">
        <f t="shared" si="2"/>
        <v>34.60621656</v>
      </c>
      <c r="H12" s="25" t="s">
        <v>20</v>
      </c>
      <c r="I12" s="26">
        <v>88</v>
      </c>
      <c r="J12" s="19">
        <v>682</v>
      </c>
      <c r="K12" s="19">
        <f>33+21427.5</f>
        <v>21460.5</v>
      </c>
      <c r="L12" s="21">
        <v>34.61</v>
      </c>
      <c r="M12" s="27">
        <f t="shared" si="0"/>
        <v>22265.11</v>
      </c>
      <c r="N12" s="17"/>
    </row>
    <row r="13" s="3" customFormat="1" ht="22" customHeight="1" spans="1:14">
      <c r="B13" s="23">
        <v>770861.5</v>
      </c>
      <c r="C13" s="24">
        <f t="shared" si="1"/>
        <v>0.0563810749</v>
      </c>
      <c r="D13" s="22">
        <v>1200</v>
      </c>
      <c r="E13" s="3">
        <f t="shared" si="2"/>
        <v>67.65728988</v>
      </c>
      <c r="H13" s="25" t="s">
        <v>21</v>
      </c>
      <c r="I13" s="26">
        <v>44</v>
      </c>
      <c r="J13" s="19">
        <v>6943</v>
      </c>
      <c r="K13" s="19">
        <f>1556.5+847+71.5+34000</f>
        <v>36475</v>
      </c>
      <c r="L13" s="21">
        <v>67.66</v>
      </c>
      <c r="M13" s="27">
        <f t="shared" si="0"/>
        <v>43529.66</v>
      </c>
      <c r="N13" s="17"/>
    </row>
    <row r="14" s="3" customFormat="1" ht="22" customHeight="1" spans="1:14">
      <c r="B14" s="23">
        <v>770861.5</v>
      </c>
      <c r="C14" s="24">
        <f t="shared" si="1"/>
        <v>0.0176484362</v>
      </c>
      <c r="D14" s="22">
        <v>1200</v>
      </c>
      <c r="E14" s="3">
        <f t="shared" si="2"/>
        <v>21.17812344</v>
      </c>
      <c r="H14" s="25" t="s">
        <v>22</v>
      </c>
      <c r="I14" s="26"/>
      <c r="J14" s="19">
        <v>264</v>
      </c>
      <c r="K14" s="19">
        <f>286+13054.5</f>
        <v>13340.5</v>
      </c>
      <c r="L14" s="21">
        <v>21.18</v>
      </c>
      <c r="M14" s="27">
        <f t="shared" si="0"/>
        <v>13625.68</v>
      </c>
      <c r="N14" s="17"/>
    </row>
    <row r="15" s="3" customFormat="1" ht="22" customHeight="1" spans="1:14">
      <c r="B15" s="23">
        <v>770861.5</v>
      </c>
      <c r="C15" s="24">
        <f t="shared" si="1"/>
        <v>0.0578378866</v>
      </c>
      <c r="D15" s="22">
        <v>1200</v>
      </c>
      <c r="E15" s="3">
        <f t="shared" si="2"/>
        <v>69.40546392</v>
      </c>
      <c r="H15" s="25" t="s">
        <v>23</v>
      </c>
      <c r="I15" s="26">
        <f>176</f>
        <v>176</v>
      </c>
      <c r="J15" s="19">
        <v>2508</v>
      </c>
      <c r="K15" s="19">
        <f>544.5+41356.5</f>
        <v>41901</v>
      </c>
      <c r="L15" s="21">
        <v>69.41</v>
      </c>
      <c r="M15" s="27">
        <f t="shared" si="0"/>
        <v>44654.41</v>
      </c>
      <c r="N15" s="17"/>
    </row>
    <row r="16" s="3" customFormat="1" ht="22" customHeight="1" spans="1:14">
      <c r="B16" s="23">
        <v>770861.5</v>
      </c>
      <c r="C16" s="24">
        <f t="shared" si="1"/>
        <v>0.0973657395</v>
      </c>
      <c r="D16" s="22">
        <v>1200</v>
      </c>
      <c r="E16" s="3">
        <f t="shared" si="2"/>
        <v>116.8388874</v>
      </c>
      <c r="H16" s="25" t="s">
        <v>24</v>
      </c>
      <c r="I16" s="26">
        <f>44</f>
        <v>44</v>
      </c>
      <c r="J16" s="19">
        <v>7943</v>
      </c>
      <c r="K16" s="19">
        <f>82.5+154+286+66546</f>
        <v>67068.5</v>
      </c>
      <c r="L16" s="21">
        <v>116.84</v>
      </c>
      <c r="M16" s="27">
        <f t="shared" si="0"/>
        <v>75172.34</v>
      </c>
      <c r="N16" s="17"/>
    </row>
    <row r="17" s="3" customFormat="1" ht="22" customHeight="1" spans="2:14">
      <c r="B17" s="23">
        <v>770861.5</v>
      </c>
      <c r="C17" s="24">
        <f t="shared" si="1"/>
        <v>0.0144818492</v>
      </c>
      <c r="D17" s="22">
        <v>1200</v>
      </c>
      <c r="E17" s="3">
        <f t="shared" si="2"/>
        <v>17.37821904</v>
      </c>
      <c r="H17" s="25" t="s">
        <v>25</v>
      </c>
      <c r="I17" s="26"/>
      <c r="J17" s="19">
        <v>286</v>
      </c>
      <c r="K17" s="19">
        <f>10877.5</f>
        <v>10877.5</v>
      </c>
      <c r="L17" s="21">
        <v>17.38</v>
      </c>
      <c r="M17" s="27">
        <f t="shared" si="0"/>
        <v>11180.88</v>
      </c>
      <c r="N17" s="17"/>
    </row>
    <row r="18" s="3" customFormat="1" ht="22" customHeight="1" spans="2:14">
      <c r="B18" s="23">
        <v>770861.5</v>
      </c>
      <c r="C18" s="24">
        <f t="shared" si="1"/>
        <v>0.0129030961</v>
      </c>
      <c r="D18" s="22">
        <v>1200</v>
      </c>
      <c r="E18" s="3">
        <f t="shared" si="2"/>
        <v>15.48371532</v>
      </c>
      <c r="H18" s="25" t="s">
        <v>26</v>
      </c>
      <c r="I18" s="26"/>
      <c r="J18" s="26">
        <v>110</v>
      </c>
      <c r="K18" s="19">
        <f>715+9121.5</f>
        <v>9836.5</v>
      </c>
      <c r="L18" s="21">
        <v>15.48</v>
      </c>
      <c r="M18" s="27">
        <f t="shared" si="0"/>
        <v>9961.98</v>
      </c>
      <c r="N18" s="17"/>
    </row>
    <row r="19" s="3" customFormat="1" ht="22" customHeight="1" spans="2:14">
      <c r="B19" s="23">
        <v>770861.5</v>
      </c>
      <c r="C19" s="24">
        <f t="shared" si="1"/>
        <v>0.0074754025</v>
      </c>
      <c r="D19" s="22">
        <v>1200</v>
      </c>
      <c r="E19" s="3">
        <f t="shared" si="2"/>
        <v>8.970483</v>
      </c>
      <c r="H19" s="25" t="s">
        <v>27</v>
      </c>
      <c r="I19" s="26"/>
      <c r="J19" s="19">
        <v>132</v>
      </c>
      <c r="K19" s="19">
        <f>16.5+5614</f>
        <v>5630.5</v>
      </c>
      <c r="L19" s="21">
        <v>8.97</v>
      </c>
      <c r="M19" s="27">
        <f t="shared" si="0"/>
        <v>5771.47</v>
      </c>
      <c r="N19" s="17"/>
    </row>
    <row r="20" s="3" customFormat="1" ht="22" customHeight="1" spans="2:14">
      <c r="B20" s="23">
        <v>770861.5</v>
      </c>
      <c r="C20" s="24">
        <f t="shared" si="1"/>
        <v>0.0059764303</v>
      </c>
      <c r="D20" s="22">
        <v>1200</v>
      </c>
      <c r="E20" s="3">
        <f t="shared" si="2"/>
        <v>7.17171636</v>
      </c>
      <c r="H20" s="25" t="s">
        <v>28</v>
      </c>
      <c r="I20" s="26">
        <f>44</f>
        <v>44</v>
      </c>
      <c r="J20" s="19">
        <v>1195</v>
      </c>
      <c r="K20" s="19">
        <f>44+3324</f>
        <v>3368</v>
      </c>
      <c r="L20" s="21">
        <v>7.17</v>
      </c>
      <c r="M20" s="27">
        <f t="shared" ref="M20:M53" si="3">I20+J20+K20+L20</f>
        <v>4614.17</v>
      </c>
      <c r="N20" s="17"/>
    </row>
    <row r="21" s="3" customFormat="1" ht="22" customHeight="1" spans="2:14">
      <c r="B21" s="23">
        <v>770861.5</v>
      </c>
      <c r="C21" s="24">
        <f t="shared" si="1"/>
        <v>0.0013874088</v>
      </c>
      <c r="D21" s="22">
        <v>1200</v>
      </c>
      <c r="E21" s="3">
        <f t="shared" si="2"/>
        <v>1.66489056</v>
      </c>
      <c r="H21" s="25" t="s">
        <v>29</v>
      </c>
      <c r="I21" s="26"/>
      <c r="J21" s="19"/>
      <c r="K21" s="19">
        <v>1069.5</v>
      </c>
      <c r="L21" s="21">
        <v>1.66</v>
      </c>
      <c r="M21" s="27">
        <f t="shared" si="3"/>
        <v>1071.16</v>
      </c>
      <c r="N21" s="17"/>
    </row>
    <row r="22" s="3" customFormat="1" ht="22" customHeight="1" spans="2:14">
      <c r="B22" s="23">
        <v>770861.5</v>
      </c>
      <c r="C22" s="24">
        <f t="shared" si="1"/>
        <v>0.0005636551</v>
      </c>
      <c r="D22" s="22">
        <v>1200</v>
      </c>
      <c r="E22" s="3">
        <f t="shared" si="2"/>
        <v>0.67638612</v>
      </c>
      <c r="H22" s="25" t="s">
        <v>30</v>
      </c>
      <c r="I22" s="26"/>
      <c r="J22" s="19"/>
      <c r="K22" s="19">
        <v>434.5</v>
      </c>
      <c r="L22" s="21">
        <v>0.68</v>
      </c>
      <c r="M22" s="27">
        <f t="shared" si="3"/>
        <v>435.18</v>
      </c>
      <c r="N22" s="17"/>
    </row>
    <row r="23" s="3" customFormat="1" ht="22" customHeight="1" spans="2:14">
      <c r="B23" s="23">
        <v>770861.5</v>
      </c>
      <c r="C23" s="24">
        <f t="shared" si="1"/>
        <v>0.0003067996</v>
      </c>
      <c r="D23" s="22">
        <v>1200</v>
      </c>
      <c r="E23" s="3">
        <f t="shared" si="2"/>
        <v>0.36815952</v>
      </c>
      <c r="H23" s="25" t="s">
        <v>31</v>
      </c>
      <c r="I23" s="26">
        <f>44</f>
        <v>44</v>
      </c>
      <c r="J23" s="19">
        <v>154</v>
      </c>
      <c r="K23" s="19">
        <f>38.5</f>
        <v>38.5</v>
      </c>
      <c r="L23" s="21">
        <v>0.37</v>
      </c>
      <c r="M23" s="27">
        <f t="shared" si="3"/>
        <v>236.87</v>
      </c>
      <c r="N23" s="17"/>
    </row>
    <row r="24" s="3" customFormat="1" ht="22" customHeight="1" spans="2:14">
      <c r="B24" s="23">
        <v>770861.5</v>
      </c>
      <c r="C24" s="24">
        <f t="shared" si="1"/>
        <v>0.0008425638</v>
      </c>
      <c r="D24" s="22">
        <v>1200</v>
      </c>
      <c r="E24" s="3">
        <f t="shared" si="2"/>
        <v>1.01107656</v>
      </c>
      <c r="H24" s="25" t="s">
        <v>32</v>
      </c>
      <c r="I24" s="19">
        <f>126.5+198</f>
        <v>324.5</v>
      </c>
      <c r="J24" s="19"/>
      <c r="K24" s="19">
        <f>16.5+308.5</f>
        <v>325</v>
      </c>
      <c r="L24" s="21">
        <v>1.01</v>
      </c>
      <c r="M24" s="27">
        <f t="shared" si="3"/>
        <v>650.51</v>
      </c>
      <c r="N24" s="17"/>
    </row>
    <row r="25" s="3" customFormat="1" ht="22" customHeight="1" spans="2:14">
      <c r="B25" s="23">
        <v>770861.5</v>
      </c>
      <c r="C25" s="24">
        <f t="shared" si="1"/>
        <v>0.0007562967</v>
      </c>
      <c r="D25" s="22">
        <v>1200</v>
      </c>
      <c r="E25" s="3">
        <f t="shared" si="2"/>
        <v>0.90755604</v>
      </c>
      <c r="H25" s="25" t="s">
        <v>33</v>
      </c>
      <c r="I25" s="26">
        <f>143</f>
        <v>143</v>
      </c>
      <c r="J25" s="19"/>
      <c r="K25" s="19">
        <f>440</f>
        <v>440</v>
      </c>
      <c r="L25" s="21">
        <v>0.91</v>
      </c>
      <c r="M25" s="27">
        <f t="shared" si="3"/>
        <v>583.91</v>
      </c>
      <c r="N25" s="17"/>
    </row>
    <row r="26" s="3" customFormat="1" ht="22" customHeight="1" spans="2:14">
      <c r="B26" s="23">
        <v>770861.5</v>
      </c>
      <c r="C26" s="24">
        <f t="shared" si="1"/>
        <v>0.0040020159</v>
      </c>
      <c r="D26" s="22">
        <v>1200</v>
      </c>
      <c r="E26" s="3">
        <f t="shared" si="2"/>
        <v>4.80241908</v>
      </c>
      <c r="H26" s="25" t="s">
        <v>34</v>
      </c>
      <c r="I26" s="26">
        <f>2.5+2684</f>
        <v>2686.5</v>
      </c>
      <c r="J26" s="19"/>
      <c r="K26" s="19">
        <f>33+365.5</f>
        <v>398.5</v>
      </c>
      <c r="L26" s="21">
        <v>4.8</v>
      </c>
      <c r="M26" s="27">
        <f t="shared" si="3"/>
        <v>3089.8</v>
      </c>
      <c r="N26" s="17"/>
    </row>
    <row r="27" s="3" customFormat="1" ht="22" customHeight="1" spans="2:14">
      <c r="B27" s="23">
        <v>770861.5</v>
      </c>
      <c r="C27" s="24">
        <f t="shared" si="1"/>
        <v>0.0027540615</v>
      </c>
      <c r="D27" s="22">
        <v>1200</v>
      </c>
      <c r="E27" s="3">
        <f t="shared" si="2"/>
        <v>3.3048738</v>
      </c>
      <c r="H27" s="25" t="s">
        <v>35</v>
      </c>
      <c r="I27" s="26">
        <f>19+2087.5-J27</f>
        <v>1806.5</v>
      </c>
      <c r="J27" s="19">
        <f>300</f>
        <v>300</v>
      </c>
      <c r="K27" s="19">
        <f>16.5</f>
        <v>16.5</v>
      </c>
      <c r="L27" s="21">
        <v>3.3</v>
      </c>
      <c r="M27" s="27">
        <f t="shared" si="3"/>
        <v>2126.3</v>
      </c>
      <c r="N27" s="17"/>
    </row>
    <row r="28" s="3" customFormat="1" ht="22" customHeight="1" spans="2:14">
      <c r="B28" s="23">
        <v>770861.5</v>
      </c>
      <c r="C28" s="24">
        <f t="shared" si="1"/>
        <v>0.0007420269</v>
      </c>
      <c r="D28" s="22">
        <v>1200</v>
      </c>
      <c r="E28" s="3">
        <f t="shared" si="2"/>
        <v>0.89043228</v>
      </c>
      <c r="H28" s="25" t="s">
        <v>36</v>
      </c>
      <c r="I28" s="26">
        <f>572</f>
        <v>572</v>
      </c>
      <c r="J28" s="19"/>
      <c r="K28" s="19"/>
      <c r="L28" s="21">
        <v>0.89</v>
      </c>
      <c r="M28" s="27">
        <f t="shared" si="3"/>
        <v>572.89</v>
      </c>
      <c r="N28" s="17"/>
    </row>
    <row r="29" s="3" customFormat="1" ht="22" customHeight="1" spans="2:14">
      <c r="B29" s="23">
        <v>770861.5</v>
      </c>
      <c r="C29" s="24">
        <f t="shared" si="1"/>
        <v>0.0007057039</v>
      </c>
      <c r="D29" s="22">
        <v>1200</v>
      </c>
      <c r="E29" s="3">
        <f t="shared" si="2"/>
        <v>0.84684468</v>
      </c>
      <c r="H29" s="25" t="s">
        <v>37</v>
      </c>
      <c r="I29" s="26">
        <f>544</f>
        <v>544</v>
      </c>
      <c r="J29" s="19"/>
      <c r="K29" s="19"/>
      <c r="L29" s="21">
        <v>0.85</v>
      </c>
      <c r="M29" s="27">
        <f t="shared" si="3"/>
        <v>544.85</v>
      </c>
      <c r="N29" s="17"/>
    </row>
    <row r="30" s="3" customFormat="1" ht="22" customHeight="1" spans="2:14">
      <c r="B30" s="23">
        <v>770861.5</v>
      </c>
      <c r="C30" s="24">
        <f t="shared" si="1"/>
        <v>0.000596735</v>
      </c>
      <c r="D30" s="22">
        <v>1200</v>
      </c>
      <c r="E30" s="3">
        <f t="shared" si="2"/>
        <v>0.716082</v>
      </c>
      <c r="H30" s="25" t="s">
        <v>38</v>
      </c>
      <c r="I30" s="26">
        <f>460-J30</f>
        <v>160</v>
      </c>
      <c r="J30" s="19">
        <v>300</v>
      </c>
      <c r="K30" s="19"/>
      <c r="L30" s="21">
        <v>0.72</v>
      </c>
      <c r="M30" s="27">
        <f t="shared" si="3"/>
        <v>460.72</v>
      </c>
      <c r="N30" s="17"/>
    </row>
    <row r="31" s="3" customFormat="1" ht="22" customHeight="1" spans="2:14">
      <c r="B31" s="23">
        <v>770861.5</v>
      </c>
      <c r="C31" s="24">
        <f t="shared" si="1"/>
        <v>0.0019744143</v>
      </c>
      <c r="D31" s="22">
        <v>1200</v>
      </c>
      <c r="E31" s="3">
        <f t="shared" si="2"/>
        <v>2.36929716</v>
      </c>
      <c r="H31" s="25" t="s">
        <v>39</v>
      </c>
      <c r="I31" s="26"/>
      <c r="J31" s="19">
        <f>1434+88</f>
        <v>1522</v>
      </c>
      <c r="K31" s="19"/>
      <c r="L31" s="21">
        <v>2.37</v>
      </c>
      <c r="M31" s="27">
        <f t="shared" si="3"/>
        <v>1524.37</v>
      </c>
      <c r="N31" s="17"/>
    </row>
    <row r="32" s="3" customFormat="1" ht="22" customHeight="1" spans="2:14">
      <c r="B32" s="23">
        <v>770861.5</v>
      </c>
      <c r="C32" s="24">
        <f t="shared" si="1"/>
        <v>0.0001958847</v>
      </c>
      <c r="D32" s="22">
        <v>1200</v>
      </c>
      <c r="E32" s="3">
        <f t="shared" si="2"/>
        <v>0.23506164</v>
      </c>
      <c r="H32" s="25" t="s">
        <v>40</v>
      </c>
      <c r="I32" s="26">
        <v>151</v>
      </c>
      <c r="J32" s="19"/>
      <c r="K32" s="19"/>
      <c r="L32" s="21">
        <v>0.24</v>
      </c>
      <c r="M32" s="27">
        <f t="shared" si="3"/>
        <v>151.24</v>
      </c>
      <c r="N32" s="17"/>
    </row>
    <row r="33" s="3" customFormat="1" ht="22" customHeight="1" spans="2:14">
      <c r="B33" s="23">
        <v>770861.5</v>
      </c>
      <c r="C33" s="24">
        <f t="shared" si="1"/>
        <v>0</v>
      </c>
      <c r="D33" s="22">
        <v>1200</v>
      </c>
      <c r="E33" s="3">
        <f t="shared" si="2"/>
        <v>0</v>
      </c>
      <c r="H33" s="25" t="s">
        <v>41</v>
      </c>
      <c r="I33" s="26"/>
      <c r="J33" s="19"/>
      <c r="K33" s="19"/>
      <c r="L33" s="21">
        <v>0</v>
      </c>
      <c r="M33" s="27">
        <f t="shared" si="3"/>
        <v>0</v>
      </c>
      <c r="N33" s="17"/>
    </row>
    <row r="34" s="3" customFormat="1" ht="22" customHeight="1" spans="2:14">
      <c r="B34" s="23">
        <v>770861.5</v>
      </c>
      <c r="C34" s="24">
        <f t="shared" si="1"/>
        <v>7.7835e-5</v>
      </c>
      <c r="D34" s="22">
        <v>1200</v>
      </c>
      <c r="E34" s="3">
        <f t="shared" si="2"/>
        <v>0.093402</v>
      </c>
      <c r="H34" s="25" t="s">
        <v>42</v>
      </c>
      <c r="I34" s="26">
        <f>44+16</f>
        <v>60</v>
      </c>
      <c r="J34" s="19"/>
      <c r="K34" s="19"/>
      <c r="L34" s="21">
        <v>0.09</v>
      </c>
      <c r="M34" s="27">
        <f t="shared" si="3"/>
        <v>60.09</v>
      </c>
      <c r="N34" s="17"/>
    </row>
    <row r="35" s="3" customFormat="1" ht="22" customHeight="1" spans="2:14">
      <c r="B35" s="23">
        <v>770861.5</v>
      </c>
      <c r="C35" s="24">
        <f t="shared" si="1"/>
        <v>0.0096787815</v>
      </c>
      <c r="D35" s="22">
        <v>1200</v>
      </c>
      <c r="E35" s="3">
        <f t="shared" si="2"/>
        <v>11.6145378</v>
      </c>
      <c r="H35" s="25" t="s">
        <v>43</v>
      </c>
      <c r="I35" s="26">
        <f>6602.5+776-J35</f>
        <v>7350.5</v>
      </c>
      <c r="J35" s="19">
        <f>28</f>
        <v>28</v>
      </c>
      <c r="K35" s="19">
        <f>82.5</f>
        <v>82.5</v>
      </c>
      <c r="L35" s="21">
        <v>11.61</v>
      </c>
      <c r="M35" s="27">
        <f t="shared" si="3"/>
        <v>7472.61</v>
      </c>
      <c r="N35" s="17"/>
    </row>
    <row r="36" s="3" customFormat="1" ht="22" customHeight="1" spans="2:14">
      <c r="B36" s="23">
        <v>770861.5</v>
      </c>
      <c r="C36" s="24">
        <f t="shared" si="1"/>
        <v>0.0008094839</v>
      </c>
      <c r="D36" s="22">
        <v>1200</v>
      </c>
      <c r="E36" s="3">
        <f t="shared" si="2"/>
        <v>0.97138068</v>
      </c>
      <c r="H36" s="28" t="s">
        <v>44</v>
      </c>
      <c r="I36" s="29">
        <f>624-J36</f>
        <v>532</v>
      </c>
      <c r="J36" s="30">
        <f>92</f>
        <v>92</v>
      </c>
      <c r="K36" s="19"/>
      <c r="L36" s="21">
        <v>0.97</v>
      </c>
      <c r="M36" s="27">
        <f t="shared" si="3"/>
        <v>624.97</v>
      </c>
      <c r="N36" s="17"/>
    </row>
    <row r="37" s="3" customFormat="1" ht="22" customHeight="1" spans="2:14">
      <c r="B37" s="23">
        <v>770861.5</v>
      </c>
      <c r="C37" s="24">
        <f t="shared" si="1"/>
        <v>0.0022909433</v>
      </c>
      <c r="D37" s="22">
        <v>1200</v>
      </c>
      <c r="E37" s="3">
        <f t="shared" si="2"/>
        <v>2.74913196</v>
      </c>
      <c r="H37" s="25" t="s">
        <v>45</v>
      </c>
      <c r="I37" s="29">
        <f>1678-J37+88</f>
        <v>1676</v>
      </c>
      <c r="J37" s="30">
        <f>90</f>
        <v>90</v>
      </c>
      <c r="K37" s="19"/>
      <c r="L37" s="21">
        <v>2.75</v>
      </c>
      <c r="M37" s="27">
        <f t="shared" si="3"/>
        <v>1768.75</v>
      </c>
      <c r="N37" s="17"/>
    </row>
    <row r="38" s="3" customFormat="1" ht="22" customHeight="1" spans="2:14">
      <c r="B38" s="23">
        <v>770861.5</v>
      </c>
      <c r="C38" s="24">
        <f t="shared" si="1"/>
        <v>0.0007355407</v>
      </c>
      <c r="D38" s="22">
        <v>1200</v>
      </c>
      <c r="E38" s="3">
        <f t="shared" si="2"/>
        <v>0.88264884</v>
      </c>
      <c r="H38" s="25" t="s">
        <v>46</v>
      </c>
      <c r="I38" s="29">
        <f>501+66</f>
        <v>567</v>
      </c>
      <c r="J38" s="30"/>
      <c r="K38" s="19"/>
      <c r="L38" s="21">
        <v>0.88</v>
      </c>
      <c r="M38" s="27">
        <f t="shared" si="3"/>
        <v>567.88</v>
      </c>
      <c r="N38" s="17"/>
    </row>
    <row r="39" s="3" customFormat="1" ht="22" customHeight="1" spans="2:14">
      <c r="B39" s="23">
        <v>770861.5</v>
      </c>
      <c r="C39" s="24">
        <f t="shared" si="1"/>
        <v>0.0123777099</v>
      </c>
      <c r="D39" s="22">
        <v>1200</v>
      </c>
      <c r="E39" s="3">
        <f t="shared" si="2"/>
        <v>14.85325188</v>
      </c>
      <c r="H39" s="25" t="s">
        <v>47</v>
      </c>
      <c r="I39" s="29">
        <f>25+9516.5</f>
        <v>9541.5</v>
      </c>
      <c r="J39" s="30"/>
      <c r="K39" s="19"/>
      <c r="L39" s="21">
        <v>14.85</v>
      </c>
      <c r="M39" s="27">
        <f t="shared" si="3"/>
        <v>9556.35</v>
      </c>
      <c r="N39" s="17"/>
    </row>
    <row r="40" s="3" customFormat="1" ht="22" customHeight="1" spans="2:14">
      <c r="B40" s="23">
        <v>770861.5</v>
      </c>
      <c r="C40" s="24">
        <f t="shared" si="1"/>
        <v>0.009800723</v>
      </c>
      <c r="D40" s="22">
        <v>1200</v>
      </c>
      <c r="E40" s="3">
        <f t="shared" si="2"/>
        <v>11.7608676</v>
      </c>
      <c r="H40" s="25" t="s">
        <v>48</v>
      </c>
      <c r="I40" s="29">
        <f>25+7530-J40</f>
        <v>7505</v>
      </c>
      <c r="J40" s="30">
        <f>50</f>
        <v>50</v>
      </c>
      <c r="K40" s="19"/>
      <c r="L40" s="21">
        <v>11.76</v>
      </c>
      <c r="M40" s="27">
        <f t="shared" si="3"/>
        <v>7566.76</v>
      </c>
      <c r="N40" s="17"/>
    </row>
    <row r="41" s="3" customFormat="1" ht="22" customHeight="1" spans="2:14">
      <c r="B41" s="23">
        <v>770861.5</v>
      </c>
      <c r="C41" s="24">
        <f t="shared" si="1"/>
        <v>0.003234044</v>
      </c>
      <c r="D41" s="22">
        <v>1200</v>
      </c>
      <c r="E41" s="3">
        <f t="shared" si="2"/>
        <v>3.8808528</v>
      </c>
      <c r="H41" s="25" t="s">
        <v>49</v>
      </c>
      <c r="I41" s="29">
        <f>2493-J41</f>
        <v>1679</v>
      </c>
      <c r="J41" s="30">
        <f>814</f>
        <v>814</v>
      </c>
      <c r="K41" s="19"/>
      <c r="L41" s="21">
        <v>3.88</v>
      </c>
      <c r="M41" s="27">
        <f t="shared" si="3"/>
        <v>2496.88</v>
      </c>
      <c r="N41" s="17"/>
    </row>
    <row r="42" s="3" customFormat="1" ht="22" customHeight="1" spans="2:14">
      <c r="B42" s="23">
        <v>770861.5</v>
      </c>
      <c r="C42" s="24">
        <f t="shared" si="1"/>
        <v>0.0015865366</v>
      </c>
      <c r="D42" s="22">
        <v>1200</v>
      </c>
      <c r="E42" s="3">
        <f t="shared" si="2"/>
        <v>1.90384392</v>
      </c>
      <c r="H42" s="25" t="s">
        <v>50</v>
      </c>
      <c r="I42" s="29">
        <f>1223</f>
        <v>1223</v>
      </c>
      <c r="J42" s="30"/>
      <c r="K42" s="19"/>
      <c r="L42" s="21">
        <v>1.9</v>
      </c>
      <c r="M42" s="27">
        <f t="shared" si="3"/>
        <v>1224.9</v>
      </c>
      <c r="N42" s="17"/>
    </row>
    <row r="43" s="3" customFormat="1" ht="22" customHeight="1" spans="2:14">
      <c r="B43" s="23">
        <v>770861.5</v>
      </c>
      <c r="C43" s="24">
        <f t="shared" si="1"/>
        <v>4.99441e-5</v>
      </c>
      <c r="D43" s="22">
        <v>1200</v>
      </c>
      <c r="E43" s="3">
        <f t="shared" si="2"/>
        <v>0.05993292</v>
      </c>
      <c r="H43" s="25" t="s">
        <v>51</v>
      </c>
      <c r="I43" s="29">
        <f>38.5</f>
        <v>38.5</v>
      </c>
      <c r="J43" s="30"/>
      <c r="K43" s="19"/>
      <c r="L43" s="21">
        <v>0.06</v>
      </c>
      <c r="M43" s="27">
        <f t="shared" si="3"/>
        <v>38.56</v>
      </c>
      <c r="N43" s="17"/>
    </row>
    <row r="44" s="3" customFormat="1" ht="22" customHeight="1" spans="2:14">
      <c r="B44" s="23">
        <v>770861.5</v>
      </c>
      <c r="C44" s="24">
        <f t="shared" si="1"/>
        <v>0</v>
      </c>
      <c r="D44" s="22">
        <v>1200</v>
      </c>
      <c r="E44" s="3">
        <f t="shared" si="2"/>
        <v>0</v>
      </c>
      <c r="H44" s="25" t="s">
        <v>52</v>
      </c>
      <c r="I44" s="26"/>
      <c r="J44" s="19"/>
      <c r="K44" s="19"/>
      <c r="L44" s="21">
        <v>0</v>
      </c>
      <c r="M44" s="27">
        <f t="shared" si="3"/>
        <v>0</v>
      </c>
      <c r="N44" s="17"/>
    </row>
    <row r="45" s="3" customFormat="1" ht="22" customHeight="1" spans="2:14">
      <c r="B45" s="23">
        <v>770861.5</v>
      </c>
      <c r="C45" s="24">
        <f t="shared" si="1"/>
        <v>0.00020756</v>
      </c>
      <c r="D45" s="22">
        <v>1200</v>
      </c>
      <c r="E45" s="3">
        <f t="shared" si="2"/>
        <v>0.249072</v>
      </c>
      <c r="H45" s="25" t="s">
        <v>53</v>
      </c>
      <c r="I45" s="26"/>
      <c r="J45" s="19">
        <v>160</v>
      </c>
      <c r="K45" s="19"/>
      <c r="L45" s="21">
        <v>0.25</v>
      </c>
      <c r="M45" s="27">
        <f t="shared" si="3"/>
        <v>160.25</v>
      </c>
      <c r="N45" s="17"/>
    </row>
    <row r="46" s="3" customFormat="1" ht="22" customHeight="1" spans="2:14">
      <c r="B46" s="23">
        <v>770861.5</v>
      </c>
      <c r="C46" s="24">
        <f t="shared" si="1"/>
        <v>0</v>
      </c>
      <c r="D46" s="22">
        <v>1200</v>
      </c>
      <c r="E46" s="3">
        <f t="shared" si="2"/>
        <v>0</v>
      </c>
      <c r="H46" s="25" t="s">
        <v>54</v>
      </c>
      <c r="I46" s="26"/>
      <c r="J46" s="19"/>
      <c r="K46" s="19"/>
      <c r="L46" s="21">
        <v>0</v>
      </c>
      <c r="M46" s="27">
        <f t="shared" si="3"/>
        <v>0</v>
      </c>
      <c r="N46" s="17"/>
    </row>
    <row r="47" s="3" customFormat="1" ht="22" customHeight="1" spans="2:14">
      <c r="B47" s="23">
        <v>770861.5</v>
      </c>
      <c r="C47" s="24">
        <f t="shared" si="1"/>
        <v>0.0056508205</v>
      </c>
      <c r="D47" s="22">
        <v>1200</v>
      </c>
      <c r="E47" s="3">
        <f t="shared" si="2"/>
        <v>6.7809846</v>
      </c>
      <c r="H47" s="25" t="s">
        <v>55</v>
      </c>
      <c r="I47" s="26">
        <v>4356</v>
      </c>
      <c r="J47" s="19"/>
      <c r="K47" s="19"/>
      <c r="L47" s="21">
        <v>6.78</v>
      </c>
      <c r="M47" s="27">
        <f t="shared" si="3"/>
        <v>4362.78</v>
      </c>
      <c r="N47" s="17"/>
    </row>
    <row r="48" s="3" customFormat="1" ht="22" customHeight="1" spans="2:14">
      <c r="B48" s="23">
        <v>770861.5</v>
      </c>
      <c r="C48" s="24">
        <f t="shared" si="1"/>
        <v>0</v>
      </c>
      <c r="D48" s="22">
        <v>1200</v>
      </c>
      <c r="E48" s="3">
        <f t="shared" si="2"/>
        <v>0</v>
      </c>
      <c r="H48" s="25" t="s">
        <v>56</v>
      </c>
      <c r="I48" s="26"/>
      <c r="J48" s="19"/>
      <c r="K48" s="19"/>
      <c r="L48" s="21">
        <v>0</v>
      </c>
      <c r="M48" s="27">
        <f t="shared" si="3"/>
        <v>0</v>
      </c>
      <c r="N48" s="17"/>
    </row>
    <row r="49" s="3" customFormat="1" ht="22" customHeight="1" spans="2:14">
      <c r="B49" s="23">
        <v>770861.5</v>
      </c>
      <c r="C49" s="24">
        <f t="shared" si="1"/>
        <v>0</v>
      </c>
      <c r="D49" s="22">
        <v>1200</v>
      </c>
      <c r="E49" s="3">
        <f t="shared" si="2"/>
        <v>0</v>
      </c>
      <c r="H49" s="25" t="s">
        <v>57</v>
      </c>
      <c r="I49" s="26"/>
      <c r="J49" s="19"/>
      <c r="K49" s="19"/>
      <c r="L49" s="21">
        <v>0</v>
      </c>
      <c r="M49" s="27">
        <f t="shared" si="3"/>
        <v>0</v>
      </c>
      <c r="N49" s="17"/>
    </row>
    <row r="50" s="3" customFormat="1" ht="22" customHeight="1" spans="2:14">
      <c r="B50" s="23">
        <v>770861.5</v>
      </c>
      <c r="C50" s="24">
        <f t="shared" si="1"/>
        <v>0</v>
      </c>
      <c r="D50" s="22">
        <v>1200</v>
      </c>
      <c r="E50" s="3">
        <f t="shared" si="2"/>
        <v>0</v>
      </c>
      <c r="H50" s="25" t="s">
        <v>58</v>
      </c>
      <c r="I50" s="26"/>
      <c r="J50" s="19"/>
      <c r="K50" s="19"/>
      <c r="L50" s="21">
        <v>0</v>
      </c>
      <c r="M50" s="27">
        <f t="shared" si="3"/>
        <v>0</v>
      </c>
      <c r="N50" s="17"/>
    </row>
    <row r="51" s="3" customFormat="1" ht="22" customHeight="1" spans="2:14">
      <c r="B51" s="23">
        <v>770861.5</v>
      </c>
      <c r="C51" s="24">
        <f t="shared" si="1"/>
        <v>0</v>
      </c>
      <c r="D51" s="22">
        <v>1200</v>
      </c>
      <c r="E51" s="3">
        <f t="shared" si="2"/>
        <v>0</v>
      </c>
      <c r="H51" s="25" t="s">
        <v>59</v>
      </c>
      <c r="I51" s="26"/>
      <c r="J51" s="19"/>
      <c r="K51" s="19"/>
      <c r="L51" s="21">
        <v>0</v>
      </c>
      <c r="M51" s="27">
        <f t="shared" si="3"/>
        <v>0</v>
      </c>
      <c r="N51" s="17"/>
    </row>
    <row r="52" s="3" customFormat="1" ht="22" customHeight="1" spans="2:14">
      <c r="B52" s="23">
        <v>770861.5</v>
      </c>
      <c r="C52" s="24">
        <f t="shared" si="1"/>
        <v>0.0012233067</v>
      </c>
      <c r="D52" s="22">
        <v>1200</v>
      </c>
      <c r="E52" s="3">
        <f t="shared" si="2"/>
        <v>1.46796804</v>
      </c>
      <c r="H52" s="25" t="s">
        <v>60</v>
      </c>
      <c r="I52" s="26">
        <v>943</v>
      </c>
      <c r="J52" s="19"/>
      <c r="K52" s="19"/>
      <c r="L52" s="21">
        <v>1.47</v>
      </c>
      <c r="M52" s="27">
        <f t="shared" si="3"/>
        <v>944.47</v>
      </c>
      <c r="N52" s="17"/>
    </row>
    <row r="53" s="3" customFormat="1" ht="22" customHeight="1" spans="2:14">
      <c r="B53" s="23"/>
      <c r="C53" s="24"/>
      <c r="D53" s="22"/>
      <c r="H53" s="31" t="s">
        <v>61</v>
      </c>
      <c r="I53" s="18">
        <f>SUM(I4:I52)</f>
        <v>391916.5</v>
      </c>
      <c r="J53" s="18">
        <f>SUM(J4:J52)</f>
        <v>46129</v>
      </c>
      <c r="K53" s="18">
        <f>SUM(K4:K52)</f>
        <v>332816</v>
      </c>
      <c r="L53" s="18">
        <f>24*50</f>
        <v>1200</v>
      </c>
      <c r="M53" s="27">
        <f t="shared" si="3"/>
        <v>772061.5</v>
      </c>
      <c r="N53" s="18"/>
    </row>
  </sheetData>
  <mergeCells count="7">
    <mergeCell ref="H1:N1"/>
    <mergeCell ref="H2:H3"/>
    <mergeCell ref="I2:I3"/>
    <mergeCell ref="J2:J3"/>
    <mergeCell ref="K2:K3"/>
    <mergeCell ref="L2:L3"/>
    <mergeCell ref="N2:N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2026-06-29T02:57:59Z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85BBA584A76D4114907DC9C9A69C8197_13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